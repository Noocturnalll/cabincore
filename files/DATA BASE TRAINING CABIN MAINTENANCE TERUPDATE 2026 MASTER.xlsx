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wi\closed finding\MASTER\"/>
    </mc:Choice>
  </mc:AlternateContent>
  <bookViews>
    <workbookView xWindow="0" yWindow="0" windowWidth="20490" windowHeight="7530" tabRatio="594" activeTab="1"/>
  </bookViews>
  <sheets>
    <sheet name="MATRIX" sheetId="3" r:id="rId1"/>
    <sheet name="AIRCRAFT PERFORMEN TRAINING (2" sheetId="7" r:id="rId2"/>
    <sheet name="BMSS" sheetId="22" state="hidden" r:id="rId3"/>
    <sheet name="schedule" sheetId="16" state="hidden" r:id="rId4"/>
    <sheet name="unschedule" sheetId="17" state="hidden" r:id="rId5"/>
    <sheet name="BAT" sheetId="21" state="hidden" r:id="rId6"/>
  </sheets>
  <definedNames>
    <definedName name="_xlnm._FilterDatabase" localSheetId="1" hidden="1">'AIRCRAFT PERFORMEN TRAINING (2'!$A$3:$EF$648</definedName>
    <definedName name="_xlnm._FilterDatabase" localSheetId="5" hidden="1">BAT!$A$2:$P$19</definedName>
    <definedName name="_xlnm._FilterDatabase" localSheetId="2" hidden="1">BMSS!$A$53:$G$82</definedName>
    <definedName name="_xlnm._FilterDatabase" localSheetId="3" hidden="1">schedule!$C$2:$Q$69</definedName>
    <definedName name="_xlnm._FilterDatabase" localSheetId="4" hidden="1">unschedule!$A$2:$P$56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7" l="1"/>
  <c r="J68" i="7"/>
  <c r="J71" i="7"/>
  <c r="J435" i="7"/>
  <c r="J440" i="7"/>
  <c r="J439" i="7"/>
  <c r="J550" i="7"/>
  <c r="J579" i="7"/>
  <c r="M579" i="7"/>
  <c r="J237" i="7" l="1"/>
  <c r="J333" i="7"/>
  <c r="J348" i="7"/>
  <c r="M20" i="21" l="1"/>
  <c r="J20" i="21"/>
  <c r="M56" i="17"/>
  <c r="J56" i="17"/>
  <c r="M55" i="17"/>
  <c r="J55" i="17"/>
  <c r="M54" i="17" l="1"/>
  <c r="J54" i="17"/>
  <c r="J108" i="7" l="1"/>
  <c r="M108" i="7"/>
  <c r="J495" i="7"/>
  <c r="M495" i="7"/>
  <c r="M474" i="7"/>
  <c r="J474" i="7"/>
  <c r="M473" i="7"/>
  <c r="J473" i="7"/>
  <c r="M472" i="7"/>
  <c r="J472" i="7"/>
  <c r="M471" i="7"/>
  <c r="J471" i="7"/>
  <c r="M470" i="7"/>
  <c r="J470" i="7"/>
  <c r="M469" i="7"/>
  <c r="J469" i="7"/>
  <c r="M468" i="7"/>
  <c r="J468" i="7"/>
  <c r="M454" i="7" l="1"/>
  <c r="J454" i="7"/>
  <c r="M57" i="7"/>
  <c r="J57" i="7"/>
  <c r="M12" i="21" l="1"/>
  <c r="J12" i="21"/>
  <c r="M11" i="21"/>
  <c r="J11" i="21"/>
  <c r="M10" i="21"/>
  <c r="J10" i="21"/>
  <c r="M9" i="21"/>
  <c r="J9" i="21"/>
  <c r="M8" i="21"/>
  <c r="J8" i="21"/>
  <c r="M7" i="21"/>
  <c r="J7" i="21"/>
  <c r="M6" i="21"/>
  <c r="J6" i="21"/>
  <c r="M5" i="21"/>
  <c r="J5" i="21"/>
  <c r="M4" i="21"/>
  <c r="J4" i="21"/>
  <c r="M3" i="21"/>
  <c r="J3" i="21"/>
  <c r="M53" i="17" l="1"/>
  <c r="J53" i="17"/>
  <c r="M20" i="7"/>
  <c r="J20" i="7"/>
  <c r="J36" i="7" l="1"/>
  <c r="M52" i="17" l="1"/>
  <c r="J52" i="17"/>
  <c r="J383" i="7"/>
  <c r="M456" i="7"/>
  <c r="M79" i="7"/>
  <c r="J79" i="7"/>
  <c r="M615" i="7"/>
  <c r="J615" i="7"/>
  <c r="M483" i="7"/>
  <c r="J483" i="7"/>
  <c r="M552" i="7"/>
  <c r="J552" i="7"/>
  <c r="M534" i="7"/>
  <c r="J534" i="7"/>
  <c r="M585" i="7"/>
  <c r="J585" i="7"/>
  <c r="J67" i="7"/>
  <c r="M67" i="7"/>
  <c r="M72" i="7"/>
  <c r="J72" i="7"/>
  <c r="M438" i="7"/>
  <c r="J438" i="7"/>
  <c r="M437" i="7"/>
  <c r="J437" i="7"/>
  <c r="M436" i="7"/>
  <c r="J436" i="7"/>
  <c r="M355" i="7"/>
  <c r="J355" i="7"/>
  <c r="M321" i="7"/>
  <c r="J321" i="7"/>
  <c r="M206" i="7"/>
  <c r="J206" i="7"/>
  <c r="M269" i="7"/>
  <c r="J269" i="7"/>
  <c r="M260" i="7"/>
  <c r="J260" i="7"/>
  <c r="M179" i="7"/>
  <c r="J179" i="7"/>
  <c r="J335" i="7"/>
  <c r="M335" i="7"/>
  <c r="M232" i="7"/>
  <c r="J232" i="7"/>
  <c r="J228" i="7"/>
  <c r="M83" i="7" l="1"/>
  <c r="M10" i="7"/>
  <c r="M9" i="7"/>
  <c r="M21" i="7"/>
  <c r="M533" i="7"/>
  <c r="M532" i="7"/>
  <c r="M425" i="7"/>
  <c r="M422" i="7"/>
  <c r="M551" i="7"/>
  <c r="M441" i="7"/>
  <c r="M637" i="7"/>
  <c r="M554" i="7"/>
  <c r="M191" i="7"/>
  <c r="M212" i="7"/>
  <c r="M211" i="7"/>
  <c r="M187" i="7"/>
  <c r="J83" i="7"/>
  <c r="J9" i="7"/>
  <c r="J21" i="7"/>
  <c r="J8" i="7"/>
  <c r="J533" i="7"/>
  <c r="J555" i="7"/>
  <c r="J425" i="7"/>
  <c r="J422" i="7"/>
  <c r="J551" i="7"/>
  <c r="J441" i="7"/>
  <c r="J637" i="7"/>
  <c r="J554" i="7"/>
  <c r="J211" i="7"/>
  <c r="J209" i="7"/>
  <c r="J191" i="7"/>
  <c r="J212" i="7"/>
  <c r="J187" i="7"/>
  <c r="S4" i="16" l="1"/>
  <c r="S5" i="16"/>
  <c r="S6" i="16"/>
  <c r="S7" i="16"/>
  <c r="S8" i="16"/>
  <c r="S9" i="16"/>
  <c r="S10" i="16"/>
  <c r="S11" i="16"/>
  <c r="S12" i="16"/>
  <c r="S13" i="16"/>
  <c r="S14" i="16"/>
  <c r="S15" i="16"/>
  <c r="S16" i="16"/>
  <c r="S17" i="16"/>
  <c r="S18" i="16"/>
  <c r="S19" i="16"/>
  <c r="S20" i="16"/>
  <c r="S21" i="16"/>
  <c r="S22" i="16"/>
  <c r="S23" i="16"/>
  <c r="S24" i="16"/>
  <c r="S25" i="16"/>
  <c r="S26" i="16"/>
  <c r="S27" i="16"/>
  <c r="S28" i="16"/>
  <c r="S29" i="16"/>
  <c r="S30" i="16"/>
  <c r="S31" i="16"/>
  <c r="S32" i="16"/>
  <c r="S33" i="16"/>
  <c r="S34" i="16"/>
  <c r="S35" i="16"/>
  <c r="S36" i="16"/>
  <c r="S37" i="16"/>
  <c r="S38" i="16"/>
  <c r="S39" i="16"/>
  <c r="S40" i="16"/>
  <c r="S41" i="16"/>
  <c r="S42" i="16"/>
  <c r="S43" i="16"/>
  <c r="S44" i="16"/>
  <c r="S45" i="16"/>
  <c r="S46" i="16"/>
  <c r="S47" i="16"/>
  <c r="S48" i="16"/>
  <c r="S49" i="16"/>
  <c r="S50" i="16"/>
  <c r="S51" i="16"/>
  <c r="S52" i="16"/>
  <c r="S53" i="16"/>
  <c r="S54" i="16"/>
  <c r="S55" i="16"/>
  <c r="S56" i="16"/>
  <c r="S57" i="16"/>
  <c r="S58" i="16"/>
  <c r="S59" i="16"/>
  <c r="S60" i="16"/>
  <c r="S61" i="16"/>
  <c r="S62" i="16"/>
  <c r="S63" i="16"/>
  <c r="S64" i="16"/>
  <c r="S65" i="16"/>
  <c r="S66" i="16"/>
  <c r="S67" i="16"/>
  <c r="S68" i="16"/>
  <c r="S3" i="16"/>
  <c r="M573" i="7" l="1"/>
  <c r="J573" i="7"/>
  <c r="M547" i="7"/>
  <c r="J547" i="7"/>
  <c r="M627" i="7"/>
  <c r="J627" i="7"/>
  <c r="M626" i="7"/>
  <c r="J626" i="7"/>
  <c r="M565" i="7"/>
  <c r="J565" i="7"/>
  <c r="M63" i="7"/>
  <c r="J63" i="7"/>
  <c r="M426" i="7"/>
  <c r="J426" i="7"/>
  <c r="M433" i="7"/>
  <c r="J433" i="7"/>
  <c r="M414" i="7"/>
  <c r="J414" i="7"/>
  <c r="M344" i="7"/>
  <c r="J344" i="7"/>
  <c r="M297" i="7"/>
  <c r="J297" i="7"/>
  <c r="M278" i="7"/>
  <c r="J278" i="7"/>
  <c r="M265" i="7"/>
  <c r="J265" i="7"/>
  <c r="M256" i="7"/>
  <c r="J256" i="7"/>
  <c r="M233" i="7"/>
  <c r="J233" i="7"/>
  <c r="M240" i="7"/>
  <c r="J240" i="7"/>
  <c r="M251" i="7" l="1"/>
  <c r="J221" i="7" l="1"/>
  <c r="M50" i="17" l="1"/>
  <c r="J50" i="17"/>
  <c r="M49" i="17" l="1"/>
  <c r="J49" i="17"/>
  <c r="J630" i="7" l="1"/>
  <c r="J81" i="7" l="1"/>
  <c r="J78" i="7"/>
  <c r="M8" i="7" l="1"/>
  <c r="M479" i="7"/>
  <c r="J479" i="7"/>
  <c r="M631" i="7"/>
  <c r="J631" i="7"/>
  <c r="M625" i="7"/>
  <c r="J625" i="7"/>
  <c r="M576" i="7"/>
  <c r="J576" i="7"/>
  <c r="M575" i="7"/>
  <c r="J575" i="7"/>
  <c r="M564" i="7"/>
  <c r="J564" i="7"/>
  <c r="M563" i="7"/>
  <c r="J563" i="7"/>
  <c r="M62" i="7"/>
  <c r="J62" i="7"/>
  <c r="M61" i="7"/>
  <c r="J61" i="7"/>
  <c r="M448" i="7"/>
  <c r="J448" i="7"/>
  <c r="M432" i="7"/>
  <c r="J432" i="7"/>
  <c r="M431" i="7"/>
  <c r="J431" i="7"/>
  <c r="M446" i="7"/>
  <c r="J446" i="7"/>
  <c r="M386" i="7"/>
  <c r="J386" i="7"/>
  <c r="M357" i="7"/>
  <c r="J357" i="7"/>
  <c r="M353" i="7"/>
  <c r="J353" i="7"/>
  <c r="M277" i="7"/>
  <c r="J277" i="7"/>
  <c r="M276" i="7"/>
  <c r="J276" i="7"/>
  <c r="M268" i="7"/>
  <c r="J268" i="7"/>
  <c r="M267" i="7"/>
  <c r="J267" i="7"/>
  <c r="M255" i="7"/>
  <c r="J255" i="7"/>
  <c r="M253" i="7"/>
  <c r="J253" i="7"/>
  <c r="J222" i="7"/>
  <c r="J622" i="7"/>
  <c r="J338" i="7" l="1"/>
  <c r="J329" i="7"/>
  <c r="J384" i="7"/>
  <c r="J280" i="7"/>
  <c r="J251" i="7"/>
  <c r="J453" i="7" l="1"/>
  <c r="J612" i="7" l="1"/>
  <c r="M612" i="7"/>
  <c r="M215" i="7"/>
  <c r="M82" i="7"/>
  <c r="J82" i="7"/>
  <c r="M417" i="7"/>
  <c r="J417" i="7"/>
  <c r="M484" i="7"/>
  <c r="J484" i="7"/>
  <c r="M539" i="7"/>
  <c r="J539" i="7"/>
  <c r="M219" i="7"/>
  <c r="J219" i="7"/>
  <c r="M427" i="7"/>
  <c r="J427" i="7"/>
  <c r="J444" i="7"/>
  <c r="M555" i="7"/>
  <c r="M540" i="7"/>
  <c r="J540" i="7"/>
  <c r="M199" i="7"/>
  <c r="J199" i="7"/>
  <c r="M553" i="7"/>
  <c r="J553" i="7"/>
  <c r="M542" i="7"/>
  <c r="J542" i="7"/>
  <c r="M460" i="7"/>
  <c r="J460" i="7"/>
  <c r="M54" i="7"/>
  <c r="J54" i="7"/>
  <c r="M457" i="7"/>
  <c r="J457" i="7"/>
  <c r="J456" i="7"/>
  <c r="M556" i="7"/>
  <c r="J556" i="7"/>
  <c r="M549" i="7"/>
  <c r="J549" i="7"/>
  <c r="M560" i="7"/>
  <c r="J560" i="7"/>
  <c r="M558" i="7"/>
  <c r="J558" i="7"/>
  <c r="M643" i="7"/>
  <c r="J643" i="7"/>
  <c r="M458" i="7"/>
  <c r="J458" i="7"/>
  <c r="M636" i="7"/>
  <c r="J636" i="7"/>
  <c r="M633" i="7"/>
  <c r="J633" i="7"/>
  <c r="M461" i="7"/>
  <c r="J461" i="7"/>
  <c r="M413" i="7"/>
  <c r="J413" i="7"/>
  <c r="M455" i="7"/>
  <c r="J455" i="7"/>
  <c r="M642" i="7"/>
  <c r="J642" i="7"/>
  <c r="M632" i="7"/>
  <c r="J632" i="7"/>
  <c r="M559" i="7"/>
  <c r="J559" i="7"/>
  <c r="M641" i="7"/>
  <c r="J641" i="7"/>
  <c r="M546" i="7"/>
  <c r="J546" i="7"/>
  <c r="M634" i="7"/>
  <c r="J634" i="7"/>
  <c r="M561" i="7"/>
  <c r="J561" i="7"/>
  <c r="M416" i="7"/>
  <c r="J416" i="7"/>
  <c r="M640" i="7"/>
  <c r="J640" i="7"/>
  <c r="M639" i="7"/>
  <c r="J639" i="7"/>
  <c r="M545" i="7"/>
  <c r="J545" i="7"/>
  <c r="M419" i="7"/>
  <c r="J419" i="7"/>
  <c r="M645" i="7"/>
  <c r="J645" i="7"/>
  <c r="M415" i="7"/>
  <c r="J415" i="7"/>
  <c r="M445" i="7"/>
  <c r="J445" i="7"/>
  <c r="M538" i="7"/>
  <c r="J538" i="7"/>
  <c r="M536" i="7"/>
  <c r="J536" i="7"/>
  <c r="M442" i="7"/>
  <c r="J442" i="7"/>
  <c r="M203" i="7"/>
  <c r="J203" i="7"/>
  <c r="M198" i="7"/>
  <c r="J198" i="7"/>
  <c r="M429" i="7"/>
  <c r="J429" i="7"/>
  <c r="M421" i="7"/>
  <c r="M544" i="7"/>
  <c r="J544" i="7"/>
  <c r="M535" i="7"/>
  <c r="J535" i="7"/>
  <c r="J635" i="7"/>
  <c r="M635" i="7"/>
  <c r="M420" i="7"/>
  <c r="M646" i="7"/>
  <c r="M644" i="7"/>
  <c r="M638" i="7"/>
  <c r="M189" i="7"/>
  <c r="M186" i="7"/>
  <c r="J646" i="7"/>
  <c r="J644" i="7"/>
  <c r="J638" i="7"/>
  <c r="J189" i="7"/>
  <c r="J186" i="7"/>
  <c r="M326" i="7" l="1"/>
  <c r="J326" i="7"/>
  <c r="M325" i="7"/>
  <c r="J325" i="7"/>
  <c r="M324" i="7"/>
  <c r="J324" i="7"/>
  <c r="J323" i="7"/>
  <c r="J322" i="7"/>
  <c r="J318" i="7"/>
  <c r="J319" i="7"/>
  <c r="J317" i="7"/>
  <c r="M23" i="7" l="1"/>
  <c r="M14" i="7"/>
  <c r="M13" i="7"/>
  <c r="M12" i="7"/>
  <c r="M11" i="7"/>
  <c r="J12" i="7"/>
  <c r="J13" i="7"/>
  <c r="J14" i="7"/>
  <c r="J11" i="7"/>
  <c r="J23" i="7"/>
  <c r="C1" i="7" l="1"/>
  <c r="M184" i="7" l="1"/>
  <c r="J281" i="7" l="1"/>
  <c r="M281" i="7"/>
  <c r="J86" i="7" l="1"/>
  <c r="J624" i="7"/>
  <c r="M22" i="7" l="1"/>
  <c r="M4" i="7" l="1"/>
  <c r="M463" i="7"/>
  <c r="M462" i="7"/>
  <c r="M89" i="7"/>
  <c r="M6" i="7"/>
  <c r="M26" i="7"/>
  <c r="M25" i="7"/>
  <c r="M24" i="7"/>
  <c r="M16" i="7"/>
  <c r="M15" i="7"/>
  <c r="M467" i="7"/>
  <c r="M466" i="7"/>
  <c r="M465" i="7"/>
  <c r="M518" i="7"/>
  <c r="M118" i="7"/>
  <c r="M444" i="7"/>
  <c r="M611" i="7"/>
  <c r="M596" i="7"/>
  <c r="M56" i="7"/>
  <c r="M505" i="7"/>
  <c r="M504" i="7"/>
  <c r="M503" i="7"/>
  <c r="M502" i="7"/>
  <c r="M501" i="7"/>
  <c r="M500" i="7"/>
  <c r="M491" i="7"/>
  <c r="M490" i="7"/>
  <c r="M489" i="7"/>
  <c r="M488" i="7"/>
  <c r="M487" i="7"/>
  <c r="M494" i="7"/>
  <c r="M493" i="7"/>
  <c r="M492" i="7"/>
  <c r="M610" i="7"/>
  <c r="M609" i="7"/>
  <c r="M595" i="7"/>
  <c r="M608" i="7"/>
  <c r="M607" i="7"/>
  <c r="M606" i="7"/>
  <c r="M605" i="7"/>
  <c r="M604" i="7"/>
  <c r="M603" i="7"/>
  <c r="M602" i="7"/>
  <c r="M594" i="7"/>
  <c r="M601" i="7"/>
  <c r="M593" i="7"/>
  <c r="M599" i="7"/>
  <c r="M598" i="7"/>
  <c r="M597" i="7"/>
  <c r="M452" i="7"/>
  <c r="M451" i="7"/>
  <c r="M450" i="7"/>
  <c r="M459" i="7"/>
  <c r="M382" i="7"/>
  <c r="M381" i="7"/>
  <c r="M380" i="7"/>
  <c r="M379" i="7"/>
  <c r="M378" i="7"/>
  <c r="M377" i="7"/>
  <c r="M376" i="7"/>
  <c r="M375" i="7"/>
  <c r="M374" i="7"/>
  <c r="M373" i="7"/>
  <c r="M372" i="7"/>
  <c r="M371" i="7"/>
  <c r="M370" i="7"/>
  <c r="M369" i="7"/>
  <c r="M368" i="7"/>
  <c r="M365" i="7"/>
  <c r="M367" i="7"/>
  <c r="M366" i="7"/>
  <c r="M59" i="7"/>
  <c r="M58" i="7"/>
  <c r="M498" i="7"/>
  <c r="M497" i="7"/>
  <c r="M496" i="7"/>
  <c r="M53" i="7"/>
  <c r="M52" i="7"/>
  <c r="M50" i="7"/>
  <c r="M51" i="7"/>
  <c r="M397" i="7"/>
  <c r="M396" i="7"/>
  <c r="M485" i="7"/>
  <c r="M399" i="7"/>
  <c r="M404" i="7"/>
  <c r="M403" i="7"/>
  <c r="M405" i="7"/>
  <c r="M409" i="7"/>
  <c r="M408" i="7"/>
  <c r="M406" i="7"/>
  <c r="M407" i="7"/>
  <c r="M402" i="7"/>
  <c r="M401" i="7"/>
  <c r="M400" i="7"/>
  <c r="M394" i="7"/>
  <c r="M393" i="7"/>
  <c r="M508" i="7"/>
  <c r="M531" i="7"/>
  <c r="M530" i="7"/>
  <c r="M528" i="7"/>
  <c r="M513" i="7"/>
  <c r="M527" i="7"/>
  <c r="M526" i="7"/>
  <c r="M522" i="7"/>
  <c r="M524" i="7"/>
  <c r="M521" i="7"/>
  <c r="M520" i="7"/>
  <c r="M519" i="7"/>
  <c r="M517" i="7"/>
  <c r="M523" i="7"/>
  <c r="M516" i="7"/>
  <c r="M509" i="7"/>
  <c r="M515" i="7"/>
  <c r="M514" i="7"/>
  <c r="M512" i="7"/>
  <c r="M511" i="7"/>
  <c r="M510" i="7"/>
  <c r="M529" i="7"/>
  <c r="M507" i="7"/>
  <c r="M506" i="7"/>
  <c r="M525" i="7"/>
  <c r="M75" i="7"/>
  <c r="M74" i="7"/>
  <c r="M392" i="7"/>
  <c r="M17" i="7"/>
  <c r="M205" i="7"/>
  <c r="M180" i="7"/>
  <c r="M208" i="7"/>
  <c r="M181" i="7"/>
  <c r="M133" i="7"/>
  <c r="M132" i="7"/>
  <c r="M110" i="7"/>
  <c r="M178" i="7"/>
  <c r="M177" i="7"/>
  <c r="M134" i="7"/>
  <c r="M176" i="7"/>
  <c r="M175" i="7"/>
  <c r="M174" i="7"/>
  <c r="M131" i="7"/>
  <c r="M173" i="7"/>
  <c r="M172" i="7"/>
  <c r="M171" i="7"/>
  <c r="M117" i="7"/>
  <c r="M129" i="7"/>
  <c r="M100" i="7"/>
  <c r="M18" i="7"/>
  <c r="M170" i="7"/>
  <c r="M93" i="7"/>
  <c r="M169" i="7"/>
  <c r="M30" i="7"/>
  <c r="M167" i="7"/>
  <c r="M166" i="7"/>
  <c r="M138" i="7"/>
  <c r="M165" i="7"/>
  <c r="M7" i="7"/>
  <c r="M102" i="7"/>
  <c r="M164" i="7"/>
  <c r="M130" i="7"/>
  <c r="M128" i="7"/>
  <c r="M163" i="7"/>
  <c r="M162" i="7"/>
  <c r="M116" i="7"/>
  <c r="M127" i="7"/>
  <c r="M107" i="7"/>
  <c r="M126" i="7"/>
  <c r="M113" i="7"/>
  <c r="M125" i="7"/>
  <c r="M161" i="7"/>
  <c r="M160" i="7"/>
  <c r="M159" i="7"/>
  <c r="M158" i="7"/>
  <c r="M115" i="7"/>
  <c r="M106" i="7"/>
  <c r="M101" i="7"/>
  <c r="M157" i="7"/>
  <c r="M136" i="7"/>
  <c r="M156" i="7"/>
  <c r="M124" i="7"/>
  <c r="M135" i="7"/>
  <c r="M155" i="7"/>
  <c r="M154" i="7"/>
  <c r="M137" i="7"/>
  <c r="M123" i="7"/>
  <c r="M122" i="7"/>
  <c r="M153" i="7"/>
  <c r="M152" i="7"/>
  <c r="M95" i="7"/>
  <c r="M34" i="7"/>
  <c r="M33" i="7"/>
  <c r="M32" i="7"/>
  <c r="M31" i="7"/>
  <c r="M29" i="7"/>
  <c r="M28" i="7"/>
  <c r="M27" i="7"/>
  <c r="M5" i="7"/>
  <c r="M84" i="7"/>
  <c r="M85" i="7"/>
  <c r="M94" i="7"/>
  <c r="M139" i="7"/>
  <c r="M96" i="7"/>
  <c r="M99" i="7"/>
  <c r="M98" i="7"/>
  <c r="M92" i="7"/>
  <c r="M151" i="7"/>
  <c r="M35" i="7"/>
  <c r="M49" i="7"/>
  <c r="M48" i="7"/>
  <c r="M47" i="7"/>
  <c r="M46" i="7"/>
  <c r="M45" i="7"/>
  <c r="M44" i="7"/>
  <c r="M43" i="7"/>
  <c r="M42" i="7"/>
  <c r="M41" i="7"/>
  <c r="M40" i="7"/>
  <c r="M39" i="7"/>
  <c r="M38" i="7"/>
  <c r="M150" i="7"/>
  <c r="M112" i="7"/>
  <c r="M105" i="7"/>
  <c r="M121" i="7"/>
  <c r="M149" i="7"/>
  <c r="M91" i="7"/>
  <c r="M120" i="7"/>
  <c r="M148" i="7"/>
  <c r="M104" i="7"/>
  <c r="M109" i="7"/>
  <c r="M147" i="7"/>
  <c r="M146" i="7"/>
  <c r="M145" i="7"/>
  <c r="M144" i="7"/>
  <c r="M111" i="7"/>
  <c r="M143" i="7"/>
  <c r="M142" i="7"/>
  <c r="M90" i="7"/>
  <c r="M97" i="7"/>
  <c r="M19" i="7"/>
  <c r="M141" i="7"/>
  <c r="M140" i="7"/>
  <c r="M499" i="7"/>
  <c r="M168" i="7"/>
  <c r="M103" i="7"/>
  <c r="M119" i="7"/>
  <c r="M114" i="7"/>
  <c r="M88" i="7"/>
  <c r="M87" i="7"/>
  <c r="M37" i="7"/>
  <c r="M86" i="7"/>
  <c r="M36" i="7"/>
  <c r="J4" i="7"/>
  <c r="J463" i="7"/>
  <c r="J462" i="7"/>
  <c r="J89" i="7"/>
  <c r="J6" i="7"/>
  <c r="J26" i="7"/>
  <c r="J25" i="7"/>
  <c r="J24" i="7"/>
  <c r="J16" i="7"/>
  <c r="J15" i="7"/>
  <c r="J22" i="7"/>
  <c r="J467" i="7"/>
  <c r="J466" i="7"/>
  <c r="J465" i="7"/>
  <c r="J518" i="7"/>
  <c r="J118" i="7"/>
  <c r="J443" i="7"/>
  <c r="J412" i="7"/>
  <c r="J421" i="7"/>
  <c r="J548" i="7"/>
  <c r="J537" i="7"/>
  <c r="J611" i="7"/>
  <c r="J596" i="7"/>
  <c r="J56" i="7"/>
  <c r="J420" i="7"/>
  <c r="J505" i="7"/>
  <c r="J504" i="7"/>
  <c r="J503" i="7"/>
  <c r="J502" i="7"/>
  <c r="J501" i="7"/>
  <c r="J500" i="7"/>
  <c r="J491" i="7"/>
  <c r="J490" i="7"/>
  <c r="J489" i="7"/>
  <c r="J488" i="7"/>
  <c r="J487" i="7"/>
  <c r="J494" i="7"/>
  <c r="J493" i="7"/>
  <c r="J492" i="7"/>
  <c r="J610" i="7"/>
  <c r="J609" i="7"/>
  <c r="J595" i="7"/>
  <c r="J608" i="7"/>
  <c r="J607" i="7"/>
  <c r="J606" i="7"/>
  <c r="J605" i="7"/>
  <c r="J604" i="7"/>
  <c r="J603" i="7"/>
  <c r="J602" i="7"/>
  <c r="J594" i="7"/>
  <c r="J601" i="7"/>
  <c r="J593" i="7"/>
  <c r="J599" i="7"/>
  <c r="J598" i="7"/>
  <c r="J597" i="7"/>
  <c r="J452" i="7"/>
  <c r="J451" i="7"/>
  <c r="J450" i="7"/>
  <c r="J459" i="7"/>
  <c r="J382" i="7"/>
  <c r="J381" i="7"/>
  <c r="J380" i="7"/>
  <c r="J379" i="7"/>
  <c r="J378" i="7"/>
  <c r="J377" i="7"/>
  <c r="J376" i="7"/>
  <c r="J375" i="7"/>
  <c r="J374" i="7"/>
  <c r="J373" i="7"/>
  <c r="J372" i="7"/>
  <c r="J371" i="7"/>
  <c r="J370" i="7"/>
  <c r="J369" i="7"/>
  <c r="J368" i="7"/>
  <c r="J365" i="7"/>
  <c r="J367" i="7"/>
  <c r="J366" i="7"/>
  <c r="J59" i="7"/>
  <c r="J58" i="7"/>
  <c r="J498" i="7"/>
  <c r="J497" i="7"/>
  <c r="J496" i="7"/>
  <c r="J53" i="7"/>
  <c r="J52" i="7"/>
  <c r="J50" i="7"/>
  <c r="J51" i="7"/>
  <c r="J397" i="7"/>
  <c r="J396" i="7"/>
  <c r="J485" i="7"/>
  <c r="J399" i="7"/>
  <c r="J404" i="7"/>
  <c r="J403" i="7"/>
  <c r="J405" i="7"/>
  <c r="J409" i="7"/>
  <c r="J408" i="7"/>
  <c r="J406" i="7"/>
  <c r="J407" i="7"/>
  <c r="J402" i="7"/>
  <c r="J401" i="7"/>
  <c r="J400" i="7"/>
  <c r="J394" i="7"/>
  <c r="J393" i="7"/>
  <c r="J508" i="7"/>
  <c r="J531" i="7"/>
  <c r="J530" i="7"/>
  <c r="J528" i="7"/>
  <c r="J513" i="7"/>
  <c r="J527" i="7"/>
  <c r="J526" i="7"/>
  <c r="J522" i="7"/>
  <c r="J524" i="7"/>
  <c r="J521" i="7"/>
  <c r="J520" i="7"/>
  <c r="J519" i="7"/>
  <c r="J517" i="7"/>
  <c r="J523" i="7"/>
  <c r="J516" i="7"/>
  <c r="J509" i="7"/>
  <c r="J515" i="7"/>
  <c r="J514" i="7"/>
  <c r="J512" i="7"/>
  <c r="J511" i="7"/>
  <c r="J510" i="7"/>
  <c r="J529" i="7"/>
  <c r="J507" i="7"/>
  <c r="J506" i="7"/>
  <c r="J525" i="7"/>
  <c r="J75" i="7"/>
  <c r="J74" i="7"/>
  <c r="J392" i="7"/>
  <c r="J184" i="7"/>
  <c r="J17" i="7"/>
  <c r="J205" i="7"/>
  <c r="J180" i="7"/>
  <c r="J208" i="7"/>
  <c r="J181" i="7"/>
  <c r="J133" i="7"/>
  <c r="J132" i="7"/>
  <c r="J110" i="7"/>
  <c r="J178" i="7"/>
  <c r="J177" i="7"/>
  <c r="J134" i="7"/>
  <c r="J176" i="7"/>
  <c r="J175" i="7"/>
  <c r="J174" i="7"/>
  <c r="J131" i="7"/>
  <c r="J173" i="7"/>
  <c r="J172" i="7"/>
  <c r="J171" i="7"/>
  <c r="J117" i="7"/>
  <c r="J129" i="7"/>
  <c r="J100" i="7"/>
  <c r="J18" i="7"/>
  <c r="J170" i="7"/>
  <c r="J93" i="7"/>
  <c r="J169" i="7"/>
  <c r="J30" i="7"/>
  <c r="J167" i="7"/>
  <c r="J166" i="7"/>
  <c r="J138" i="7"/>
  <c r="J165" i="7"/>
  <c r="J7" i="7"/>
  <c r="J102" i="7"/>
  <c r="J164" i="7"/>
  <c r="J130" i="7"/>
  <c r="J128" i="7"/>
  <c r="J163" i="7"/>
  <c r="J162" i="7"/>
  <c r="J116" i="7"/>
  <c r="J127" i="7"/>
  <c r="J107" i="7"/>
  <c r="J126" i="7"/>
  <c r="J113" i="7"/>
  <c r="J125" i="7"/>
  <c r="J161" i="7"/>
  <c r="J160" i="7"/>
  <c r="J159" i="7"/>
  <c r="J158" i="7"/>
  <c r="J115" i="7"/>
  <c r="J106" i="7"/>
  <c r="J101" i="7"/>
  <c r="J157" i="7"/>
  <c r="J136" i="7"/>
  <c r="J156" i="7"/>
  <c r="J124" i="7"/>
  <c r="J135" i="7"/>
  <c r="J155" i="7"/>
  <c r="J154" i="7"/>
  <c r="J137" i="7"/>
  <c r="J123" i="7"/>
  <c r="J122" i="7"/>
  <c r="J153" i="7"/>
  <c r="J152" i="7"/>
  <c r="J95" i="7"/>
  <c r="J34" i="7"/>
  <c r="J33" i="7"/>
  <c r="J32" i="7"/>
  <c r="J31" i="7"/>
  <c r="J29" i="7"/>
  <c r="J28" i="7"/>
  <c r="J27" i="7"/>
  <c r="J5" i="7"/>
  <c r="J84" i="7"/>
  <c r="J85" i="7"/>
  <c r="J94" i="7"/>
  <c r="J139" i="7"/>
  <c r="J96" i="7"/>
  <c r="J99" i="7"/>
  <c r="J98" i="7"/>
  <c r="J92" i="7"/>
  <c r="J151" i="7"/>
  <c r="J35" i="7"/>
  <c r="J49" i="7"/>
  <c r="J48" i="7"/>
  <c r="J47" i="7"/>
  <c r="J45" i="7"/>
  <c r="J44" i="7"/>
  <c r="J43" i="7"/>
  <c r="J42" i="7"/>
  <c r="J41" i="7"/>
  <c r="J40" i="7"/>
  <c r="J39" i="7"/>
  <c r="J38" i="7"/>
  <c r="J150" i="7"/>
  <c r="J112" i="7"/>
  <c r="J105" i="7"/>
  <c r="J121" i="7"/>
  <c r="J149" i="7"/>
  <c r="J91" i="7"/>
  <c r="J120" i="7"/>
  <c r="J148" i="7"/>
  <c r="J104" i="7"/>
  <c r="J109" i="7"/>
  <c r="J147" i="7"/>
  <c r="J146" i="7"/>
  <c r="J145" i="7"/>
  <c r="J144" i="7"/>
  <c r="J111" i="7"/>
  <c r="J143" i="7"/>
  <c r="J142" i="7"/>
  <c r="J90" i="7"/>
  <c r="J97" i="7"/>
  <c r="J19" i="7"/>
  <c r="J141" i="7"/>
  <c r="J140" i="7"/>
  <c r="J499" i="7"/>
  <c r="J168" i="7"/>
  <c r="J103" i="7"/>
  <c r="J119" i="7"/>
  <c r="J114" i="7"/>
  <c r="J88" i="7"/>
  <c r="J87" i="7"/>
  <c r="J37" i="7"/>
  <c r="J648" i="7"/>
  <c r="J647" i="7"/>
  <c r="J480" i="7"/>
  <c r="J449" i="7"/>
  <c r="J328" i="7"/>
  <c r="J327" i="7"/>
  <c r="J320" i="7"/>
  <c r="J316" i="7"/>
  <c r="J315" i="7"/>
  <c r="J314" i="7"/>
  <c r="J313" i="7"/>
  <c r="J312" i="7"/>
  <c r="J311" i="7"/>
  <c r="J310" i="7"/>
  <c r="J309" i="7"/>
  <c r="J308" i="7"/>
  <c r="J307" i="7"/>
  <c r="J306" i="7"/>
  <c r="J305" i="7"/>
  <c r="J304" i="7"/>
  <c r="J303" i="7"/>
  <c r="J302" i="7"/>
  <c r="J301" i="7"/>
  <c r="J300" i="7"/>
  <c r="J299" i="7"/>
  <c r="J298" i="7"/>
  <c r="J478" i="7"/>
  <c r="J477" i="7"/>
  <c r="J476" i="7"/>
  <c r="J475" i="7"/>
  <c r="J629" i="7"/>
  <c r="J628" i="7"/>
  <c r="J623" i="7"/>
  <c r="J621" i="7"/>
  <c r="J620" i="7"/>
  <c r="J619" i="7"/>
  <c r="J618" i="7"/>
  <c r="J617" i="7"/>
  <c r="J616" i="7"/>
  <c r="J614" i="7"/>
  <c r="J613" i="7"/>
  <c r="J592" i="7"/>
  <c r="J591" i="7"/>
  <c r="J590" i="7"/>
  <c r="J589" i="7"/>
  <c r="J588" i="7"/>
  <c r="J587" i="7"/>
  <c r="J586" i="7"/>
  <c r="J584" i="7"/>
  <c r="J583" i="7"/>
  <c r="J582" i="7"/>
  <c r="J581" i="7"/>
  <c r="J580" i="7"/>
  <c r="J578" i="7"/>
  <c r="J577" i="7"/>
  <c r="J574" i="7"/>
  <c r="J572" i="7"/>
  <c r="J571" i="7"/>
  <c r="J570" i="7"/>
  <c r="J569" i="7"/>
  <c r="J567" i="7"/>
  <c r="J566" i="7"/>
  <c r="J562" i="7"/>
  <c r="J80" i="7"/>
  <c r="J77" i="7"/>
  <c r="J76" i="7"/>
  <c r="J73" i="7"/>
  <c r="J70" i="7"/>
  <c r="J69" i="7"/>
  <c r="J66" i="7"/>
  <c r="J65" i="7"/>
  <c r="J64" i="7"/>
  <c r="J60" i="7"/>
  <c r="J447" i="7"/>
  <c r="J434" i="7"/>
  <c r="J486" i="7"/>
  <c r="J430" i="7"/>
  <c r="J391" i="7"/>
  <c r="J389" i="7"/>
  <c r="J388" i="7"/>
  <c r="J387" i="7"/>
  <c r="J385" i="7"/>
  <c r="J364" i="7"/>
  <c r="J363" i="7"/>
  <c r="J362" i="7"/>
  <c r="J361" i="7"/>
  <c r="J360" i="7"/>
  <c r="J359" i="7"/>
  <c r="J358" i="7"/>
  <c r="J356" i="7"/>
  <c r="J354" i="7"/>
  <c r="J352" i="7"/>
  <c r="J351" i="7"/>
  <c r="J350" i="7"/>
  <c r="J349" i="7"/>
  <c r="J347" i="7"/>
  <c r="J346" i="7"/>
  <c r="J345" i="7"/>
  <c r="J343" i="7"/>
  <c r="J342" i="7"/>
  <c r="J341" i="7"/>
  <c r="J340" i="7"/>
  <c r="J339" i="7"/>
  <c r="J337" i="7"/>
  <c r="J336" i="7"/>
  <c r="J334" i="7"/>
  <c r="J332" i="7"/>
  <c r="J331" i="7"/>
  <c r="J330" i="7"/>
  <c r="J296" i="7"/>
  <c r="J295" i="7"/>
  <c r="J294" i="7"/>
  <c r="J293" i="7"/>
  <c r="J292" i="7"/>
  <c r="J291" i="7"/>
  <c r="J290" i="7"/>
  <c r="J289" i="7"/>
  <c r="J288" i="7"/>
  <c r="J287" i="7"/>
  <c r="J286" i="7"/>
  <c r="J285" i="7"/>
  <c r="J284" i="7"/>
  <c r="J283" i="7"/>
  <c r="J282" i="7"/>
  <c r="J279" i="7"/>
  <c r="J275" i="7"/>
  <c r="J274" i="7"/>
  <c r="J273" i="7"/>
  <c r="J272" i="7"/>
  <c r="J271" i="7"/>
  <c r="J270" i="7"/>
  <c r="J266" i="7"/>
  <c r="J264" i="7"/>
  <c r="J263" i="7"/>
  <c r="J262" i="7"/>
  <c r="J261" i="7"/>
  <c r="J259" i="7"/>
  <c r="J258" i="7"/>
  <c r="J257" i="7"/>
  <c r="J254" i="7"/>
  <c r="J252" i="7"/>
  <c r="J250" i="7"/>
  <c r="J249" i="7"/>
  <c r="J183" i="7"/>
  <c r="J248" i="7"/>
  <c r="J247" i="7"/>
  <c r="J246" i="7"/>
  <c r="J245" i="7"/>
  <c r="J244" i="7"/>
  <c r="J243" i="7"/>
  <c r="J242" i="7"/>
  <c r="J241" i="7"/>
  <c r="J239" i="7"/>
  <c r="J238" i="7"/>
  <c r="J236" i="7"/>
  <c r="J235" i="7"/>
  <c r="J234" i="7"/>
  <c r="J231" i="7"/>
  <c r="J230" i="7"/>
  <c r="J229" i="7"/>
  <c r="J227" i="7"/>
  <c r="J226" i="7"/>
  <c r="J225" i="7"/>
  <c r="J224" i="7"/>
  <c r="J223" i="7"/>
  <c r="M648" i="7"/>
  <c r="M647" i="7"/>
  <c r="M480" i="7"/>
  <c r="M449" i="7"/>
  <c r="M328" i="7"/>
  <c r="M327" i="7"/>
  <c r="M323" i="7"/>
  <c r="M322" i="7"/>
  <c r="M320" i="7"/>
  <c r="M319" i="7"/>
  <c r="M318" i="7"/>
  <c r="M317" i="7"/>
  <c r="M316" i="7"/>
  <c r="M315" i="7"/>
  <c r="M314" i="7"/>
  <c r="M313" i="7"/>
  <c r="M312" i="7"/>
  <c r="M311" i="7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478" i="7"/>
  <c r="M477" i="7"/>
  <c r="M476" i="7"/>
  <c r="M475" i="7"/>
  <c r="M629" i="7"/>
  <c r="M628" i="7"/>
  <c r="M624" i="7"/>
  <c r="M623" i="7"/>
  <c r="M622" i="7"/>
  <c r="M621" i="7"/>
  <c r="M620" i="7"/>
  <c r="M619" i="7"/>
  <c r="M618" i="7"/>
  <c r="M617" i="7"/>
  <c r="M616" i="7"/>
  <c r="M614" i="7"/>
  <c r="M613" i="7"/>
  <c r="M592" i="7"/>
  <c r="M591" i="7"/>
  <c r="M590" i="7"/>
  <c r="M589" i="7"/>
  <c r="M588" i="7"/>
  <c r="M587" i="7"/>
  <c r="M586" i="7"/>
  <c r="M584" i="7"/>
  <c r="M583" i="7"/>
  <c r="M582" i="7"/>
  <c r="M581" i="7"/>
  <c r="M580" i="7"/>
  <c r="M578" i="7"/>
  <c r="M577" i="7"/>
  <c r="M574" i="7"/>
  <c r="M572" i="7"/>
  <c r="M571" i="7"/>
  <c r="M570" i="7"/>
  <c r="M569" i="7"/>
  <c r="M567" i="7"/>
  <c r="M566" i="7"/>
  <c r="M562" i="7"/>
  <c r="M81" i="7"/>
  <c r="M80" i="7"/>
  <c r="M78" i="7"/>
  <c r="M77" i="7"/>
  <c r="M76" i="7"/>
  <c r="M73" i="7"/>
  <c r="M71" i="7"/>
  <c r="M70" i="7"/>
  <c r="M69" i="7"/>
  <c r="M68" i="7"/>
  <c r="M66" i="7"/>
  <c r="M65" i="7"/>
  <c r="M64" i="7"/>
  <c r="M60" i="7"/>
  <c r="M440" i="7"/>
  <c r="M447" i="7"/>
  <c r="M439" i="7"/>
  <c r="M435" i="7"/>
  <c r="M434" i="7"/>
  <c r="M486" i="7"/>
  <c r="M430" i="7"/>
  <c r="M391" i="7"/>
  <c r="M390" i="7"/>
  <c r="M383" i="7"/>
  <c r="M389" i="7"/>
  <c r="M388" i="7"/>
  <c r="M387" i="7"/>
  <c r="M384" i="7"/>
  <c r="M385" i="7"/>
  <c r="M364" i="7"/>
  <c r="M363" i="7"/>
  <c r="M362" i="7"/>
  <c r="M361" i="7"/>
  <c r="M360" i="7"/>
  <c r="M359" i="7"/>
  <c r="M358" i="7"/>
  <c r="M356" i="7"/>
  <c r="M354" i="7"/>
  <c r="M352" i="7"/>
  <c r="M351" i="7"/>
  <c r="M350" i="7"/>
  <c r="M349" i="7"/>
  <c r="M348" i="7"/>
  <c r="M347" i="7"/>
  <c r="M346" i="7"/>
  <c r="M345" i="7"/>
  <c r="M343" i="7"/>
  <c r="M342" i="7"/>
  <c r="M341" i="7"/>
  <c r="M340" i="7"/>
  <c r="M339" i="7"/>
  <c r="M338" i="7"/>
  <c r="M337" i="7"/>
  <c r="M336" i="7"/>
  <c r="M334" i="7"/>
  <c r="M333" i="7"/>
  <c r="M332" i="7"/>
  <c r="M331" i="7"/>
  <c r="M330" i="7"/>
  <c r="M329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0" i="7"/>
  <c r="M279" i="7"/>
  <c r="M275" i="7"/>
  <c r="M274" i="7"/>
  <c r="M273" i="7"/>
  <c r="M272" i="7"/>
  <c r="M271" i="7"/>
  <c r="M270" i="7"/>
  <c r="M266" i="7"/>
  <c r="M264" i="7"/>
  <c r="M263" i="7"/>
  <c r="M262" i="7"/>
  <c r="M261" i="7"/>
  <c r="M259" i="7"/>
  <c r="M258" i="7"/>
  <c r="M257" i="7"/>
  <c r="M254" i="7"/>
  <c r="M252" i="7"/>
  <c r="M250" i="7"/>
  <c r="M249" i="7"/>
  <c r="M183" i="7"/>
  <c r="M248" i="7"/>
  <c r="M247" i="7"/>
  <c r="M246" i="7"/>
  <c r="M245" i="7"/>
  <c r="M244" i="7"/>
  <c r="M243" i="7"/>
  <c r="M242" i="7"/>
  <c r="M241" i="7"/>
  <c r="M239" i="7"/>
  <c r="M238" i="7"/>
  <c r="M237" i="7"/>
  <c r="M236" i="7"/>
  <c r="M235" i="7"/>
  <c r="M234" i="7"/>
  <c r="M231" i="7"/>
  <c r="M230" i="7"/>
  <c r="M229" i="7"/>
  <c r="M228" i="7"/>
  <c r="M227" i="7"/>
  <c r="M226" i="7"/>
  <c r="M225" i="7"/>
  <c r="M224" i="7"/>
  <c r="M223" i="7"/>
  <c r="M222" i="7"/>
</calcChain>
</file>

<file path=xl/comments1.xml><?xml version="1.0" encoding="utf-8"?>
<comments xmlns="http://schemas.openxmlformats.org/spreadsheetml/2006/main">
  <authors>
    <author>DWI LESTARI</author>
  </authors>
  <commentList>
    <comment ref="N8" authorId="0" shapeId="0">
      <text>
        <r>
          <rPr>
            <b/>
            <sz val="9"/>
            <color indexed="81"/>
            <rFont val="Tahoma"/>
            <family val="2"/>
          </rPr>
          <t>DWI LESTARI:</t>
        </r>
        <r>
          <rPr>
            <sz val="9"/>
            <color indexed="81"/>
            <rFont val="Tahoma"/>
            <family val="2"/>
          </rPr>
          <t xml:space="preserve">
sudah diikutkan tanggal 29 juli 2024 tidak lulus</t>
        </r>
      </text>
    </comment>
    <comment ref="N23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O23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P23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O140" authorId="0" shapeId="0">
      <text>
        <r>
          <rPr>
            <sz val="9"/>
            <color indexed="81"/>
            <rFont val="Tahoma"/>
            <family val="2"/>
          </rPr>
          <t xml:space="preserve">RECURRENT
</t>
        </r>
      </text>
    </comment>
    <comment ref="O152" authorId="0" shapeId="0">
      <text>
        <r>
          <rPr>
            <sz val="9"/>
            <color indexed="81"/>
            <rFont val="Tahoma"/>
            <family val="2"/>
          </rPr>
          <t xml:space="preserve">RECURRENT
</t>
        </r>
      </text>
    </comment>
    <comment ref="O170" authorId="0" shapeId="0">
      <text>
        <r>
          <rPr>
            <sz val="9"/>
            <color indexed="81"/>
            <rFont val="Tahoma"/>
            <family val="2"/>
          </rPr>
          <t xml:space="preserve">RECURRENT
</t>
        </r>
      </text>
    </comment>
    <comment ref="O198" authorId="0" shapeId="0">
      <text>
        <r>
          <rPr>
            <sz val="9"/>
            <color indexed="81"/>
            <rFont val="Tahoma"/>
            <family val="2"/>
          </rPr>
          <t xml:space="preserve">pernah ikut training 11desember tidak lulus
</t>
        </r>
      </text>
    </comment>
    <comment ref="P260" authorId="0" shapeId="0">
      <text>
        <r>
          <rPr>
            <sz val="9"/>
            <color indexed="81"/>
            <rFont val="Tahoma"/>
            <family val="2"/>
          </rPr>
          <t xml:space="preserve">tidaj lulus ujian 
</t>
        </r>
      </text>
    </comment>
    <comment ref="O284" authorId="0" shapeId="0">
      <text>
        <r>
          <rPr>
            <b/>
            <sz val="9"/>
            <color indexed="81"/>
            <rFont val="Tahoma"/>
            <family val="2"/>
          </rPr>
          <t>DWI LESTARI:</t>
        </r>
        <r>
          <rPr>
            <sz val="9"/>
            <color indexed="81"/>
            <rFont val="Tahoma"/>
            <family val="2"/>
          </rPr>
          <t xml:space="preserve">
sudah dijawalkan 19may 2026 tidak lulus</t>
        </r>
      </text>
    </comment>
    <comment ref="P287" authorId="0" shapeId="0">
      <text>
        <r>
          <rPr>
            <sz val="9"/>
            <color indexed="81"/>
            <rFont val="Tahoma"/>
            <family val="2"/>
          </rPr>
          <t xml:space="preserve">sudah didaftarkan tgl 23 julli 2025
</t>
        </r>
      </text>
    </comment>
    <comment ref="N298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O298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P298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N299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O299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P299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N300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O300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P300" authorId="0" shapeId="0">
      <text>
        <r>
          <rPr>
            <sz val="9"/>
            <color indexed="81"/>
            <rFont val="Tahoma"/>
            <family val="2"/>
          </rPr>
          <t xml:space="preserve">
sudah dijadwalkan recurrent tidak lulus 
</t>
        </r>
      </text>
    </comment>
    <comment ref="N301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O301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P301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N302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O302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P302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N303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O303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P303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N304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O304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P304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N305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O305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P305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N306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O306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P306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N307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O307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P307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N308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O308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P308" authorId="0" shapeId="0">
      <text>
        <r>
          <rPr>
            <b/>
            <sz val="9"/>
            <color indexed="81"/>
            <rFont val="Tahoma"/>
            <family val="2"/>
          </rPr>
          <t>SUDAH IKUT RECURRENT 02-08 JULI 2026 TIDAK LULUS</t>
        </r>
      </text>
    </comment>
    <comment ref="N309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O309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P309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N310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O310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P310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N311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O311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P311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N312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O312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P312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N313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O313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P313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N314" authorId="0" shapeId="0">
      <text>
        <r>
          <rPr>
            <sz val="9"/>
            <color indexed="81"/>
            <rFont val="Tahoma"/>
            <family val="2"/>
          </rPr>
          <t xml:space="preserve">RECURRENT
</t>
        </r>
      </text>
    </comment>
    <comment ref="O314" authorId="0" shapeId="0">
      <text>
        <r>
          <rPr>
            <sz val="9"/>
            <color indexed="81"/>
            <rFont val="Tahoma"/>
            <family val="2"/>
          </rPr>
          <t xml:space="preserve">RECURRENT
</t>
        </r>
      </text>
    </comment>
    <comment ref="N315" authorId="0" shapeId="0">
      <text>
        <r>
          <rPr>
            <sz val="9"/>
            <color indexed="81"/>
            <rFont val="Tahoma"/>
            <family val="2"/>
          </rPr>
          <t xml:space="preserve">RECURRENT 
</t>
        </r>
      </text>
    </comment>
    <comment ref="O315" authorId="0" shapeId="0">
      <text>
        <r>
          <rPr>
            <sz val="9"/>
            <color indexed="81"/>
            <rFont val="Tahoma"/>
            <family val="2"/>
          </rPr>
          <t xml:space="preserve">RECURRENT 
</t>
        </r>
      </text>
    </comment>
    <comment ref="P315" authorId="0" shapeId="0">
      <text>
        <r>
          <rPr>
            <sz val="9"/>
            <color indexed="81"/>
            <rFont val="Tahoma"/>
            <family val="2"/>
          </rPr>
          <t xml:space="preserve">RECURRENT 
</t>
        </r>
      </text>
    </comment>
    <comment ref="P316" authorId="0" shapeId="0">
      <text>
        <r>
          <rPr>
            <sz val="9"/>
            <color indexed="81"/>
            <rFont val="Tahoma"/>
            <family val="2"/>
          </rPr>
          <t xml:space="preserve">recurrent 
</t>
        </r>
      </text>
    </comment>
    <comment ref="O317" authorId="0" shapeId="0">
      <text>
        <r>
          <rPr>
            <sz val="9"/>
            <color indexed="81"/>
            <rFont val="Tahoma"/>
            <family val="2"/>
          </rPr>
          <t xml:space="preserve">RECURRENT
</t>
        </r>
      </text>
    </comment>
    <comment ref="P317" authorId="0" shapeId="0">
      <text>
        <r>
          <rPr>
            <sz val="9"/>
            <color indexed="81"/>
            <rFont val="Tahoma"/>
            <family val="2"/>
          </rPr>
          <t xml:space="preserve">RECURRENT
</t>
        </r>
      </text>
    </comment>
    <comment ref="P318" authorId="0" shapeId="0">
      <text>
        <r>
          <rPr>
            <sz val="9"/>
            <color indexed="81"/>
            <rFont val="Tahoma"/>
            <family val="2"/>
          </rPr>
          <t xml:space="preserve">RECURREN
</t>
        </r>
      </text>
    </comment>
    <comment ref="O319" authorId="0" shapeId="0">
      <text>
        <r>
          <rPr>
            <sz val="9"/>
            <color indexed="81"/>
            <rFont val="Tahoma"/>
            <family val="2"/>
          </rPr>
          <t xml:space="preserve">RECURRENT
</t>
        </r>
      </text>
    </comment>
    <comment ref="P319" authorId="0" shapeId="0">
      <text>
        <r>
          <rPr>
            <sz val="9"/>
            <color indexed="81"/>
            <rFont val="Tahoma"/>
            <family val="2"/>
          </rPr>
          <t xml:space="preserve">RECURRENT
</t>
        </r>
      </text>
    </comment>
    <comment ref="P443" authorId="0" shapeId="0">
      <text>
        <r>
          <rPr>
            <b/>
            <sz val="9"/>
            <color indexed="81"/>
            <rFont val="Tahoma"/>
            <family val="2"/>
          </rPr>
          <t>DWI LESTARI:</t>
        </r>
        <r>
          <rPr>
            <sz val="9"/>
            <color indexed="81"/>
            <rFont val="Tahoma"/>
            <family val="2"/>
          </rPr>
          <t xml:space="preserve">
sudah ikut training tanggal 28 may 2026 tapi tidak lulus</t>
        </r>
      </text>
    </comment>
    <comment ref="N475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O475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P475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O488" authorId="0" shapeId="0">
      <text>
        <r>
          <rPr>
            <sz val="9"/>
            <color indexed="81"/>
            <rFont val="Tahoma"/>
            <family val="2"/>
          </rPr>
          <t xml:space="preserve">RECURRENT 
</t>
        </r>
      </text>
    </comment>
    <comment ref="O489" authorId="0" shapeId="0">
      <text>
        <r>
          <rPr>
            <sz val="9"/>
            <color indexed="81"/>
            <rFont val="Tahoma"/>
            <family val="2"/>
          </rPr>
          <t xml:space="preserve">RECURRENT
</t>
        </r>
      </text>
    </comment>
    <comment ref="O490" authorId="0" shapeId="0">
      <text>
        <r>
          <rPr>
            <sz val="9"/>
            <color indexed="81"/>
            <rFont val="Tahoma"/>
            <family val="2"/>
          </rPr>
          <t xml:space="preserve">RECURRENT
</t>
        </r>
      </text>
    </comment>
    <comment ref="O491" authorId="0" shapeId="0">
      <text>
        <r>
          <rPr>
            <sz val="9"/>
            <color indexed="81"/>
            <rFont val="Tahoma"/>
            <family val="2"/>
          </rPr>
          <t xml:space="preserve">RECURRENT
</t>
        </r>
      </text>
    </comment>
  </commentList>
</comments>
</file>

<file path=xl/comments2.xml><?xml version="1.0" encoding="utf-8"?>
<comments xmlns="http://schemas.openxmlformats.org/spreadsheetml/2006/main">
  <authors>
    <author>DWI LESTARI</author>
  </authors>
  <commentList>
    <comment ref="O3" authorId="0" shapeId="0">
      <text>
        <r>
          <rPr>
            <sz val="9"/>
            <color indexed="81"/>
            <rFont val="Tahoma"/>
            <family val="2"/>
          </rPr>
          <t xml:space="preserve">pernah ikut training 11desember tidak lulus
</t>
        </r>
      </text>
    </comment>
    <comment ref="O9" authorId="0" shapeId="0">
      <text>
        <r>
          <rPr>
            <b/>
            <sz val="9"/>
            <color indexed="81"/>
            <rFont val="Tahoma"/>
            <family val="2"/>
          </rPr>
          <t>DWI LESTARI:</t>
        </r>
        <r>
          <rPr>
            <sz val="9"/>
            <color indexed="81"/>
            <rFont val="Tahoma"/>
            <family val="2"/>
          </rPr>
          <t xml:space="preserve">
sudah dijawalkan 19may 2026 tidak lulus</t>
        </r>
      </text>
    </comment>
    <comment ref="P10" authorId="0" shapeId="0">
      <text>
        <r>
          <rPr>
            <sz val="9"/>
            <color indexed="81"/>
            <rFont val="Tahoma"/>
            <family val="2"/>
          </rPr>
          <t xml:space="preserve">sudah didaftarkan tgl 23 julli 2025
</t>
        </r>
      </text>
    </comment>
    <comment ref="P23" authorId="0" shapeId="0">
      <text>
        <r>
          <rPr>
            <b/>
            <sz val="9"/>
            <color indexed="81"/>
            <rFont val="Tahoma"/>
            <family val="2"/>
          </rPr>
          <t>DWI LESTARI:</t>
        </r>
        <r>
          <rPr>
            <sz val="9"/>
            <color indexed="81"/>
            <rFont val="Tahoma"/>
            <family val="2"/>
          </rPr>
          <t xml:space="preserve">
sudah ikut training tanggal 28 may 2026 tapi tidak lulus</t>
        </r>
      </text>
    </comment>
    <comment ref="N43" authorId="0" shapeId="0">
      <text>
        <r>
          <rPr>
            <b/>
            <sz val="9"/>
            <color indexed="81"/>
            <rFont val="Tahoma"/>
            <family val="2"/>
          </rPr>
          <t>DWI LESTARI:</t>
        </r>
        <r>
          <rPr>
            <sz val="9"/>
            <color indexed="81"/>
            <rFont val="Tahoma"/>
            <family val="2"/>
          </rPr>
          <t xml:space="preserve">
sudah diikutkan tanggal 29 juli 2024 tidak lulus</t>
        </r>
      </text>
    </comment>
    <comment ref="N49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O49" authorId="0" shapeId="0">
      <text>
        <r>
          <rPr>
            <sz val="9"/>
            <color indexed="81"/>
            <rFont val="Tahoma"/>
            <family val="2"/>
          </rPr>
          <t xml:space="preserve">RECURRENT 02-08 JULI 2026
</t>
        </r>
      </text>
    </comment>
    <comment ref="P49" authorId="0" shapeId="0">
      <text>
        <r>
          <rPr>
            <b/>
            <sz val="9"/>
            <color indexed="81"/>
            <rFont val="Tahoma"/>
            <family val="2"/>
          </rPr>
          <t>SUDAH IKUT RECURRENT 02-08 JULI 2026 TIDAK LULUS</t>
        </r>
      </text>
    </comment>
    <comment ref="N50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O50" authorId="0" shapeId="0">
      <text>
        <r>
          <rPr>
            <sz val="9"/>
            <color indexed="81"/>
            <rFont val="Tahoma"/>
            <family val="2"/>
          </rPr>
          <t xml:space="preserve">
recurrent DG, DST,RAMP 08-14 JUN2026
</t>
        </r>
      </text>
    </comment>
    <comment ref="P50" authorId="0" shapeId="0">
      <text>
        <r>
          <rPr>
            <sz val="9"/>
            <color indexed="81"/>
            <rFont val="Tahoma"/>
            <family val="2"/>
          </rPr>
          <t xml:space="preserve">
sudah dijadwalkan recurrent tidak lulus 
</t>
        </r>
      </text>
    </comment>
    <comment ref="P52" authorId="0" shapeId="0">
      <text>
        <r>
          <rPr>
            <sz val="9"/>
            <color indexed="81"/>
            <rFont val="Tahoma"/>
            <family val="2"/>
          </rPr>
          <t xml:space="preserve">tidak lulus ujian 
</t>
        </r>
      </text>
    </comment>
    <comment ref="O56" authorId="0" shapeId="0">
      <text>
        <r>
          <rPr>
            <sz val="9"/>
            <color indexed="81"/>
            <rFont val="Tahoma"/>
            <family val="2"/>
          </rPr>
          <t xml:space="preserve">RECURRENT
</t>
        </r>
      </text>
    </comment>
    <comment ref="P56" authorId="0" shapeId="0">
      <text>
        <r>
          <rPr>
            <sz val="9"/>
            <color indexed="81"/>
            <rFont val="Tahoma"/>
            <family val="2"/>
          </rPr>
          <t xml:space="preserve">RECURRENT
</t>
        </r>
      </text>
    </comment>
  </commentList>
</comments>
</file>

<file path=xl/comments3.xml><?xml version="1.0" encoding="utf-8"?>
<comments xmlns="http://schemas.openxmlformats.org/spreadsheetml/2006/main">
  <authors>
    <author>DWI LESTARI</author>
  </authors>
  <commentList>
    <comment ref="O20" authorId="0" shapeId="0">
      <text>
        <r>
          <rPr>
            <sz val="9"/>
            <color indexed="81"/>
            <rFont val="Tahoma"/>
            <family val="2"/>
          </rPr>
          <t xml:space="preserve">RECURRENT 
</t>
        </r>
      </text>
    </comment>
  </commentList>
</comments>
</file>

<file path=xl/sharedStrings.xml><?xml version="1.0" encoding="utf-8"?>
<sst xmlns="http://schemas.openxmlformats.org/spreadsheetml/2006/main" count="35209" uniqueCount="877">
  <si>
    <t>Last Update :</t>
  </si>
  <si>
    <t>MANDATORY TRAINING</t>
  </si>
  <si>
    <t>TYPE RATING &amp; OTHER TRAINING</t>
  </si>
  <si>
    <t>ADDITONAL TRAINING</t>
  </si>
  <si>
    <t>NO</t>
  </si>
  <si>
    <t>NAMA</t>
  </si>
  <si>
    <t>NO. ID</t>
  </si>
  <si>
    <t>JABATAN</t>
  </si>
  <si>
    <t>STA</t>
  </si>
  <si>
    <t>BASIC INDOCTRINATION</t>
  </si>
  <si>
    <t>INTIAL HUMAN FACTORS</t>
  </si>
  <si>
    <t>SAFETY MANAGEMENT SAFETY</t>
  </si>
  <si>
    <t>DANGEROUS GOODS AWARENESS</t>
  </si>
  <si>
    <t>DUTY SCURITY TRAINING (DST)</t>
  </si>
  <si>
    <t>RAMP SAFET AWARENESS</t>
  </si>
  <si>
    <t>FUEL TANK SAFETY PHASE I TRAINING</t>
  </si>
  <si>
    <t>FUEL TANK SAFETY PHASE II TRAINING</t>
  </si>
  <si>
    <t>B 737-6/7/8/900ER AIRCRAFT GENERAL FAMILIARIZATION</t>
  </si>
  <si>
    <t>ATR 72-500/600 AIRCRAFT GENERAL FAMILIARIZATION</t>
  </si>
  <si>
    <t>A318/319/320/321 AIRCRAFT GENERAL FAMILIARIZATION</t>
  </si>
  <si>
    <t>A330 SERIES  AIRCRAFT GENERAL FAMILIARIZATION</t>
  </si>
  <si>
    <t>LEVEL II BOEING 
737-600/700/800/900ER FOR CABIN MAINTENANCE</t>
  </si>
  <si>
    <t>LEVEL II
ATR 72-500/600 FOR
CABIN MAINTENANCE</t>
  </si>
  <si>
    <t>LEVEL II AIRBUS A320 FOR CABIN MAINTENANCE</t>
  </si>
  <si>
    <t>LEVEL II AIRBUS A330 SERIES FOR CABIN MAINTENANCE</t>
  </si>
  <si>
    <t>BOEING SKY INTERIOR LIGHTING</t>
  </si>
  <si>
    <t>INFLIGHT ENTERTAINMENT</t>
  </si>
  <si>
    <t>PAINTING INSPECTOR</t>
  </si>
  <si>
    <t>FIELD PAINT TOUCH-UP 
AND REWORK COURSE</t>
  </si>
  <si>
    <t>E-MRO for Engineer, Mechanic, NDT and Aircraft Inspector</t>
  </si>
  <si>
    <t>BASIC MANAGEMENT 
AND 
SUPERVISORY SKILL</t>
  </si>
  <si>
    <t>TEAM BUILDING PERFORMANCE</t>
  </si>
  <si>
    <t>AVIATION HOUSEKEEPING TRAINING</t>
  </si>
  <si>
    <t>COMPOSITE REPAIR TRAINING</t>
  </si>
  <si>
    <t>BASIC ENGLISH PROGRAM</t>
  </si>
  <si>
    <t>FIRE SAFETY MANAGEMENT TRAINING</t>
  </si>
  <si>
    <t>AIRCARFT PAINTING</t>
  </si>
  <si>
    <t>ENGLISH PLACEMENT TEST</t>
  </si>
  <si>
    <t>FAMILIARIZATION 
OF LION TECHNIC M.O.E 
RELEVANT TO Dept</t>
  </si>
  <si>
    <t>FAMILIARIZATION 
OF LION TECHNIC LMPM
RELEVANT TO Dept</t>
  </si>
  <si>
    <t>PEST CONTROL TRAINING</t>
  </si>
  <si>
    <t>EASA 145
TRAINING</t>
  </si>
  <si>
    <t>BASIC TECHNIC SKILL (BTS)</t>
  </si>
  <si>
    <t>EMERGENCY EQUIPMENT 
TRAINING</t>
  </si>
  <si>
    <t>EWIS TRAINING</t>
  </si>
  <si>
    <t>AVIATION LEGISLATION TRAINING</t>
  </si>
  <si>
    <t>ELECTRO STATIC DISCHARGE SENSITIVITY (ESDS)</t>
  </si>
  <si>
    <t>DS300 STEAM OVEN AND DR4180 WATER HEATER (B/E AEROSPACE)</t>
  </si>
  <si>
    <t>BOEING MD 80 SERIES
CABIN MAINTENANCE TRAINING LEVEL I</t>
  </si>
  <si>
    <t>BOEING MD 80 SERIES
CABIN MAINTENANCE TRAINING LEVEL II</t>
  </si>
  <si>
    <t xml:space="preserve"> MODIFICATION
 INSULATION BLANKET</t>
  </si>
  <si>
    <t>STRUCTURES 
AWARENSS WORKSHOP</t>
  </si>
  <si>
    <t>B747-400 A.C.E.S.S
INTERIOR CONFIGURATION</t>
  </si>
  <si>
    <t>LAVATORY VACUUM SYSTEM WITH CEE BEE PRODUCT</t>
  </si>
  <si>
    <t>GERFLOR ONE WELDING</t>
  </si>
  <si>
    <t>INTERPLAN TRAINING</t>
  </si>
  <si>
    <t>ANDREW MUIRHEAD
AVIATION UPHOLSTERY 
LEATHER</t>
  </si>
  <si>
    <t>PAINT STRIPPING WITH 
CEE BEE PRODUCT</t>
  </si>
  <si>
    <t>LICENSE ENGINEER TRAX TRAINING</t>
  </si>
  <si>
    <t>COURSE DATE</t>
  </si>
  <si>
    <t>LAST REC. DATE</t>
  </si>
  <si>
    <t>EXP REC. DATE</t>
  </si>
  <si>
    <t>EXP REC.DATE</t>
  </si>
  <si>
    <t>REC COURSE DATE</t>
  </si>
  <si>
    <t>LAST COURSE</t>
  </si>
  <si>
    <t>REC .COURSE DATE</t>
  </si>
  <si>
    <t>FATHULLAH</t>
  </si>
  <si>
    <t xml:space="preserve">AIRCRAFT PAINTING </t>
  </si>
  <si>
    <t>CGK</t>
  </si>
  <si>
    <t>-</t>
  </si>
  <si>
    <t>X</t>
  </si>
  <si>
    <t>x</t>
  </si>
  <si>
    <t>SYAHRONI</t>
  </si>
  <si>
    <t xml:space="preserve">MECHANIC CBM </t>
  </si>
  <si>
    <t>SUKIRNO</t>
  </si>
  <si>
    <t>USEP SAEFUL</t>
  </si>
  <si>
    <t>LILI MULYANA</t>
  </si>
  <si>
    <t>RAHMAT HIDAYAT</t>
  </si>
  <si>
    <t>DASWEN APURI</t>
  </si>
  <si>
    <t>SANWANI</t>
  </si>
  <si>
    <t>AHMAD RIZKY</t>
  </si>
  <si>
    <t>ANDI RAHMAN</t>
  </si>
  <si>
    <t>KUKUH ANDRIYANTO</t>
  </si>
  <si>
    <t xml:space="preserve">CGK </t>
  </si>
  <si>
    <t>JAELANI</t>
  </si>
  <si>
    <t>JOKO SUPRAYITNO</t>
  </si>
  <si>
    <t>STAFF CABIN SUPPORTING</t>
  </si>
  <si>
    <t>SUROYO</t>
  </si>
  <si>
    <t>MUDIONO</t>
  </si>
  <si>
    <t>MURSAN</t>
  </si>
  <si>
    <t>UMAEDI</t>
  </si>
  <si>
    <t>AHMAD FAUZI</t>
  </si>
  <si>
    <t>M. ABDUL CIMANG</t>
  </si>
  <si>
    <t>KARNO</t>
  </si>
  <si>
    <t>ISMET</t>
  </si>
  <si>
    <t xml:space="preserve">SYAFRUDIN </t>
  </si>
  <si>
    <t xml:space="preserve">HERY SUDARTO </t>
  </si>
  <si>
    <t xml:space="preserve">SUHANDI </t>
  </si>
  <si>
    <t>DARUSSALAM</t>
  </si>
  <si>
    <t>SYARIF HIDAYAT</t>
  </si>
  <si>
    <t>HERI RISMAWAN</t>
  </si>
  <si>
    <t>WANDA</t>
  </si>
  <si>
    <t>NIKO IRIANTO</t>
  </si>
  <si>
    <t>AHMAD NURJAYA</t>
  </si>
  <si>
    <t>ABDUL HOLIK</t>
  </si>
  <si>
    <t>ROBI</t>
  </si>
  <si>
    <t>JAKARIA</t>
  </si>
  <si>
    <t>M. ADUNG</t>
  </si>
  <si>
    <t xml:space="preserve">M. FAISAL </t>
  </si>
  <si>
    <t>RUDI BIN ATAM</t>
  </si>
  <si>
    <t>ADE SUTISNA</t>
  </si>
  <si>
    <t>TATANG ERYANA</t>
  </si>
  <si>
    <t>SEPULLOH</t>
  </si>
  <si>
    <t>DANIEL LUMBAN GAOL</t>
  </si>
  <si>
    <t>AHMAD YANI</t>
  </si>
  <si>
    <t>AWAL PRAKARSYA</t>
  </si>
  <si>
    <t>JUMADI ISKANDAR LESMANA</t>
  </si>
  <si>
    <t>AHMAD FURKONI</t>
  </si>
  <si>
    <t>NASRUDIN</t>
  </si>
  <si>
    <t>PIC AIR CRAFT PAINTING</t>
  </si>
  <si>
    <t>M. KHAERUL UMAM</t>
  </si>
  <si>
    <t>HENDRA WIJAYA</t>
  </si>
  <si>
    <t xml:space="preserve">SUDARMAN </t>
  </si>
  <si>
    <t xml:space="preserve">SANDI YULIANTO </t>
  </si>
  <si>
    <t xml:space="preserve">NAWAWI </t>
  </si>
  <si>
    <t xml:space="preserve">RAHMAT BIN NURSIN </t>
  </si>
  <si>
    <t>GROUP LEADER CBM IRREG &amp; PROJECT A</t>
  </si>
  <si>
    <t xml:space="preserve">ABDUL ROSAD </t>
  </si>
  <si>
    <t>GROUP LEADER CBM OPS A</t>
  </si>
  <si>
    <t xml:space="preserve">ABDUL SYUKUR </t>
  </si>
  <si>
    <t>GROUP LEADER CBM IRREG &amp; PROJECT ( ASSIST. PIC MAINSTA )</t>
  </si>
  <si>
    <t xml:space="preserve">MUHAMMAD ROKIB </t>
  </si>
  <si>
    <t>PIC CBM MAIN STATION</t>
  </si>
  <si>
    <t>ASST. PEMBINA ( DEPUTY )</t>
  </si>
  <si>
    <t xml:space="preserve">AHMAD FATHUROHMAN </t>
  </si>
  <si>
    <t>PIC CBM ON-DUTY ( CONTROLLER )</t>
  </si>
  <si>
    <t xml:space="preserve">ILHAM RUCHIYAT </t>
  </si>
  <si>
    <t>GROUP LEADER CBM ON-DUTY D</t>
  </si>
  <si>
    <t xml:space="preserve">AMINUDIN </t>
  </si>
  <si>
    <t>GROUP LEADER CBM ON-DUTY C</t>
  </si>
  <si>
    <t>ARIE SAPRIADY</t>
  </si>
  <si>
    <t>RIKI FIRMANSYAH</t>
  </si>
  <si>
    <t>AMAN</t>
  </si>
  <si>
    <t>ANAS ROHMAT</t>
  </si>
  <si>
    <t xml:space="preserve">ALVIRA </t>
  </si>
  <si>
    <t>GROUP LEADER CBM OPS B</t>
  </si>
  <si>
    <t>ARI APRIANSAH</t>
  </si>
  <si>
    <t>ASEP SAIPULLAH</t>
  </si>
  <si>
    <t>JUNGJUNGAN SIHALOHO</t>
  </si>
  <si>
    <t>M. N SYAWALUDIN</t>
  </si>
  <si>
    <t>MUHAMAD YUNUS</t>
  </si>
  <si>
    <t>MOCH. ISMAIL JAYA K.</t>
  </si>
  <si>
    <t>MUZAID DAHLAN</t>
  </si>
  <si>
    <t xml:space="preserve">KURNIADI SAPUTRA </t>
  </si>
  <si>
    <t>ADE PERMANA</t>
  </si>
  <si>
    <t xml:space="preserve">RIDWAN </t>
  </si>
  <si>
    <t xml:space="preserve">ARISMAN </t>
  </si>
  <si>
    <t xml:space="preserve">AHMAD HERIYANSYAH </t>
  </si>
  <si>
    <t xml:space="preserve">HAERUDIN </t>
  </si>
  <si>
    <t xml:space="preserve">ABDUL HALIM </t>
  </si>
  <si>
    <t xml:space="preserve">MUHAMAD ARSUDIN </t>
  </si>
  <si>
    <t xml:space="preserve">ILYAS MUJAHIDIN </t>
  </si>
  <si>
    <t xml:space="preserve">ABDUL ROSYID </t>
  </si>
  <si>
    <t>MUHAMAD SYAM</t>
  </si>
  <si>
    <t xml:space="preserve">BUDI KUSUMAH </t>
  </si>
  <si>
    <t xml:space="preserve">AJI FAHROJI </t>
  </si>
  <si>
    <t xml:space="preserve">REYNALDI </t>
  </si>
  <si>
    <t>GROUP LEADER CBM WO/DMI/NSRDIL/TS B</t>
  </si>
  <si>
    <t xml:space="preserve">MUKTAR WIRADINATA </t>
  </si>
  <si>
    <t xml:space="preserve">ALDI MASTIO </t>
  </si>
  <si>
    <t xml:space="preserve">ADE MASPUROHMAN </t>
  </si>
  <si>
    <t xml:space="preserve">DARSONO </t>
  </si>
  <si>
    <t xml:space="preserve">SAMBUDI DARMAESA </t>
  </si>
  <si>
    <t xml:space="preserve">ARYO PRABOWO </t>
  </si>
  <si>
    <t>SUGENG ASDODI</t>
  </si>
  <si>
    <t>SYAIDATUL KHUDRI</t>
  </si>
  <si>
    <t>MIFTAHUL AZIS</t>
  </si>
  <si>
    <t>M. RAMADHAN KURNIA ISKANDAR</t>
  </si>
  <si>
    <t>DODY WIRMAN</t>
  </si>
  <si>
    <t>AFIFUDIN</t>
  </si>
  <si>
    <t>KABIRUDIN</t>
  </si>
  <si>
    <t>BERRY YANSAH</t>
  </si>
  <si>
    <t>AHMAD HAITAMI</t>
  </si>
  <si>
    <t>M. MUFTI R</t>
  </si>
  <si>
    <t>DENI ISKANDAR</t>
  </si>
  <si>
    <t>HERLAN RIDWANSYAH</t>
  </si>
  <si>
    <t>GROUP LEADER CBM WO/DMI/NSRDIL/TS D</t>
  </si>
  <si>
    <t>M IKHWAN NAHDLIYIN</t>
  </si>
  <si>
    <t xml:space="preserve">ANDI WERDANA </t>
  </si>
  <si>
    <t>SUPRAPTO</t>
  </si>
  <si>
    <t>SYAIFUL ANWAR</t>
  </si>
  <si>
    <t xml:space="preserve">ARIP DADAN AGUS HERMAWAN </t>
  </si>
  <si>
    <t>RESTU PANUTAN</t>
  </si>
  <si>
    <t>SIGIT SINDUWIJAYA</t>
  </si>
  <si>
    <t xml:space="preserve">DUKI SAPI'IH </t>
  </si>
  <si>
    <t xml:space="preserve">DARUL FIKRI </t>
  </si>
  <si>
    <t xml:space="preserve">AGUNG GUSTONO </t>
  </si>
  <si>
    <t>ANIS</t>
  </si>
  <si>
    <t>FERY ARDIANSYAH</t>
  </si>
  <si>
    <t>SAIFUL MA'ARIF</t>
  </si>
  <si>
    <t>WAHYU PANGESTU</t>
  </si>
  <si>
    <t>JONATHAN ZAPTYA PURNAMA INDRAJAYA</t>
  </si>
  <si>
    <t>M. ARIF NURBAKTI</t>
  </si>
  <si>
    <t>PEBRIANSYAH WIDYA G</t>
  </si>
  <si>
    <t>ASEP DANI</t>
  </si>
  <si>
    <t>ABDUL ZULKAFRI</t>
  </si>
  <si>
    <t>NANANG KOSIM</t>
  </si>
  <si>
    <t>GROUP LEADER AIC T2E-B</t>
  </si>
  <si>
    <t>BAT</t>
  </si>
  <si>
    <t>AKHMAD FAUZI</t>
  </si>
  <si>
    <t>GROUP LEADER AIC T1A-B</t>
  </si>
  <si>
    <t>SUHERMAN SUHARDINI</t>
  </si>
  <si>
    <t xml:space="preserve">STAFF AC ( AIRCRAFT CLEANING ) </t>
  </si>
  <si>
    <t>NANDO</t>
  </si>
  <si>
    <t>CASNADI</t>
  </si>
  <si>
    <t>ARI MAHUDI</t>
  </si>
  <si>
    <t>RAHMAD</t>
  </si>
  <si>
    <t>ROHMAT FADHILAH</t>
  </si>
  <si>
    <t>WINDU SETIAWAN</t>
  </si>
  <si>
    <t>AHMAD NURIL ULUM</t>
  </si>
  <si>
    <t>GUNADI</t>
  </si>
  <si>
    <t>MUHAMAD AMSORI</t>
  </si>
  <si>
    <t>MUHAMMAD</t>
  </si>
  <si>
    <t>FIQI ANDRIANSYAH</t>
  </si>
  <si>
    <t xml:space="preserve">BAT </t>
  </si>
  <si>
    <t>BAHTIAR</t>
  </si>
  <si>
    <t xml:space="preserve">MOHAMAD ABDL IKROM   </t>
  </si>
  <si>
    <t>AGUNG ARIF PRIANTO</t>
  </si>
  <si>
    <t>SUPRIYATNA.</t>
  </si>
  <si>
    <t>PIC AIEC OUT STATION</t>
  </si>
  <si>
    <t>SUGANDI</t>
  </si>
  <si>
    <t xml:space="preserve">ODIN </t>
  </si>
  <si>
    <t xml:space="preserve">NURSIN </t>
  </si>
  <si>
    <t>MAESA HIDIR</t>
  </si>
  <si>
    <t>TAUFIK HIDAYAT</t>
  </si>
  <si>
    <t xml:space="preserve">SABANI </t>
  </si>
  <si>
    <t>MEMED FERMADI</t>
  </si>
  <si>
    <t>AGUS BUDI PRASETIO</t>
  </si>
  <si>
    <t>MUHDINI</t>
  </si>
  <si>
    <t>SURYADI</t>
  </si>
  <si>
    <t>SYAMSUL FAUZI</t>
  </si>
  <si>
    <t>AHMAD MAULANA</t>
  </si>
  <si>
    <t>BAHORI</t>
  </si>
  <si>
    <t>NAJMUDIN</t>
  </si>
  <si>
    <t>ADI PRIYANTO</t>
  </si>
  <si>
    <t>GROUP LEADER CBM SUPPORTING GENERAL &amp; ASSET</t>
  </si>
  <si>
    <t>MISAR</t>
  </si>
  <si>
    <t xml:space="preserve">DEDI MULYADI  </t>
  </si>
  <si>
    <t>SUMARNA</t>
  </si>
  <si>
    <t>JAENUDIN</t>
  </si>
  <si>
    <t>GROUP LEADER AIC T2D-A</t>
  </si>
  <si>
    <t>ALVIN IEDHA A</t>
  </si>
  <si>
    <t>ADIM KOMARUDIN</t>
  </si>
  <si>
    <t>GROUP LEADER AIC T1A-C</t>
  </si>
  <si>
    <t>IDRUS SETIAWAN</t>
  </si>
  <si>
    <t>GROUP LEADER AIC T2E-A</t>
  </si>
  <si>
    <t>AAS</t>
  </si>
  <si>
    <t>RUDI BIN HAMDANI</t>
  </si>
  <si>
    <t>GROUP LEADER AIC T2E-C</t>
  </si>
  <si>
    <t>ASIP</t>
  </si>
  <si>
    <t>M.JUNAIDI</t>
  </si>
  <si>
    <t xml:space="preserve">RIZKY SUHENDAR </t>
  </si>
  <si>
    <t>TINO SETIAWAN</t>
  </si>
  <si>
    <t>ACHMAD RUSDINI</t>
  </si>
  <si>
    <t>M. SAMSUL BAHRI</t>
  </si>
  <si>
    <t>SUPRIADI</t>
  </si>
  <si>
    <t>MARSALI</t>
  </si>
  <si>
    <t>MURSALIM</t>
  </si>
  <si>
    <t>AHMAD SUTRISNA</t>
  </si>
  <si>
    <t>FURQON FAUZI</t>
  </si>
  <si>
    <t>MAHFUDIN</t>
  </si>
  <si>
    <t>AHMAD SUGERI SURYA W.</t>
  </si>
  <si>
    <t>SUGANDA SASMITA</t>
  </si>
  <si>
    <t>MAMAT</t>
  </si>
  <si>
    <t>ROJALI</t>
  </si>
  <si>
    <t>MUHAMAD ALI TOPAN</t>
  </si>
  <si>
    <t>SABENI</t>
  </si>
  <si>
    <t>UUS FIRDAUS</t>
  </si>
  <si>
    <t>NARMO</t>
  </si>
  <si>
    <t>MUKHAMMAD SOLIKHIN</t>
  </si>
  <si>
    <t>HELMI KRISTIAN ADITYA</t>
  </si>
  <si>
    <t>TRISNA ANDREAN</t>
  </si>
  <si>
    <t>MURIDAH PUSPITA SARI</t>
  </si>
  <si>
    <t>DIAN PUJI LESTARI</t>
  </si>
  <si>
    <t>PIPIT ARINDI</t>
  </si>
  <si>
    <t>YURIH OKTARINA</t>
  </si>
  <si>
    <t>20-Aug-25</t>
  </si>
  <si>
    <t>19-Aug-25</t>
  </si>
  <si>
    <t>SITI KOMARIAH</t>
  </si>
  <si>
    <t>TUTI RAHAYU</t>
  </si>
  <si>
    <t>JAKA SURIPTO</t>
  </si>
  <si>
    <t>PIC AIEC MAIN STATION</t>
  </si>
  <si>
    <t>M. RIDWAN</t>
  </si>
  <si>
    <t>GROUP LEADER AIC T2D-B</t>
  </si>
  <si>
    <t>ERIK SAMOLA</t>
  </si>
  <si>
    <t>GROUP LEADER AIC T2D-C</t>
  </si>
  <si>
    <t>ELGI INDRA</t>
  </si>
  <si>
    <t>UBAIDILAH</t>
  </si>
  <si>
    <t>IKHSAN HANAPI</t>
  </si>
  <si>
    <t>HERU SANTOSO</t>
  </si>
  <si>
    <t>IMRON ROSADI</t>
  </si>
  <si>
    <t>ROMLI</t>
  </si>
  <si>
    <t>HABIBUL HIPZI</t>
  </si>
  <si>
    <t>SOLIHIN</t>
  </si>
  <si>
    <t>MATHARIS</t>
  </si>
  <si>
    <t>RIZKY</t>
  </si>
  <si>
    <t>ANWAR YANWARI</t>
  </si>
  <si>
    <t>JAJI</t>
  </si>
  <si>
    <t>YASIN SUHADA P.</t>
  </si>
  <si>
    <t>A.SUDIROH</t>
  </si>
  <si>
    <t>BAMBANG SIGIT</t>
  </si>
  <si>
    <t>NURBANI SANTOSO</t>
  </si>
  <si>
    <t>BUHORI</t>
  </si>
  <si>
    <t>OGIK FADHLI AL-FAUZI</t>
  </si>
  <si>
    <t>RUSTANDI</t>
  </si>
  <si>
    <t>22-Jan-25</t>
  </si>
  <si>
    <t>ROMIYUDIN</t>
  </si>
  <si>
    <t>AHMAD SYIHABUDIN</t>
  </si>
  <si>
    <t>CIPTO SUGIARTO</t>
  </si>
  <si>
    <t>TOPIKULLOH</t>
  </si>
  <si>
    <t>TEGUH DARSITO</t>
  </si>
  <si>
    <t>AHMAD MUNAWIR</t>
  </si>
  <si>
    <t>ARI ARBIANTO</t>
  </si>
  <si>
    <t>ILHAN</t>
  </si>
  <si>
    <t>ERWIN ABDUL RAHMAN</t>
  </si>
  <si>
    <t>DEDE SUHENDAR</t>
  </si>
  <si>
    <t>ZAHFARUL AL AFSOKHI</t>
  </si>
  <si>
    <t>20-Jan-25</t>
  </si>
  <si>
    <t>AHMAD BUSTOMI</t>
  </si>
  <si>
    <t>MIFTAHUL HIDAYAT</t>
  </si>
  <si>
    <t>ARY BUDI CAHYANTO</t>
  </si>
  <si>
    <t>ARYANTI</t>
  </si>
  <si>
    <t>ADE HALIMAH</t>
  </si>
  <si>
    <t>LILIS KURNIAWATI</t>
  </si>
  <si>
    <t>SUMARNI JULIANA</t>
  </si>
  <si>
    <t>DEDE IRMANAWATI</t>
  </si>
  <si>
    <t>ELYANAH</t>
  </si>
  <si>
    <t>DEWI PURNAMA SARI</t>
  </si>
  <si>
    <t>SURYANAH</t>
  </si>
  <si>
    <t>IIS HANA RAHMAWATI</t>
  </si>
  <si>
    <t>20-Jun-25</t>
  </si>
  <si>
    <t>19-Jun-25</t>
  </si>
  <si>
    <t>WAHYUNI</t>
  </si>
  <si>
    <t>HERLINA LAMBRI</t>
  </si>
  <si>
    <t>DANI SETIAWAN</t>
  </si>
  <si>
    <t>GROUP LEADER AIC T1A-A</t>
  </si>
  <si>
    <t>DEDI APRIANSYAH</t>
  </si>
  <si>
    <t>21-Jan-25</t>
  </si>
  <si>
    <t>NURDIN</t>
  </si>
  <si>
    <t>SRI MULYANI</t>
  </si>
  <si>
    <t>MUHAMMAD BADRU SOLIHIN</t>
  </si>
  <si>
    <t>AHMAD SUGANDA</t>
  </si>
  <si>
    <t>DHYMAS EFFENDI</t>
  </si>
  <si>
    <t>INDRA WIJAYA</t>
  </si>
  <si>
    <t>NURHADI</t>
  </si>
  <si>
    <t>ULIT PRASETIO</t>
  </si>
  <si>
    <t>CHAIRUL ANWAR</t>
  </si>
  <si>
    <t>ROPIUDIN</t>
  </si>
  <si>
    <t>M.SAYUTI</t>
  </si>
  <si>
    <t xml:space="preserve">SYACRIZAL ALIF HILMAWAN </t>
  </si>
  <si>
    <t>MUHAMMAD SANDI SAPUTRA</t>
  </si>
  <si>
    <t>ANSORI</t>
  </si>
  <si>
    <t>FERDI PRADANA</t>
  </si>
  <si>
    <t>ADAM</t>
  </si>
  <si>
    <t>SUHENDRA</t>
  </si>
  <si>
    <t>ABDUL ROHMAT</t>
  </si>
  <si>
    <t>ABDUL MUIS JUNAEDI</t>
  </si>
  <si>
    <t>LUTHFIAH ABDUL HAK</t>
  </si>
  <si>
    <t>SUHENI</t>
  </si>
  <si>
    <t>SITI SAMSIYAH WULAN DARI</t>
  </si>
  <si>
    <t>SITI RUMINAH</t>
  </si>
  <si>
    <t>HENI NURYANI</t>
  </si>
  <si>
    <t>ELY ERNAWATI</t>
  </si>
  <si>
    <t>GOKLAS DAMSON SITUNGKIR</t>
  </si>
  <si>
    <t>JEJEN RISDIANTO</t>
  </si>
  <si>
    <t>ARI IRAWAN</t>
  </si>
  <si>
    <t>KARNATI</t>
  </si>
  <si>
    <t>NURUL ALIYAH</t>
  </si>
  <si>
    <t>SUTRISNA</t>
  </si>
  <si>
    <t>MARSITI</t>
  </si>
  <si>
    <t xml:space="preserve">ABDUL ROUP </t>
  </si>
  <si>
    <t>ROMLAH</t>
  </si>
  <si>
    <t>AHMAD ZAELANI</t>
  </si>
  <si>
    <t>ALDO ARI JULIANTO</t>
  </si>
  <si>
    <t>HLP</t>
  </si>
  <si>
    <t>REZA .F</t>
  </si>
  <si>
    <t>PIRMAN ADIM</t>
  </si>
  <si>
    <t>ABDURRAHMAN</t>
  </si>
  <si>
    <t>MIFTAHUDIN</t>
  </si>
  <si>
    <t>MUHAMMAD RIZZA EKA PERMANA</t>
  </si>
  <si>
    <t>AMARULOH</t>
  </si>
  <si>
    <t>GROUP LEADER AIEC HLP</t>
  </si>
  <si>
    <t>ANGGIA DHATY VIQUEQUE</t>
  </si>
  <si>
    <t xml:space="preserve">AKBAR SYAHRIAL </t>
  </si>
  <si>
    <t>TEGAR DIDIK LESMANA</t>
  </si>
  <si>
    <t>FACHRURAZIE</t>
  </si>
  <si>
    <t>GROUP LEADER AIEC KNO D</t>
  </si>
  <si>
    <t>KNO</t>
  </si>
  <si>
    <t>ZAKI RIFANA</t>
  </si>
  <si>
    <t>GROUP LEADER AIEC KNO C</t>
  </si>
  <si>
    <t>FAUZI</t>
  </si>
  <si>
    <t>KURNIAWAN</t>
  </si>
  <si>
    <t>RYAN NUARI PUTRA</t>
  </si>
  <si>
    <t>HAEKAL BUDI KURNIAWAN</t>
  </si>
  <si>
    <t>DADANG KOSASI</t>
  </si>
  <si>
    <t>RIZKI HAMDANI LUBIS</t>
  </si>
  <si>
    <t>FREDY MULI</t>
  </si>
  <si>
    <t>MAULANA HARY SUWANDI</t>
  </si>
  <si>
    <t>MUHAMMAD MASDIYANTO</t>
  </si>
  <si>
    <t>RAJA WIRA PRATAMA SITORUS</t>
  </si>
  <si>
    <t xml:space="preserve">ABDUL KHALIK </t>
  </si>
  <si>
    <t>HERI SUHAIRI</t>
  </si>
  <si>
    <t>JABAL TARIK</t>
  </si>
  <si>
    <t>DEDY TRI HARIANTO</t>
  </si>
  <si>
    <t>BPN</t>
  </si>
  <si>
    <t>ABDUL HAMID</t>
  </si>
  <si>
    <t>SUNARNO SETIYONO</t>
  </si>
  <si>
    <t>HENDI SAPUTRO</t>
  </si>
  <si>
    <t>AFRIZAL</t>
  </si>
  <si>
    <t>ENENG SULUH KARTIKO</t>
  </si>
  <si>
    <t>EDDY SARWO WIBOWO</t>
  </si>
  <si>
    <t>KEVIN WIJAYA TANDAYU</t>
  </si>
  <si>
    <t>FAKHRIZAL ZULNI</t>
  </si>
  <si>
    <t>PRISWANTO</t>
  </si>
  <si>
    <t>ACO</t>
  </si>
  <si>
    <t>RIZKY ADHITYA WARDHANA</t>
  </si>
  <si>
    <t>RACHMAD</t>
  </si>
  <si>
    <t>HARIS</t>
  </si>
  <si>
    <t>ARIEF WANGSA</t>
  </si>
  <si>
    <t>JESPRION PASARIBU</t>
  </si>
  <si>
    <t>BTH</t>
  </si>
  <si>
    <t>JEFRI SARSA</t>
  </si>
  <si>
    <t>MUHAMMAD RIDWAN</t>
  </si>
  <si>
    <t>GROUP LEADER AIEC BTH</t>
  </si>
  <si>
    <t>ZAINUDIN AL AFGANI HARAHAP</t>
  </si>
  <si>
    <t>MULIA HASIBUAN</t>
  </si>
  <si>
    <t>25-Jul-25</t>
  </si>
  <si>
    <t>24-jul-25</t>
  </si>
  <si>
    <t>SOFYAN HUSIN</t>
  </si>
  <si>
    <t>SAMLAN</t>
  </si>
  <si>
    <t>SYAFRI AZIZ</t>
  </si>
  <si>
    <t>M SAMSUL EFFENDI</t>
  </si>
  <si>
    <t>GROUP LEADER AIEC SUB C</t>
  </si>
  <si>
    <t>SUB</t>
  </si>
  <si>
    <t>SUGI UDI SANTOSO</t>
  </si>
  <si>
    <t>GROUP LEADER AIEC SUB D</t>
  </si>
  <si>
    <t>HARI SUSANTO</t>
  </si>
  <si>
    <t>DONY TRIANZ FAUZI</t>
  </si>
  <si>
    <t>ERRY SETIAWAN HADI</t>
  </si>
  <si>
    <t>SATRIA BUDI ARIATMAJA</t>
  </si>
  <si>
    <t>MUHAMMAD RUKANI</t>
  </si>
  <si>
    <t>NOVA SUBIANTO</t>
  </si>
  <si>
    <t>MOCHAMMAD BAGUS AKBAR H.</t>
  </si>
  <si>
    <t>EKO SUYANTO</t>
  </si>
  <si>
    <t>YOVI ARINGGA</t>
  </si>
  <si>
    <t>MUCHAMMAD FAISOL</t>
  </si>
  <si>
    <t>SAMROTUL FU'AD</t>
  </si>
  <si>
    <t>YUDHA FIRMANTOKO</t>
  </si>
  <si>
    <t>ISKANDAR ISMAN</t>
  </si>
  <si>
    <t>IMAM FAHRUDDIN</t>
  </si>
  <si>
    <t>M.FARID DAHRIL FACHRUDIN</t>
  </si>
  <si>
    <t>RUDI ISWANTO</t>
  </si>
  <si>
    <t>ROBY SUGIANTORO</t>
  </si>
  <si>
    <t>MUHAMAD MARZUKI</t>
  </si>
  <si>
    <t>SUJITO</t>
  </si>
  <si>
    <t>ACHMAD AFANDI RAMADHAN</t>
  </si>
  <si>
    <t>GANGSAR WIDODO</t>
  </si>
  <si>
    <t>MUHAMMAD HANIF RAHMAWAN</t>
  </si>
  <si>
    <t>MOCH FANDI SUPRIYANTO</t>
  </si>
  <si>
    <t>DWI BAGUS NUGROHO</t>
  </si>
  <si>
    <t>ANANG RIZKI WAHYUDI</t>
  </si>
  <si>
    <t>HERY SULISTYAWAN</t>
  </si>
  <si>
    <t>ADIEN DUTA PAMUNGKAS</t>
  </si>
  <si>
    <t>RIYO CAHYONO</t>
  </si>
  <si>
    <t>MUHAMAD DARUL UMAM</t>
  </si>
  <si>
    <t>BAYU SETIAWAN</t>
  </si>
  <si>
    <t>MOH ADHIM</t>
  </si>
  <si>
    <t xml:space="preserve">SUB </t>
  </si>
  <si>
    <t>AHMAD</t>
  </si>
  <si>
    <t>GROUP LEADER AIEC UPG A</t>
  </si>
  <si>
    <t>UPG</t>
  </si>
  <si>
    <t>JUNAID</t>
  </si>
  <si>
    <t>GROUP LEADER AIEC UPG C</t>
  </si>
  <si>
    <t>SAMSUL BIN MUHD SALEH</t>
  </si>
  <si>
    <t>GROUP LEADER AIEC UPG D</t>
  </si>
  <si>
    <t>JUMRANG</t>
  </si>
  <si>
    <t>SUDIRMAN</t>
  </si>
  <si>
    <t>FAISAL</t>
  </si>
  <si>
    <t>ABD RAHMAN</t>
  </si>
  <si>
    <t>HENDRA JAMALUDDIN</t>
  </si>
  <si>
    <t>H. AZIS</t>
  </si>
  <si>
    <t>SAHARUDDIN</t>
  </si>
  <si>
    <t>HAERUL</t>
  </si>
  <si>
    <t>SYAHRULLAH AR</t>
  </si>
  <si>
    <t>IWAN.S</t>
  </si>
  <si>
    <t>MUCHTAR JAYA</t>
  </si>
  <si>
    <t>MUH. IRVAN ILMAR R.</t>
  </si>
  <si>
    <t>MUH AKBAR FAUZAN</t>
  </si>
  <si>
    <t>YOGI PRATAMA</t>
  </si>
  <si>
    <t>MUH IKRAM</t>
  </si>
  <si>
    <t>SOFYAN</t>
  </si>
  <si>
    <t>LIRA ANDINI</t>
  </si>
  <si>
    <t>GROUP LEADER AIEC MDC - AMQ</t>
  </si>
  <si>
    <t>MDC</t>
  </si>
  <si>
    <t>10-Jul-24</t>
  </si>
  <si>
    <t>09-Jul-24</t>
  </si>
  <si>
    <t>MELCHI MENAJANG</t>
  </si>
  <si>
    <t>RONNY JAMES KANDOWANGKO</t>
  </si>
  <si>
    <t>WILLEM G.A AWON</t>
  </si>
  <si>
    <t>WAHJUDI PRIJOSEDJATI</t>
  </si>
  <si>
    <t>PIC CBM OUTSTATION-A</t>
  </si>
  <si>
    <t>ZAENAL ARIF</t>
  </si>
  <si>
    <t>GROUP LEADER CBM SUB A</t>
  </si>
  <si>
    <t>NURKOLIS</t>
  </si>
  <si>
    <t>MAULANA GUNAWAN</t>
  </si>
  <si>
    <t>ARIE FERIYANTO</t>
  </si>
  <si>
    <t>MOCHAMAD HUDA BILHAQQI</t>
  </si>
  <si>
    <t>KUKUH ALIEM</t>
  </si>
  <si>
    <t>RAHMAD EKO CAHYONO</t>
  </si>
  <si>
    <t>WARYONO</t>
  </si>
  <si>
    <t>BENI ARISANDI</t>
  </si>
  <si>
    <t>FARID KURNIAWAN</t>
  </si>
  <si>
    <t>MOCHAMAD FARID WAHONO</t>
  </si>
  <si>
    <t>GROUP LEADER CBM SUB C</t>
  </si>
  <si>
    <t>ACHMAD FAJARUDIN</t>
  </si>
  <si>
    <t>KRISNA DWI</t>
  </si>
  <si>
    <t>MOH.SUFAAT</t>
  </si>
  <si>
    <t>HANRI SOFIAN ROBIN</t>
  </si>
  <si>
    <t>MOCH BUDI APRILIONO</t>
  </si>
  <si>
    <t>GROUP LEADER CBM SUB D</t>
  </si>
  <si>
    <t>ALI MAKSUM</t>
  </si>
  <si>
    <t>DIANTORO</t>
  </si>
  <si>
    <t>FIQO AHMAD HABIBUL ILMI</t>
  </si>
  <si>
    <t>GROUP LEADER CBM SUB B</t>
  </si>
  <si>
    <t>ATHUR HIDAYATULLOH</t>
  </si>
  <si>
    <t>MOHAMMAD ADIB ALMUTA ALLI</t>
  </si>
  <si>
    <t>ABDI FIRMAN HAKIKI</t>
  </si>
  <si>
    <t>DAVIT PRASTYO</t>
  </si>
  <si>
    <t>NANANG MURJIANTO</t>
  </si>
  <si>
    <t>PIC CBM OUTSTATION-B</t>
  </si>
  <si>
    <t>RAHMAT BUTAR BUTAR</t>
  </si>
  <si>
    <t>AIP RUSIDY</t>
  </si>
  <si>
    <t>HARI FADLI</t>
  </si>
  <si>
    <t>AHMAD TANZILI</t>
  </si>
  <si>
    <t>ABDULLAH</t>
  </si>
  <si>
    <t>HENDRA BUDI ARUJI</t>
  </si>
  <si>
    <t>GROUP LEADER CBM KNO D</t>
  </si>
  <si>
    <t>IBNU HAYAN</t>
  </si>
  <si>
    <t>HENDRIK AFRIZAL</t>
  </si>
  <si>
    <t xml:space="preserve">KNO </t>
  </si>
  <si>
    <t>RIKI</t>
  </si>
  <si>
    <t>ARI PURNOMO</t>
  </si>
  <si>
    <t>AHYARUDDIN</t>
  </si>
  <si>
    <t>SURIANTON</t>
  </si>
  <si>
    <t>GROUP LEADER CBM KNO C</t>
  </si>
  <si>
    <t>FARIS NATAKUSUMA</t>
  </si>
  <si>
    <t>YANDI MUHAMMAD</t>
  </si>
  <si>
    <t>GROUP LEADER CBM KNO B</t>
  </si>
  <si>
    <t>YUDI ARIS MUSTAQIM</t>
  </si>
  <si>
    <t>DEDE YUSUF RANGKUTI</t>
  </si>
  <si>
    <t>NANDA</t>
  </si>
  <si>
    <t>GROUP LEADER CBM KNO A</t>
  </si>
  <si>
    <t>MAHRUDDINSYAH</t>
  </si>
  <si>
    <t>MUKHAMAD KHOIRUL ROZIQIN</t>
  </si>
  <si>
    <t>GROUP LEADER CBM MDC</t>
  </si>
  <si>
    <t>GINANJAR YUSUF</t>
  </si>
  <si>
    <t>EFENDI SALEH</t>
  </si>
  <si>
    <t>MUSLIADI MALIKI</t>
  </si>
  <si>
    <t>ICAT PRASETIYO</t>
  </si>
  <si>
    <t>ISRAN PATAMANI</t>
  </si>
  <si>
    <t>MIFTAHUL KHOIRI</t>
  </si>
  <si>
    <t xml:space="preserve">MDC </t>
  </si>
  <si>
    <t>YANDRY PAPILAYA</t>
  </si>
  <si>
    <t>AMQ</t>
  </si>
  <si>
    <t>FERDINAND FELIX LELAPARY</t>
  </si>
  <si>
    <t>STEFANNO KRESTO EDWARDO TOMASOA</t>
  </si>
  <si>
    <t>FRANGKY JULIUS MAHUBESSY</t>
  </si>
  <si>
    <t>AGUNG SULISTYO</t>
  </si>
  <si>
    <t>GROUP LEADER CBM SRG</t>
  </si>
  <si>
    <t>SRG</t>
  </si>
  <si>
    <t>HENRICUS DWI PRASETYO ARDI NUGROHO</t>
  </si>
  <si>
    <t>TRI CAHYO WISNU PAMUNGKAS</t>
  </si>
  <si>
    <t>WAHYU ANAS</t>
  </si>
  <si>
    <t>AGUS TRI WIBISONO</t>
  </si>
  <si>
    <t>LASINO</t>
  </si>
  <si>
    <t>DEWA NYOMAN</t>
  </si>
  <si>
    <t>DPS</t>
  </si>
  <si>
    <t>I PUTU AGUS PRIADI ADNYANA</t>
  </si>
  <si>
    <t>I KADEK ARI WIDIARTA</t>
  </si>
  <si>
    <t>I DEWA MADE AGUS K</t>
  </si>
  <si>
    <t xml:space="preserve">DPS </t>
  </si>
  <si>
    <t>ELHAM SAPUTRO</t>
  </si>
  <si>
    <t>ABDUL ROHIM</t>
  </si>
  <si>
    <t>GUNAWAN</t>
  </si>
  <si>
    <t>BAYU WIBOWO</t>
  </si>
  <si>
    <t>R.M. DYONA YULIANTO</t>
  </si>
  <si>
    <t>BINTORO</t>
  </si>
  <si>
    <t>SANDY ADITYA NUGRAHA</t>
  </si>
  <si>
    <t>BOWO DARMANTO</t>
  </si>
  <si>
    <t>RAMDAN SUSANTO</t>
  </si>
  <si>
    <t>EKA JANUAR</t>
  </si>
  <si>
    <t>MUHAMAD HISAM ALI</t>
  </si>
  <si>
    <t>AHMAD BASRI</t>
  </si>
  <si>
    <t>ACHMAD GOZALI</t>
  </si>
  <si>
    <t>ARVI PRADANA</t>
  </si>
  <si>
    <t>HENDRA ARISTON TLOEN</t>
  </si>
  <si>
    <t>KOE</t>
  </si>
  <si>
    <t>FERDI FALLO</t>
  </si>
  <si>
    <t>MEIDI RAFLES SUEK</t>
  </si>
  <si>
    <t xml:space="preserve">KOE </t>
  </si>
  <si>
    <t>MAURITZ HANDRIANUS AMLIN LABI</t>
  </si>
  <si>
    <t>M JUFRI IDRIS</t>
  </si>
  <si>
    <t>ARFAN ARSYAD</t>
  </si>
  <si>
    <t>ACHMAD</t>
  </si>
  <si>
    <t>IRWANSYAH</t>
  </si>
  <si>
    <t>GROUP LEADER CBM UPG C</t>
  </si>
  <si>
    <t>INDRA LESMANA</t>
  </si>
  <si>
    <t>ASRUL H TASLIM</t>
  </si>
  <si>
    <t>SYAHRIL ARDIANSYAH</t>
  </si>
  <si>
    <t>GROUP LEADER CBM UPG D</t>
  </si>
  <si>
    <t>AMIRUDDIN</t>
  </si>
  <si>
    <t>HARIADI</t>
  </si>
  <si>
    <t>HERI EBED</t>
  </si>
  <si>
    <t>ARIS WAHYUDI</t>
  </si>
  <si>
    <t>SYAMSUDDIN</t>
  </si>
  <si>
    <t>MUSTAFA</t>
  </si>
  <si>
    <t>NUGROHO AMI SAPUTRA</t>
  </si>
  <si>
    <t>MUH RIZAL</t>
  </si>
  <si>
    <t>GROUP LEADER CBM UPG B</t>
  </si>
  <si>
    <t>MUH ARFAH R</t>
  </si>
  <si>
    <t>ABDUL MUIS SYAWAL</t>
  </si>
  <si>
    <t>AFRI WENDI</t>
  </si>
  <si>
    <t xml:space="preserve">PDG </t>
  </si>
  <si>
    <t>RIDDHY SUVARNA</t>
  </si>
  <si>
    <t>OKTAVIANES</t>
  </si>
  <si>
    <t>JEPRI GULTOM</t>
  </si>
  <si>
    <t>PLM</t>
  </si>
  <si>
    <t>AGUNG LUHUR PUJIONO</t>
  </si>
  <si>
    <t xml:space="preserve">PLM </t>
  </si>
  <si>
    <t>KRISNA SETIAWAN</t>
  </si>
  <si>
    <t>SATRIA NOVIANDRI</t>
  </si>
  <si>
    <t>ANDI SOLEH</t>
  </si>
  <si>
    <t>BENECDITUS FAJAR BUDIARTO</t>
  </si>
  <si>
    <t>GROUP LEADER CBM SOC</t>
  </si>
  <si>
    <t>SOC</t>
  </si>
  <si>
    <t>SUTRIYADI</t>
  </si>
  <si>
    <t xml:space="preserve">SOC </t>
  </si>
  <si>
    <t>WINDU SAPUTRA FEBRIANZAH</t>
  </si>
  <si>
    <t>PANJI WICAKSONO</t>
  </si>
  <si>
    <t>DOMINICUS SUPRAYOGI</t>
  </si>
  <si>
    <t>DODIK WAHYU EDI NUGROHO</t>
  </si>
  <si>
    <t>RAMTIN RAMLI</t>
  </si>
  <si>
    <t>ADE AMSAL PUTRA PURBA</t>
  </si>
  <si>
    <t>JHON WESLEY NAINGGOLAN</t>
  </si>
  <si>
    <t>AGUSTINUS REYAAN</t>
  </si>
  <si>
    <t>PRESLO JOCHARSY HUWAE</t>
  </si>
  <si>
    <t>GIGIH WIDYARTOKO</t>
  </si>
  <si>
    <t>MARSELINUS BRIA</t>
  </si>
  <si>
    <t>YUNI ANDRO LORO</t>
  </si>
  <si>
    <t>HAMZAH</t>
  </si>
  <si>
    <t>GROUP LEADER CBM UPG A</t>
  </si>
  <si>
    <t>RISAL</t>
  </si>
  <si>
    <t>HUSNUR YAQIN</t>
  </si>
  <si>
    <t>FIRMANSYAH</t>
  </si>
  <si>
    <t>NASRUL</t>
  </si>
  <si>
    <t>ARDIYANSYAH</t>
  </si>
  <si>
    <t>PAHRUL</t>
  </si>
  <si>
    <t>FAJAR</t>
  </si>
  <si>
    <t>NAWIR</t>
  </si>
  <si>
    <t>MAHYARUDDIN RAO</t>
  </si>
  <si>
    <t>TERA KANAF</t>
  </si>
  <si>
    <t>FAISAL WALANGADI</t>
  </si>
  <si>
    <t>KYATMA AFRINO SIMBOLON</t>
  </si>
  <si>
    <t>OKTAVIYANTO</t>
  </si>
  <si>
    <t>AINUL YAQIN</t>
  </si>
  <si>
    <t>ANGGA SETIAWAN</t>
  </si>
  <si>
    <t>EDY WARDOYO</t>
  </si>
  <si>
    <t>EFRA ANUGRAWAN</t>
  </si>
  <si>
    <t>INDRA BAGUS PRAMUDIA</t>
  </si>
  <si>
    <t>MUKHAMMAD ZAKARIA</t>
  </si>
  <si>
    <t>YUSUF HERMAWAN</t>
  </si>
  <si>
    <t>MUHAMMAD JIHADDUDDIN RIFQI</t>
  </si>
  <si>
    <t>RIZKI AULIA FAKHRUDDIN</t>
  </si>
  <si>
    <t>ACHMAD INDRAWAN</t>
  </si>
  <si>
    <t>ALI MASHURI</t>
  </si>
  <si>
    <t>ADI SAPUTRO</t>
  </si>
  <si>
    <t>DANI SISWANTO</t>
  </si>
  <si>
    <t>AGUS RACHMAT RATSANJANI</t>
  </si>
  <si>
    <t>SURYO OENTORO WIGUNO</t>
  </si>
  <si>
    <t>MOHAMMAD RIYAN ANDIKA</t>
  </si>
  <si>
    <t>DWI AGUS ARDHIANSYAH</t>
  </si>
  <si>
    <t>ABDUL ROCHIM</t>
  </si>
  <si>
    <t>KACUNG</t>
  </si>
  <si>
    <t>ANDRE PANGGABEAN</t>
  </si>
  <si>
    <t>M DAHRI</t>
  </si>
  <si>
    <t>ANDIKO AFANDI</t>
  </si>
  <si>
    <t>MUHAMMAD FIKRI HARDIANSYAH</t>
  </si>
  <si>
    <t>MULIA TARIGAN</t>
  </si>
  <si>
    <t>FRENGKY SILALAHI</t>
  </si>
  <si>
    <t>DARWIS</t>
  </si>
  <si>
    <t>ABDUL RAHMAN SIREGAR</t>
  </si>
  <si>
    <t>EDY SAPUTRO</t>
  </si>
  <si>
    <t>SAMSUDDIN</t>
  </si>
  <si>
    <t>ANUGRAH SETIA DERMAWAN</t>
  </si>
  <si>
    <t>BAMBANG PERMADI</t>
  </si>
  <si>
    <t>ACH. BUDIHARTO</t>
  </si>
  <si>
    <t>ADITYA RIO FEBRIANTO</t>
  </si>
  <si>
    <t>ADE FAISAL RIZAL RACHMAD</t>
  </si>
  <si>
    <t>HAMID SOSIANG</t>
  </si>
  <si>
    <t>SOSPENER LOMBONTARIANG</t>
  </si>
  <si>
    <t>ZULFAHMI</t>
  </si>
  <si>
    <t>FILMON S MBORO</t>
  </si>
  <si>
    <t>IWANDRY MOOY</t>
  </si>
  <si>
    <t>SIMSON ERASTUS NDOLU</t>
  </si>
  <si>
    <t>HENCI SIKI</t>
  </si>
  <si>
    <t>FAJRIYANZAH</t>
  </si>
  <si>
    <t>YOUSEB DIAN ISTANA</t>
  </si>
  <si>
    <t>CBN</t>
  </si>
  <si>
    <t>BURHANSYAH ALI</t>
  </si>
  <si>
    <t>BARA CHANIAGO</t>
  </si>
  <si>
    <t>MUHAMMAD SYAM</t>
  </si>
  <si>
    <t>MULIADI</t>
  </si>
  <si>
    <t>MHD IBNU SARAGIH</t>
  </si>
  <si>
    <t>EKA SAHPUTRA</t>
  </si>
  <si>
    <t>JUMI ARSA WIBAWA</t>
  </si>
  <si>
    <t>ABDUL MUNIR</t>
  </si>
  <si>
    <t>ARI SAHRIAL</t>
  </si>
  <si>
    <t>GROUP LEADER AIEC UPG B</t>
  </si>
  <si>
    <t xml:space="preserve"> 13-Mar-2012</t>
  </si>
  <si>
    <t>MUHAMMAD FADLI</t>
  </si>
  <si>
    <t>GROUP LEADER AIEC KNO A</t>
  </si>
  <si>
    <t>MISBAHUL MUNIR</t>
  </si>
  <si>
    <t>GROUP LEADER AIEC SUB A</t>
  </si>
  <si>
    <t>FAJAR HAKIM</t>
  </si>
  <si>
    <t>GROUP LEADER AIEC SUB B</t>
  </si>
  <si>
    <t>HADI SUSANTO</t>
  </si>
  <si>
    <t>DIDIK MULYANTO</t>
  </si>
  <si>
    <t>INDRA PRATAMA</t>
  </si>
  <si>
    <t>AL ISRAL</t>
  </si>
  <si>
    <t>M. AKBAR TANJUNG</t>
  </si>
  <si>
    <t>ARIF WAHYU P</t>
  </si>
  <si>
    <t>IRFAN</t>
  </si>
  <si>
    <t>SUTRISMAN</t>
  </si>
  <si>
    <t>M. NASIH</t>
  </si>
  <si>
    <t>BAHARUDDIN ST</t>
  </si>
  <si>
    <t>LOP</t>
  </si>
  <si>
    <t>LALU HIPZUZZIKRI</t>
  </si>
  <si>
    <t>BADIL ANJANI</t>
  </si>
  <si>
    <t>KHUSNUL FADILAH</t>
  </si>
  <si>
    <t>SURVEYOR ( PI )</t>
  </si>
  <si>
    <t>KHALIS NIR SAMBIKALA</t>
  </si>
  <si>
    <t>M. FARHAN FATHURRAHMAN</t>
  </si>
  <si>
    <t>DINA RACHMAWATI</t>
  </si>
  <si>
    <t>JANTER SIMBOLON</t>
  </si>
  <si>
    <t>DENI ANDREANUS</t>
  </si>
  <si>
    <t>JIHAN DWI TAMIRA</t>
  </si>
  <si>
    <t>MUHAMMAD ARFI ABDILLAH</t>
  </si>
  <si>
    <t>RM  IQBAL</t>
  </si>
  <si>
    <t>FAJAR HARAHAP</t>
  </si>
  <si>
    <t>ACHMAD AQILIA RIFAI</t>
  </si>
  <si>
    <t>ARI IRYANTO</t>
  </si>
  <si>
    <t>JUWITA DEVTIA</t>
  </si>
  <si>
    <t>MUHAMMAD SYAIPUL MIZAN</t>
  </si>
  <si>
    <t>SAFITRI SYAILILLAH</t>
  </si>
  <si>
    <t>YEYEN YENI WIDIA</t>
  </si>
  <si>
    <t>ANGGUN KHOIRUNISSA</t>
  </si>
  <si>
    <t>CHAELA FATIMAH</t>
  </si>
  <si>
    <t>21-Aug-24</t>
  </si>
  <si>
    <t>20-Aug-24</t>
  </si>
  <si>
    <t>DAFINA APRIYANI</t>
  </si>
  <si>
    <t>ELSA TRISNAWATI</t>
  </si>
  <si>
    <t>JATMIKO AGUNG INDRAJAT</t>
  </si>
  <si>
    <t>MUHAMAD IRGIANSYAH SAPUTRA</t>
  </si>
  <si>
    <t>MUHAMAD RAKA RADITYA RAMANDA</t>
  </si>
  <si>
    <t>RAHMADANI</t>
  </si>
  <si>
    <t>SEPTIAN DIGA HEMITIA MELKA</t>
  </si>
  <si>
    <t>SYAFANA DWI A F</t>
  </si>
  <si>
    <t>THITANIA KHAIRUNISA</t>
  </si>
  <si>
    <t xml:space="preserve">YAYAT KURNIAWAN </t>
  </si>
  <si>
    <t>HARIS AFENI</t>
  </si>
  <si>
    <t xml:space="preserve">PIC CABIN SUPPORTING </t>
  </si>
  <si>
    <t>20-Aug-13</t>
  </si>
  <si>
    <t>DIAN ADIYANTI</t>
  </si>
  <si>
    <t xml:space="preserve">STAFF CABIN SUPPORTING </t>
  </si>
  <si>
    <t>DWI LESTARI</t>
  </si>
  <si>
    <t>ADITYA RAHMAN</t>
  </si>
  <si>
    <t>BAMBANG YULIARDI</t>
  </si>
  <si>
    <t xml:space="preserve">PIC CBM PROD. INSPECTION </t>
  </si>
  <si>
    <t xml:space="preserve">M. ANDI WAHYU ROSYIDI </t>
  </si>
  <si>
    <t xml:space="preserve">DINDA AL AZKIAH </t>
  </si>
  <si>
    <t xml:space="preserve">M. PAVEL NAFKAH AR FATHAN </t>
  </si>
  <si>
    <t xml:space="preserve">MOHAMAD AKBAR HIDAYAT </t>
  </si>
  <si>
    <t>30-Oct-24</t>
  </si>
  <si>
    <t>29-Oct-24</t>
  </si>
  <si>
    <t>18-Oct-24</t>
  </si>
  <si>
    <t xml:space="preserve">OWEN PARAPAT </t>
  </si>
  <si>
    <t xml:space="preserve">MOCHAMAD ABDUL AJIS </t>
  </si>
  <si>
    <t xml:space="preserve">LUFITA SARI LIANA </t>
  </si>
  <si>
    <t xml:space="preserve">MAULANA RAMADHANI </t>
  </si>
  <si>
    <t>NEILA RUMAINA</t>
  </si>
  <si>
    <t>RAFIDZKI SEJATI</t>
  </si>
  <si>
    <t>TARSISIUS ROGER BENETO PURBA</t>
  </si>
  <si>
    <t>NABILA FITRIA FIRDAUS</t>
  </si>
  <si>
    <t>RIAN ANDIKA SAPUTRA</t>
  </si>
  <si>
    <t xml:space="preserve">FAIZ CHOIRUL NAJIB </t>
  </si>
  <si>
    <t>SALSABILA FAUZIAH AMRAN</t>
  </si>
  <si>
    <t>TEDDY KARUNIAWAN</t>
  </si>
  <si>
    <t xml:space="preserve"> ANDI FEBRI SAHPUTRA ZANDROTO</t>
  </si>
  <si>
    <t xml:space="preserve">RAKAPANYUDI </t>
  </si>
  <si>
    <t>ZEFANYA SILVIA GOSA</t>
  </si>
  <si>
    <t>AFAN EFENDI</t>
  </si>
  <si>
    <t xml:space="preserve">SUARDI </t>
  </si>
  <si>
    <t xml:space="preserve">IKRAM JUIRMAN </t>
  </si>
  <si>
    <t>ROSIMAN</t>
  </si>
  <si>
    <t>KUL</t>
  </si>
  <si>
    <t>BABAY SUHAYANI</t>
  </si>
  <si>
    <t>ISRO MAULANA</t>
  </si>
  <si>
    <t>NU'MAN ERIANDA</t>
  </si>
  <si>
    <t xml:space="preserve">PEMBINA CABIN MAINTENANCE </t>
  </si>
  <si>
    <t>AVIATION SECURITY AND RAMP SAFETY AWARENESS</t>
  </si>
  <si>
    <t>LEVEL II AIRBUS
A318/319/320/321 FOR CABIN MAINTENANCE</t>
  </si>
  <si>
    <t>LEVEL II ATR 72-500/600 FOR CABIN MAINTENANCE</t>
  </si>
  <si>
    <t>Basic Aircraft Exterior dan Interior Cleaning</t>
  </si>
  <si>
    <t>BASIC MANAGEMENT AND 
SUPERVISORY SKILL</t>
  </si>
  <si>
    <t>LEADER AIRCRAFT CABIN PERFORMANCE</t>
  </si>
  <si>
    <t>CABIN MAINTENANCE AND AIEC PLANNER</t>
  </si>
  <si>
    <t>CABIN MAINTENANCE MECHANIC</t>
  </si>
  <si>
    <t>AIRCRAFT PAINTING MECHANIC</t>
  </si>
  <si>
    <t>AIRCRAFT CLEANING</t>
  </si>
  <si>
    <t>10-Jul-2024</t>
  </si>
  <si>
    <t>GROUP LEADER CBM WO/DMI/NSRDIL/TS A</t>
  </si>
  <si>
    <t>GROUP LEADER CBM IRREG &amp; PROJECT B</t>
  </si>
  <si>
    <t>GROUP LEADER CBM WO/DMI/NSRDIL/TS C</t>
  </si>
  <si>
    <t>GROUP LEADER CBM ON-DUTY A</t>
  </si>
  <si>
    <t xml:space="preserve">GROUP LEADER CBM IRREG &amp; SPECIALIST </t>
  </si>
  <si>
    <t>GROUP LEADER CBM OPS C</t>
  </si>
  <si>
    <t>GROUP LEADER AEC A</t>
  </si>
  <si>
    <t>GROUP LEADER AEC B</t>
  </si>
  <si>
    <t>GROUP LEADER AIEC BPN</t>
  </si>
  <si>
    <t>GROUP LEADER CBM DPS</t>
  </si>
  <si>
    <t>GROUP LEADER CBM HLP D</t>
  </si>
  <si>
    <t>GROUP LEADER CBM HLP C</t>
  </si>
  <si>
    <t>GROUP LEADER CBM HLP A</t>
  </si>
  <si>
    <t>GROUP LEADER CBM HLP B</t>
  </si>
  <si>
    <t>GROUP LEADER CBM KOE</t>
  </si>
  <si>
    <t>GROUP LEADER AIEC KOE</t>
  </si>
  <si>
    <t xml:space="preserve">STAFF CBM ON-DUTY A </t>
  </si>
  <si>
    <t xml:space="preserve">STAFF CBM ON-DUTY C </t>
  </si>
  <si>
    <t xml:space="preserve">STAFF CBM ON-DUTY B </t>
  </si>
  <si>
    <t xml:space="preserve">STAFF CBM ON-DUTY D </t>
  </si>
  <si>
    <t xml:space="preserve">GROUP LEADER CBM AMQ </t>
  </si>
  <si>
    <t xml:space="preserve">GROUP LEADER CBM OPS D </t>
  </si>
  <si>
    <t xml:space="preserve">GROUP LEADER CBM PKU </t>
  </si>
  <si>
    <t xml:space="preserve">GROUP LEADER CBM PLM </t>
  </si>
  <si>
    <t>PKU</t>
  </si>
  <si>
    <t>HERDIANSYAH</t>
  </si>
  <si>
    <t/>
  </si>
  <si>
    <t>COMPANY</t>
  </si>
  <si>
    <t>SHEET METAL REPAIR TRAINING</t>
  </si>
  <si>
    <t xml:space="preserve"> 15-Jul-2019</t>
  </si>
  <si>
    <t xml:space="preserve">trainingkan </t>
  </si>
  <si>
    <t>ada sertifikatnya</t>
  </si>
  <si>
    <t xml:space="preserve">ROOT CAUSE ANALYSIS ( RCA ) </t>
  </si>
  <si>
    <t>UNTUNG NELSON MANULU</t>
  </si>
  <si>
    <t>MECHANIC CBM</t>
  </si>
  <si>
    <t>HAMSAH RIADI</t>
  </si>
  <si>
    <t xml:space="preserve">MOHAMMAD ABU SOFYAN </t>
  </si>
  <si>
    <t>BELUM DAPAT SCHEDULE</t>
  </si>
  <si>
    <t xml:space="preserve">SCHEDULE SEP </t>
  </si>
  <si>
    <t>SCHEDULE OCT</t>
  </si>
  <si>
    <t>training oct</t>
  </si>
  <si>
    <t>BASIC MANAGEMENT &amp; SUPERVISORY SKILLS</t>
  </si>
  <si>
    <t xml:space="preserve"> 30-Sep-2015 </t>
  </si>
  <si>
    <t>NOV</t>
  </si>
  <si>
    <t>05OC2026</t>
  </si>
  <si>
    <t xml:space="preserve">BASIC INSTRUCTUR 
TRAINING (BIT)
</t>
  </si>
  <si>
    <t xml:space="preserve">BASIC AIRCRAFT EXTERIOR DAN INTERIOR CLEANING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</si>
</sst>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[$-409]d\-mmm\-yy;@"/>
    <numFmt numFmtId="165" formatCode="d\-mmm\-yy;@"/>
    <numFmt numFmtId="166" formatCode="[$-409]dd\-mmm\-yy;@"/>
    <numFmt numFmtId="167" formatCode="[$-409]mmmm\-yy;@"/>
    <numFmt numFmtId="168" formatCode="[$-409]d/mmm/yy;@"/>
    <numFmt numFmtId="169" formatCode="[$-409]mmmm/yy;@"/>
    <numFmt numFmtId="170" formatCode="[$-409]dd\-mmm\-yy"/>
    <numFmt numFmtId="171" formatCode="dd\-mmm\-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0"/>
      <name val="Arial Narrow"/>
      <family val="2"/>
    </font>
    <font>
      <b/>
      <sz val="10"/>
      <color indexed="8"/>
      <name val="Arial Narrow"/>
      <family val="2"/>
    </font>
    <font>
      <b/>
      <sz val="8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"/>
      <family val="2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sz val="11"/>
      <color theme="1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Tahoma"/>
      <family val="2"/>
    </font>
    <font>
      <sz val="11"/>
      <name val="Calibri"/>
      <family val="2"/>
      <scheme val="minor"/>
    </font>
    <font>
      <sz val="8"/>
      <color theme="1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8"/>
      <color rgb="FF717171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50"/>
      </patternFill>
    </fill>
    <fill>
      <patternFill patternType="solid">
        <fgColor theme="0" tint="-4.9989318521683403E-2"/>
        <bgColor indexed="50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rgb="FFBFBFBF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rgb="FFBFBFBF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3">
    <xf numFmtId="0" fontId="0" fillId="0" borderId="0"/>
    <xf numFmtId="0" fontId="3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9" fillId="0" borderId="0"/>
    <xf numFmtId="167" fontId="1" fillId="0" borderId="0"/>
    <xf numFmtId="0" fontId="5" fillId="0" borderId="0"/>
    <xf numFmtId="0" fontId="10" fillId="0" borderId="0"/>
    <xf numFmtId="0" fontId="5" fillId="0" borderId="1">
      <alignment vertical="top"/>
      <protection locked="0"/>
    </xf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169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9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</cellStyleXfs>
  <cellXfs count="312">
    <xf numFmtId="0" fontId="0" fillId="0" borderId="0" xfId="0"/>
    <xf numFmtId="0" fontId="13" fillId="5" borderId="11" xfId="0" applyFont="1" applyFill="1" applyBorder="1"/>
    <xf numFmtId="14" fontId="11" fillId="11" borderId="11" xfId="0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wrapText="1"/>
    </xf>
    <xf numFmtId="165" fontId="6" fillId="10" borderId="11" xfId="0" applyNumberFormat="1" applyFont="1" applyFill="1" applyBorder="1" applyAlignment="1">
      <alignment horizontal="center" vertical="center" textRotation="90"/>
    </xf>
    <xf numFmtId="165" fontId="6" fillId="10" borderId="11" xfId="0" applyNumberFormat="1" applyFont="1" applyFill="1" applyBorder="1" applyAlignment="1">
      <alignment horizontal="center" vertical="center" textRotation="90" wrapText="1"/>
    </xf>
    <xf numFmtId="166" fontId="4" fillId="5" borderId="11" xfId="11" applyNumberFormat="1" applyFont="1" applyFill="1" applyBorder="1" applyAlignment="1">
      <alignment horizontal="center" vertical="center"/>
    </xf>
    <xf numFmtId="15" fontId="4" fillId="0" borderId="11" xfId="0" applyNumberFormat="1" applyFont="1" applyFill="1" applyBorder="1" applyAlignment="1">
      <alignment horizontal="center" vertical="center"/>
    </xf>
    <xf numFmtId="164" fontId="4" fillId="0" borderId="11" xfId="0" applyNumberFormat="1" applyFont="1" applyFill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 wrapText="1"/>
    </xf>
    <xf numFmtId="0" fontId="4" fillId="5" borderId="11" xfId="14" applyFont="1" applyFill="1" applyBorder="1" applyAlignment="1">
      <alignment horizontal="center" vertical="center"/>
    </xf>
    <xf numFmtId="165" fontId="4" fillId="0" borderId="11" xfId="0" applyNumberFormat="1" applyFont="1" applyFill="1" applyBorder="1" applyAlignment="1">
      <alignment horizontal="center" vertical="center" wrapText="1"/>
    </xf>
    <xf numFmtId="15" fontId="4" fillId="5" borderId="11" xfId="0" quotePrefix="1" applyNumberFormat="1" applyFont="1" applyFill="1" applyBorder="1" applyAlignment="1">
      <alignment horizontal="center" vertical="center"/>
    </xf>
    <xf numFmtId="0" fontId="4" fillId="5" borderId="11" xfId="37" applyFont="1" applyFill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4" fontId="4" fillId="5" borderId="11" xfId="15" applyNumberFormat="1" applyFont="1" applyFill="1" applyBorder="1" applyAlignment="1">
      <alignment horizontal="center" vertical="center"/>
    </xf>
    <xf numFmtId="0" fontId="4" fillId="5" borderId="11" xfId="21" applyFont="1" applyFill="1" applyBorder="1" applyAlignment="1">
      <alignment horizontal="center" vertical="center"/>
    </xf>
    <xf numFmtId="166" fontId="4" fillId="5" borderId="11" xfId="0" applyNumberFormat="1" applyFont="1" applyFill="1" applyBorder="1" applyAlignment="1">
      <alignment horizontal="center" vertical="center"/>
    </xf>
    <xf numFmtId="166" fontId="4" fillId="0" borderId="11" xfId="0" applyNumberFormat="1" applyFont="1" applyFill="1" applyBorder="1" applyAlignment="1">
      <alignment horizontal="center" vertical="center"/>
    </xf>
    <xf numFmtId="164" fontId="4" fillId="5" borderId="11" xfId="0" applyNumberFormat="1" applyFont="1" applyFill="1" applyBorder="1" applyAlignment="1">
      <alignment horizontal="center" vertical="center"/>
    </xf>
    <xf numFmtId="0" fontId="4" fillId="5" borderId="11" xfId="39" applyFont="1" applyFill="1" applyBorder="1" applyAlignment="1">
      <alignment horizontal="center" vertical="center"/>
    </xf>
    <xf numFmtId="0" fontId="4" fillId="5" borderId="11" xfId="13" applyFont="1" applyFill="1" applyBorder="1" applyAlignment="1">
      <alignment horizontal="center" vertical="center"/>
    </xf>
    <xf numFmtId="164" fontId="4" fillId="5" borderId="11" xfId="21" applyNumberFormat="1" applyFont="1" applyFill="1" applyBorder="1" applyAlignment="1">
      <alignment horizontal="center" vertical="center"/>
    </xf>
    <xf numFmtId="170" fontId="4" fillId="0" borderId="11" xfId="0" applyNumberFormat="1" applyFont="1" applyFill="1" applyBorder="1" applyAlignment="1">
      <alignment horizontal="center" vertical="center"/>
    </xf>
    <xf numFmtId="0" fontId="4" fillId="0" borderId="11" xfId="0" quotePrefix="1" applyFont="1" applyFill="1" applyBorder="1" applyAlignment="1">
      <alignment horizontal="center" vertical="center"/>
    </xf>
    <xf numFmtId="166" fontId="4" fillId="0" borderId="11" xfId="0" quotePrefix="1" applyNumberFormat="1" applyFont="1" applyBorder="1" applyAlignment="1">
      <alignment horizontal="center" vertical="center"/>
    </xf>
    <xf numFmtId="166" fontId="4" fillId="5" borderId="11" xfId="0" quotePrefix="1" applyNumberFormat="1" applyFont="1" applyFill="1" applyBorder="1" applyAlignment="1">
      <alignment horizontal="center" vertical="center"/>
    </xf>
    <xf numFmtId="170" fontId="4" fillId="5" borderId="11" xfId="0" applyNumberFormat="1" applyFont="1" applyFill="1" applyBorder="1" applyAlignment="1">
      <alignment horizontal="center" vertical="center"/>
    </xf>
    <xf numFmtId="164" fontId="4" fillId="0" borderId="11" xfId="0" quotePrefix="1" applyNumberFormat="1" applyFont="1" applyFill="1" applyBorder="1" applyAlignment="1">
      <alignment horizontal="center" vertical="center"/>
    </xf>
    <xf numFmtId="165" fontId="6" fillId="2" borderId="11" xfId="0" applyNumberFormat="1" applyFont="1" applyFill="1" applyBorder="1" applyAlignment="1">
      <alignment horizontal="center" vertical="center" textRotation="90"/>
    </xf>
    <xf numFmtId="0" fontId="11" fillId="5" borderId="0" xfId="0" quotePrefix="1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center" vertical="center"/>
    </xf>
    <xf numFmtId="0" fontId="12" fillId="9" borderId="11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vertical="center" wrapText="1"/>
    </xf>
    <xf numFmtId="0" fontId="12" fillId="9" borderId="11" xfId="0" applyNumberFormat="1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/>
    </xf>
    <xf numFmtId="0" fontId="4" fillId="5" borderId="11" xfId="11" applyFont="1" applyFill="1" applyBorder="1" applyAlignment="1">
      <alignment horizontal="center" vertical="center"/>
    </xf>
    <xf numFmtId="15" fontId="4" fillId="5" borderId="11" xfId="0" applyNumberFormat="1" applyFont="1" applyFill="1" applyBorder="1" applyAlignment="1">
      <alignment horizontal="center" vertical="center"/>
    </xf>
    <xf numFmtId="165" fontId="4" fillId="5" borderId="11" xfId="0" applyNumberFormat="1" applyFont="1" applyFill="1" applyBorder="1" applyAlignment="1">
      <alignment horizontal="center" vertical="center" wrapText="1"/>
    </xf>
    <xf numFmtId="164" fontId="4" fillId="0" borderId="11" xfId="15" applyNumberFormat="1" applyFont="1" applyFill="1" applyBorder="1" applyAlignment="1">
      <alignment horizontal="center" vertical="center" wrapText="1"/>
    </xf>
    <xf numFmtId="15" fontId="4" fillId="0" borderId="11" xfId="0" quotePrefix="1" applyNumberFormat="1" applyFont="1" applyFill="1" applyBorder="1" applyAlignment="1">
      <alignment horizontal="center" vertical="center"/>
    </xf>
    <xf numFmtId="165" fontId="4" fillId="5" borderId="11" xfId="0" quotePrefix="1" applyNumberFormat="1" applyFont="1" applyFill="1" applyBorder="1" applyAlignment="1">
      <alignment horizontal="center" vertical="center" wrapText="1"/>
    </xf>
    <xf numFmtId="164" fontId="4" fillId="5" borderId="11" xfId="15" applyNumberFormat="1" applyFont="1" applyFill="1" applyBorder="1" applyAlignment="1">
      <alignment horizontal="center" vertical="center" wrapText="1"/>
    </xf>
    <xf numFmtId="0" fontId="4" fillId="5" borderId="11" xfId="42" applyFont="1" applyFill="1" applyBorder="1" applyAlignment="1">
      <alignment horizontal="center" vertical="center"/>
    </xf>
    <xf numFmtId="0" fontId="4" fillId="5" borderId="11" xfId="21" applyNumberFormat="1" applyFont="1" applyFill="1" applyBorder="1" applyAlignment="1">
      <alignment horizontal="center" vertical="center"/>
    </xf>
    <xf numFmtId="0" fontId="4" fillId="5" borderId="11" xfId="33" applyNumberFormat="1" applyFont="1" applyFill="1" applyBorder="1" applyAlignment="1">
      <alignment horizontal="center" vertical="center"/>
    </xf>
    <xf numFmtId="166" fontId="4" fillId="5" borderId="11" xfId="21" applyNumberFormat="1" applyFont="1" applyFill="1" applyBorder="1" applyAlignment="1">
      <alignment horizontal="center" vertical="center"/>
    </xf>
    <xf numFmtId="166" fontId="4" fillId="0" borderId="11" xfId="21" applyNumberFormat="1" applyFont="1" applyFill="1" applyBorder="1" applyAlignment="1">
      <alignment horizontal="center" vertical="center"/>
    </xf>
    <xf numFmtId="166" fontId="4" fillId="0" borderId="11" xfId="21" quotePrefix="1" applyNumberFormat="1" applyFont="1" applyFill="1" applyBorder="1" applyAlignment="1">
      <alignment horizontal="center" vertical="center"/>
    </xf>
    <xf numFmtId="164" fontId="12" fillId="9" borderId="11" xfId="0" applyNumberFormat="1" applyFont="1" applyFill="1" applyBorder="1" applyAlignment="1">
      <alignment horizontal="center" vertical="center" wrapText="1"/>
    </xf>
    <xf numFmtId="165" fontId="6" fillId="11" borderId="15" xfId="0" applyNumberFormat="1" applyFont="1" applyFill="1" applyBorder="1" applyAlignment="1">
      <alignment horizontal="center" vertical="center" textRotation="90"/>
    </xf>
    <xf numFmtId="166" fontId="4" fillId="5" borderId="11" xfId="21" quotePrefix="1" applyNumberFormat="1" applyFont="1" applyFill="1" applyBorder="1" applyAlignment="1">
      <alignment horizontal="center" vertical="center"/>
    </xf>
    <xf numFmtId="166" fontId="4" fillId="4" borderId="11" xfId="21" applyNumberFormat="1" applyFont="1" applyFill="1" applyBorder="1" applyAlignment="1">
      <alignment horizontal="center" vertical="center"/>
    </xf>
    <xf numFmtId="15" fontId="4" fillId="4" borderId="11" xfId="0" applyNumberFormat="1" applyFont="1" applyFill="1" applyBorder="1" applyAlignment="1">
      <alignment horizontal="center" vertical="center"/>
    </xf>
    <xf numFmtId="164" fontId="4" fillId="4" borderId="11" xfId="15" applyNumberFormat="1" applyFont="1" applyFill="1" applyBorder="1" applyAlignment="1">
      <alignment horizontal="center" vertical="center" wrapText="1"/>
    </xf>
    <xf numFmtId="0" fontId="0" fillId="0" borderId="0" xfId="0"/>
    <xf numFmtId="0" fontId="2" fillId="0" borderId="3" xfId="0" applyFont="1" applyBorder="1"/>
    <xf numFmtId="0" fontId="2" fillId="0" borderId="4" xfId="0" applyFont="1" applyBorder="1"/>
    <xf numFmtId="0" fontId="0" fillId="0" borderId="2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2" xfId="0" applyFont="1" applyBorder="1"/>
    <xf numFmtId="0" fontId="0" fillId="0" borderId="5" xfId="0" applyFont="1" applyBorder="1"/>
    <xf numFmtId="0" fontId="0" fillId="0" borderId="6" xfId="0" applyFont="1" applyBorder="1" applyAlignment="1">
      <alignment horizontal="center" vertical="center"/>
    </xf>
    <xf numFmtId="0" fontId="0" fillId="0" borderId="6" xfId="0" applyFont="1" applyBorder="1"/>
    <xf numFmtId="0" fontId="0" fillId="0" borderId="7" xfId="0" applyFont="1" applyBorder="1"/>
    <xf numFmtId="0" fontId="2" fillId="8" borderId="8" xfId="0" applyFont="1" applyFill="1" applyBorder="1" applyAlignment="1">
      <alignment horizontal="center" vertical="center" textRotation="90" wrapText="1"/>
    </xf>
    <xf numFmtId="0" fontId="2" fillId="8" borderId="9" xfId="0" applyFont="1" applyFill="1" applyBorder="1" applyAlignment="1">
      <alignment horizontal="center" vertical="center" textRotation="90" wrapText="1"/>
    </xf>
    <xf numFmtId="0" fontId="2" fillId="8" borderId="10" xfId="0" applyFont="1" applyFill="1" applyBorder="1" applyAlignment="1">
      <alignment horizontal="center" vertical="center" textRotation="90" wrapText="1"/>
    </xf>
    <xf numFmtId="166" fontId="4" fillId="15" borderId="11" xfId="21" applyNumberFormat="1" applyFont="1" applyFill="1" applyBorder="1" applyAlignment="1">
      <alignment horizontal="center" vertical="center"/>
    </xf>
    <xf numFmtId="166" fontId="4" fillId="15" borderId="11" xfId="0" applyNumberFormat="1" applyFont="1" applyFill="1" applyBorder="1" applyAlignment="1">
      <alignment horizontal="center" vertical="center"/>
    </xf>
    <xf numFmtId="15" fontId="4" fillId="15" borderId="11" xfId="0" quotePrefix="1" applyNumberFormat="1" applyFont="1" applyFill="1" applyBorder="1" applyAlignment="1">
      <alignment horizontal="center" vertical="center"/>
    </xf>
    <xf numFmtId="15" fontId="4" fillId="15" borderId="11" xfId="0" applyNumberFormat="1" applyFont="1" applyFill="1" applyBorder="1" applyAlignment="1">
      <alignment horizontal="center" vertical="center"/>
    </xf>
    <xf numFmtId="166" fontId="4" fillId="15" borderId="11" xfId="0" quotePrefix="1" applyNumberFormat="1" applyFont="1" applyFill="1" applyBorder="1" applyAlignment="1">
      <alignment horizontal="center" vertical="center"/>
    </xf>
    <xf numFmtId="166" fontId="4" fillId="4" borderId="11" xfId="0" applyNumberFormat="1" applyFont="1" applyFill="1" applyBorder="1" applyAlignment="1">
      <alignment horizontal="center" vertical="center"/>
    </xf>
    <xf numFmtId="0" fontId="0" fillId="5" borderId="0" xfId="0" applyFill="1"/>
    <xf numFmtId="15" fontId="4" fillId="15" borderId="11" xfId="0" applyNumberFormat="1" applyFont="1" applyFill="1" applyBorder="1" applyAlignment="1">
      <alignment horizontal="center" vertical="center" wrapText="1"/>
    </xf>
    <xf numFmtId="15" fontId="4" fillId="4" borderId="11" xfId="0" quotePrefix="1" applyNumberFormat="1" applyFont="1" applyFill="1" applyBorder="1" applyAlignment="1">
      <alignment horizontal="center" vertical="center"/>
    </xf>
    <xf numFmtId="166" fontId="4" fillId="4" borderId="11" xfId="0" quotePrefix="1" applyNumberFormat="1" applyFont="1" applyFill="1" applyBorder="1" applyAlignment="1">
      <alignment horizontal="center" vertical="center"/>
    </xf>
    <xf numFmtId="0" fontId="4" fillId="4" borderId="11" xfId="0" quotePrefix="1" applyFont="1" applyFill="1" applyBorder="1" applyAlignment="1">
      <alignment horizontal="center" vertical="center"/>
    </xf>
    <xf numFmtId="15" fontId="4" fillId="4" borderId="11" xfId="0" applyNumberFormat="1" applyFont="1" applyFill="1" applyBorder="1" applyAlignment="1">
      <alignment horizontal="center" vertical="center" wrapText="1"/>
    </xf>
    <xf numFmtId="164" fontId="4" fillId="4" borderId="11" xfId="0" applyNumberFormat="1" applyFont="1" applyFill="1" applyBorder="1" applyAlignment="1">
      <alignment horizontal="center" vertical="center"/>
    </xf>
    <xf numFmtId="165" fontId="4" fillId="4" borderId="11" xfId="0" applyNumberFormat="1" applyFont="1" applyFill="1" applyBorder="1" applyAlignment="1">
      <alignment horizontal="center" vertical="center" wrapText="1"/>
    </xf>
    <xf numFmtId="165" fontId="4" fillId="4" borderId="11" xfId="0" quotePrefix="1" applyNumberFormat="1" applyFont="1" applyFill="1" applyBorder="1" applyAlignment="1">
      <alignment horizontal="center" vertical="center" wrapText="1"/>
    </xf>
    <xf numFmtId="165" fontId="6" fillId="11" borderId="11" xfId="0" applyNumberFormat="1" applyFont="1" applyFill="1" applyBorder="1" applyAlignment="1">
      <alignment horizontal="center" vertical="center" textRotation="90"/>
    </xf>
    <xf numFmtId="165" fontId="6" fillId="12" borderId="11" xfId="0" applyNumberFormat="1" applyFont="1" applyFill="1" applyBorder="1" applyAlignment="1">
      <alignment horizontal="center" vertical="center" textRotation="90" wrapText="1"/>
    </xf>
    <xf numFmtId="165" fontId="6" fillId="12" borderId="11" xfId="0" applyNumberFormat="1" applyFont="1" applyFill="1" applyBorder="1" applyAlignment="1">
      <alignment horizontal="center" vertical="center" textRotation="90"/>
    </xf>
    <xf numFmtId="166" fontId="4" fillId="5" borderId="2" xfId="0" applyNumberFormat="1" applyFont="1" applyFill="1" applyBorder="1" applyAlignment="1">
      <alignment horizontal="center" vertical="center"/>
    </xf>
    <xf numFmtId="166" fontId="4" fillId="0" borderId="13" xfId="21" applyNumberFormat="1" applyFont="1" applyFill="1" applyBorder="1" applyAlignment="1">
      <alignment horizontal="center" vertical="center"/>
    </xf>
    <xf numFmtId="164" fontId="4" fillId="5" borderId="14" xfId="15" applyNumberFormat="1" applyFont="1" applyFill="1" applyBorder="1" applyAlignment="1">
      <alignment horizontal="center" vertical="center"/>
    </xf>
    <xf numFmtId="164" fontId="4" fillId="5" borderId="2" xfId="15" applyNumberFormat="1" applyFont="1" applyFill="1" applyBorder="1" applyAlignment="1">
      <alignment horizontal="center" vertical="center"/>
    </xf>
    <xf numFmtId="166" fontId="4" fillId="5" borderId="2" xfId="21" applyNumberFormat="1" applyFont="1" applyFill="1" applyBorder="1" applyAlignment="1">
      <alignment horizontal="center" vertical="center"/>
    </xf>
    <xf numFmtId="15" fontId="4" fillId="0" borderId="2" xfId="0" applyNumberFormat="1" applyFont="1" applyFill="1" applyBorder="1" applyAlignment="1">
      <alignment horizontal="center" vertical="center"/>
    </xf>
    <xf numFmtId="164" fontId="4" fillId="5" borderId="17" xfId="15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166" fontId="4" fillId="4" borderId="11" xfId="11" applyNumberFormat="1" applyFont="1" applyFill="1" applyBorder="1" applyAlignment="1">
      <alignment horizontal="center" vertical="center"/>
    </xf>
    <xf numFmtId="166" fontId="8" fillId="4" borderId="11" xfId="0" applyNumberFormat="1" applyFont="1" applyFill="1" applyBorder="1" applyAlignment="1">
      <alignment horizontal="center" vertical="center"/>
    </xf>
    <xf numFmtId="164" fontId="8" fillId="4" borderId="11" xfId="0" applyNumberFormat="1" applyFont="1" applyFill="1" applyBorder="1" applyAlignment="1">
      <alignment horizontal="center" vertical="center"/>
    </xf>
    <xf numFmtId="165" fontId="8" fillId="4" borderId="11" xfId="0" quotePrefix="1" applyNumberFormat="1" applyFont="1" applyFill="1" applyBorder="1" applyAlignment="1">
      <alignment horizontal="center" vertical="center" wrapText="1"/>
    </xf>
    <xf numFmtId="15" fontId="8" fillId="4" borderId="11" xfId="0" quotePrefix="1" applyNumberFormat="1" applyFont="1" applyFill="1" applyBorder="1" applyAlignment="1">
      <alignment horizontal="center" vertical="center"/>
    </xf>
    <xf numFmtId="170" fontId="4" fillId="4" borderId="11" xfId="0" applyNumberFormat="1" applyFont="1" applyFill="1" applyBorder="1" applyAlignment="1">
      <alignment horizontal="center" vertical="center"/>
    </xf>
    <xf numFmtId="164" fontId="8" fillId="4" borderId="11" xfId="15" applyNumberFormat="1" applyFont="1" applyFill="1" applyBorder="1" applyAlignment="1">
      <alignment horizontal="center" vertical="center" wrapText="1"/>
    </xf>
    <xf numFmtId="164" fontId="4" fillId="4" borderId="11" xfId="15" applyNumberFormat="1" applyFont="1" applyFill="1" applyBorder="1" applyAlignment="1">
      <alignment horizontal="center" vertical="center"/>
    </xf>
    <xf numFmtId="166" fontId="8" fillId="4" borderId="11" xfId="11" applyNumberFormat="1" applyFont="1" applyFill="1" applyBorder="1" applyAlignment="1">
      <alignment horizontal="center" vertical="center"/>
    </xf>
    <xf numFmtId="166" fontId="4" fillId="4" borderId="11" xfId="21" quotePrefix="1" applyNumberFormat="1" applyFont="1" applyFill="1" applyBorder="1" applyAlignment="1">
      <alignment horizontal="center" vertical="center"/>
    </xf>
    <xf numFmtId="166" fontId="4" fillId="4" borderId="12" xfId="21" applyNumberFormat="1" applyFont="1" applyFill="1" applyBorder="1" applyAlignment="1">
      <alignment horizontal="center" vertical="center"/>
    </xf>
    <xf numFmtId="164" fontId="4" fillId="4" borderId="16" xfId="15" applyNumberFormat="1" applyFont="1" applyFill="1" applyBorder="1" applyAlignment="1">
      <alignment horizontal="center" vertical="center"/>
    </xf>
    <xf numFmtId="164" fontId="4" fillId="4" borderId="14" xfId="15" applyNumberFormat="1" applyFont="1" applyFill="1" applyBorder="1" applyAlignment="1">
      <alignment horizontal="center" vertical="center"/>
    </xf>
    <xf numFmtId="0" fontId="4" fillId="15" borderId="11" xfId="0" applyNumberFormat="1" applyFont="1" applyFill="1" applyBorder="1" applyAlignment="1" applyProtection="1">
      <alignment horizontal="center" vertical="center"/>
      <protection hidden="1"/>
    </xf>
    <xf numFmtId="15" fontId="4" fillId="5" borderId="2" xfId="0" applyNumberFormat="1" applyFont="1" applyFill="1" applyBorder="1" applyAlignment="1">
      <alignment horizontal="center" vertical="center"/>
    </xf>
    <xf numFmtId="15" fontId="4" fillId="5" borderId="2" xfId="0" quotePrefix="1" applyNumberFormat="1" applyFont="1" applyFill="1" applyBorder="1" applyAlignment="1">
      <alignment horizontal="center" vertical="center"/>
    </xf>
    <xf numFmtId="165" fontId="6" fillId="11" borderId="11" xfId="0" applyNumberFormat="1" applyFont="1" applyFill="1" applyBorder="1" applyAlignment="1">
      <alignment horizontal="center" vertical="center" textRotation="90"/>
    </xf>
    <xf numFmtId="164" fontId="4" fillId="4" borderId="17" xfId="15" applyNumberFormat="1" applyFont="1" applyFill="1" applyBorder="1" applyAlignment="1">
      <alignment horizontal="center" vertical="center"/>
    </xf>
    <xf numFmtId="0" fontId="4" fillId="0" borderId="13" xfId="21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5" fontId="4" fillId="4" borderId="2" xfId="0" applyNumberFormat="1" applyFont="1" applyFill="1" applyBorder="1" applyAlignment="1">
      <alignment horizontal="center" vertical="center"/>
    </xf>
    <xf numFmtId="166" fontId="4" fillId="5" borderId="2" xfId="11" quotePrefix="1" applyNumberFormat="1" applyFont="1" applyFill="1" applyBorder="1" applyAlignment="1">
      <alignment horizontal="center" vertical="center"/>
    </xf>
    <xf numFmtId="15" fontId="4" fillId="15" borderId="11" xfId="0" quotePrefix="1" applyNumberFormat="1" applyFont="1" applyFill="1" applyBorder="1" applyAlignment="1">
      <alignment horizontal="center" vertical="center" wrapText="1"/>
    </xf>
    <xf numFmtId="0" fontId="4" fillId="5" borderId="2" xfId="21" applyNumberFormat="1" applyFont="1" applyFill="1" applyBorder="1" applyAlignment="1">
      <alignment horizontal="center" vertical="center"/>
    </xf>
    <xf numFmtId="0" fontId="4" fillId="5" borderId="2" xfId="33" applyNumberFormat="1" applyFont="1" applyFill="1" applyBorder="1" applyAlignment="1">
      <alignment horizontal="center" vertical="center"/>
    </xf>
    <xf numFmtId="0" fontId="4" fillId="5" borderId="2" xfId="21" applyFont="1" applyFill="1" applyBorder="1" applyAlignment="1">
      <alignment horizontal="center" vertical="center"/>
    </xf>
    <xf numFmtId="165" fontId="4" fillId="5" borderId="2" xfId="0" quotePrefix="1" applyNumberFormat="1" applyFont="1" applyFill="1" applyBorder="1" applyAlignment="1">
      <alignment horizontal="center" vertical="center" wrapText="1"/>
    </xf>
    <xf numFmtId="165" fontId="6" fillId="11" borderId="11" xfId="0" applyNumberFormat="1" applyFont="1" applyFill="1" applyBorder="1" applyAlignment="1">
      <alignment horizontal="center" vertical="center" textRotation="90"/>
    </xf>
    <xf numFmtId="15" fontId="0" fillId="0" borderId="18" xfId="0" applyNumberFormat="1" applyBorder="1" applyAlignment="1">
      <alignment horizontal="center" vertical="center"/>
    </xf>
    <xf numFmtId="171" fontId="0" fillId="0" borderId="20" xfId="0" applyNumberFormat="1" applyBorder="1" applyAlignment="1">
      <alignment horizontal="center" vertical="center"/>
    </xf>
    <xf numFmtId="15" fontId="4" fillId="0" borderId="15" xfId="0" applyNumberFormat="1" applyFont="1" applyFill="1" applyBorder="1" applyAlignment="1">
      <alignment horizontal="center" vertical="center"/>
    </xf>
    <xf numFmtId="15" fontId="4" fillId="4" borderId="12" xfId="0" quotePrefix="1" applyNumberFormat="1" applyFont="1" applyFill="1" applyBorder="1" applyAlignment="1">
      <alignment horizontal="center" vertical="center"/>
    </xf>
    <xf numFmtId="15" fontId="18" fillId="0" borderId="2" xfId="0" applyNumberFormat="1" applyFont="1" applyBorder="1" applyAlignment="1">
      <alignment horizontal="center" vertical="center"/>
    </xf>
    <xf numFmtId="0" fontId="4" fillId="4" borderId="11" xfId="0" applyNumberFormat="1" applyFont="1" applyFill="1" applyBorder="1" applyAlignment="1" applyProtection="1">
      <alignment horizontal="center" vertical="center"/>
      <protection hidden="1"/>
    </xf>
    <xf numFmtId="0" fontId="4" fillId="4" borderId="11" xfId="0" applyFont="1" applyFill="1" applyBorder="1" applyAlignment="1">
      <alignment horizontal="center" vertical="center" wrapText="1"/>
    </xf>
    <xf numFmtId="0" fontId="0" fillId="4" borderId="0" xfId="0" applyFill="1"/>
    <xf numFmtId="0" fontId="0" fillId="15" borderId="0" xfId="0" applyFill="1"/>
    <xf numFmtId="0" fontId="19" fillId="3" borderId="0" xfId="0" applyFont="1" applyFill="1"/>
    <xf numFmtId="165" fontId="6" fillId="16" borderId="11" xfId="0" applyNumberFormat="1" applyFont="1" applyFill="1" applyBorder="1" applyAlignment="1">
      <alignment horizontal="center" vertical="center" textRotation="90"/>
    </xf>
    <xf numFmtId="0" fontId="4" fillId="4" borderId="11" xfId="11" applyFont="1" applyFill="1" applyBorder="1" applyAlignment="1">
      <alignment horizontal="center" vertical="center"/>
    </xf>
    <xf numFmtId="0" fontId="4" fillId="17" borderId="11" xfId="0" applyFont="1" applyFill="1" applyBorder="1" applyAlignment="1">
      <alignment horizontal="center" vertical="center"/>
    </xf>
    <xf numFmtId="0" fontId="4" fillId="17" borderId="11" xfId="0" applyFont="1" applyFill="1" applyBorder="1" applyAlignment="1">
      <alignment horizontal="center" vertical="center" wrapText="1"/>
    </xf>
    <xf numFmtId="164" fontId="4" fillId="5" borderId="2" xfId="15" applyNumberFormat="1" applyFont="1" applyFill="1" applyBorder="1" applyAlignment="1">
      <alignment horizontal="center" vertical="center" wrapText="1"/>
    </xf>
    <xf numFmtId="165" fontId="21" fillId="5" borderId="0" xfId="0" applyNumberFormat="1" applyFont="1" applyFill="1" applyBorder="1" applyAlignment="1">
      <alignment horizontal="center" vertical="center" wrapText="1"/>
    </xf>
    <xf numFmtId="0" fontId="20" fillId="5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1" fontId="4" fillId="5" borderId="2" xfId="22" applyNumberFormat="1" applyFont="1" applyFill="1" applyBorder="1" applyAlignment="1" applyProtection="1">
      <alignment horizontal="center" vertical="center" wrapText="1"/>
      <protection locked="0"/>
    </xf>
    <xf numFmtId="0" fontId="4" fillId="5" borderId="2" xfId="11" applyFont="1" applyFill="1" applyBorder="1" applyAlignment="1">
      <alignment horizontal="center" vertical="center"/>
    </xf>
    <xf numFmtId="165" fontId="21" fillId="5" borderId="2" xfId="0" applyNumberFormat="1" applyFont="1" applyFill="1" applyBorder="1" applyAlignment="1">
      <alignment horizontal="center" vertical="center" wrapText="1"/>
    </xf>
    <xf numFmtId="15" fontId="20" fillId="5" borderId="2" xfId="0" applyNumberFormat="1" applyFont="1" applyFill="1" applyBorder="1" applyAlignment="1">
      <alignment horizontal="center" vertical="center"/>
    </xf>
    <xf numFmtId="15" fontId="20" fillId="0" borderId="2" xfId="0" applyNumberFormat="1" applyFont="1" applyFill="1" applyBorder="1" applyAlignment="1">
      <alignment horizontal="center" vertical="center"/>
    </xf>
    <xf numFmtId="164" fontId="20" fillId="0" borderId="2" xfId="0" applyNumberFormat="1" applyFont="1" applyFill="1" applyBorder="1" applyAlignment="1">
      <alignment horizontal="center" vertical="center"/>
    </xf>
    <xf numFmtId="0" fontId="20" fillId="0" borderId="0" xfId="0" applyFont="1"/>
    <xf numFmtId="0" fontId="14" fillId="9" borderId="14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 wrapText="1"/>
    </xf>
    <xf numFmtId="0" fontId="12" fillId="9" borderId="14" xfId="0" applyFont="1" applyFill="1" applyBorder="1" applyAlignment="1">
      <alignment vertical="center" wrapText="1"/>
    </xf>
    <xf numFmtId="0" fontId="12" fillId="9" borderId="14" xfId="0" applyNumberFormat="1" applyFont="1" applyFill="1" applyBorder="1" applyAlignment="1">
      <alignment horizontal="center" vertical="center" wrapText="1"/>
    </xf>
    <xf numFmtId="164" fontId="12" fillId="9" borderId="14" xfId="0" applyNumberFormat="1" applyFont="1" applyFill="1" applyBorder="1" applyAlignment="1">
      <alignment horizontal="center" vertical="center" wrapText="1"/>
    </xf>
    <xf numFmtId="0" fontId="12" fillId="0" borderId="14" xfId="0" applyNumberFormat="1" applyFont="1" applyFill="1" applyBorder="1" applyAlignment="1">
      <alignment horizontal="center" vertical="center" wrapText="1"/>
    </xf>
    <xf numFmtId="0" fontId="12" fillId="13" borderId="14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22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166" fontId="4" fillId="5" borderId="2" xfId="11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5" fontId="4" fillId="0" borderId="2" xfId="0" applyNumberFormat="1" applyFont="1" applyBorder="1" applyAlignment="1">
      <alignment horizontal="center" vertical="center"/>
    </xf>
    <xf numFmtId="0" fontId="4" fillId="5" borderId="2" xfId="0" quotePrefix="1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5" fontId="4" fillId="0" borderId="2" xfId="0" quotePrefix="1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1" fontId="8" fillId="5" borderId="2" xfId="0" applyNumberFormat="1" applyFont="1" applyFill="1" applyBorder="1" applyAlignment="1">
      <alignment horizontal="center" vertical="center"/>
    </xf>
    <xf numFmtId="0" fontId="8" fillId="5" borderId="2" xfId="1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5" borderId="2" xfId="0" applyNumberFormat="1" applyFont="1" applyFill="1" applyBorder="1" applyAlignment="1" applyProtection="1">
      <alignment horizontal="center" vertical="center"/>
      <protection hidden="1"/>
    </xf>
    <xf numFmtId="166" fontId="4" fillId="5" borderId="2" xfId="0" quotePrefix="1" applyNumberFormat="1" applyFont="1" applyFill="1" applyBorder="1" applyAlignment="1">
      <alignment horizontal="center" vertical="center"/>
    </xf>
    <xf numFmtId="15" fontId="4" fillId="3" borderId="2" xfId="0" applyNumberFormat="1" applyFont="1" applyFill="1" applyBorder="1" applyAlignment="1">
      <alignment horizontal="center" vertical="center"/>
    </xf>
    <xf numFmtId="0" fontId="8" fillId="5" borderId="2" xfId="21" applyFont="1" applyFill="1" applyBorder="1" applyAlignment="1">
      <alignment horizontal="center" vertical="center"/>
    </xf>
    <xf numFmtId="1" fontId="4" fillId="5" borderId="2" xfId="12" quotePrefix="1" applyNumberFormat="1" applyFont="1" applyFill="1" applyBorder="1" applyAlignment="1">
      <alignment horizontal="center" vertical="center"/>
    </xf>
    <xf numFmtId="0" fontId="4" fillId="5" borderId="2" xfId="42" applyFont="1" applyFill="1" applyBorder="1" applyAlignment="1">
      <alignment horizontal="center" vertical="center"/>
    </xf>
    <xf numFmtId="171" fontId="20" fillId="5" borderId="2" xfId="0" applyNumberFormat="1" applyFont="1" applyFill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0" fontId="4" fillId="5" borderId="2" xfId="22" applyFont="1" applyFill="1" applyBorder="1" applyAlignment="1">
      <alignment horizontal="center" vertical="center" wrapText="1"/>
    </xf>
    <xf numFmtId="0" fontId="4" fillId="5" borderId="2" xfId="37" applyFont="1" applyFill="1" applyBorder="1" applyAlignment="1">
      <alignment horizontal="center" vertical="center"/>
    </xf>
    <xf numFmtId="0" fontId="8" fillId="5" borderId="2" xfId="14" applyFont="1" applyFill="1" applyBorder="1" applyAlignment="1">
      <alignment horizontal="center" vertical="center"/>
    </xf>
    <xf numFmtId="164" fontId="4" fillId="0" borderId="2" xfId="0" quotePrefix="1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0" fontId="8" fillId="5" borderId="2" xfId="21" applyNumberFormat="1" applyFont="1" applyFill="1" applyBorder="1" applyAlignment="1">
      <alignment horizontal="center" vertical="center"/>
    </xf>
    <xf numFmtId="0" fontId="8" fillId="5" borderId="2" xfId="33" applyNumberFormat="1" applyFont="1" applyFill="1" applyBorder="1" applyAlignment="1">
      <alignment horizontal="center" vertical="center"/>
    </xf>
    <xf numFmtId="166" fontId="4" fillId="5" borderId="2" xfId="21" quotePrefix="1" applyNumberFormat="1" applyFont="1" applyFill="1" applyBorder="1" applyAlignment="1">
      <alignment horizontal="center" vertical="center"/>
    </xf>
    <xf numFmtId="0" fontId="8" fillId="5" borderId="2" xfId="0" applyNumberFormat="1" applyFont="1" applyFill="1" applyBorder="1" applyAlignment="1" applyProtection="1">
      <alignment horizontal="center" vertical="center"/>
      <protection hidden="1"/>
    </xf>
    <xf numFmtId="1" fontId="4" fillId="5" borderId="2" xfId="0" quotePrefix="1" applyNumberFormat="1" applyFont="1" applyFill="1" applyBorder="1" applyAlignment="1">
      <alignment horizontal="center" vertical="center"/>
    </xf>
    <xf numFmtId="0" fontId="4" fillId="5" borderId="2" xfId="22" applyFont="1" applyFill="1" applyBorder="1" applyAlignment="1">
      <alignment horizontal="center" vertical="center"/>
    </xf>
    <xf numFmtId="0" fontId="4" fillId="5" borderId="2" xfId="14" applyFont="1" applyFill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 wrapText="1"/>
    </xf>
    <xf numFmtId="0" fontId="4" fillId="5" borderId="2" xfId="12" applyFont="1" applyFill="1" applyBorder="1" applyAlignment="1">
      <alignment horizontal="center" vertical="center"/>
    </xf>
    <xf numFmtId="1" fontId="8" fillId="5" borderId="2" xfId="12" applyNumberFormat="1" applyFont="1" applyFill="1" applyBorder="1" applyAlignment="1">
      <alignment horizontal="center" vertical="center"/>
    </xf>
    <xf numFmtId="0" fontId="4" fillId="5" borderId="2" xfId="15" applyNumberFormat="1" applyFont="1" applyFill="1" applyBorder="1" applyAlignment="1">
      <alignment horizontal="center" vertical="center"/>
    </xf>
    <xf numFmtId="164" fontId="4" fillId="0" borderId="2" xfId="15" applyNumberFormat="1" applyFont="1" applyFill="1" applyBorder="1" applyAlignment="1">
      <alignment horizontal="center" vertical="center" wrapText="1"/>
    </xf>
    <xf numFmtId="164" fontId="4" fillId="0" borderId="2" xfId="15" applyNumberFormat="1" applyFont="1" applyFill="1" applyBorder="1" applyAlignment="1">
      <alignment horizontal="center" vertical="center"/>
    </xf>
    <xf numFmtId="0" fontId="4" fillId="5" borderId="2" xfId="9" applyNumberFormat="1" applyFont="1" applyFill="1" applyBorder="1" applyAlignment="1">
      <alignment horizontal="center" vertical="center"/>
    </xf>
    <xf numFmtId="164" fontId="4" fillId="0" borderId="2" xfId="15" quotePrefix="1" applyNumberFormat="1" applyFont="1" applyFill="1" applyBorder="1" applyAlignment="1">
      <alignment horizontal="center" vertical="center"/>
    </xf>
    <xf numFmtId="1" fontId="4" fillId="5" borderId="2" xfId="12" applyNumberFormat="1" applyFont="1" applyFill="1" applyBorder="1" applyAlignment="1">
      <alignment horizontal="center" vertical="center"/>
    </xf>
    <xf numFmtId="0" fontId="4" fillId="5" borderId="2" xfId="36" applyNumberFormat="1" applyFont="1" applyFill="1" applyBorder="1" applyAlignment="1">
      <alignment horizontal="center" vertical="center"/>
    </xf>
    <xf numFmtId="164" fontId="4" fillId="0" borderId="2" xfId="1" applyNumberFormat="1" applyFont="1" applyFill="1" applyBorder="1" applyAlignment="1">
      <alignment horizontal="center" vertical="center" wrapText="1"/>
    </xf>
    <xf numFmtId="0" fontId="4" fillId="5" borderId="2" xfId="9" applyFont="1" applyFill="1" applyBorder="1" applyAlignment="1">
      <alignment horizontal="center" vertical="center" wrapText="1"/>
    </xf>
    <xf numFmtId="0" fontId="8" fillId="5" borderId="2" xfId="15" applyNumberFormat="1" applyFont="1" applyFill="1" applyBorder="1" applyAlignment="1">
      <alignment horizontal="center" vertical="center" wrapText="1"/>
    </xf>
    <xf numFmtId="0" fontId="4" fillId="5" borderId="2" xfId="4" applyFont="1" applyFill="1" applyBorder="1" applyAlignment="1">
      <alignment horizontal="center" vertical="center"/>
    </xf>
    <xf numFmtId="0" fontId="4" fillId="5" borderId="2" xfId="15" applyNumberFormat="1" applyFont="1" applyFill="1" applyBorder="1" applyAlignment="1">
      <alignment horizontal="center" vertical="center" wrapText="1"/>
    </xf>
    <xf numFmtId="168" fontId="4" fillId="0" borderId="2" xfId="15" applyNumberFormat="1" applyFont="1" applyFill="1" applyBorder="1" applyAlignment="1">
      <alignment horizontal="center" vertical="center"/>
    </xf>
    <xf numFmtId="168" fontId="4" fillId="0" borderId="2" xfId="15" applyNumberFormat="1" applyFont="1" applyFill="1" applyBorder="1" applyAlignment="1">
      <alignment horizontal="center" vertical="center" wrapText="1"/>
    </xf>
    <xf numFmtId="164" fontId="4" fillId="5" borderId="2" xfId="11" applyNumberFormat="1" applyFont="1" applyFill="1" applyBorder="1" applyAlignment="1">
      <alignment horizontal="center" vertical="center"/>
    </xf>
    <xf numFmtId="164" fontId="4" fillId="5" borderId="2" xfId="0" quotePrefix="1" applyNumberFormat="1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0" fontId="4" fillId="5" borderId="2" xfId="3" applyFont="1" applyFill="1" applyBorder="1" applyAlignment="1">
      <alignment horizontal="center" vertical="center"/>
    </xf>
    <xf numFmtId="15" fontId="23" fillId="5" borderId="2" xfId="0" applyNumberFormat="1" applyFont="1" applyFill="1" applyBorder="1" applyAlignment="1">
      <alignment horizontal="center" vertical="center"/>
    </xf>
    <xf numFmtId="164" fontId="4" fillId="5" borderId="2" xfId="21" applyNumberFormat="1" applyFont="1" applyFill="1" applyBorder="1" applyAlignment="1">
      <alignment horizontal="center" vertical="center"/>
    </xf>
    <xf numFmtId="0" fontId="4" fillId="5" borderId="2" xfId="41" applyFont="1" applyFill="1" applyBorder="1" applyAlignment="1">
      <alignment horizontal="center" vertical="center"/>
    </xf>
    <xf numFmtId="0" fontId="4" fillId="5" borderId="2" xfId="39" applyFont="1" applyFill="1" applyBorder="1" applyAlignment="1">
      <alignment horizontal="center" vertical="center"/>
    </xf>
    <xf numFmtId="0" fontId="4" fillId="5" borderId="2" xfId="13" applyFont="1" applyFill="1" applyBorder="1" applyAlignment="1">
      <alignment horizontal="center" vertical="center"/>
    </xf>
    <xf numFmtId="0" fontId="4" fillId="5" borderId="2" xfId="30" applyFont="1" applyFill="1" applyBorder="1" applyAlignment="1">
      <alignment horizontal="center" vertical="center"/>
    </xf>
    <xf numFmtId="0" fontId="4" fillId="5" borderId="2" xfId="26" applyFont="1" applyFill="1" applyBorder="1" applyAlignment="1">
      <alignment horizontal="center" vertical="center"/>
    </xf>
    <xf numFmtId="0" fontId="4" fillId="5" borderId="2" xfId="5" applyFont="1" applyFill="1" applyBorder="1" applyAlignment="1">
      <alignment horizontal="center" vertical="center"/>
    </xf>
    <xf numFmtId="0" fontId="20" fillId="5" borderId="2" xfId="0" quotePrefix="1" applyFont="1" applyFill="1" applyBorder="1" applyAlignment="1">
      <alignment horizontal="center" vertical="center"/>
    </xf>
    <xf numFmtId="15" fontId="20" fillId="5" borderId="2" xfId="0" quotePrefix="1" applyNumberFormat="1" applyFont="1" applyFill="1" applyBorder="1" applyAlignment="1">
      <alignment horizontal="center" vertical="center"/>
    </xf>
    <xf numFmtId="0" fontId="22" fillId="5" borderId="2" xfId="0" applyFont="1" applyFill="1" applyBorder="1"/>
    <xf numFmtId="166" fontId="4" fillId="0" borderId="2" xfId="0" applyNumberFormat="1" applyFont="1" applyFill="1" applyBorder="1" applyAlignment="1">
      <alignment horizontal="center" vertical="center"/>
    </xf>
    <xf numFmtId="14" fontId="4" fillId="5" borderId="2" xfId="0" quotePrefix="1" applyNumberFormat="1" applyFont="1" applyFill="1" applyBorder="1" applyAlignment="1">
      <alignment horizontal="center" vertical="center"/>
    </xf>
    <xf numFmtId="170" fontId="4" fillId="5" borderId="2" xfId="0" applyNumberFormat="1" applyFont="1" applyFill="1" applyBorder="1" applyAlignment="1">
      <alignment horizontal="center" vertical="center"/>
    </xf>
    <xf numFmtId="0" fontId="4" fillId="5" borderId="2" xfId="33" applyNumberFormat="1" applyFont="1" applyFill="1" applyBorder="1" applyAlignment="1">
      <alignment horizontal="center" vertical="center" wrapText="1"/>
    </xf>
    <xf numFmtId="0" fontId="4" fillId="5" borderId="2" xfId="8" applyFont="1" applyFill="1" applyBorder="1" applyAlignment="1">
      <alignment horizontal="center" vertical="center" wrapText="1"/>
    </xf>
    <xf numFmtId="15" fontId="4" fillId="5" borderId="2" xfId="0" applyNumberFormat="1" applyFont="1" applyFill="1" applyBorder="1" applyAlignment="1">
      <alignment horizontal="center" vertical="center" wrapText="1"/>
    </xf>
    <xf numFmtId="15" fontId="4" fillId="0" borderId="2" xfId="0" applyNumberFormat="1" applyFont="1" applyFill="1" applyBorder="1" applyAlignment="1">
      <alignment horizontal="center" vertical="center" wrapText="1"/>
    </xf>
    <xf numFmtId="15" fontId="4" fillId="0" borderId="2" xfId="0" quotePrefix="1" applyNumberFormat="1" applyFont="1" applyFill="1" applyBorder="1" applyAlignment="1">
      <alignment horizontal="center" vertical="center" wrapText="1"/>
    </xf>
    <xf numFmtId="0" fontId="4" fillId="5" borderId="2" xfId="35" applyFont="1" applyFill="1" applyBorder="1" applyAlignment="1">
      <alignment horizontal="center" vertical="center"/>
    </xf>
    <xf numFmtId="15" fontId="4" fillId="0" borderId="2" xfId="0" quotePrefix="1" applyNumberFormat="1" applyFont="1" applyFill="1" applyBorder="1" applyAlignment="1">
      <alignment horizontal="center" vertical="top"/>
    </xf>
    <xf numFmtId="15" fontId="4" fillId="5" borderId="2" xfId="0" quotePrefix="1" applyNumberFormat="1" applyFont="1" applyFill="1" applyBorder="1" applyAlignment="1">
      <alignment horizontal="center" vertical="center" wrapText="1"/>
    </xf>
    <xf numFmtId="164" fontId="4" fillId="5" borderId="2" xfId="25" applyNumberFormat="1" applyFont="1" applyFill="1" applyBorder="1" applyAlignment="1">
      <alignment horizontal="center" vertical="center" wrapText="1"/>
    </xf>
    <xf numFmtId="15" fontId="4" fillId="5" borderId="2" xfId="28" applyNumberFormat="1" applyFont="1" applyFill="1" applyBorder="1" applyAlignment="1">
      <alignment horizontal="center" vertical="center"/>
    </xf>
    <xf numFmtId="15" fontId="4" fillId="5" borderId="2" xfId="28" quotePrefix="1" applyNumberFormat="1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4" fillId="5" borderId="11" xfId="33" applyNumberFormat="1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center" vertical="center"/>
    </xf>
    <xf numFmtId="0" fontId="24" fillId="5" borderId="11" xfId="0" applyFont="1" applyFill="1" applyBorder="1" applyAlignment="1">
      <alignment horizontal="center" vertical="center"/>
    </xf>
    <xf numFmtId="0" fontId="24" fillId="5" borderId="11" xfId="33" applyNumberFormat="1" applyFont="1" applyFill="1" applyBorder="1" applyAlignment="1">
      <alignment horizontal="center" vertical="center" wrapText="1"/>
    </xf>
    <xf numFmtId="15" fontId="23" fillId="0" borderId="2" xfId="0" applyNumberFormat="1" applyFont="1" applyBorder="1" applyAlignment="1">
      <alignment horizontal="center" vertical="center"/>
    </xf>
    <xf numFmtId="15" fontId="18" fillId="0" borderId="19" xfId="0" applyNumberFormat="1" applyFont="1" applyBorder="1" applyAlignment="1">
      <alignment horizontal="center" vertical="center"/>
    </xf>
    <xf numFmtId="15" fontId="0" fillId="0" borderId="2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4" fillId="4" borderId="22" xfId="0" applyNumberFormat="1" applyFont="1" applyFill="1" applyBorder="1" applyAlignment="1">
      <alignment horizontal="center" vertical="center"/>
    </xf>
    <xf numFmtId="166" fontId="4" fillId="19" borderId="11" xfId="21" applyNumberFormat="1" applyFont="1" applyFill="1" applyBorder="1" applyAlignment="1">
      <alignment horizontal="center" vertical="center"/>
    </xf>
    <xf numFmtId="0" fontId="0" fillId="19" borderId="0" xfId="0" applyFill="1"/>
    <xf numFmtId="166" fontId="4" fillId="4" borderId="2" xfId="21" applyNumberFormat="1" applyFont="1" applyFill="1" applyBorder="1" applyAlignment="1">
      <alignment horizontal="center" vertical="center"/>
    </xf>
    <xf numFmtId="166" fontId="4" fillId="19" borderId="11" xfId="0" quotePrefix="1" applyNumberFormat="1" applyFont="1" applyFill="1" applyBorder="1" applyAlignment="1">
      <alignment horizontal="center" vertical="center"/>
    </xf>
    <xf numFmtId="0" fontId="4" fillId="19" borderId="11" xfId="0" quotePrefix="1" applyFont="1" applyFill="1" applyBorder="1" applyAlignment="1">
      <alignment horizontal="center" vertical="center"/>
    </xf>
    <xf numFmtId="0" fontId="4" fillId="5" borderId="0" xfId="11" applyFont="1" applyFill="1" applyBorder="1" applyAlignment="1">
      <alignment horizontal="center" vertical="center"/>
    </xf>
    <xf numFmtId="0" fontId="4" fillId="5" borderId="0" xfId="21" applyFont="1" applyFill="1" applyBorder="1" applyAlignment="1">
      <alignment horizontal="center" vertical="center"/>
    </xf>
    <xf numFmtId="0" fontId="4" fillId="5" borderId="23" xfId="11" applyFont="1" applyFill="1" applyBorder="1" applyAlignment="1">
      <alignment horizontal="center" vertical="center"/>
    </xf>
    <xf numFmtId="15" fontId="4" fillId="4" borderId="2" xfId="0" quotePrefix="1" applyNumberFormat="1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 wrapText="1"/>
    </xf>
    <xf numFmtId="1" fontId="8" fillId="5" borderId="2" xfId="12" quotePrefix="1" applyNumberFormat="1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 wrapText="1"/>
    </xf>
    <xf numFmtId="1" fontId="25" fillId="5" borderId="2" xfId="0" applyNumberFormat="1" applyFont="1" applyFill="1" applyBorder="1" applyAlignment="1">
      <alignment horizontal="center" vertical="center"/>
    </xf>
    <xf numFmtId="0" fontId="25" fillId="5" borderId="2" xfId="11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 wrapText="1"/>
    </xf>
    <xf numFmtId="0" fontId="25" fillId="5" borderId="2" xfId="22" applyFont="1" applyFill="1" applyBorder="1" applyAlignment="1">
      <alignment horizontal="center" vertical="center" wrapText="1"/>
    </xf>
    <xf numFmtId="0" fontId="25" fillId="4" borderId="2" xfId="21" applyFont="1" applyFill="1" applyBorder="1" applyAlignment="1">
      <alignment horizontal="center" vertical="center"/>
    </xf>
    <xf numFmtId="0" fontId="25" fillId="5" borderId="2" xfId="21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1" fontId="25" fillId="5" borderId="2" xfId="12" quotePrefix="1" applyNumberFormat="1" applyFont="1" applyFill="1" applyBorder="1" applyAlignment="1">
      <alignment horizontal="center" vertical="center"/>
    </xf>
    <xf numFmtId="0" fontId="25" fillId="5" borderId="2" xfId="37" applyFont="1" applyFill="1" applyBorder="1" applyAlignment="1">
      <alignment horizontal="center" vertical="center"/>
    </xf>
    <xf numFmtId="0" fontId="25" fillId="4" borderId="2" xfId="14" applyFont="1" applyFill="1" applyBorder="1" applyAlignment="1">
      <alignment horizontal="center" vertical="center"/>
    </xf>
    <xf numFmtId="0" fontId="25" fillId="5" borderId="2" xfId="14" applyFont="1" applyFill="1" applyBorder="1" applyAlignment="1">
      <alignment horizontal="center" vertical="center"/>
    </xf>
    <xf numFmtId="1" fontId="25" fillId="5" borderId="2" xfId="12" applyNumberFormat="1" applyFont="1" applyFill="1" applyBorder="1" applyAlignment="1">
      <alignment horizontal="center" vertical="center"/>
    </xf>
    <xf numFmtId="0" fontId="25" fillId="4" borderId="2" xfId="15" applyNumberFormat="1" applyFont="1" applyFill="1" applyBorder="1" applyAlignment="1">
      <alignment horizontal="center" vertical="center" wrapText="1"/>
    </xf>
    <xf numFmtId="0" fontId="25" fillId="5" borderId="2" xfId="15" applyNumberFormat="1" applyFont="1" applyFill="1" applyBorder="1" applyAlignment="1">
      <alignment horizontal="center" vertical="center" wrapText="1"/>
    </xf>
    <xf numFmtId="0" fontId="27" fillId="5" borderId="2" xfId="0" applyFont="1" applyFill="1" applyBorder="1"/>
    <xf numFmtId="166" fontId="4" fillId="19" borderId="2" xfId="21" applyNumberFormat="1" applyFont="1" applyFill="1" applyBorder="1" applyAlignment="1">
      <alignment horizontal="center" vertical="center"/>
    </xf>
    <xf numFmtId="15" fontId="4" fillId="19" borderId="11" xfId="0" quotePrefix="1" applyNumberFormat="1" applyFont="1" applyFill="1" applyBorder="1" applyAlignment="1">
      <alignment horizontal="center" vertical="center"/>
    </xf>
    <xf numFmtId="15" fontId="4" fillId="19" borderId="2" xfId="0" applyNumberFormat="1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vertical="center" wrapText="1"/>
    </xf>
    <xf numFmtId="0" fontId="0" fillId="0" borderId="2" xfId="0" applyBorder="1"/>
    <xf numFmtId="0" fontId="0" fillId="9" borderId="2" xfId="0" applyFill="1" applyBorder="1"/>
    <xf numFmtId="164" fontId="0" fillId="0" borderId="0" xfId="0" applyNumberFormat="1" applyAlignment="1">
      <alignment horizontal="center" vertical="center"/>
    </xf>
    <xf numFmtId="164" fontId="26" fillId="9" borderId="2" xfId="0" applyNumberFormat="1" applyFont="1" applyFill="1" applyBorder="1" applyAlignment="1">
      <alignment horizontal="center" vertical="center" wrapText="1"/>
    </xf>
    <xf numFmtId="164" fontId="27" fillId="0" borderId="2" xfId="0" applyNumberFormat="1" applyFont="1" applyBorder="1" applyAlignment="1">
      <alignment horizontal="center" vertical="center"/>
    </xf>
    <xf numFmtId="164" fontId="12" fillId="9" borderId="2" xfId="0" applyNumberFormat="1" applyFont="1" applyFill="1" applyBorder="1" applyAlignment="1">
      <alignment horizontal="center" vertical="center" wrapText="1"/>
    </xf>
    <xf numFmtId="164" fontId="12" fillId="9" borderId="2" xfId="0" applyNumberFormat="1" applyFont="1" applyFill="1" applyBorder="1" applyAlignment="1">
      <alignment vertical="center" wrapText="1"/>
    </xf>
    <xf numFmtId="1" fontId="25" fillId="20" borderId="2" xfId="0" applyNumberFormat="1" applyFont="1" applyFill="1" applyBorder="1" applyAlignment="1">
      <alignment horizontal="center" vertical="center"/>
    </xf>
    <xf numFmtId="0" fontId="25" fillId="20" borderId="2" xfId="0" applyFont="1" applyFill="1" applyBorder="1" applyAlignment="1">
      <alignment horizontal="center" vertical="center"/>
    </xf>
    <xf numFmtId="0" fontId="25" fillId="20" borderId="2" xfId="11" applyFont="1" applyFill="1" applyBorder="1" applyAlignment="1">
      <alignment horizontal="center" vertical="center"/>
    </xf>
    <xf numFmtId="0" fontId="25" fillId="20" borderId="2" xfId="0" applyFont="1" applyFill="1" applyBorder="1" applyAlignment="1">
      <alignment horizontal="center" vertical="center" wrapText="1"/>
    </xf>
    <xf numFmtId="166" fontId="4" fillId="4" borderId="2" xfId="11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6" fontId="4" fillId="20" borderId="11" xfId="21" applyNumberFormat="1" applyFont="1" applyFill="1" applyBorder="1" applyAlignment="1">
      <alignment horizontal="center" vertical="center"/>
    </xf>
    <xf numFmtId="165" fontId="6" fillId="12" borderId="11" xfId="0" applyNumberFormat="1" applyFont="1" applyFill="1" applyBorder="1" applyAlignment="1">
      <alignment horizontal="center" vertical="center" textRotation="90" wrapText="1"/>
    </xf>
    <xf numFmtId="165" fontId="6" fillId="12" borderId="11" xfId="0" applyNumberFormat="1" applyFont="1" applyFill="1" applyBorder="1" applyAlignment="1">
      <alignment horizontal="center" vertical="center" textRotation="90"/>
    </xf>
    <xf numFmtId="0" fontId="15" fillId="14" borderId="15" xfId="0" applyFont="1" applyFill="1" applyBorder="1" applyAlignment="1">
      <alignment horizontal="center" vertical="center" wrapText="1"/>
    </xf>
    <xf numFmtId="0" fontId="15" fillId="14" borderId="24" xfId="0" applyFont="1" applyFill="1" applyBorder="1" applyAlignment="1">
      <alignment horizontal="center" vertical="center" wrapText="1"/>
    </xf>
    <xf numFmtId="0" fontId="15" fillId="14" borderId="13" xfId="0" applyFont="1" applyFill="1" applyBorder="1" applyAlignment="1">
      <alignment horizontal="center" vertical="center" wrapText="1"/>
    </xf>
    <xf numFmtId="165" fontId="7" fillId="6" borderId="11" xfId="0" applyNumberFormat="1" applyFont="1" applyFill="1" applyBorder="1" applyAlignment="1">
      <alignment horizontal="center" vertical="center" wrapText="1"/>
    </xf>
    <xf numFmtId="0" fontId="15" fillId="7" borderId="11" xfId="0" applyFont="1" applyFill="1" applyBorder="1" applyAlignment="1">
      <alignment horizontal="center" vertical="center"/>
    </xf>
    <xf numFmtId="165" fontId="6" fillId="11" borderId="11" xfId="0" applyNumberFormat="1" applyFont="1" applyFill="1" applyBorder="1" applyAlignment="1">
      <alignment horizontal="center" vertical="center" textRotation="90" wrapText="1"/>
    </xf>
    <xf numFmtId="165" fontId="6" fillId="11" borderId="11" xfId="0" applyNumberFormat="1" applyFont="1" applyFill="1" applyBorder="1" applyAlignment="1">
      <alignment horizontal="center" vertical="center" textRotation="90"/>
    </xf>
  </cellXfs>
  <cellStyles count="43">
    <cellStyle name="Excel Built-in Normal 2" xfId="1"/>
    <cellStyle name="Normal" xfId="0" builtinId="0"/>
    <cellStyle name="Normal 10" xfId="2"/>
    <cellStyle name="Normal 10 3" xfId="3"/>
    <cellStyle name="Normal 10 3 2" xfId="4"/>
    <cellStyle name="Normal 11 2 2 2" xfId="5"/>
    <cellStyle name="Normal 11 2 2 2 2 4" xfId="6"/>
    <cellStyle name="Normal 11 2 2 3" xfId="7"/>
    <cellStyle name="Normal 16" xfId="8"/>
    <cellStyle name="Normal 16 2" xfId="9"/>
    <cellStyle name="Normal 18" xfId="10"/>
    <cellStyle name="Normal 2" xfId="11"/>
    <cellStyle name="Normal 2 10 16" xfId="12"/>
    <cellStyle name="Normal 2 10 2" xfId="13"/>
    <cellStyle name="Normal 2 126" xfId="14"/>
    <cellStyle name="Normal 2 13 2 3 2 2 2 2 2 2 2 2 2 2 2" xfId="15"/>
    <cellStyle name="Normal 2 14" xfId="16"/>
    <cellStyle name="Normal 2 2" xfId="17"/>
    <cellStyle name="Normal 2 2 19" xfId="18"/>
    <cellStyle name="Normal 2 2 2" xfId="19"/>
    <cellStyle name="Normal 2 2 2 2" xfId="20"/>
    <cellStyle name="Normal 2 2 24" xfId="21"/>
    <cellStyle name="Normal 2 2 24 2" xfId="22"/>
    <cellStyle name="Normal 2 2 24 3" xfId="23"/>
    <cellStyle name="Normal 2 20 2" xfId="24"/>
    <cellStyle name="Normal 208" xfId="25"/>
    <cellStyle name="Normal 25" xfId="26"/>
    <cellStyle name="Normal 25 2 2 2" xfId="27"/>
    <cellStyle name="Normal 3" xfId="28"/>
    <cellStyle name="Normal 3 2" xfId="29"/>
    <cellStyle name="Normal 3 57 2" xfId="30"/>
    <cellStyle name="Normal 31" xfId="31"/>
    <cellStyle name="Normal 4" xfId="32"/>
    <cellStyle name="Normal 4 10" xfId="33"/>
    <cellStyle name="Normal 42" xfId="34"/>
    <cellStyle name="Normal 46" xfId="35"/>
    <cellStyle name="Normal 46 2 2" xfId="36"/>
    <cellStyle name="Normal 49" xfId="37"/>
    <cellStyle name="Normal 5" xfId="38"/>
    <cellStyle name="Normal 58" xfId="39"/>
    <cellStyle name="Normal 7" xfId="40"/>
    <cellStyle name="Normal 80" xfId="41"/>
    <cellStyle name="Normal 98" xfId="42"/>
  </cellStyles>
  <dxfs count="3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7"/>
  <sheetViews>
    <sheetView workbookViewId="0">
      <selection activeCell="E11" sqref="E11"/>
    </sheetView>
  </sheetViews>
  <sheetFormatPr defaultRowHeight="15" x14ac:dyDescent="0.25"/>
  <cols>
    <col min="2" max="2" width="39.85546875" customWidth="1"/>
  </cols>
  <sheetData>
    <row r="1" spans="2:26" ht="15.75" thickBot="1" x14ac:dyDescent="0.3"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2:26" ht="139.5" x14ac:dyDescent="0.25">
      <c r="B2" s="68"/>
      <c r="C2" s="69" t="s">
        <v>9</v>
      </c>
      <c r="D2" s="69" t="s">
        <v>10</v>
      </c>
      <c r="E2" s="69" t="s">
        <v>11</v>
      </c>
      <c r="F2" s="69" t="s">
        <v>819</v>
      </c>
      <c r="G2" s="69" t="s">
        <v>12</v>
      </c>
      <c r="H2" s="69" t="s">
        <v>15</v>
      </c>
      <c r="I2" s="69" t="s">
        <v>16</v>
      </c>
      <c r="J2" s="69" t="s">
        <v>29</v>
      </c>
      <c r="K2" s="69" t="s">
        <v>17</v>
      </c>
      <c r="L2" s="69" t="s">
        <v>19</v>
      </c>
      <c r="M2" s="69" t="s">
        <v>18</v>
      </c>
      <c r="N2" s="69" t="s">
        <v>20</v>
      </c>
      <c r="O2" s="69" t="s">
        <v>21</v>
      </c>
      <c r="P2" s="69" t="s">
        <v>820</v>
      </c>
      <c r="Q2" s="69" t="s">
        <v>821</v>
      </c>
      <c r="R2" s="69" t="s">
        <v>24</v>
      </c>
      <c r="S2" s="69" t="s">
        <v>25</v>
      </c>
      <c r="T2" s="69" t="s">
        <v>26</v>
      </c>
      <c r="U2" s="69" t="s">
        <v>27</v>
      </c>
      <c r="V2" s="69" t="s">
        <v>28</v>
      </c>
      <c r="W2" s="69" t="s">
        <v>822</v>
      </c>
      <c r="X2" s="69" t="s">
        <v>32</v>
      </c>
      <c r="Y2" s="69" t="s">
        <v>823</v>
      </c>
      <c r="Z2" s="70" t="s">
        <v>31</v>
      </c>
    </row>
    <row r="3" spans="2:26" x14ac:dyDescent="0.25">
      <c r="B3" s="59" t="s">
        <v>824</v>
      </c>
      <c r="C3" s="61" t="s">
        <v>70</v>
      </c>
      <c r="D3" s="61" t="s">
        <v>70</v>
      </c>
      <c r="E3" s="61" t="s">
        <v>70</v>
      </c>
      <c r="F3" s="61" t="s">
        <v>70</v>
      </c>
      <c r="G3" s="61" t="s">
        <v>70</v>
      </c>
      <c r="H3" s="61" t="s">
        <v>70</v>
      </c>
      <c r="I3" s="61" t="s">
        <v>70</v>
      </c>
      <c r="J3" s="61" t="s">
        <v>70</v>
      </c>
      <c r="K3" s="61" t="s">
        <v>70</v>
      </c>
      <c r="L3" s="61" t="s">
        <v>70</v>
      </c>
      <c r="M3" s="61" t="s">
        <v>70</v>
      </c>
      <c r="N3" s="61" t="s">
        <v>70</v>
      </c>
      <c r="O3" s="61" t="s">
        <v>70</v>
      </c>
      <c r="P3" s="61" t="s">
        <v>70</v>
      </c>
      <c r="Q3" s="61" t="s">
        <v>70</v>
      </c>
      <c r="R3" s="61" t="s">
        <v>70</v>
      </c>
      <c r="S3" s="61" t="s">
        <v>70</v>
      </c>
      <c r="T3" s="61" t="s">
        <v>70</v>
      </c>
      <c r="U3" s="61" t="s">
        <v>70</v>
      </c>
      <c r="V3" s="61" t="s">
        <v>70</v>
      </c>
      <c r="W3" s="61" t="s">
        <v>70</v>
      </c>
      <c r="X3" s="61" t="s">
        <v>70</v>
      </c>
      <c r="Y3" s="61" t="s">
        <v>70</v>
      </c>
      <c r="Z3" s="62" t="s">
        <v>70</v>
      </c>
    </row>
    <row r="4" spans="2:26" x14ac:dyDescent="0.25">
      <c r="B4" s="59" t="s">
        <v>825</v>
      </c>
      <c r="C4" s="61" t="s">
        <v>70</v>
      </c>
      <c r="D4" s="61" t="s">
        <v>70</v>
      </c>
      <c r="E4" s="61" t="s">
        <v>70</v>
      </c>
      <c r="F4" s="61" t="s">
        <v>70</v>
      </c>
      <c r="G4" s="61" t="s">
        <v>70</v>
      </c>
      <c r="H4" s="61" t="s">
        <v>70</v>
      </c>
      <c r="I4" s="61"/>
      <c r="J4" s="61" t="s">
        <v>70</v>
      </c>
      <c r="K4" s="61" t="s">
        <v>70</v>
      </c>
      <c r="L4" s="61" t="s">
        <v>70</v>
      </c>
      <c r="M4" s="61" t="s">
        <v>70</v>
      </c>
      <c r="N4" s="61" t="s">
        <v>70</v>
      </c>
      <c r="O4" s="61" t="s">
        <v>70</v>
      </c>
      <c r="P4" s="61" t="s">
        <v>70</v>
      </c>
      <c r="Q4" s="61" t="s">
        <v>70</v>
      </c>
      <c r="R4" s="61" t="s">
        <v>70</v>
      </c>
      <c r="S4" s="61" t="s">
        <v>70</v>
      </c>
      <c r="T4" s="61" t="s">
        <v>70</v>
      </c>
      <c r="U4" s="63"/>
      <c r="V4" s="63"/>
      <c r="W4" s="63"/>
      <c r="X4" s="63"/>
      <c r="Y4" s="63"/>
      <c r="Z4" s="64"/>
    </row>
    <row r="5" spans="2:26" x14ac:dyDescent="0.25">
      <c r="B5" s="59" t="s">
        <v>826</v>
      </c>
      <c r="C5" s="61" t="s">
        <v>70</v>
      </c>
      <c r="D5" s="61" t="s">
        <v>70</v>
      </c>
      <c r="E5" s="61" t="s">
        <v>70</v>
      </c>
      <c r="F5" s="61" t="s">
        <v>70</v>
      </c>
      <c r="G5" s="61" t="s">
        <v>70</v>
      </c>
      <c r="H5" s="61" t="s">
        <v>70</v>
      </c>
      <c r="I5" s="61" t="s">
        <v>70</v>
      </c>
      <c r="J5" s="61" t="s">
        <v>70</v>
      </c>
      <c r="K5" s="61" t="s">
        <v>70</v>
      </c>
      <c r="L5" s="61" t="s">
        <v>70</v>
      </c>
      <c r="M5" s="61" t="s">
        <v>70</v>
      </c>
      <c r="N5" s="61" t="s">
        <v>70</v>
      </c>
      <c r="O5" s="61" t="s">
        <v>70</v>
      </c>
      <c r="P5" s="61" t="s">
        <v>70</v>
      </c>
      <c r="Q5" s="61" t="s">
        <v>70</v>
      </c>
      <c r="R5" s="61" t="s">
        <v>70</v>
      </c>
      <c r="S5" s="61" t="s">
        <v>70</v>
      </c>
      <c r="T5" s="61" t="s">
        <v>70</v>
      </c>
      <c r="U5" s="63"/>
      <c r="V5" s="63"/>
      <c r="W5" s="63"/>
      <c r="X5" s="63"/>
      <c r="Y5" s="63"/>
      <c r="Z5" s="64"/>
    </row>
    <row r="6" spans="2:26" x14ac:dyDescent="0.25">
      <c r="B6" s="59" t="s">
        <v>827</v>
      </c>
      <c r="C6" s="61" t="s">
        <v>70</v>
      </c>
      <c r="D6" s="61" t="s">
        <v>70</v>
      </c>
      <c r="E6" s="61" t="s">
        <v>70</v>
      </c>
      <c r="F6" s="61" t="s">
        <v>70</v>
      </c>
      <c r="G6" s="61" t="s">
        <v>70</v>
      </c>
      <c r="H6" s="61" t="s">
        <v>70</v>
      </c>
      <c r="I6" s="61" t="s">
        <v>70</v>
      </c>
      <c r="J6" s="61" t="s">
        <v>70</v>
      </c>
      <c r="K6" s="61" t="s">
        <v>70</v>
      </c>
      <c r="L6" s="61" t="s">
        <v>70</v>
      </c>
      <c r="M6" s="61" t="s">
        <v>70</v>
      </c>
      <c r="N6" s="61" t="s">
        <v>70</v>
      </c>
      <c r="O6" s="61" t="s">
        <v>70</v>
      </c>
      <c r="P6" s="61" t="s">
        <v>70</v>
      </c>
      <c r="Q6" s="61" t="s">
        <v>70</v>
      </c>
      <c r="R6" s="61" t="s">
        <v>70</v>
      </c>
      <c r="S6" s="63"/>
      <c r="T6" s="63"/>
      <c r="U6" s="61" t="s">
        <v>70</v>
      </c>
      <c r="V6" s="61" t="s">
        <v>70</v>
      </c>
      <c r="W6" s="63"/>
      <c r="X6" s="63"/>
      <c r="Y6" s="63"/>
      <c r="Z6" s="64"/>
    </row>
    <row r="7" spans="2:26" ht="15.75" thickBot="1" x14ac:dyDescent="0.3">
      <c r="B7" s="60" t="s">
        <v>828</v>
      </c>
      <c r="C7" s="65" t="s">
        <v>70</v>
      </c>
      <c r="D7" s="65" t="s">
        <v>70</v>
      </c>
      <c r="E7" s="65" t="s">
        <v>70</v>
      </c>
      <c r="F7" s="65" t="s">
        <v>70</v>
      </c>
      <c r="G7" s="65" t="s">
        <v>70</v>
      </c>
      <c r="H7" s="65"/>
      <c r="I7" s="65"/>
      <c r="J7" s="66"/>
      <c r="K7" s="65" t="s">
        <v>70</v>
      </c>
      <c r="L7" s="65" t="s">
        <v>70</v>
      </c>
      <c r="M7" s="65" t="s">
        <v>70</v>
      </c>
      <c r="N7" s="65" t="s">
        <v>70</v>
      </c>
      <c r="O7" s="66"/>
      <c r="P7" s="66"/>
      <c r="Q7" s="66"/>
      <c r="R7" s="66"/>
      <c r="S7" s="66"/>
      <c r="T7" s="66"/>
      <c r="U7" s="66"/>
      <c r="V7" s="66"/>
      <c r="W7" s="65" t="s">
        <v>70</v>
      </c>
      <c r="X7" s="65" t="s">
        <v>70</v>
      </c>
      <c r="Y7" s="66"/>
      <c r="Z7" s="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EF648"/>
  <sheetViews>
    <sheetView showGridLines="0" tabSelected="1" zoomScaleNormal="100" workbookViewId="0">
      <pane xSplit="6" ySplit="3" topLeftCell="S382" activePane="bottomRight" state="frozen"/>
      <selection pane="topRight" activeCell="H1" sqref="H1"/>
      <selection pane="bottomLeft" activeCell="A4" sqref="A4"/>
      <selection pane="bottomRight" activeCell="D382" sqref="D382"/>
    </sheetView>
  </sheetViews>
  <sheetFormatPr defaultRowHeight="19.5" customHeight="1" x14ac:dyDescent="0.25"/>
  <cols>
    <col min="1" max="1" width="6.28515625" style="58" customWidth="1"/>
    <col min="2" max="2" width="31.140625" style="58" customWidth="1"/>
    <col min="3" max="3" width="10.85546875" style="58" customWidth="1"/>
    <col min="4" max="4" width="29" style="58" customWidth="1"/>
    <col min="5" max="5" width="9.140625" style="58"/>
    <col min="6" max="6" width="10.42578125" style="58" customWidth="1"/>
    <col min="7" max="7" width="9.140625" style="77"/>
    <col min="8" max="8" width="13.85546875" style="77" customWidth="1"/>
    <col min="9" max="9" width="15.42578125" style="77" customWidth="1"/>
    <col min="10" max="10" width="12.28515625" style="77" customWidth="1"/>
    <col min="11" max="11" width="13.140625" style="77" customWidth="1"/>
    <col min="12" max="12" width="12.5703125" style="77" customWidth="1"/>
    <col min="13" max="13" width="14.5703125" style="77" customWidth="1"/>
    <col min="14" max="16" width="9.140625" style="77"/>
    <col min="17" max="19" width="9.140625" style="58"/>
    <col min="20" max="68" width="9.140625" style="58" customWidth="1"/>
    <col min="69" max="16384" width="9.140625" style="58"/>
  </cols>
  <sheetData>
    <row r="1" spans="1:136" ht="19.5" customHeight="1" x14ac:dyDescent="0.3">
      <c r="A1" s="1"/>
      <c r="B1" s="2" t="s">
        <v>0</v>
      </c>
      <c r="C1" s="2">
        <f ca="1">TODAY()</f>
        <v>46308</v>
      </c>
      <c r="D1" s="3"/>
      <c r="E1" s="4"/>
      <c r="F1" s="4"/>
      <c r="G1" s="308" t="s">
        <v>1</v>
      </c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9" t="s">
        <v>2</v>
      </c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09"/>
      <c r="AK1" s="305" t="s">
        <v>3</v>
      </c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7"/>
    </row>
    <row r="2" spans="1:136" ht="166.5" customHeight="1" x14ac:dyDescent="0.25">
      <c r="A2" s="34" t="s">
        <v>4</v>
      </c>
      <c r="B2" s="35" t="s">
        <v>5</v>
      </c>
      <c r="C2" s="35" t="s">
        <v>6</v>
      </c>
      <c r="D2" s="35" t="s">
        <v>7</v>
      </c>
      <c r="E2" s="35" t="s">
        <v>8</v>
      </c>
      <c r="F2" s="35" t="s">
        <v>857</v>
      </c>
      <c r="G2" s="86" t="s">
        <v>9</v>
      </c>
      <c r="H2" s="310" t="s">
        <v>10</v>
      </c>
      <c r="I2" s="310"/>
      <c r="J2" s="310"/>
      <c r="K2" s="311" t="s">
        <v>11</v>
      </c>
      <c r="L2" s="311"/>
      <c r="M2" s="311"/>
      <c r="N2" s="86" t="s">
        <v>12</v>
      </c>
      <c r="O2" s="53" t="s">
        <v>13</v>
      </c>
      <c r="P2" s="86" t="s">
        <v>14</v>
      </c>
      <c r="Q2" s="86" t="s">
        <v>15</v>
      </c>
      <c r="R2" s="311" t="s">
        <v>16</v>
      </c>
      <c r="S2" s="311"/>
      <c r="T2" s="5" t="s">
        <v>17</v>
      </c>
      <c r="U2" s="5" t="s">
        <v>18</v>
      </c>
      <c r="V2" s="5" t="s">
        <v>19</v>
      </c>
      <c r="W2" s="5" t="s">
        <v>20</v>
      </c>
      <c r="X2" s="6" t="s">
        <v>21</v>
      </c>
      <c r="Y2" s="6" t="s">
        <v>22</v>
      </c>
      <c r="Z2" s="6" t="s">
        <v>23</v>
      </c>
      <c r="AA2" s="6" t="s">
        <v>24</v>
      </c>
      <c r="AB2" s="5" t="s">
        <v>25</v>
      </c>
      <c r="AC2" s="5" t="s">
        <v>26</v>
      </c>
      <c r="AD2" s="5" t="s">
        <v>27</v>
      </c>
      <c r="AE2" s="6" t="s">
        <v>28</v>
      </c>
      <c r="AF2" s="6" t="s">
        <v>29</v>
      </c>
      <c r="AG2" s="6" t="s">
        <v>30</v>
      </c>
      <c r="AH2" s="5" t="s">
        <v>31</v>
      </c>
      <c r="AI2" s="5" t="s">
        <v>876</v>
      </c>
      <c r="AJ2" s="5" t="s">
        <v>32</v>
      </c>
      <c r="AK2" s="136" t="s">
        <v>862</v>
      </c>
      <c r="AL2" s="31" t="s">
        <v>33</v>
      </c>
      <c r="AM2" s="31" t="s">
        <v>858</v>
      </c>
      <c r="AN2" s="87" t="s">
        <v>42</v>
      </c>
      <c r="AO2" s="87" t="s">
        <v>875</v>
      </c>
      <c r="AP2" s="87" t="s">
        <v>43</v>
      </c>
      <c r="AQ2" s="88" t="s">
        <v>34</v>
      </c>
      <c r="AR2" s="87" t="s">
        <v>35</v>
      </c>
      <c r="AS2" s="88" t="s">
        <v>36</v>
      </c>
      <c r="AT2" s="88" t="s">
        <v>37</v>
      </c>
      <c r="AU2" s="303" t="s">
        <v>38</v>
      </c>
      <c r="AV2" s="303"/>
      <c r="AW2" s="87" t="s">
        <v>39</v>
      </c>
      <c r="AX2" s="87" t="s">
        <v>40</v>
      </c>
      <c r="AY2" s="87" t="s">
        <v>41</v>
      </c>
      <c r="AZ2" s="304" t="s">
        <v>44</v>
      </c>
      <c r="BA2" s="304"/>
      <c r="BB2" s="88" t="s">
        <v>45</v>
      </c>
      <c r="BC2" s="88" t="s">
        <v>46</v>
      </c>
      <c r="BD2" s="88" t="s">
        <v>47</v>
      </c>
      <c r="BE2" s="87" t="s">
        <v>48</v>
      </c>
      <c r="BF2" s="87" t="s">
        <v>49</v>
      </c>
      <c r="BG2" s="87" t="s">
        <v>50</v>
      </c>
      <c r="BH2" s="87" t="s">
        <v>51</v>
      </c>
      <c r="BI2" s="87" t="s">
        <v>52</v>
      </c>
      <c r="BJ2" s="88" t="s">
        <v>53</v>
      </c>
      <c r="BK2" s="88" t="s">
        <v>54</v>
      </c>
      <c r="BL2" s="88" t="s">
        <v>55</v>
      </c>
      <c r="BM2" s="87" t="s">
        <v>56</v>
      </c>
      <c r="BN2" s="87" t="s">
        <v>57</v>
      </c>
      <c r="BO2" s="87" t="s">
        <v>28</v>
      </c>
      <c r="BP2" s="88" t="s">
        <v>58</v>
      </c>
    </row>
    <row r="3" spans="1:136" ht="25.5" customHeight="1" x14ac:dyDescent="0.25">
      <c r="A3" s="152"/>
      <c r="B3" s="153"/>
      <c r="C3" s="153"/>
      <c r="D3" s="154"/>
      <c r="E3" s="154"/>
      <c r="F3" s="154"/>
      <c r="G3" s="155" t="s">
        <v>59</v>
      </c>
      <c r="H3" s="156" t="s">
        <v>59</v>
      </c>
      <c r="I3" s="155" t="s">
        <v>60</v>
      </c>
      <c r="J3" s="155" t="s">
        <v>61</v>
      </c>
      <c r="K3" s="155" t="s">
        <v>59</v>
      </c>
      <c r="L3" s="155" t="s">
        <v>60</v>
      </c>
      <c r="M3" s="155" t="s">
        <v>62</v>
      </c>
      <c r="N3" s="155" t="s">
        <v>59</v>
      </c>
      <c r="O3" s="155" t="s">
        <v>59</v>
      </c>
      <c r="P3" s="155" t="s">
        <v>59</v>
      </c>
      <c r="Q3" s="155" t="s">
        <v>59</v>
      </c>
      <c r="R3" s="155" t="s">
        <v>59</v>
      </c>
      <c r="S3" s="155" t="s">
        <v>63</v>
      </c>
      <c r="T3" s="155" t="s">
        <v>59</v>
      </c>
      <c r="U3" s="155" t="s">
        <v>59</v>
      </c>
      <c r="V3" s="155" t="s">
        <v>59</v>
      </c>
      <c r="W3" s="155" t="s">
        <v>59</v>
      </c>
      <c r="X3" s="155" t="s">
        <v>59</v>
      </c>
      <c r="Y3" s="155" t="s">
        <v>59</v>
      </c>
      <c r="Z3" s="155" t="s">
        <v>59</v>
      </c>
      <c r="AA3" s="155" t="s">
        <v>59</v>
      </c>
      <c r="AB3" s="155" t="s">
        <v>59</v>
      </c>
      <c r="AC3" s="155" t="s">
        <v>59</v>
      </c>
      <c r="AD3" s="155" t="s">
        <v>59</v>
      </c>
      <c r="AE3" s="155" t="s">
        <v>59</v>
      </c>
      <c r="AF3" s="157" t="s">
        <v>59</v>
      </c>
      <c r="AG3" s="155" t="s">
        <v>59</v>
      </c>
      <c r="AH3" s="155" t="s">
        <v>59</v>
      </c>
      <c r="AI3" s="155" t="s">
        <v>59</v>
      </c>
      <c r="AJ3" s="155" t="s">
        <v>59</v>
      </c>
      <c r="AK3" s="155" t="s">
        <v>59</v>
      </c>
      <c r="AL3" s="155" t="s">
        <v>59</v>
      </c>
      <c r="AM3" s="155" t="s">
        <v>59</v>
      </c>
      <c r="AN3" s="158" t="s">
        <v>59</v>
      </c>
      <c r="AO3" s="158" t="s">
        <v>59</v>
      </c>
      <c r="AP3" s="158" t="s">
        <v>59</v>
      </c>
      <c r="AQ3" s="158" t="s">
        <v>59</v>
      </c>
      <c r="AR3" s="158" t="s">
        <v>59</v>
      </c>
      <c r="AS3" s="158" t="s">
        <v>59</v>
      </c>
      <c r="AT3" s="158" t="s">
        <v>59</v>
      </c>
      <c r="AU3" s="158" t="s">
        <v>59</v>
      </c>
      <c r="AV3" s="158" t="s">
        <v>64</v>
      </c>
      <c r="AW3" s="158" t="s">
        <v>59</v>
      </c>
      <c r="AX3" s="158" t="s">
        <v>59</v>
      </c>
      <c r="AY3" s="158" t="s">
        <v>59</v>
      </c>
      <c r="AZ3" s="158" t="s">
        <v>59</v>
      </c>
      <c r="BA3" s="158" t="s">
        <v>65</v>
      </c>
      <c r="BB3" s="158" t="s">
        <v>59</v>
      </c>
      <c r="BC3" s="158" t="s">
        <v>59</v>
      </c>
      <c r="BD3" s="158" t="s">
        <v>59</v>
      </c>
      <c r="BE3" s="158" t="s">
        <v>59</v>
      </c>
      <c r="BF3" s="158" t="s">
        <v>59</v>
      </c>
      <c r="BG3" s="158" t="s">
        <v>59</v>
      </c>
      <c r="BH3" s="158" t="s">
        <v>59</v>
      </c>
      <c r="BI3" s="158" t="s">
        <v>59</v>
      </c>
      <c r="BJ3" s="158" t="s">
        <v>59</v>
      </c>
      <c r="BK3" s="158" t="s">
        <v>59</v>
      </c>
      <c r="BL3" s="158" t="s">
        <v>59</v>
      </c>
      <c r="BM3" s="158" t="s">
        <v>59</v>
      </c>
      <c r="BN3" s="158" t="s">
        <v>59</v>
      </c>
      <c r="BO3" s="158" t="s">
        <v>59</v>
      </c>
      <c r="BP3" s="158" t="s">
        <v>59</v>
      </c>
    </row>
    <row r="4" spans="1:136" s="151" customFormat="1" ht="20.25" customHeight="1" x14ac:dyDescent="0.2">
      <c r="A4" s="117">
        <v>1</v>
      </c>
      <c r="B4" s="159" t="s">
        <v>817</v>
      </c>
      <c r="C4" s="160">
        <v>53030503</v>
      </c>
      <c r="D4" s="161" t="s">
        <v>818</v>
      </c>
      <c r="E4" s="117" t="s">
        <v>68</v>
      </c>
      <c r="F4" s="146" t="s">
        <v>208</v>
      </c>
      <c r="G4" s="124" t="s">
        <v>69</v>
      </c>
      <c r="H4" s="119">
        <v>41857</v>
      </c>
      <c r="I4" s="111">
        <v>45154</v>
      </c>
      <c r="J4" s="162">
        <f>IF(I4="", "", DATE(YEAR(I4)+2, MONTH(I4), DAY(I4)))</f>
        <v>45885</v>
      </c>
      <c r="K4" s="111">
        <v>44423</v>
      </c>
      <c r="L4" s="111">
        <v>46043</v>
      </c>
      <c r="M4" s="163">
        <f>IF(L4="", "", DATE(YEAR(L4)+2, MONTH(L4), DAY(L4)))</f>
        <v>46773</v>
      </c>
      <c r="N4" s="111">
        <v>40690</v>
      </c>
      <c r="O4" s="111">
        <v>40691</v>
      </c>
      <c r="P4" s="111">
        <v>40691</v>
      </c>
      <c r="Q4" s="164">
        <v>41824</v>
      </c>
      <c r="R4" s="94">
        <v>45461</v>
      </c>
      <c r="S4" s="94">
        <v>46191</v>
      </c>
      <c r="T4" s="112">
        <v>39148</v>
      </c>
      <c r="U4" s="165" t="s">
        <v>69</v>
      </c>
      <c r="V4" s="165" t="s">
        <v>69</v>
      </c>
      <c r="W4" s="112">
        <v>43755</v>
      </c>
      <c r="X4" s="112">
        <v>42409</v>
      </c>
      <c r="Y4" s="112">
        <v>42359</v>
      </c>
      <c r="Z4" s="165" t="s">
        <v>69</v>
      </c>
      <c r="AA4" s="112">
        <v>45674</v>
      </c>
      <c r="AB4" s="166" t="s">
        <v>69</v>
      </c>
      <c r="AC4" s="166" t="s">
        <v>69</v>
      </c>
      <c r="AD4" s="166" t="s">
        <v>69</v>
      </c>
      <c r="AE4" s="167" t="s">
        <v>70</v>
      </c>
      <c r="AF4" s="112">
        <v>45580</v>
      </c>
      <c r="AG4" s="168">
        <v>44406</v>
      </c>
      <c r="AH4" s="166" t="s">
        <v>69</v>
      </c>
      <c r="AI4" s="167" t="s">
        <v>70</v>
      </c>
      <c r="AJ4" s="167" t="s">
        <v>70</v>
      </c>
      <c r="AK4" s="167" t="s">
        <v>70</v>
      </c>
      <c r="AL4" s="166" t="s">
        <v>69</v>
      </c>
      <c r="AM4" s="166"/>
      <c r="AN4" s="168" t="s">
        <v>69</v>
      </c>
      <c r="AO4" s="166" t="s">
        <v>69</v>
      </c>
      <c r="AP4" s="166" t="s">
        <v>69</v>
      </c>
      <c r="AQ4" s="111">
        <v>43131</v>
      </c>
      <c r="AR4" s="166" t="s">
        <v>69</v>
      </c>
      <c r="AS4" s="166" t="s">
        <v>69</v>
      </c>
      <c r="AT4" s="168">
        <v>43131</v>
      </c>
      <c r="AU4" s="166" t="s">
        <v>69</v>
      </c>
      <c r="AV4" s="166" t="s">
        <v>69</v>
      </c>
      <c r="AW4" s="167" t="s">
        <v>70</v>
      </c>
      <c r="AX4" s="167" t="s">
        <v>70</v>
      </c>
      <c r="AY4" s="166" t="s">
        <v>69</v>
      </c>
      <c r="AZ4" s="164">
        <v>45574</v>
      </c>
      <c r="BA4" s="164">
        <v>46304</v>
      </c>
      <c r="BB4" s="167" t="s">
        <v>70</v>
      </c>
      <c r="BC4" s="167" t="s">
        <v>70</v>
      </c>
      <c r="BD4" s="166" t="s">
        <v>69</v>
      </c>
      <c r="BE4" s="167" t="s">
        <v>70</v>
      </c>
      <c r="BF4" s="167" t="s">
        <v>70</v>
      </c>
      <c r="BG4" s="169" t="s">
        <v>70</v>
      </c>
      <c r="BH4" s="169" t="s">
        <v>70</v>
      </c>
      <c r="BI4" s="169" t="s">
        <v>70</v>
      </c>
      <c r="BJ4" s="167" t="s">
        <v>70</v>
      </c>
      <c r="BK4" s="166" t="s">
        <v>69</v>
      </c>
      <c r="BL4" s="166" t="s">
        <v>69</v>
      </c>
      <c r="BM4" s="167" t="s">
        <v>70</v>
      </c>
      <c r="BN4" s="167" t="s">
        <v>70</v>
      </c>
      <c r="BO4" s="167" t="s">
        <v>70</v>
      </c>
      <c r="BP4" s="167" t="s">
        <v>70</v>
      </c>
      <c r="BQ4" s="151">
        <v>0</v>
      </c>
    </row>
    <row r="5" spans="1:136" s="151" customFormat="1" ht="19.5" customHeight="1" x14ac:dyDescent="0.2">
      <c r="A5" s="117">
        <v>2</v>
      </c>
      <c r="B5" s="161" t="s">
        <v>866</v>
      </c>
      <c r="C5" s="170">
        <v>83064072</v>
      </c>
      <c r="D5" s="171" t="s">
        <v>133</v>
      </c>
      <c r="E5" s="117" t="s">
        <v>83</v>
      </c>
      <c r="F5" s="146" t="s">
        <v>208</v>
      </c>
      <c r="G5" s="172">
        <v>40953</v>
      </c>
      <c r="H5" s="172">
        <v>40731</v>
      </c>
      <c r="I5" s="172">
        <v>46065</v>
      </c>
      <c r="J5" s="162">
        <f>IF(I5="", "", DATE(YEAR(I5)+2, MONTH(I5), DAY(I5)))</f>
        <v>46795</v>
      </c>
      <c r="K5" s="111">
        <v>40847</v>
      </c>
      <c r="L5" s="111">
        <v>46268</v>
      </c>
      <c r="M5" s="163">
        <f>IF(L5="", "", DATE(YEAR(L5)+2, MONTH(L5), DAY(L5)))</f>
        <v>46999</v>
      </c>
      <c r="N5" s="111">
        <v>40898</v>
      </c>
      <c r="O5" s="111">
        <v>40898</v>
      </c>
      <c r="P5" s="111">
        <v>40898</v>
      </c>
      <c r="Q5" s="169" t="s">
        <v>71</v>
      </c>
      <c r="R5" s="169" t="s">
        <v>71</v>
      </c>
      <c r="S5" s="169" t="s">
        <v>71</v>
      </c>
      <c r="T5" s="112">
        <v>41887</v>
      </c>
      <c r="U5" s="165" t="s">
        <v>69</v>
      </c>
      <c r="V5" s="165" t="s">
        <v>69</v>
      </c>
      <c r="W5" s="94">
        <v>43371</v>
      </c>
      <c r="X5" s="94">
        <v>41887</v>
      </c>
      <c r="Y5" s="94">
        <v>42034</v>
      </c>
      <c r="Z5" s="94">
        <v>42314</v>
      </c>
      <c r="AA5" s="112">
        <v>45674</v>
      </c>
      <c r="AB5" s="94">
        <v>40954</v>
      </c>
      <c r="AC5" s="94">
        <v>41842</v>
      </c>
      <c r="AD5" s="167" t="s">
        <v>70</v>
      </c>
      <c r="AE5" s="167" t="s">
        <v>70</v>
      </c>
      <c r="AF5" s="112">
        <v>46287</v>
      </c>
      <c r="AG5" s="111">
        <v>44498</v>
      </c>
      <c r="AH5" s="94">
        <v>41610</v>
      </c>
      <c r="AI5" s="167" t="s">
        <v>70</v>
      </c>
      <c r="AJ5" s="167" t="s">
        <v>70</v>
      </c>
      <c r="AK5" s="111">
        <v>46252</v>
      </c>
      <c r="AL5" s="166" t="s">
        <v>69</v>
      </c>
      <c r="AM5" s="166"/>
      <c r="AN5" s="168" t="s">
        <v>69</v>
      </c>
      <c r="AO5" s="168">
        <v>46307</v>
      </c>
      <c r="AP5" s="94">
        <v>41229</v>
      </c>
      <c r="AQ5" s="166" t="s">
        <v>69</v>
      </c>
      <c r="AR5" s="166" t="s">
        <v>69</v>
      </c>
      <c r="AS5" s="166" t="s">
        <v>69</v>
      </c>
      <c r="AT5" s="94">
        <v>43606</v>
      </c>
      <c r="AU5" s="166" t="s">
        <v>69</v>
      </c>
      <c r="AV5" s="166" t="s">
        <v>69</v>
      </c>
      <c r="AW5" s="167" t="s">
        <v>71</v>
      </c>
      <c r="AX5" s="167" t="s">
        <v>71</v>
      </c>
      <c r="AY5" s="94">
        <v>42093</v>
      </c>
      <c r="AZ5" s="166" t="s">
        <v>69</v>
      </c>
      <c r="BA5" s="166" t="s">
        <v>69</v>
      </c>
      <c r="BB5" s="173"/>
      <c r="BC5" s="173"/>
      <c r="BD5" s="94">
        <v>41954</v>
      </c>
      <c r="BE5" s="167" t="s">
        <v>71</v>
      </c>
      <c r="BF5" s="167" t="s">
        <v>71</v>
      </c>
      <c r="BG5" s="94">
        <v>38727</v>
      </c>
      <c r="BH5" s="169" t="s">
        <v>71</v>
      </c>
      <c r="BI5" s="169" t="s">
        <v>71</v>
      </c>
      <c r="BJ5" s="173"/>
      <c r="BK5" s="173"/>
      <c r="BL5" s="173"/>
      <c r="BM5" s="173"/>
      <c r="BN5" s="173"/>
      <c r="BO5" s="173"/>
      <c r="BP5" s="173"/>
      <c r="BQ5" s="151">
        <v>0</v>
      </c>
      <c r="BR5" s="142"/>
      <c r="BS5" s="142"/>
      <c r="BT5" s="142"/>
      <c r="BU5" s="142"/>
      <c r="BV5" s="142"/>
      <c r="BW5" s="142"/>
      <c r="BX5" s="142"/>
      <c r="BY5" s="142"/>
      <c r="BZ5" s="142"/>
      <c r="CA5" s="142"/>
      <c r="CB5" s="142"/>
      <c r="CC5" s="142"/>
      <c r="CD5" s="142"/>
      <c r="CE5" s="142"/>
      <c r="CF5" s="142"/>
      <c r="CG5" s="142"/>
      <c r="CH5" s="142"/>
      <c r="CI5" s="142"/>
      <c r="CJ5" s="142"/>
      <c r="CK5" s="142"/>
      <c r="CL5" s="142"/>
      <c r="CM5" s="142"/>
      <c r="CN5" s="142"/>
      <c r="CO5" s="142"/>
      <c r="CP5" s="142"/>
      <c r="CQ5" s="142"/>
      <c r="CR5" s="142"/>
      <c r="CS5" s="142"/>
      <c r="CT5" s="142"/>
      <c r="CU5" s="142"/>
      <c r="CV5" s="142"/>
      <c r="CW5" s="142"/>
      <c r="CX5" s="142"/>
      <c r="CY5" s="142"/>
      <c r="CZ5" s="142"/>
      <c r="DA5" s="142"/>
      <c r="DB5" s="142"/>
      <c r="DC5" s="142"/>
      <c r="DD5" s="142"/>
      <c r="DE5" s="142"/>
      <c r="DF5" s="142"/>
      <c r="DG5" s="142"/>
      <c r="DH5" s="142"/>
      <c r="DI5" s="142"/>
      <c r="DJ5" s="142"/>
      <c r="DK5" s="142"/>
      <c r="DL5" s="142"/>
      <c r="DM5" s="142"/>
      <c r="DN5" s="142"/>
      <c r="DO5" s="142"/>
      <c r="DP5" s="142"/>
      <c r="DQ5" s="142"/>
      <c r="DR5" s="142"/>
      <c r="DS5" s="142"/>
      <c r="DT5" s="142"/>
      <c r="DU5" s="142"/>
      <c r="DV5" s="142"/>
      <c r="DW5" s="142"/>
      <c r="DX5" s="142"/>
      <c r="DY5" s="142"/>
      <c r="DZ5" s="142"/>
      <c r="EA5" s="142"/>
      <c r="EB5" s="142"/>
      <c r="EC5" s="142"/>
      <c r="ED5" s="142"/>
      <c r="EE5" s="142"/>
      <c r="EF5" s="141"/>
    </row>
    <row r="6" spans="1:136" s="151" customFormat="1" ht="19.5" customHeight="1" x14ac:dyDescent="0.2">
      <c r="A6" s="117">
        <v>3</v>
      </c>
      <c r="B6" s="159" t="s">
        <v>786</v>
      </c>
      <c r="C6" s="160">
        <v>53020311</v>
      </c>
      <c r="D6" s="159" t="s">
        <v>787</v>
      </c>
      <c r="E6" s="117" t="s">
        <v>68</v>
      </c>
      <c r="F6" s="146" t="s">
        <v>208</v>
      </c>
      <c r="G6" s="172">
        <v>42052</v>
      </c>
      <c r="H6" s="162">
        <v>45611</v>
      </c>
      <c r="I6" s="162">
        <v>46083</v>
      </c>
      <c r="J6" s="162">
        <f>IF(I6="", "", DATE(YEAR(I6)+2, MONTH(I6), DAY(I6)))</f>
        <v>46814</v>
      </c>
      <c r="K6" s="111">
        <v>44206</v>
      </c>
      <c r="L6" s="111">
        <v>45980</v>
      </c>
      <c r="M6" s="163">
        <f>IF(L6="", "", DATE(YEAR(L6)+2, MONTH(L6), DAY(L6)))</f>
        <v>46710</v>
      </c>
      <c r="N6" s="111">
        <v>41517</v>
      </c>
      <c r="O6" s="111">
        <v>41498</v>
      </c>
      <c r="P6" s="111">
        <v>43577</v>
      </c>
      <c r="Q6" s="166" t="s">
        <v>69</v>
      </c>
      <c r="R6" s="165" t="s">
        <v>69</v>
      </c>
      <c r="S6" s="165" t="s">
        <v>69</v>
      </c>
      <c r="T6" s="165" t="s">
        <v>69</v>
      </c>
      <c r="U6" s="165" t="s">
        <v>69</v>
      </c>
      <c r="V6" s="165" t="s">
        <v>69</v>
      </c>
      <c r="W6" s="165" t="s">
        <v>69</v>
      </c>
      <c r="X6" s="165" t="s">
        <v>69</v>
      </c>
      <c r="Y6" s="165" t="s">
        <v>69</v>
      </c>
      <c r="Z6" s="165" t="s">
        <v>69</v>
      </c>
      <c r="AA6" s="94">
        <v>45695</v>
      </c>
      <c r="AB6" s="165" t="s">
        <v>69</v>
      </c>
      <c r="AC6" s="165" t="s">
        <v>69</v>
      </c>
      <c r="AD6" s="165" t="s">
        <v>69</v>
      </c>
      <c r="AE6" s="167" t="s">
        <v>70</v>
      </c>
      <c r="AF6" s="94">
        <v>45645</v>
      </c>
      <c r="AG6" s="166" t="s">
        <v>69</v>
      </c>
      <c r="AH6" s="166" t="s">
        <v>69</v>
      </c>
      <c r="AI6" s="167" t="s">
        <v>70</v>
      </c>
      <c r="AJ6" s="167" t="s">
        <v>70</v>
      </c>
      <c r="AK6" s="111">
        <v>46303</v>
      </c>
      <c r="AL6" s="166" t="s">
        <v>69</v>
      </c>
      <c r="AM6" s="166"/>
      <c r="AN6" s="165" t="s">
        <v>69</v>
      </c>
      <c r="AO6" s="112">
        <v>46307</v>
      </c>
      <c r="AP6" s="166" t="s">
        <v>69</v>
      </c>
      <c r="AQ6" s="165" t="s">
        <v>69</v>
      </c>
      <c r="AR6" s="166" t="s">
        <v>69</v>
      </c>
      <c r="AS6" s="165" t="s">
        <v>69</v>
      </c>
      <c r="AT6" s="166" t="s">
        <v>69</v>
      </c>
      <c r="AU6" s="166" t="s">
        <v>69</v>
      </c>
      <c r="AV6" s="166" t="s">
        <v>69</v>
      </c>
      <c r="AW6" s="167" t="s">
        <v>70</v>
      </c>
      <c r="AX6" s="167" t="s">
        <v>70</v>
      </c>
      <c r="AY6" s="166" t="s">
        <v>69</v>
      </c>
      <c r="AZ6" s="165" t="s">
        <v>69</v>
      </c>
      <c r="BA6" s="165" t="s">
        <v>69</v>
      </c>
      <c r="BB6" s="167" t="s">
        <v>70</v>
      </c>
      <c r="BC6" s="167" t="s">
        <v>70</v>
      </c>
      <c r="BD6" s="165" t="s">
        <v>69</v>
      </c>
      <c r="BE6" s="167" t="s">
        <v>70</v>
      </c>
      <c r="BF6" s="167" t="s">
        <v>70</v>
      </c>
      <c r="BG6" s="167" t="s">
        <v>70</v>
      </c>
      <c r="BH6" s="167" t="s">
        <v>70</v>
      </c>
      <c r="BI6" s="167" t="s">
        <v>70</v>
      </c>
      <c r="BJ6" s="165" t="s">
        <v>69</v>
      </c>
      <c r="BK6" s="165" t="s">
        <v>69</v>
      </c>
      <c r="BL6" s="165" t="s">
        <v>69</v>
      </c>
      <c r="BM6" s="167" t="s">
        <v>70</v>
      </c>
      <c r="BN6" s="167" t="s">
        <v>70</v>
      </c>
      <c r="BO6" s="167" t="s">
        <v>70</v>
      </c>
      <c r="BP6" s="167" t="s">
        <v>70</v>
      </c>
      <c r="BQ6" s="151">
        <v>0</v>
      </c>
    </row>
    <row r="7" spans="1:136" s="151" customFormat="1" ht="19.5" customHeight="1" x14ac:dyDescent="0.2">
      <c r="A7" s="117">
        <v>4</v>
      </c>
      <c r="B7" s="144" t="s">
        <v>178</v>
      </c>
      <c r="C7" s="144">
        <v>53041523</v>
      </c>
      <c r="D7" s="117" t="s">
        <v>749</v>
      </c>
      <c r="E7" s="117" t="s">
        <v>68</v>
      </c>
      <c r="F7" s="146" t="s">
        <v>208</v>
      </c>
      <c r="G7" s="172">
        <v>42052</v>
      </c>
      <c r="H7" s="172">
        <v>40394</v>
      </c>
      <c r="I7" s="172">
        <v>46084</v>
      </c>
      <c r="J7" s="162">
        <f>IF(I7="", "", DATE(YEAR(I7)+2, MONTH(I7), DAY(I7)))</f>
        <v>46815</v>
      </c>
      <c r="K7" s="111">
        <v>40798</v>
      </c>
      <c r="L7" s="111">
        <v>46268</v>
      </c>
      <c r="M7" s="163">
        <f>IF(L7="", "", DATE(YEAR(L7)+2, MONTH(L7), DAY(L7)))</f>
        <v>46999</v>
      </c>
      <c r="N7" s="111">
        <v>40794</v>
      </c>
      <c r="O7" s="111">
        <v>40794</v>
      </c>
      <c r="P7" s="111">
        <v>40794</v>
      </c>
      <c r="Q7" s="166" t="s">
        <v>69</v>
      </c>
      <c r="R7" s="166" t="s">
        <v>69</v>
      </c>
      <c r="S7" s="166" t="s">
        <v>69</v>
      </c>
      <c r="T7" s="166" t="s">
        <v>69</v>
      </c>
      <c r="U7" s="166" t="s">
        <v>69</v>
      </c>
      <c r="V7" s="94">
        <v>42821</v>
      </c>
      <c r="W7" s="166" t="s">
        <v>69</v>
      </c>
      <c r="X7" s="166" t="s">
        <v>69</v>
      </c>
      <c r="Y7" s="166" t="s">
        <v>69</v>
      </c>
      <c r="Z7" s="166" t="s">
        <v>69</v>
      </c>
      <c r="AA7" s="94">
        <v>45723</v>
      </c>
      <c r="AB7" s="166" t="s">
        <v>69</v>
      </c>
      <c r="AC7" s="166" t="s">
        <v>69</v>
      </c>
      <c r="AD7" s="167" t="s">
        <v>71</v>
      </c>
      <c r="AE7" s="167" t="s">
        <v>70</v>
      </c>
      <c r="AF7" s="112">
        <v>45642</v>
      </c>
      <c r="AG7" s="112" t="s">
        <v>69</v>
      </c>
      <c r="AH7" s="167" t="s">
        <v>71</v>
      </c>
      <c r="AI7" s="167" t="s">
        <v>71</v>
      </c>
      <c r="AJ7" s="167" t="s">
        <v>71</v>
      </c>
      <c r="AK7" s="167" t="s">
        <v>70</v>
      </c>
      <c r="AL7" s="166" t="s">
        <v>69</v>
      </c>
      <c r="AM7" s="166"/>
      <c r="AN7" s="166" t="s">
        <v>69</v>
      </c>
      <c r="AO7" s="167" t="s">
        <v>70</v>
      </c>
      <c r="AP7" s="166" t="s">
        <v>69</v>
      </c>
      <c r="AQ7" s="166" t="s">
        <v>69</v>
      </c>
      <c r="AR7" s="168">
        <v>46220</v>
      </c>
      <c r="AS7" s="168">
        <v>46031</v>
      </c>
      <c r="AT7" s="166" t="s">
        <v>69</v>
      </c>
      <c r="AU7" s="166" t="s">
        <v>69</v>
      </c>
      <c r="AV7" s="166" t="s">
        <v>69</v>
      </c>
      <c r="AW7" s="166" t="s">
        <v>69</v>
      </c>
      <c r="AX7" s="166" t="s">
        <v>69</v>
      </c>
      <c r="AY7" s="166" t="s">
        <v>69</v>
      </c>
      <c r="AZ7" s="166" t="s">
        <v>69</v>
      </c>
      <c r="BA7" s="166" t="s">
        <v>69</v>
      </c>
      <c r="BB7" s="166" t="s">
        <v>69</v>
      </c>
      <c r="BC7" s="173"/>
      <c r="BD7" s="173"/>
      <c r="BE7" s="173"/>
      <c r="BF7" s="173"/>
      <c r="BG7" s="167" t="s">
        <v>70</v>
      </c>
      <c r="BH7" s="173"/>
      <c r="BI7" s="173"/>
      <c r="BJ7" s="167" t="s">
        <v>70</v>
      </c>
      <c r="BK7" s="173"/>
      <c r="BL7" s="167" t="s">
        <v>70</v>
      </c>
      <c r="BM7" s="167" t="s">
        <v>70</v>
      </c>
      <c r="BN7" s="167" t="s">
        <v>70</v>
      </c>
      <c r="BO7" s="167" t="s">
        <v>70</v>
      </c>
      <c r="BP7" s="173"/>
      <c r="BQ7" s="151">
        <v>0</v>
      </c>
      <c r="BR7" s="142"/>
      <c r="BS7" s="142"/>
      <c r="BT7" s="142"/>
      <c r="BU7" s="142"/>
      <c r="BV7" s="142"/>
      <c r="BW7" s="142"/>
      <c r="BX7" s="142"/>
      <c r="BY7" s="142"/>
      <c r="BZ7" s="142"/>
      <c r="CA7" s="142"/>
      <c r="CB7" s="142"/>
      <c r="CC7" s="142"/>
      <c r="CD7" s="142"/>
      <c r="CE7" s="142"/>
      <c r="CF7" s="142"/>
      <c r="CG7" s="142"/>
      <c r="CH7" s="142"/>
      <c r="CI7" s="142"/>
      <c r="CJ7" s="142"/>
      <c r="CK7" s="142"/>
      <c r="CL7" s="142"/>
      <c r="CM7" s="142"/>
      <c r="CN7" s="142"/>
      <c r="CO7" s="142"/>
      <c r="CP7" s="142"/>
      <c r="CQ7" s="142"/>
      <c r="CR7" s="142"/>
      <c r="CS7" s="142"/>
      <c r="CT7" s="142"/>
      <c r="CU7" s="142"/>
      <c r="CV7" s="142"/>
      <c r="CW7" s="142"/>
      <c r="CX7" s="142"/>
      <c r="CY7" s="142"/>
      <c r="CZ7" s="142"/>
      <c r="DA7" s="142"/>
      <c r="DB7" s="142"/>
      <c r="DC7" s="142"/>
      <c r="DD7" s="142"/>
      <c r="DE7" s="142"/>
      <c r="DF7" s="142"/>
      <c r="DG7" s="142"/>
      <c r="DH7" s="142"/>
      <c r="DI7" s="142"/>
      <c r="DJ7" s="142"/>
      <c r="DK7" s="142"/>
      <c r="DL7" s="142"/>
      <c r="DM7" s="142"/>
      <c r="DN7" s="142"/>
      <c r="DO7" s="142"/>
      <c r="DP7" s="142"/>
      <c r="DQ7" s="142"/>
      <c r="DR7" s="142"/>
      <c r="DS7" s="142"/>
      <c r="DT7" s="142"/>
      <c r="DU7" s="142"/>
      <c r="DV7" s="142"/>
      <c r="DW7" s="142"/>
      <c r="DX7" s="142"/>
      <c r="DY7" s="142"/>
      <c r="DZ7" s="142"/>
      <c r="EA7" s="142"/>
      <c r="EB7" s="142"/>
      <c r="EC7" s="142"/>
      <c r="ED7" s="142"/>
      <c r="EE7" s="142"/>
      <c r="EF7" s="142"/>
    </row>
    <row r="8" spans="1:136" s="151" customFormat="1" ht="19.5" customHeight="1" x14ac:dyDescent="0.2">
      <c r="A8" s="117">
        <v>5</v>
      </c>
      <c r="B8" s="117" t="s">
        <v>748</v>
      </c>
      <c r="C8" s="117">
        <v>240740</v>
      </c>
      <c r="D8" s="144" t="s">
        <v>749</v>
      </c>
      <c r="E8" s="117" t="s">
        <v>68</v>
      </c>
      <c r="F8" s="146" t="s">
        <v>256</v>
      </c>
      <c r="G8" s="124" t="s">
        <v>69</v>
      </c>
      <c r="H8" s="172">
        <v>46218</v>
      </c>
      <c r="I8" s="172">
        <v>46218</v>
      </c>
      <c r="J8" s="162">
        <f t="shared" ref="J8:J14" si="0">IF(I8="", "", DATE(YEAR(I8)+3, MONTH(I8), DAY(I8)))</f>
        <v>47314</v>
      </c>
      <c r="K8" s="172">
        <v>46198</v>
      </c>
      <c r="L8" s="172">
        <v>46198</v>
      </c>
      <c r="M8" s="163">
        <f t="shared" ref="M8:M14" si="1">IF(L8="", "", DATE(YEAR(L8)+3, MONTH(L8), DAY(L8)))</f>
        <v>47294</v>
      </c>
      <c r="N8" s="112" t="s">
        <v>69</v>
      </c>
      <c r="O8" s="111">
        <v>46300</v>
      </c>
      <c r="P8" s="111">
        <v>45628</v>
      </c>
      <c r="Q8" s="166" t="s">
        <v>69</v>
      </c>
      <c r="R8" s="165" t="s">
        <v>69</v>
      </c>
      <c r="S8" s="165" t="s">
        <v>69</v>
      </c>
      <c r="T8" s="165" t="s">
        <v>69</v>
      </c>
      <c r="U8" s="165" t="s">
        <v>69</v>
      </c>
      <c r="V8" s="94">
        <v>45744</v>
      </c>
      <c r="W8" s="165" t="s">
        <v>69</v>
      </c>
      <c r="X8" s="165" t="s">
        <v>69</v>
      </c>
      <c r="Y8" s="165" t="s">
        <v>69</v>
      </c>
      <c r="Z8" s="165" t="s">
        <v>69</v>
      </c>
      <c r="AA8" s="165" t="s">
        <v>69</v>
      </c>
      <c r="AB8" s="165" t="s">
        <v>69</v>
      </c>
      <c r="AC8" s="165" t="s">
        <v>69</v>
      </c>
      <c r="AD8" s="166" t="s">
        <v>69</v>
      </c>
      <c r="AE8" s="167" t="s">
        <v>70</v>
      </c>
      <c r="AF8" s="112" t="s">
        <v>69</v>
      </c>
      <c r="AG8" s="167" t="s">
        <v>70</v>
      </c>
      <c r="AH8" s="167" t="s">
        <v>70</v>
      </c>
      <c r="AI8" s="111">
        <v>45673</v>
      </c>
      <c r="AJ8" s="167" t="s">
        <v>70</v>
      </c>
      <c r="AK8" s="167" t="s">
        <v>70</v>
      </c>
      <c r="AL8" s="166" t="s">
        <v>69</v>
      </c>
      <c r="AM8" s="166"/>
      <c r="AN8" s="165" t="s">
        <v>69</v>
      </c>
      <c r="AO8" s="117"/>
      <c r="AP8" s="166" t="s">
        <v>69</v>
      </c>
      <c r="AQ8" s="165" t="s">
        <v>69</v>
      </c>
      <c r="AR8" s="165" t="s">
        <v>69</v>
      </c>
      <c r="AS8" s="112">
        <v>46136</v>
      </c>
      <c r="AT8" s="166" t="s">
        <v>69</v>
      </c>
      <c r="AU8" s="166" t="s">
        <v>69</v>
      </c>
      <c r="AV8" s="166" t="s">
        <v>69</v>
      </c>
      <c r="AW8" s="167" t="s">
        <v>70</v>
      </c>
      <c r="AX8" s="167" t="s">
        <v>70</v>
      </c>
      <c r="AY8" s="167" t="s">
        <v>70</v>
      </c>
      <c r="AZ8" s="165" t="s">
        <v>69</v>
      </c>
      <c r="BA8" s="165" t="s">
        <v>69</v>
      </c>
      <c r="BB8" s="167" t="s">
        <v>70</v>
      </c>
      <c r="BC8" s="167" t="s">
        <v>70</v>
      </c>
      <c r="BD8" s="165" t="s">
        <v>69</v>
      </c>
      <c r="BE8" s="167" t="s">
        <v>70</v>
      </c>
      <c r="BF8" s="167" t="s">
        <v>70</v>
      </c>
      <c r="BG8" s="167" t="s">
        <v>70</v>
      </c>
      <c r="BH8" s="167" t="s">
        <v>70</v>
      </c>
      <c r="BI8" s="167" t="s">
        <v>70</v>
      </c>
      <c r="BJ8" s="165" t="s">
        <v>69</v>
      </c>
      <c r="BK8" s="117"/>
      <c r="BL8" s="117"/>
      <c r="BM8" s="167" t="s">
        <v>70</v>
      </c>
      <c r="BN8" s="167" t="s">
        <v>70</v>
      </c>
      <c r="BO8" s="167" t="s">
        <v>70</v>
      </c>
      <c r="BP8" s="167" t="s">
        <v>70</v>
      </c>
      <c r="BQ8" s="151">
        <v>0</v>
      </c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</row>
    <row r="9" spans="1:136" s="151" customFormat="1" ht="19.5" customHeight="1" x14ac:dyDescent="0.2">
      <c r="A9" s="117">
        <v>6</v>
      </c>
      <c r="B9" s="117" t="s">
        <v>752</v>
      </c>
      <c r="C9" s="117">
        <v>240879</v>
      </c>
      <c r="D9" s="144" t="s">
        <v>749</v>
      </c>
      <c r="E9" s="117" t="s">
        <v>68</v>
      </c>
      <c r="F9" s="146" t="s">
        <v>256</v>
      </c>
      <c r="G9" s="124" t="s">
        <v>69</v>
      </c>
      <c r="H9" s="172">
        <v>46227</v>
      </c>
      <c r="I9" s="172">
        <v>46227</v>
      </c>
      <c r="J9" s="162">
        <f t="shared" si="0"/>
        <v>47323</v>
      </c>
      <c r="K9" s="111">
        <v>46220</v>
      </c>
      <c r="L9" s="111">
        <v>46220</v>
      </c>
      <c r="M9" s="163">
        <f t="shared" si="1"/>
        <v>47316</v>
      </c>
      <c r="N9" s="111">
        <v>46300</v>
      </c>
      <c r="O9" s="111">
        <v>46300</v>
      </c>
      <c r="P9" s="111">
        <v>45628</v>
      </c>
      <c r="Q9" s="166" t="s">
        <v>69</v>
      </c>
      <c r="R9" s="165" t="s">
        <v>69</v>
      </c>
      <c r="S9" s="165" t="s">
        <v>69</v>
      </c>
      <c r="T9" s="165" t="s">
        <v>69</v>
      </c>
      <c r="U9" s="165" t="s">
        <v>69</v>
      </c>
      <c r="V9" s="94">
        <v>45863</v>
      </c>
      <c r="W9" s="165" t="s">
        <v>69</v>
      </c>
      <c r="X9" s="165" t="s">
        <v>69</v>
      </c>
      <c r="Y9" s="165" t="s">
        <v>69</v>
      </c>
      <c r="Z9" s="165" t="s">
        <v>69</v>
      </c>
      <c r="AA9" s="94">
        <v>45723</v>
      </c>
      <c r="AB9" s="165" t="s">
        <v>69</v>
      </c>
      <c r="AC9" s="165" t="s">
        <v>69</v>
      </c>
      <c r="AD9" s="166" t="s">
        <v>69</v>
      </c>
      <c r="AE9" s="167" t="s">
        <v>70</v>
      </c>
      <c r="AF9" s="112" t="s">
        <v>69</v>
      </c>
      <c r="AG9" s="167" t="s">
        <v>70</v>
      </c>
      <c r="AH9" s="167" t="s">
        <v>70</v>
      </c>
      <c r="AI9" s="111">
        <v>45673</v>
      </c>
      <c r="AJ9" s="167" t="s">
        <v>70</v>
      </c>
      <c r="AK9" s="167" t="s">
        <v>70</v>
      </c>
      <c r="AL9" s="166" t="s">
        <v>69</v>
      </c>
      <c r="AM9" s="166"/>
      <c r="AN9" s="165" t="s">
        <v>69</v>
      </c>
      <c r="AO9" s="165" t="s">
        <v>69</v>
      </c>
      <c r="AP9" s="166" t="s">
        <v>69</v>
      </c>
      <c r="AQ9" s="165" t="s">
        <v>69</v>
      </c>
      <c r="AR9" s="112">
        <v>46184</v>
      </c>
      <c r="AS9" s="112">
        <v>46136</v>
      </c>
      <c r="AT9" s="166" t="s">
        <v>69</v>
      </c>
      <c r="AU9" s="166" t="s">
        <v>69</v>
      </c>
      <c r="AV9" s="166" t="s">
        <v>69</v>
      </c>
      <c r="AW9" s="167" t="s">
        <v>70</v>
      </c>
      <c r="AX9" s="167" t="s">
        <v>70</v>
      </c>
      <c r="AY9" s="167" t="s">
        <v>70</v>
      </c>
      <c r="AZ9" s="165" t="s">
        <v>69</v>
      </c>
      <c r="BA9" s="165" t="s">
        <v>69</v>
      </c>
      <c r="BB9" s="167" t="s">
        <v>70</v>
      </c>
      <c r="BC9" s="167" t="s">
        <v>70</v>
      </c>
      <c r="BD9" s="165" t="s">
        <v>69</v>
      </c>
      <c r="BE9" s="167" t="s">
        <v>70</v>
      </c>
      <c r="BF9" s="167" t="s">
        <v>70</v>
      </c>
      <c r="BG9" s="167" t="s">
        <v>70</v>
      </c>
      <c r="BH9" s="167" t="s">
        <v>70</v>
      </c>
      <c r="BI9" s="167" t="s">
        <v>70</v>
      </c>
      <c r="BJ9" s="165" t="s">
        <v>69</v>
      </c>
      <c r="BK9" s="165" t="s">
        <v>69</v>
      </c>
      <c r="BL9" s="165" t="s">
        <v>69</v>
      </c>
      <c r="BM9" s="167" t="s">
        <v>70</v>
      </c>
      <c r="BN9" s="167" t="s">
        <v>70</v>
      </c>
      <c r="BO9" s="167" t="s">
        <v>70</v>
      </c>
      <c r="BP9" s="167" t="s">
        <v>70</v>
      </c>
      <c r="BQ9" s="151">
        <v>0</v>
      </c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</row>
    <row r="10" spans="1:136" s="151" customFormat="1" ht="19.5" customHeight="1" x14ac:dyDescent="0.2">
      <c r="A10" s="117">
        <v>7</v>
      </c>
      <c r="B10" s="117" t="s">
        <v>753</v>
      </c>
      <c r="C10" s="117">
        <v>240739</v>
      </c>
      <c r="D10" s="144" t="s">
        <v>749</v>
      </c>
      <c r="E10" s="117" t="s">
        <v>68</v>
      </c>
      <c r="F10" s="146" t="s">
        <v>256</v>
      </c>
      <c r="G10" s="124" t="s">
        <v>69</v>
      </c>
      <c r="H10" s="172">
        <v>46282</v>
      </c>
      <c r="I10" s="172">
        <v>46282</v>
      </c>
      <c r="J10" s="162">
        <f t="shared" si="0"/>
        <v>47378</v>
      </c>
      <c r="K10" s="172">
        <v>46198</v>
      </c>
      <c r="L10" s="172">
        <v>46198</v>
      </c>
      <c r="M10" s="163">
        <f t="shared" si="1"/>
        <v>47294</v>
      </c>
      <c r="N10" s="111">
        <v>46300</v>
      </c>
      <c r="O10" s="111">
        <v>46300</v>
      </c>
      <c r="P10" s="111">
        <v>45628</v>
      </c>
      <c r="Q10" s="166" t="s">
        <v>69</v>
      </c>
      <c r="R10" s="165" t="s">
        <v>69</v>
      </c>
      <c r="S10" s="165" t="s">
        <v>69</v>
      </c>
      <c r="T10" s="94">
        <v>45758</v>
      </c>
      <c r="U10" s="165" t="s">
        <v>69</v>
      </c>
      <c r="V10" s="165" t="s">
        <v>69</v>
      </c>
      <c r="W10" s="165" t="s">
        <v>69</v>
      </c>
      <c r="X10" s="165" t="s">
        <v>69</v>
      </c>
      <c r="Y10" s="165" t="s">
        <v>69</v>
      </c>
      <c r="Z10" s="165" t="s">
        <v>69</v>
      </c>
      <c r="AA10" s="165" t="s">
        <v>69</v>
      </c>
      <c r="AB10" s="165" t="s">
        <v>69</v>
      </c>
      <c r="AC10" s="165" t="s">
        <v>69</v>
      </c>
      <c r="AD10" s="166" t="s">
        <v>69</v>
      </c>
      <c r="AE10" s="167" t="s">
        <v>70</v>
      </c>
      <c r="AF10" s="112" t="s">
        <v>69</v>
      </c>
      <c r="AG10" s="167" t="s">
        <v>70</v>
      </c>
      <c r="AH10" s="167" t="s">
        <v>70</v>
      </c>
      <c r="AI10" s="111">
        <v>45680</v>
      </c>
      <c r="AJ10" s="167" t="s">
        <v>70</v>
      </c>
      <c r="AK10" s="167" t="s">
        <v>70</v>
      </c>
      <c r="AL10" s="166" t="s">
        <v>69</v>
      </c>
      <c r="AM10" s="166"/>
      <c r="AN10" s="165" t="s">
        <v>69</v>
      </c>
      <c r="AO10" s="165" t="s">
        <v>69</v>
      </c>
      <c r="AP10" s="166" t="s">
        <v>69</v>
      </c>
      <c r="AQ10" s="165" t="s">
        <v>69</v>
      </c>
      <c r="AR10" s="165" t="s">
        <v>69</v>
      </c>
      <c r="AS10" s="112">
        <v>46066</v>
      </c>
      <c r="AT10" s="166" t="s">
        <v>69</v>
      </c>
      <c r="AU10" s="166" t="s">
        <v>69</v>
      </c>
      <c r="AV10" s="166" t="s">
        <v>69</v>
      </c>
      <c r="AW10" s="167" t="s">
        <v>70</v>
      </c>
      <c r="AX10" s="167" t="s">
        <v>70</v>
      </c>
      <c r="AY10" s="167" t="s">
        <v>70</v>
      </c>
      <c r="AZ10" s="165" t="s">
        <v>69</v>
      </c>
      <c r="BA10" s="165" t="s">
        <v>69</v>
      </c>
      <c r="BB10" s="167" t="s">
        <v>70</v>
      </c>
      <c r="BC10" s="167" t="s">
        <v>70</v>
      </c>
      <c r="BD10" s="165" t="s">
        <v>69</v>
      </c>
      <c r="BE10" s="167" t="s">
        <v>70</v>
      </c>
      <c r="BF10" s="167" t="s">
        <v>70</v>
      </c>
      <c r="BG10" s="167" t="s">
        <v>70</v>
      </c>
      <c r="BH10" s="167" t="s">
        <v>70</v>
      </c>
      <c r="BI10" s="167" t="s">
        <v>70</v>
      </c>
      <c r="BJ10" s="165" t="s">
        <v>69</v>
      </c>
      <c r="BK10" s="165" t="s">
        <v>69</v>
      </c>
      <c r="BL10" s="165" t="s">
        <v>69</v>
      </c>
      <c r="BM10" s="167" t="s">
        <v>70</v>
      </c>
      <c r="BN10" s="167" t="s">
        <v>70</v>
      </c>
      <c r="BO10" s="167" t="s">
        <v>70</v>
      </c>
      <c r="BP10" s="167" t="s">
        <v>70</v>
      </c>
      <c r="BQ10" s="151">
        <v>0</v>
      </c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</row>
    <row r="11" spans="1:136" s="151" customFormat="1" ht="19.5" customHeight="1" x14ac:dyDescent="0.2">
      <c r="A11" s="117">
        <v>8</v>
      </c>
      <c r="B11" s="117" t="s">
        <v>754</v>
      </c>
      <c r="C11" s="117">
        <v>241923</v>
      </c>
      <c r="D11" s="144" t="s">
        <v>749</v>
      </c>
      <c r="E11" s="117" t="s">
        <v>68</v>
      </c>
      <c r="F11" s="146" t="s">
        <v>256</v>
      </c>
      <c r="G11" s="124" t="s">
        <v>69</v>
      </c>
      <c r="H11" s="163">
        <v>45624</v>
      </c>
      <c r="I11" s="163">
        <v>45624</v>
      </c>
      <c r="J11" s="162">
        <f t="shared" si="0"/>
        <v>46719</v>
      </c>
      <c r="K11" s="163">
        <v>45622</v>
      </c>
      <c r="L11" s="163">
        <v>45622</v>
      </c>
      <c r="M11" s="163">
        <f t="shared" si="1"/>
        <v>46717</v>
      </c>
      <c r="N11" s="163">
        <v>46223</v>
      </c>
      <c r="O11" s="163">
        <v>46196</v>
      </c>
      <c r="P11" s="163">
        <v>46280</v>
      </c>
      <c r="Q11" s="166" t="s">
        <v>69</v>
      </c>
      <c r="R11" s="165" t="s">
        <v>69</v>
      </c>
      <c r="S11" s="165" t="s">
        <v>69</v>
      </c>
      <c r="T11" s="112">
        <v>46031</v>
      </c>
      <c r="U11" s="165" t="s">
        <v>69</v>
      </c>
      <c r="V11" s="94">
        <v>45744</v>
      </c>
      <c r="W11" s="165" t="s">
        <v>69</v>
      </c>
      <c r="X11" s="165" t="s">
        <v>69</v>
      </c>
      <c r="Y11" s="165" t="s">
        <v>69</v>
      </c>
      <c r="Z11" s="165" t="s">
        <v>69</v>
      </c>
      <c r="AA11" s="165" t="s">
        <v>69</v>
      </c>
      <c r="AB11" s="165" t="s">
        <v>69</v>
      </c>
      <c r="AC11" s="165" t="s">
        <v>69</v>
      </c>
      <c r="AD11" s="166" t="s">
        <v>69</v>
      </c>
      <c r="AE11" s="167" t="s">
        <v>70</v>
      </c>
      <c r="AF11" s="112" t="s">
        <v>69</v>
      </c>
      <c r="AG11" s="167" t="s">
        <v>70</v>
      </c>
      <c r="AH11" s="167" t="s">
        <v>70</v>
      </c>
      <c r="AI11" s="111">
        <v>45680</v>
      </c>
      <c r="AJ11" s="167" t="s">
        <v>70</v>
      </c>
      <c r="AK11" s="167" t="s">
        <v>70</v>
      </c>
      <c r="AL11" s="166" t="s">
        <v>69</v>
      </c>
      <c r="AM11" s="166"/>
      <c r="AN11" s="165" t="s">
        <v>69</v>
      </c>
      <c r="AO11" s="165" t="s">
        <v>69</v>
      </c>
      <c r="AP11" s="166" t="s">
        <v>69</v>
      </c>
      <c r="AQ11" s="165" t="s">
        <v>69</v>
      </c>
      <c r="AR11" s="112">
        <v>46119</v>
      </c>
      <c r="AS11" s="111">
        <v>45891</v>
      </c>
      <c r="AT11" s="166" t="s">
        <v>69</v>
      </c>
      <c r="AU11" s="166" t="s">
        <v>69</v>
      </c>
      <c r="AV11" s="166" t="s">
        <v>69</v>
      </c>
      <c r="AW11" s="167" t="s">
        <v>70</v>
      </c>
      <c r="AX11" s="167" t="s">
        <v>70</v>
      </c>
      <c r="AY11" s="167" t="s">
        <v>70</v>
      </c>
      <c r="AZ11" s="165" t="s">
        <v>69</v>
      </c>
      <c r="BA11" s="165" t="s">
        <v>69</v>
      </c>
      <c r="BB11" s="167" t="s">
        <v>70</v>
      </c>
      <c r="BC11" s="167" t="s">
        <v>70</v>
      </c>
      <c r="BD11" s="165" t="s">
        <v>69</v>
      </c>
      <c r="BE11" s="167" t="s">
        <v>70</v>
      </c>
      <c r="BF11" s="167" t="s">
        <v>70</v>
      </c>
      <c r="BG11" s="167" t="s">
        <v>70</v>
      </c>
      <c r="BH11" s="167" t="s">
        <v>70</v>
      </c>
      <c r="BI11" s="167" t="s">
        <v>70</v>
      </c>
      <c r="BJ11" s="165" t="s">
        <v>69</v>
      </c>
      <c r="BK11" s="165" t="s">
        <v>69</v>
      </c>
      <c r="BL11" s="165" t="s">
        <v>69</v>
      </c>
      <c r="BM11" s="167" t="s">
        <v>70</v>
      </c>
      <c r="BN11" s="167" t="s">
        <v>70</v>
      </c>
      <c r="BO11" s="167" t="s">
        <v>70</v>
      </c>
      <c r="BP11" s="167" t="s">
        <v>70</v>
      </c>
      <c r="BQ11" s="151">
        <v>0</v>
      </c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</row>
    <row r="12" spans="1:136" s="151" customFormat="1" ht="19.5" customHeight="1" x14ac:dyDescent="0.2">
      <c r="A12" s="117">
        <v>9</v>
      </c>
      <c r="B12" s="117" t="s">
        <v>755</v>
      </c>
      <c r="C12" s="117">
        <v>241924</v>
      </c>
      <c r="D12" s="144" t="s">
        <v>749</v>
      </c>
      <c r="E12" s="117" t="s">
        <v>68</v>
      </c>
      <c r="F12" s="146" t="s">
        <v>256</v>
      </c>
      <c r="G12" s="124" t="s">
        <v>69</v>
      </c>
      <c r="H12" s="163">
        <v>45624</v>
      </c>
      <c r="I12" s="163">
        <v>45624</v>
      </c>
      <c r="J12" s="162">
        <f t="shared" si="0"/>
        <v>46719</v>
      </c>
      <c r="K12" s="163">
        <v>45622</v>
      </c>
      <c r="L12" s="163">
        <v>45622</v>
      </c>
      <c r="M12" s="163">
        <f t="shared" si="1"/>
        <v>46717</v>
      </c>
      <c r="N12" s="111">
        <v>46195</v>
      </c>
      <c r="O12" s="111">
        <v>46224</v>
      </c>
      <c r="P12" s="111">
        <v>46246</v>
      </c>
      <c r="Q12" s="166" t="s">
        <v>69</v>
      </c>
      <c r="R12" s="165" t="s">
        <v>69</v>
      </c>
      <c r="S12" s="165" t="s">
        <v>69</v>
      </c>
      <c r="T12" s="165" t="s">
        <v>69</v>
      </c>
      <c r="U12" s="165" t="s">
        <v>69</v>
      </c>
      <c r="V12" s="165" t="s">
        <v>69</v>
      </c>
      <c r="W12" s="165" t="s">
        <v>69</v>
      </c>
      <c r="X12" s="94">
        <v>45870</v>
      </c>
      <c r="Y12" s="165" t="s">
        <v>69</v>
      </c>
      <c r="Z12" s="94">
        <v>45681</v>
      </c>
      <c r="AA12" s="94">
        <v>45772</v>
      </c>
      <c r="AB12" s="165" t="s">
        <v>69</v>
      </c>
      <c r="AC12" s="165" t="s">
        <v>69</v>
      </c>
      <c r="AD12" s="166" t="s">
        <v>69</v>
      </c>
      <c r="AE12" s="167" t="s">
        <v>70</v>
      </c>
      <c r="AF12" s="112" t="s">
        <v>69</v>
      </c>
      <c r="AG12" s="167" t="s">
        <v>70</v>
      </c>
      <c r="AH12" s="167" t="s">
        <v>70</v>
      </c>
      <c r="AI12" s="111">
        <v>45799</v>
      </c>
      <c r="AJ12" s="167" t="s">
        <v>70</v>
      </c>
      <c r="AK12" s="167" t="s">
        <v>70</v>
      </c>
      <c r="AL12" s="166" t="s">
        <v>69</v>
      </c>
      <c r="AM12" s="166"/>
      <c r="AN12" s="165" t="s">
        <v>69</v>
      </c>
      <c r="AO12" s="165" t="s">
        <v>69</v>
      </c>
      <c r="AP12" s="166" t="s">
        <v>69</v>
      </c>
      <c r="AQ12" s="165" t="s">
        <v>69</v>
      </c>
      <c r="AR12" s="165" t="s">
        <v>69</v>
      </c>
      <c r="AS12" s="165" t="s">
        <v>69</v>
      </c>
      <c r="AT12" s="166" t="s">
        <v>69</v>
      </c>
      <c r="AU12" s="166" t="s">
        <v>69</v>
      </c>
      <c r="AV12" s="166" t="s">
        <v>69</v>
      </c>
      <c r="AW12" s="167" t="s">
        <v>70</v>
      </c>
      <c r="AX12" s="167" t="s">
        <v>70</v>
      </c>
      <c r="AY12" s="167" t="s">
        <v>70</v>
      </c>
      <c r="AZ12" s="165" t="s">
        <v>69</v>
      </c>
      <c r="BA12" s="165" t="s">
        <v>69</v>
      </c>
      <c r="BB12" s="167" t="s">
        <v>70</v>
      </c>
      <c r="BC12" s="167" t="s">
        <v>70</v>
      </c>
      <c r="BD12" s="165" t="s">
        <v>69</v>
      </c>
      <c r="BE12" s="167" t="s">
        <v>70</v>
      </c>
      <c r="BF12" s="167" t="s">
        <v>70</v>
      </c>
      <c r="BG12" s="167" t="s">
        <v>70</v>
      </c>
      <c r="BH12" s="167" t="s">
        <v>70</v>
      </c>
      <c r="BI12" s="167" t="s">
        <v>70</v>
      </c>
      <c r="BJ12" s="165" t="s">
        <v>69</v>
      </c>
      <c r="BK12" s="165" t="s">
        <v>69</v>
      </c>
      <c r="BL12" s="165" t="s">
        <v>69</v>
      </c>
      <c r="BM12" s="167" t="s">
        <v>70</v>
      </c>
      <c r="BN12" s="167" t="s">
        <v>70</v>
      </c>
      <c r="BO12" s="167" t="s">
        <v>70</v>
      </c>
      <c r="BP12" s="167" t="s">
        <v>70</v>
      </c>
      <c r="BQ12" s="151">
        <v>0</v>
      </c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</row>
    <row r="13" spans="1:136" s="151" customFormat="1" ht="19.5" customHeight="1" x14ac:dyDescent="0.2">
      <c r="A13" s="117">
        <v>10</v>
      </c>
      <c r="B13" s="117" t="s">
        <v>756</v>
      </c>
      <c r="C13" s="117">
        <v>241925</v>
      </c>
      <c r="D13" s="144" t="s">
        <v>749</v>
      </c>
      <c r="E13" s="117" t="s">
        <v>68</v>
      </c>
      <c r="F13" s="146" t="s">
        <v>256</v>
      </c>
      <c r="G13" s="124" t="s">
        <v>69</v>
      </c>
      <c r="H13" s="163">
        <v>45624</v>
      </c>
      <c r="I13" s="163">
        <v>45624</v>
      </c>
      <c r="J13" s="162">
        <f t="shared" si="0"/>
        <v>46719</v>
      </c>
      <c r="K13" s="163">
        <v>45622</v>
      </c>
      <c r="L13" s="163">
        <v>45622</v>
      </c>
      <c r="M13" s="163">
        <f t="shared" si="1"/>
        <v>46717</v>
      </c>
      <c r="N13" s="111"/>
      <c r="O13" s="111">
        <v>46258</v>
      </c>
      <c r="P13" s="111">
        <v>46246</v>
      </c>
      <c r="Q13" s="166" t="s">
        <v>69</v>
      </c>
      <c r="R13" s="165" t="s">
        <v>69</v>
      </c>
      <c r="S13" s="165" t="s">
        <v>69</v>
      </c>
      <c r="T13" s="165" t="s">
        <v>69</v>
      </c>
      <c r="U13" s="165" t="s">
        <v>69</v>
      </c>
      <c r="V13" s="94">
        <v>45702</v>
      </c>
      <c r="W13" s="165" t="s">
        <v>69</v>
      </c>
      <c r="X13" s="165" t="s">
        <v>69</v>
      </c>
      <c r="Y13" s="165" t="s">
        <v>69</v>
      </c>
      <c r="Z13" s="165" t="s">
        <v>69</v>
      </c>
      <c r="AA13" s="165" t="s">
        <v>69</v>
      </c>
      <c r="AB13" s="165" t="s">
        <v>69</v>
      </c>
      <c r="AC13" s="165" t="s">
        <v>69</v>
      </c>
      <c r="AD13" s="166" t="s">
        <v>69</v>
      </c>
      <c r="AE13" s="167" t="s">
        <v>70</v>
      </c>
      <c r="AF13" s="112" t="s">
        <v>69</v>
      </c>
      <c r="AG13" s="167" t="s">
        <v>70</v>
      </c>
      <c r="AH13" s="167" t="s">
        <v>70</v>
      </c>
      <c r="AI13" s="111">
        <v>45673</v>
      </c>
      <c r="AJ13" s="167" t="s">
        <v>70</v>
      </c>
      <c r="AK13" s="167" t="s">
        <v>70</v>
      </c>
      <c r="AL13" s="166" t="s">
        <v>69</v>
      </c>
      <c r="AM13" s="166"/>
      <c r="AN13" s="165" t="s">
        <v>69</v>
      </c>
      <c r="AO13" s="165" t="s">
        <v>69</v>
      </c>
      <c r="AP13" s="166" t="s">
        <v>69</v>
      </c>
      <c r="AQ13" s="165" t="s">
        <v>69</v>
      </c>
      <c r="AR13" s="112">
        <v>46220</v>
      </c>
      <c r="AS13" s="94">
        <v>45904</v>
      </c>
      <c r="AT13" s="166" t="s">
        <v>69</v>
      </c>
      <c r="AU13" s="166" t="s">
        <v>69</v>
      </c>
      <c r="AV13" s="166" t="s">
        <v>69</v>
      </c>
      <c r="AW13" s="167" t="s">
        <v>70</v>
      </c>
      <c r="AX13" s="167" t="s">
        <v>70</v>
      </c>
      <c r="AY13" s="167" t="s">
        <v>70</v>
      </c>
      <c r="AZ13" s="165" t="s">
        <v>69</v>
      </c>
      <c r="BA13" s="165" t="s">
        <v>69</v>
      </c>
      <c r="BB13" s="167" t="s">
        <v>70</v>
      </c>
      <c r="BC13" s="167" t="s">
        <v>70</v>
      </c>
      <c r="BD13" s="165" t="s">
        <v>69</v>
      </c>
      <c r="BE13" s="167" t="s">
        <v>70</v>
      </c>
      <c r="BF13" s="167" t="s">
        <v>70</v>
      </c>
      <c r="BG13" s="167" t="s">
        <v>70</v>
      </c>
      <c r="BH13" s="167" t="s">
        <v>70</v>
      </c>
      <c r="BI13" s="167" t="s">
        <v>70</v>
      </c>
      <c r="BJ13" s="165" t="s">
        <v>69</v>
      </c>
      <c r="BK13" s="165" t="s">
        <v>69</v>
      </c>
      <c r="BL13" s="165" t="s">
        <v>69</v>
      </c>
      <c r="BM13" s="167" t="s">
        <v>70</v>
      </c>
      <c r="BN13" s="167" t="s">
        <v>70</v>
      </c>
      <c r="BO13" s="167" t="s">
        <v>70</v>
      </c>
      <c r="BP13" s="167" t="s">
        <v>70</v>
      </c>
      <c r="BQ13" s="151">
        <v>0</v>
      </c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</row>
    <row r="14" spans="1:136" s="151" customFormat="1" ht="19.5" customHeight="1" x14ac:dyDescent="0.2">
      <c r="A14" s="117">
        <v>11</v>
      </c>
      <c r="B14" s="117" t="s">
        <v>757</v>
      </c>
      <c r="C14" s="117">
        <v>241926</v>
      </c>
      <c r="D14" s="144" t="s">
        <v>749</v>
      </c>
      <c r="E14" s="117" t="s">
        <v>68</v>
      </c>
      <c r="F14" s="146" t="s">
        <v>256</v>
      </c>
      <c r="G14" s="124" t="s">
        <v>69</v>
      </c>
      <c r="H14" s="163">
        <v>45624</v>
      </c>
      <c r="I14" s="163">
        <v>45624</v>
      </c>
      <c r="J14" s="162">
        <f t="shared" si="0"/>
        <v>46719</v>
      </c>
      <c r="K14" s="163">
        <v>45622</v>
      </c>
      <c r="L14" s="163">
        <v>45622</v>
      </c>
      <c r="M14" s="163">
        <f t="shared" si="1"/>
        <v>46717</v>
      </c>
      <c r="N14" s="111"/>
      <c r="O14" s="111">
        <v>46258</v>
      </c>
      <c r="P14" s="111">
        <v>46246</v>
      </c>
      <c r="Q14" s="166" t="s">
        <v>69</v>
      </c>
      <c r="R14" s="165" t="s">
        <v>69</v>
      </c>
      <c r="S14" s="165" t="s">
        <v>69</v>
      </c>
      <c r="T14" s="165" t="s">
        <v>69</v>
      </c>
      <c r="U14" s="165" t="s">
        <v>69</v>
      </c>
      <c r="V14" s="112">
        <v>46052</v>
      </c>
      <c r="W14" s="165" t="s">
        <v>69</v>
      </c>
      <c r="X14" s="165" t="s">
        <v>69</v>
      </c>
      <c r="Y14" s="165" t="s">
        <v>69</v>
      </c>
      <c r="Z14" s="165" t="s">
        <v>69</v>
      </c>
      <c r="AA14" s="94">
        <v>45856</v>
      </c>
      <c r="AB14" s="165" t="s">
        <v>69</v>
      </c>
      <c r="AC14" s="165" t="s">
        <v>69</v>
      </c>
      <c r="AD14" s="94">
        <v>45940</v>
      </c>
      <c r="AE14" s="167" t="s">
        <v>70</v>
      </c>
      <c r="AF14" s="112" t="s">
        <v>69</v>
      </c>
      <c r="AG14" s="167" t="s">
        <v>70</v>
      </c>
      <c r="AH14" s="167" t="s">
        <v>70</v>
      </c>
      <c r="AI14" s="111">
        <v>45680</v>
      </c>
      <c r="AJ14" s="167" t="s">
        <v>70</v>
      </c>
      <c r="AK14" s="167" t="s">
        <v>70</v>
      </c>
      <c r="AL14" s="166" t="s">
        <v>69</v>
      </c>
      <c r="AM14" s="166"/>
      <c r="AN14" s="165" t="s">
        <v>69</v>
      </c>
      <c r="AO14" s="165" t="s">
        <v>69</v>
      </c>
      <c r="AP14" s="166" t="s">
        <v>69</v>
      </c>
      <c r="AQ14" s="165" t="s">
        <v>69</v>
      </c>
      <c r="AR14" s="165" t="s">
        <v>69</v>
      </c>
      <c r="AS14" s="111">
        <v>45940</v>
      </c>
      <c r="AT14" s="166" t="s">
        <v>69</v>
      </c>
      <c r="AU14" s="166" t="s">
        <v>69</v>
      </c>
      <c r="AV14" s="166" t="s">
        <v>69</v>
      </c>
      <c r="AW14" s="167" t="s">
        <v>70</v>
      </c>
      <c r="AX14" s="167" t="s">
        <v>70</v>
      </c>
      <c r="AY14" s="167" t="s">
        <v>70</v>
      </c>
      <c r="AZ14" s="165" t="s">
        <v>69</v>
      </c>
      <c r="BA14" s="165" t="s">
        <v>69</v>
      </c>
      <c r="BB14" s="167" t="s">
        <v>70</v>
      </c>
      <c r="BC14" s="167" t="s">
        <v>70</v>
      </c>
      <c r="BD14" s="165" t="s">
        <v>69</v>
      </c>
      <c r="BE14" s="167" t="s">
        <v>70</v>
      </c>
      <c r="BF14" s="167" t="s">
        <v>70</v>
      </c>
      <c r="BG14" s="167" t="s">
        <v>70</v>
      </c>
      <c r="BH14" s="167" t="s">
        <v>70</v>
      </c>
      <c r="BI14" s="167" t="s">
        <v>70</v>
      </c>
      <c r="BJ14" s="165" t="s">
        <v>69</v>
      </c>
      <c r="BK14" s="165" t="s">
        <v>69</v>
      </c>
      <c r="BL14" s="165" t="s">
        <v>69</v>
      </c>
      <c r="BM14" s="167" t="s">
        <v>70</v>
      </c>
      <c r="BN14" s="167" t="s">
        <v>70</v>
      </c>
      <c r="BO14" s="167" t="s">
        <v>70</v>
      </c>
      <c r="BP14" s="167" t="s">
        <v>70</v>
      </c>
      <c r="BQ14" s="151">
        <v>0</v>
      </c>
    </row>
    <row r="15" spans="1:136" s="151" customFormat="1" ht="19.5" customHeight="1" x14ac:dyDescent="0.2">
      <c r="A15" s="117">
        <v>12</v>
      </c>
      <c r="B15" s="174" t="s">
        <v>758</v>
      </c>
      <c r="C15" s="144">
        <v>83075849</v>
      </c>
      <c r="D15" s="144" t="s">
        <v>749</v>
      </c>
      <c r="E15" s="146" t="s">
        <v>83</v>
      </c>
      <c r="F15" s="146" t="s">
        <v>208</v>
      </c>
      <c r="G15" s="162">
        <v>40942</v>
      </c>
      <c r="H15" s="111">
        <v>41908</v>
      </c>
      <c r="I15" s="111">
        <v>46280</v>
      </c>
      <c r="J15" s="162">
        <f>IF(I15="", "", DATE(YEAR(I15)+2, MONTH(I15), DAY(I15)))</f>
        <v>47011</v>
      </c>
      <c r="K15" s="111">
        <v>40806</v>
      </c>
      <c r="L15" s="111">
        <v>46268</v>
      </c>
      <c r="M15" s="163">
        <f>IF(L15="", "", DATE(YEAR(L15)+2, MONTH(L15), DAY(L15)))</f>
        <v>46999</v>
      </c>
      <c r="N15" s="111">
        <v>40807</v>
      </c>
      <c r="O15" s="111">
        <v>46273</v>
      </c>
      <c r="P15" s="111">
        <v>40808</v>
      </c>
      <c r="Q15" s="166" t="s">
        <v>69</v>
      </c>
      <c r="R15" s="94">
        <v>42727</v>
      </c>
      <c r="S15" s="94">
        <v>43457</v>
      </c>
      <c r="T15" s="165" t="s">
        <v>69</v>
      </c>
      <c r="U15" s="112">
        <v>44486</v>
      </c>
      <c r="V15" s="112">
        <v>43700</v>
      </c>
      <c r="W15" s="165" t="s">
        <v>69</v>
      </c>
      <c r="X15" s="165" t="s">
        <v>69</v>
      </c>
      <c r="Y15" s="165" t="s">
        <v>69</v>
      </c>
      <c r="Z15" s="165" t="s">
        <v>69</v>
      </c>
      <c r="AA15" s="112">
        <v>46293</v>
      </c>
      <c r="AB15" s="165" t="s">
        <v>69</v>
      </c>
      <c r="AC15" s="165" t="s">
        <v>69</v>
      </c>
      <c r="AD15" s="112">
        <v>45988</v>
      </c>
      <c r="AE15" s="167" t="s">
        <v>70</v>
      </c>
      <c r="AF15" s="94">
        <v>44931</v>
      </c>
      <c r="AG15" s="167" t="s">
        <v>70</v>
      </c>
      <c r="AH15" s="167" t="s">
        <v>70</v>
      </c>
      <c r="AI15" s="167" t="s">
        <v>70</v>
      </c>
      <c r="AJ15" s="167" t="s">
        <v>70</v>
      </c>
      <c r="AK15" s="167" t="s">
        <v>70</v>
      </c>
      <c r="AL15" s="166" t="s">
        <v>69</v>
      </c>
      <c r="AM15" s="166"/>
      <c r="AN15" s="165" t="s">
        <v>69</v>
      </c>
      <c r="AO15" s="165" t="s">
        <v>69</v>
      </c>
      <c r="AP15" s="94">
        <v>42711</v>
      </c>
      <c r="AQ15" s="165" t="s">
        <v>69</v>
      </c>
      <c r="AR15" s="112">
        <v>46153</v>
      </c>
      <c r="AS15" s="112">
        <v>45989</v>
      </c>
      <c r="AT15" s="166" t="s">
        <v>69</v>
      </c>
      <c r="AU15" s="166" t="s">
        <v>69</v>
      </c>
      <c r="AV15" s="166" t="s">
        <v>69</v>
      </c>
      <c r="AW15" s="167" t="s">
        <v>70</v>
      </c>
      <c r="AX15" s="167" t="s">
        <v>70</v>
      </c>
      <c r="AY15" s="167" t="s">
        <v>70</v>
      </c>
      <c r="AZ15" s="165" t="s">
        <v>69</v>
      </c>
      <c r="BA15" s="165" t="s">
        <v>69</v>
      </c>
      <c r="BB15" s="167" t="s">
        <v>70</v>
      </c>
      <c r="BC15" s="167" t="s">
        <v>70</v>
      </c>
      <c r="BD15" s="165" t="s">
        <v>69</v>
      </c>
      <c r="BE15" s="167" t="s">
        <v>70</v>
      </c>
      <c r="BF15" s="167" t="s">
        <v>70</v>
      </c>
      <c r="BG15" s="167" t="s">
        <v>70</v>
      </c>
      <c r="BH15" s="167" t="s">
        <v>70</v>
      </c>
      <c r="BI15" s="167" t="s">
        <v>70</v>
      </c>
      <c r="BJ15" s="165" t="s">
        <v>69</v>
      </c>
      <c r="BK15" s="165" t="s">
        <v>69</v>
      </c>
      <c r="BL15" s="165" t="s">
        <v>69</v>
      </c>
      <c r="BM15" s="167" t="s">
        <v>70</v>
      </c>
      <c r="BN15" s="167" t="s">
        <v>70</v>
      </c>
      <c r="BO15" s="167" t="s">
        <v>70</v>
      </c>
      <c r="BP15" s="167" t="s">
        <v>70</v>
      </c>
      <c r="BQ15" s="151">
        <v>0</v>
      </c>
    </row>
    <row r="16" spans="1:136" s="151" customFormat="1" ht="19.5" customHeight="1" x14ac:dyDescent="0.2">
      <c r="A16" s="117">
        <v>13</v>
      </c>
      <c r="B16" s="159" t="s">
        <v>779</v>
      </c>
      <c r="C16" s="160">
        <v>83119910</v>
      </c>
      <c r="D16" s="161" t="s">
        <v>780</v>
      </c>
      <c r="E16" s="117" t="s">
        <v>68</v>
      </c>
      <c r="F16" s="146" t="s">
        <v>208</v>
      </c>
      <c r="G16" s="124" t="s">
        <v>781</v>
      </c>
      <c r="H16" s="119">
        <v>41397</v>
      </c>
      <c r="I16" s="111">
        <v>46301</v>
      </c>
      <c r="J16" s="162">
        <f>IF(I16="", "", DATE(YEAR(I16)+2, MONTH(I16), DAY(I16)))</f>
        <v>47032</v>
      </c>
      <c r="K16" s="119">
        <v>45582</v>
      </c>
      <c r="L16" s="119">
        <v>45582</v>
      </c>
      <c r="M16" s="163">
        <f>IF(L16="", "", DATE(YEAR(L16)+2, MONTH(L16), DAY(L16)))</f>
        <v>46312</v>
      </c>
      <c r="N16" s="175">
        <v>42032</v>
      </c>
      <c r="O16" s="175">
        <v>42034</v>
      </c>
      <c r="P16" s="175">
        <v>42034</v>
      </c>
      <c r="Q16" s="169" t="s">
        <v>70</v>
      </c>
      <c r="R16" s="169" t="s">
        <v>70</v>
      </c>
      <c r="S16" s="169" t="s">
        <v>70</v>
      </c>
      <c r="T16" s="169" t="s">
        <v>70</v>
      </c>
      <c r="U16" s="169" t="s">
        <v>70</v>
      </c>
      <c r="V16" s="169" t="s">
        <v>70</v>
      </c>
      <c r="W16" s="169" t="s">
        <v>70</v>
      </c>
      <c r="X16" s="169" t="s">
        <v>70</v>
      </c>
      <c r="Y16" s="169" t="s">
        <v>70</v>
      </c>
      <c r="Z16" s="169" t="s">
        <v>70</v>
      </c>
      <c r="AA16" s="169" t="s">
        <v>70</v>
      </c>
      <c r="AB16" s="167" t="s">
        <v>70</v>
      </c>
      <c r="AC16" s="167" t="s">
        <v>70</v>
      </c>
      <c r="AD16" s="167" t="s">
        <v>70</v>
      </c>
      <c r="AE16" s="167" t="s">
        <v>70</v>
      </c>
      <c r="AF16" s="112">
        <v>46261</v>
      </c>
      <c r="AG16" s="166" t="s">
        <v>69</v>
      </c>
      <c r="AH16" s="166" t="s">
        <v>69</v>
      </c>
      <c r="AI16" s="167" t="s">
        <v>70</v>
      </c>
      <c r="AJ16" s="167" t="s">
        <v>70</v>
      </c>
      <c r="AK16" s="166" t="s">
        <v>69</v>
      </c>
      <c r="AL16" s="166" t="s">
        <v>69</v>
      </c>
      <c r="AM16" s="166"/>
      <c r="AN16" s="167" t="s">
        <v>70</v>
      </c>
      <c r="AO16" s="167" t="s">
        <v>70</v>
      </c>
      <c r="AP16" s="167" t="s">
        <v>70</v>
      </c>
      <c r="AQ16" s="166" t="s">
        <v>69</v>
      </c>
      <c r="AR16" s="166" t="s">
        <v>69</v>
      </c>
      <c r="AS16" s="166" t="s">
        <v>69</v>
      </c>
      <c r="AT16" s="166" t="s">
        <v>69</v>
      </c>
      <c r="AU16" s="166" t="s">
        <v>69</v>
      </c>
      <c r="AV16" s="166" t="s">
        <v>69</v>
      </c>
      <c r="AW16" s="167" t="s">
        <v>70</v>
      </c>
      <c r="AX16" s="167" t="s">
        <v>70</v>
      </c>
      <c r="AY16" s="167" t="s">
        <v>70</v>
      </c>
      <c r="AZ16" s="176" t="s">
        <v>70</v>
      </c>
      <c r="BA16" s="176" t="s">
        <v>70</v>
      </c>
      <c r="BB16" s="167" t="s">
        <v>70</v>
      </c>
      <c r="BC16" s="167" t="s">
        <v>70</v>
      </c>
      <c r="BD16" s="167" t="s">
        <v>70</v>
      </c>
      <c r="BE16" s="167" t="s">
        <v>70</v>
      </c>
      <c r="BF16" s="167" t="s">
        <v>70</v>
      </c>
      <c r="BG16" s="169" t="s">
        <v>70</v>
      </c>
      <c r="BH16" s="169" t="s">
        <v>70</v>
      </c>
      <c r="BI16" s="169" t="s">
        <v>70</v>
      </c>
      <c r="BJ16" s="167" t="s">
        <v>70</v>
      </c>
      <c r="BK16" s="167" t="s">
        <v>70</v>
      </c>
      <c r="BL16" s="166" t="s">
        <v>69</v>
      </c>
      <c r="BM16" s="167" t="s">
        <v>70</v>
      </c>
      <c r="BN16" s="167" t="s">
        <v>70</v>
      </c>
      <c r="BO16" s="167" t="s">
        <v>70</v>
      </c>
      <c r="BP16" s="167" t="s">
        <v>70</v>
      </c>
      <c r="BQ16" s="151">
        <v>0</v>
      </c>
    </row>
    <row r="17" spans="1:136" s="151" customFormat="1" ht="19.5" customHeight="1" x14ac:dyDescent="0.2">
      <c r="A17" s="117">
        <v>14</v>
      </c>
      <c r="B17" s="177" t="s">
        <v>244</v>
      </c>
      <c r="C17" s="177">
        <v>83063945</v>
      </c>
      <c r="D17" s="171" t="s">
        <v>245</v>
      </c>
      <c r="E17" s="123" t="s">
        <v>68</v>
      </c>
      <c r="F17" s="146" t="s">
        <v>208</v>
      </c>
      <c r="G17" s="163">
        <v>38126</v>
      </c>
      <c r="H17" s="89">
        <v>42317</v>
      </c>
      <c r="I17" s="89">
        <v>46083</v>
      </c>
      <c r="J17" s="162">
        <f>IF(I17="", "", DATE(YEAR(I17)+2, MONTH(I17), DAY(I17)))</f>
        <v>46814</v>
      </c>
      <c r="K17" s="89">
        <v>42317</v>
      </c>
      <c r="L17" s="172">
        <v>46064</v>
      </c>
      <c r="M17" s="163">
        <f>IF(L17="", "", DATE(YEAR(L17)+2, MONTH(L17), DAY(L17)))</f>
        <v>46794</v>
      </c>
      <c r="N17" s="89">
        <v>42317</v>
      </c>
      <c r="O17" s="89">
        <v>42317</v>
      </c>
      <c r="P17" s="89">
        <v>42317</v>
      </c>
      <c r="Q17" s="169" t="s">
        <v>70</v>
      </c>
      <c r="R17" s="169" t="s">
        <v>70</v>
      </c>
      <c r="S17" s="169" t="s">
        <v>70</v>
      </c>
      <c r="T17" s="169" t="s">
        <v>70</v>
      </c>
      <c r="U17" s="169" t="s">
        <v>70</v>
      </c>
      <c r="V17" s="169" t="s">
        <v>70</v>
      </c>
      <c r="W17" s="169" t="s">
        <v>70</v>
      </c>
      <c r="X17" s="169" t="s">
        <v>70</v>
      </c>
      <c r="Y17" s="169" t="s">
        <v>70</v>
      </c>
      <c r="Z17" s="169" t="s">
        <v>70</v>
      </c>
      <c r="AA17" s="169" t="s">
        <v>70</v>
      </c>
      <c r="AB17" s="167" t="s">
        <v>70</v>
      </c>
      <c r="AC17" s="167" t="s">
        <v>70</v>
      </c>
      <c r="AD17" s="167" t="s">
        <v>70</v>
      </c>
      <c r="AE17" s="167" t="s">
        <v>70</v>
      </c>
      <c r="AF17" s="112">
        <v>46287</v>
      </c>
      <c r="AG17" s="167" t="s">
        <v>70</v>
      </c>
      <c r="AH17" s="167" t="s">
        <v>71</v>
      </c>
      <c r="AI17" s="111">
        <v>46128</v>
      </c>
      <c r="AJ17" s="111">
        <v>45491</v>
      </c>
      <c r="AK17" s="167" t="s">
        <v>70</v>
      </c>
      <c r="AL17" s="166" t="s">
        <v>69</v>
      </c>
      <c r="AM17" s="166"/>
      <c r="AN17" s="168" t="s">
        <v>69</v>
      </c>
      <c r="AO17" s="167" t="s">
        <v>70</v>
      </c>
      <c r="AP17" s="167" t="s">
        <v>70</v>
      </c>
      <c r="AQ17" s="166" t="s">
        <v>69</v>
      </c>
      <c r="AR17" s="168">
        <v>46090</v>
      </c>
      <c r="AS17" s="166" t="s">
        <v>69</v>
      </c>
      <c r="AT17" s="166" t="s">
        <v>69</v>
      </c>
      <c r="AU17" s="166" t="s">
        <v>69</v>
      </c>
      <c r="AV17" s="166" t="s">
        <v>69</v>
      </c>
      <c r="AW17" s="167" t="s">
        <v>70</v>
      </c>
      <c r="AX17" s="167" t="s">
        <v>70</v>
      </c>
      <c r="AY17" s="166" t="s">
        <v>69</v>
      </c>
      <c r="AZ17" s="166" t="s">
        <v>69</v>
      </c>
      <c r="BA17" s="166" t="s">
        <v>69</v>
      </c>
      <c r="BB17" s="167" t="s">
        <v>70</v>
      </c>
      <c r="BC17" s="167" t="s">
        <v>70</v>
      </c>
      <c r="BD17" s="167" t="s">
        <v>70</v>
      </c>
      <c r="BE17" s="167" t="s">
        <v>70</v>
      </c>
      <c r="BF17" s="167" t="s">
        <v>70</v>
      </c>
      <c r="BG17" s="169" t="s">
        <v>70</v>
      </c>
      <c r="BH17" s="169" t="s">
        <v>70</v>
      </c>
      <c r="BI17" s="169" t="s">
        <v>70</v>
      </c>
      <c r="BJ17" s="167" t="s">
        <v>70</v>
      </c>
      <c r="BK17" s="167" t="s">
        <v>70</v>
      </c>
      <c r="BL17" s="167" t="s">
        <v>70</v>
      </c>
      <c r="BM17" s="167" t="s">
        <v>70</v>
      </c>
      <c r="BN17" s="167" t="s">
        <v>70</v>
      </c>
      <c r="BO17" s="167" t="s">
        <v>70</v>
      </c>
      <c r="BP17" s="167" t="s">
        <v>70</v>
      </c>
      <c r="BQ17" s="151">
        <v>0</v>
      </c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</row>
    <row r="18" spans="1:136" s="151" customFormat="1" ht="19.5" customHeight="1" x14ac:dyDescent="0.2">
      <c r="A18" s="117">
        <v>15</v>
      </c>
      <c r="B18" s="161" t="s">
        <v>188</v>
      </c>
      <c r="C18" s="265">
        <v>83102209</v>
      </c>
      <c r="D18" s="161" t="s">
        <v>834</v>
      </c>
      <c r="E18" s="117" t="s">
        <v>83</v>
      </c>
      <c r="F18" s="146" t="s">
        <v>208</v>
      </c>
      <c r="G18" s="172">
        <v>40944</v>
      </c>
      <c r="H18" s="172">
        <v>40731</v>
      </c>
      <c r="I18" s="172">
        <v>46056</v>
      </c>
      <c r="J18" s="162">
        <f>IF(I18="", "", DATE(YEAR(I18)+2, MONTH(I18), DAY(I18)))</f>
        <v>46786</v>
      </c>
      <c r="K18" s="111">
        <v>40861</v>
      </c>
      <c r="L18" s="163">
        <v>46148</v>
      </c>
      <c r="M18" s="163">
        <f>IF(L18="", "", DATE(YEAR(L18)+2, MONTH(L18), DAY(L18)))</f>
        <v>46879</v>
      </c>
      <c r="N18" s="111">
        <v>40894</v>
      </c>
      <c r="O18" s="111">
        <v>40894</v>
      </c>
      <c r="P18" s="111">
        <v>40894</v>
      </c>
      <c r="Q18" s="166" t="s">
        <v>69</v>
      </c>
      <c r="R18" s="166" t="s">
        <v>69</v>
      </c>
      <c r="S18" s="166" t="s">
        <v>69</v>
      </c>
      <c r="T18" s="94">
        <v>41753</v>
      </c>
      <c r="U18" s="94">
        <v>41761</v>
      </c>
      <c r="V18" s="94">
        <v>43542</v>
      </c>
      <c r="W18" s="94">
        <v>43374</v>
      </c>
      <c r="X18" s="94">
        <v>41730</v>
      </c>
      <c r="Y18" s="94">
        <v>41724</v>
      </c>
      <c r="Z18" s="94">
        <v>43724</v>
      </c>
      <c r="AA18" s="168">
        <v>46293</v>
      </c>
      <c r="AB18" s="94">
        <v>41093</v>
      </c>
      <c r="AC18" s="166" t="s">
        <v>69</v>
      </c>
      <c r="AD18" s="167" t="s">
        <v>70</v>
      </c>
      <c r="AE18" s="167" t="s">
        <v>70</v>
      </c>
      <c r="AF18" s="112">
        <v>46261</v>
      </c>
      <c r="AG18" s="167" t="s">
        <v>71</v>
      </c>
      <c r="AH18" s="94">
        <v>41456</v>
      </c>
      <c r="AI18" s="167" t="s">
        <v>70</v>
      </c>
      <c r="AJ18" s="167" t="s">
        <v>70</v>
      </c>
      <c r="AK18" s="111">
        <v>46267</v>
      </c>
      <c r="AL18" s="166" t="s">
        <v>69</v>
      </c>
      <c r="AM18" s="166"/>
      <c r="AN18" s="168" t="s">
        <v>69</v>
      </c>
      <c r="AO18" s="167" t="s">
        <v>70</v>
      </c>
      <c r="AP18" s="94">
        <v>41451</v>
      </c>
      <c r="AQ18" s="166" t="s">
        <v>69</v>
      </c>
      <c r="AR18" s="166" t="s">
        <v>69</v>
      </c>
      <c r="AS18" s="166" t="s">
        <v>69</v>
      </c>
      <c r="AT18" s="94">
        <v>43607</v>
      </c>
      <c r="AU18" s="94">
        <v>41914</v>
      </c>
      <c r="AV18" s="166" t="s">
        <v>69</v>
      </c>
      <c r="AW18" s="167" t="s">
        <v>70</v>
      </c>
      <c r="AX18" s="167" t="s">
        <v>70</v>
      </c>
      <c r="AY18" s="94">
        <v>42066</v>
      </c>
      <c r="AZ18" s="166" t="s">
        <v>69</v>
      </c>
      <c r="BA18" s="166" t="s">
        <v>69</v>
      </c>
      <c r="BB18" s="167" t="s">
        <v>70</v>
      </c>
      <c r="BC18" s="167" t="s">
        <v>70</v>
      </c>
      <c r="BD18" s="94">
        <v>41954</v>
      </c>
      <c r="BE18" s="167" t="s">
        <v>70</v>
      </c>
      <c r="BF18" s="167" t="s">
        <v>70</v>
      </c>
      <c r="BG18" s="169" t="s">
        <v>70</v>
      </c>
      <c r="BH18" s="169" t="s">
        <v>70</v>
      </c>
      <c r="BI18" s="169" t="s">
        <v>70</v>
      </c>
      <c r="BJ18" s="167" t="s">
        <v>70</v>
      </c>
      <c r="BK18" s="167" t="s">
        <v>70</v>
      </c>
      <c r="BL18" s="167" t="s">
        <v>70</v>
      </c>
      <c r="BM18" s="167" t="s">
        <v>70</v>
      </c>
      <c r="BN18" s="167" t="s">
        <v>70</v>
      </c>
      <c r="BO18" s="167" t="s">
        <v>70</v>
      </c>
      <c r="BP18" s="94">
        <v>41746</v>
      </c>
      <c r="BQ18" s="151">
        <v>0</v>
      </c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</row>
    <row r="19" spans="1:136" s="151" customFormat="1" ht="19.5" customHeight="1" x14ac:dyDescent="0.2">
      <c r="A19" s="117">
        <v>16</v>
      </c>
      <c r="B19" s="117" t="s">
        <v>85</v>
      </c>
      <c r="C19" s="146">
        <v>142262</v>
      </c>
      <c r="D19" s="117" t="s">
        <v>86</v>
      </c>
      <c r="E19" s="146" t="s">
        <v>68</v>
      </c>
      <c r="F19" s="146" t="s">
        <v>208</v>
      </c>
      <c r="G19" s="162">
        <v>41877</v>
      </c>
      <c r="H19" s="162">
        <v>42212</v>
      </c>
      <c r="I19" s="162">
        <v>46122</v>
      </c>
      <c r="J19" s="162">
        <f>IF(I19="", "", DATE(YEAR(I19)+2, MONTH(I19), DAY(I19)))</f>
        <v>46853</v>
      </c>
      <c r="K19" s="111">
        <v>42032</v>
      </c>
      <c r="L19" s="111">
        <v>46036</v>
      </c>
      <c r="M19" s="163">
        <f>IF(L19="", "", DATE(YEAR(L19)+2, MONTH(L19), DAY(L19)))</f>
        <v>46766</v>
      </c>
      <c r="N19" s="111">
        <v>42405</v>
      </c>
      <c r="O19" s="111">
        <v>42405</v>
      </c>
      <c r="P19" s="111">
        <v>42405</v>
      </c>
      <c r="Q19" s="94">
        <v>42586</v>
      </c>
      <c r="R19" s="166" t="s">
        <v>69</v>
      </c>
      <c r="S19" s="166" t="s">
        <v>69</v>
      </c>
      <c r="T19" s="166" t="s">
        <v>69</v>
      </c>
      <c r="U19" s="94">
        <v>43374</v>
      </c>
      <c r="V19" s="165" t="s">
        <v>69</v>
      </c>
      <c r="W19" s="166" t="s">
        <v>69</v>
      </c>
      <c r="X19" s="166" t="s">
        <v>69</v>
      </c>
      <c r="Y19" s="94">
        <v>42639</v>
      </c>
      <c r="Z19" s="167" t="s">
        <v>70</v>
      </c>
      <c r="AA19" s="167" t="s">
        <v>70</v>
      </c>
      <c r="AB19" s="167" t="s">
        <v>70</v>
      </c>
      <c r="AC19" s="167" t="s">
        <v>70</v>
      </c>
      <c r="AD19" s="167" t="s">
        <v>70</v>
      </c>
      <c r="AE19" s="167" t="s">
        <v>70</v>
      </c>
      <c r="AF19" s="168">
        <v>46294</v>
      </c>
      <c r="AG19" s="167" t="s">
        <v>71</v>
      </c>
      <c r="AH19" s="167" t="s">
        <v>71</v>
      </c>
      <c r="AI19" s="167" t="s">
        <v>71</v>
      </c>
      <c r="AJ19" s="167" t="s">
        <v>71</v>
      </c>
      <c r="AK19" s="167" t="s">
        <v>70</v>
      </c>
      <c r="AL19" s="166" t="s">
        <v>69</v>
      </c>
      <c r="AM19" s="166"/>
      <c r="AN19" s="167" t="s">
        <v>70</v>
      </c>
      <c r="AO19" s="167" t="s">
        <v>70</v>
      </c>
      <c r="AP19" s="167" t="s">
        <v>70</v>
      </c>
      <c r="AQ19" s="166" t="s">
        <v>69</v>
      </c>
      <c r="AR19" s="166" t="s">
        <v>69</v>
      </c>
      <c r="AS19" s="167" t="s">
        <v>70</v>
      </c>
      <c r="AT19" s="166" t="s">
        <v>69</v>
      </c>
      <c r="AU19" s="167" t="s">
        <v>70</v>
      </c>
      <c r="AV19" s="167" t="s">
        <v>70</v>
      </c>
      <c r="AW19" s="167" t="s">
        <v>70</v>
      </c>
      <c r="AX19" s="167" t="s">
        <v>70</v>
      </c>
      <c r="AY19" s="94">
        <v>42510</v>
      </c>
      <c r="AZ19" s="167" t="s">
        <v>70</v>
      </c>
      <c r="BA19" s="167" t="s">
        <v>70</v>
      </c>
      <c r="BB19" s="167" t="s">
        <v>70</v>
      </c>
      <c r="BC19" s="167" t="s">
        <v>70</v>
      </c>
      <c r="BD19" s="167" t="s">
        <v>70</v>
      </c>
      <c r="BE19" s="167" t="s">
        <v>70</v>
      </c>
      <c r="BF19" s="167" t="s">
        <v>70</v>
      </c>
      <c r="BG19" s="167" t="s">
        <v>70</v>
      </c>
      <c r="BH19" s="167" t="s">
        <v>70</v>
      </c>
      <c r="BI19" s="167" t="s">
        <v>70</v>
      </c>
      <c r="BJ19" s="167" t="s">
        <v>70</v>
      </c>
      <c r="BK19" s="167" t="s">
        <v>70</v>
      </c>
      <c r="BL19" s="167" t="s">
        <v>70</v>
      </c>
      <c r="BM19" s="167" t="s">
        <v>70</v>
      </c>
      <c r="BN19" s="167" t="s">
        <v>70</v>
      </c>
      <c r="BO19" s="167" t="s">
        <v>70</v>
      </c>
      <c r="BP19" s="167" t="s">
        <v>70</v>
      </c>
      <c r="BQ19" s="151">
        <v>0</v>
      </c>
    </row>
    <row r="20" spans="1:136" s="242" customFormat="1" ht="19.5" customHeight="1" x14ac:dyDescent="0.2">
      <c r="A20" s="117">
        <v>17</v>
      </c>
      <c r="B20" s="123" t="s">
        <v>246</v>
      </c>
      <c r="C20" s="179">
        <v>84122960</v>
      </c>
      <c r="D20" s="117" t="s">
        <v>86</v>
      </c>
      <c r="E20" s="123" t="s">
        <v>68</v>
      </c>
      <c r="F20" s="146" t="s">
        <v>256</v>
      </c>
      <c r="G20" s="124" t="s">
        <v>69</v>
      </c>
      <c r="H20" s="148">
        <v>42349</v>
      </c>
      <c r="I20" s="111">
        <v>46077</v>
      </c>
      <c r="J20" s="180">
        <f>IF(ISNUMBER(I20),EDATE(I20,24),IF(ISNUMBER(H20),EDATE(H20,24),""))</f>
        <v>46807</v>
      </c>
      <c r="K20" s="148">
        <v>42348</v>
      </c>
      <c r="L20" s="148">
        <v>46064</v>
      </c>
      <c r="M20" s="180">
        <f>IF(ISNUMBER(L20),EDATE(L20,24),IF(ISNUMBER(K20),EDATE(K20,24),""))</f>
        <v>46794</v>
      </c>
      <c r="N20" s="89">
        <v>42345</v>
      </c>
      <c r="O20" s="89">
        <v>42346</v>
      </c>
      <c r="P20" s="89"/>
      <c r="Q20" s="167" t="s">
        <v>70</v>
      </c>
      <c r="R20" s="167" t="s">
        <v>70</v>
      </c>
      <c r="S20" s="167" t="s">
        <v>70</v>
      </c>
      <c r="T20" s="167" t="s">
        <v>70</v>
      </c>
      <c r="U20" s="167" t="s">
        <v>70</v>
      </c>
      <c r="V20" s="167" t="s">
        <v>70</v>
      </c>
      <c r="W20" s="167" t="s">
        <v>70</v>
      </c>
      <c r="X20" s="167" t="s">
        <v>70</v>
      </c>
      <c r="Y20" s="167" t="s">
        <v>70</v>
      </c>
      <c r="Z20" s="167" t="s">
        <v>70</v>
      </c>
      <c r="AA20" s="167" t="s">
        <v>70</v>
      </c>
      <c r="AB20" s="167" t="s">
        <v>70</v>
      </c>
      <c r="AC20" s="167" t="s">
        <v>70</v>
      </c>
      <c r="AD20" s="167" t="s">
        <v>70</v>
      </c>
      <c r="AE20" s="167" t="s">
        <v>70</v>
      </c>
      <c r="AF20" s="167" t="s">
        <v>70</v>
      </c>
      <c r="AG20" s="167" t="s">
        <v>70</v>
      </c>
      <c r="AH20" s="167" t="s">
        <v>70</v>
      </c>
      <c r="AI20" s="111">
        <v>45799</v>
      </c>
      <c r="AJ20" s="94">
        <v>45353</v>
      </c>
      <c r="AK20" s="167" t="s">
        <v>70</v>
      </c>
      <c r="AL20" s="166" t="s">
        <v>69</v>
      </c>
      <c r="AM20" s="166"/>
      <c r="AN20" s="167" t="s">
        <v>70</v>
      </c>
      <c r="AO20" s="167" t="s">
        <v>70</v>
      </c>
      <c r="AP20" s="167" t="s">
        <v>70</v>
      </c>
      <c r="AQ20" s="166" t="s">
        <v>69</v>
      </c>
      <c r="AR20" s="167" t="s">
        <v>70</v>
      </c>
      <c r="AS20" s="167" t="s">
        <v>70</v>
      </c>
      <c r="AT20" s="166" t="s">
        <v>69</v>
      </c>
      <c r="AU20" s="167" t="s">
        <v>70</v>
      </c>
      <c r="AV20" s="167" t="s">
        <v>70</v>
      </c>
      <c r="AW20" s="167" t="s">
        <v>70</v>
      </c>
      <c r="AX20" s="167" t="s">
        <v>70</v>
      </c>
      <c r="AY20" s="167" t="s">
        <v>70</v>
      </c>
      <c r="AZ20" s="167" t="s">
        <v>70</v>
      </c>
      <c r="BA20" s="167" t="s">
        <v>70</v>
      </c>
      <c r="BB20" s="167" t="s">
        <v>70</v>
      </c>
      <c r="BC20" s="167" t="s">
        <v>70</v>
      </c>
      <c r="BD20" s="167" t="s">
        <v>70</v>
      </c>
      <c r="BE20" s="167" t="s">
        <v>70</v>
      </c>
      <c r="BF20" s="167" t="s">
        <v>70</v>
      </c>
      <c r="BG20" s="167" t="s">
        <v>70</v>
      </c>
      <c r="BH20" s="167" t="s">
        <v>70</v>
      </c>
      <c r="BI20" s="167" t="s">
        <v>70</v>
      </c>
      <c r="BJ20" s="167" t="s">
        <v>70</v>
      </c>
      <c r="BK20" s="167" t="s">
        <v>70</v>
      </c>
      <c r="BL20" s="167" t="s">
        <v>70</v>
      </c>
      <c r="BM20" s="167" t="s">
        <v>70</v>
      </c>
      <c r="BN20" s="167" t="s">
        <v>70</v>
      </c>
      <c r="BO20" s="167" t="s">
        <v>70</v>
      </c>
      <c r="BP20" s="167" t="s">
        <v>70</v>
      </c>
      <c r="BQ20" s="151">
        <v>0</v>
      </c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</row>
    <row r="21" spans="1:136" s="151" customFormat="1" ht="19.5" customHeight="1" x14ac:dyDescent="0.2">
      <c r="A21" s="117">
        <v>18</v>
      </c>
      <c r="B21" s="117" t="s">
        <v>750</v>
      </c>
      <c r="C21" s="117">
        <v>240862</v>
      </c>
      <c r="D21" s="146" t="s">
        <v>86</v>
      </c>
      <c r="E21" s="117" t="s">
        <v>68</v>
      </c>
      <c r="F21" s="146" t="s">
        <v>256</v>
      </c>
      <c r="G21" s="124" t="s">
        <v>69</v>
      </c>
      <c r="H21" s="172">
        <v>46199</v>
      </c>
      <c r="I21" s="172">
        <v>46199</v>
      </c>
      <c r="J21" s="162">
        <f>IF(I21="", "", DATE(YEAR(I21)+3, MONTH(I21), DAY(I21)))</f>
        <v>47295</v>
      </c>
      <c r="K21" s="172">
        <v>46226</v>
      </c>
      <c r="L21" s="172">
        <v>46226</v>
      </c>
      <c r="M21" s="163">
        <f>IF(L21="", "", DATE(YEAR(L21)+3, MONTH(L21), DAY(L21)))</f>
        <v>47322</v>
      </c>
      <c r="N21" s="111">
        <v>46300</v>
      </c>
      <c r="O21" s="111">
        <v>46300</v>
      </c>
      <c r="P21" s="111">
        <v>45628</v>
      </c>
      <c r="Q21" s="166" t="s">
        <v>69</v>
      </c>
      <c r="R21" s="165" t="s">
        <v>69</v>
      </c>
      <c r="S21" s="165" t="s">
        <v>69</v>
      </c>
      <c r="T21" s="165" t="s">
        <v>69</v>
      </c>
      <c r="U21" s="165" t="s">
        <v>69</v>
      </c>
      <c r="V21" s="165" t="s">
        <v>69</v>
      </c>
      <c r="W21" s="165" t="s">
        <v>69</v>
      </c>
      <c r="X21" s="165" t="s">
        <v>69</v>
      </c>
      <c r="Y21" s="165" t="s">
        <v>69</v>
      </c>
      <c r="Z21" s="165" t="s">
        <v>69</v>
      </c>
      <c r="AA21" s="165" t="s">
        <v>69</v>
      </c>
      <c r="AB21" s="165" t="s">
        <v>69</v>
      </c>
      <c r="AC21" s="165" t="s">
        <v>69</v>
      </c>
      <c r="AD21" s="166" t="s">
        <v>69</v>
      </c>
      <c r="AE21" s="167" t="s">
        <v>70</v>
      </c>
      <c r="AF21" s="112" t="s">
        <v>69</v>
      </c>
      <c r="AG21" s="167" t="s">
        <v>70</v>
      </c>
      <c r="AH21" s="167" t="s">
        <v>70</v>
      </c>
      <c r="AI21" s="111">
        <v>45827</v>
      </c>
      <c r="AJ21" s="167" t="s">
        <v>70</v>
      </c>
      <c r="AK21" s="167" t="s">
        <v>70</v>
      </c>
      <c r="AL21" s="166" t="s">
        <v>69</v>
      </c>
      <c r="AM21" s="166"/>
      <c r="AN21" s="165" t="s">
        <v>69</v>
      </c>
      <c r="AO21" s="117"/>
      <c r="AP21" s="166" t="s">
        <v>69</v>
      </c>
      <c r="AQ21" s="165" t="s">
        <v>69</v>
      </c>
      <c r="AR21" s="165" t="s">
        <v>69</v>
      </c>
      <c r="AS21" s="165" t="s">
        <v>69</v>
      </c>
      <c r="AT21" s="166" t="s">
        <v>69</v>
      </c>
      <c r="AU21" s="166" t="s">
        <v>69</v>
      </c>
      <c r="AV21" s="166" t="s">
        <v>69</v>
      </c>
      <c r="AW21" s="167" t="s">
        <v>70</v>
      </c>
      <c r="AX21" s="167" t="s">
        <v>70</v>
      </c>
      <c r="AY21" s="167" t="s">
        <v>70</v>
      </c>
      <c r="AZ21" s="165" t="s">
        <v>69</v>
      </c>
      <c r="BA21" s="165" t="s">
        <v>69</v>
      </c>
      <c r="BB21" s="167" t="s">
        <v>70</v>
      </c>
      <c r="BC21" s="167" t="s">
        <v>70</v>
      </c>
      <c r="BD21" s="165" t="s">
        <v>69</v>
      </c>
      <c r="BE21" s="167" t="s">
        <v>70</v>
      </c>
      <c r="BF21" s="167" t="s">
        <v>70</v>
      </c>
      <c r="BG21" s="167" t="s">
        <v>70</v>
      </c>
      <c r="BH21" s="167" t="s">
        <v>70</v>
      </c>
      <c r="BI21" s="167" t="s">
        <v>70</v>
      </c>
      <c r="BJ21" s="165" t="s">
        <v>69</v>
      </c>
      <c r="BK21" s="165" t="s">
        <v>69</v>
      </c>
      <c r="BL21" s="165" t="s">
        <v>69</v>
      </c>
      <c r="BM21" s="167" t="s">
        <v>70</v>
      </c>
      <c r="BN21" s="167" t="s">
        <v>70</v>
      </c>
      <c r="BO21" s="167" t="s">
        <v>70</v>
      </c>
      <c r="BP21" s="167" t="s">
        <v>70</v>
      </c>
      <c r="BQ21" s="151">
        <v>0</v>
      </c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</row>
    <row r="22" spans="1:136" s="151" customFormat="1" ht="19.5" customHeight="1" x14ac:dyDescent="0.2">
      <c r="A22" s="117">
        <v>19</v>
      </c>
      <c r="B22" s="117" t="s">
        <v>751</v>
      </c>
      <c r="C22" s="117">
        <v>240863</v>
      </c>
      <c r="D22" s="146" t="s">
        <v>86</v>
      </c>
      <c r="E22" s="117" t="s">
        <v>68</v>
      </c>
      <c r="F22" s="146" t="s">
        <v>256</v>
      </c>
      <c r="G22" s="124" t="s">
        <v>69</v>
      </c>
      <c r="H22" s="172">
        <v>46227</v>
      </c>
      <c r="I22" s="172">
        <v>46227</v>
      </c>
      <c r="J22" s="162">
        <f>IF(I22="", "", DATE(YEAR(I22)+2, MONTH(I22), DAY(I22)))</f>
        <v>46958</v>
      </c>
      <c r="K22" s="111">
        <v>46183</v>
      </c>
      <c r="L22" s="111">
        <v>46183</v>
      </c>
      <c r="M22" s="163">
        <f>IF(L22="", "", DATE(YEAR(L22)+3, MONTH(L22), DAY(L22)))</f>
        <v>47279</v>
      </c>
      <c r="N22" s="111">
        <v>46300</v>
      </c>
      <c r="O22" s="111">
        <v>46300</v>
      </c>
      <c r="P22" s="111">
        <v>45628</v>
      </c>
      <c r="Q22" s="166" t="s">
        <v>69</v>
      </c>
      <c r="R22" s="165" t="s">
        <v>69</v>
      </c>
      <c r="S22" s="165" t="s">
        <v>69</v>
      </c>
      <c r="T22" s="165" t="s">
        <v>69</v>
      </c>
      <c r="U22" s="94">
        <v>45663</v>
      </c>
      <c r="V22" s="165" t="s">
        <v>69</v>
      </c>
      <c r="W22" s="165" t="s">
        <v>69</v>
      </c>
      <c r="X22" s="165" t="s">
        <v>69</v>
      </c>
      <c r="Y22" s="165" t="s">
        <v>69</v>
      </c>
      <c r="Z22" s="165" t="s">
        <v>69</v>
      </c>
      <c r="AA22" s="94">
        <v>45702</v>
      </c>
      <c r="AB22" s="165" t="s">
        <v>69</v>
      </c>
      <c r="AC22" s="165" t="s">
        <v>69</v>
      </c>
      <c r="AD22" s="166" t="s">
        <v>69</v>
      </c>
      <c r="AE22" s="167" t="s">
        <v>70</v>
      </c>
      <c r="AF22" s="112" t="s">
        <v>69</v>
      </c>
      <c r="AG22" s="167" t="s">
        <v>70</v>
      </c>
      <c r="AH22" s="167" t="s">
        <v>70</v>
      </c>
      <c r="AI22" s="181">
        <v>45813</v>
      </c>
      <c r="AJ22" s="167" t="s">
        <v>70</v>
      </c>
      <c r="AK22" s="167" t="s">
        <v>70</v>
      </c>
      <c r="AL22" s="166" t="s">
        <v>69</v>
      </c>
      <c r="AM22" s="166"/>
      <c r="AN22" s="165" t="s">
        <v>69</v>
      </c>
      <c r="AO22" s="165" t="s">
        <v>69</v>
      </c>
      <c r="AP22" s="166" t="s">
        <v>69</v>
      </c>
      <c r="AQ22" s="165" t="s">
        <v>69</v>
      </c>
      <c r="AR22" s="165" t="s">
        <v>69</v>
      </c>
      <c r="AS22" s="165" t="s">
        <v>69</v>
      </c>
      <c r="AT22" s="166" t="s">
        <v>69</v>
      </c>
      <c r="AU22" s="166" t="s">
        <v>69</v>
      </c>
      <c r="AV22" s="166" t="s">
        <v>69</v>
      </c>
      <c r="AW22" s="167" t="s">
        <v>70</v>
      </c>
      <c r="AX22" s="167" t="s">
        <v>70</v>
      </c>
      <c r="AY22" s="167" t="s">
        <v>70</v>
      </c>
      <c r="AZ22" s="165" t="s">
        <v>69</v>
      </c>
      <c r="BA22" s="165" t="s">
        <v>69</v>
      </c>
      <c r="BB22" s="167" t="s">
        <v>70</v>
      </c>
      <c r="BC22" s="167" t="s">
        <v>70</v>
      </c>
      <c r="BD22" s="165" t="s">
        <v>69</v>
      </c>
      <c r="BE22" s="167" t="s">
        <v>70</v>
      </c>
      <c r="BF22" s="167" t="s">
        <v>70</v>
      </c>
      <c r="BG22" s="167" t="s">
        <v>70</v>
      </c>
      <c r="BH22" s="167" t="s">
        <v>70</v>
      </c>
      <c r="BI22" s="167" t="s">
        <v>70</v>
      </c>
      <c r="BJ22" s="165" t="s">
        <v>69</v>
      </c>
      <c r="BK22" s="165" t="s">
        <v>69</v>
      </c>
      <c r="BL22" s="165" t="s">
        <v>69</v>
      </c>
      <c r="BM22" s="167" t="s">
        <v>70</v>
      </c>
      <c r="BN22" s="167" t="s">
        <v>70</v>
      </c>
      <c r="BO22" s="167" t="s">
        <v>70</v>
      </c>
      <c r="BP22" s="167" t="s">
        <v>70</v>
      </c>
      <c r="BQ22" s="151">
        <v>0</v>
      </c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</row>
    <row r="23" spans="1:136" s="151" customFormat="1" ht="19.5" customHeight="1" x14ac:dyDescent="0.2">
      <c r="A23" s="117">
        <v>20</v>
      </c>
      <c r="B23" s="117" t="s">
        <v>765</v>
      </c>
      <c r="C23" s="117">
        <v>241551</v>
      </c>
      <c r="D23" s="117" t="s">
        <v>86</v>
      </c>
      <c r="E23" s="117" t="s">
        <v>68</v>
      </c>
      <c r="F23" s="146" t="s">
        <v>256</v>
      </c>
      <c r="G23" s="124" t="s">
        <v>69</v>
      </c>
      <c r="H23" s="111">
        <v>45525</v>
      </c>
      <c r="I23" s="172">
        <v>45525</v>
      </c>
      <c r="J23" s="162">
        <f>IF(I23="", "", DATE(YEAR(I23)+3, MONTH(I23), DAY(I23)))</f>
        <v>46620</v>
      </c>
      <c r="K23" s="111">
        <v>45524</v>
      </c>
      <c r="L23" s="111">
        <v>45524</v>
      </c>
      <c r="M23" s="163">
        <f>IF(L23="", "", DATE(YEAR(L23)+3, MONTH(L23), DAY(L23)))</f>
        <v>46619</v>
      </c>
      <c r="N23" s="112">
        <v>46205</v>
      </c>
      <c r="O23" s="112">
        <v>46205</v>
      </c>
      <c r="P23" s="112">
        <v>46205</v>
      </c>
      <c r="Q23" s="167" t="s">
        <v>70</v>
      </c>
      <c r="R23" s="167" t="s">
        <v>70</v>
      </c>
      <c r="S23" s="167" t="s">
        <v>70</v>
      </c>
      <c r="T23" s="167" t="s">
        <v>70</v>
      </c>
      <c r="U23" s="167" t="s">
        <v>70</v>
      </c>
      <c r="V23" s="167" t="s">
        <v>70</v>
      </c>
      <c r="W23" s="167" t="s">
        <v>70</v>
      </c>
      <c r="X23" s="167" t="s">
        <v>70</v>
      </c>
      <c r="Y23" s="167" t="s">
        <v>70</v>
      </c>
      <c r="Z23" s="167" t="s">
        <v>70</v>
      </c>
      <c r="AA23" s="167" t="s">
        <v>70</v>
      </c>
      <c r="AB23" s="167" t="s">
        <v>70</v>
      </c>
      <c r="AC23" s="167" t="s">
        <v>70</v>
      </c>
      <c r="AD23" s="167" t="s">
        <v>70</v>
      </c>
      <c r="AE23" s="167" t="s">
        <v>70</v>
      </c>
      <c r="AF23" s="167" t="s">
        <v>70</v>
      </c>
      <c r="AG23" s="167" t="s">
        <v>70</v>
      </c>
      <c r="AH23" s="167" t="s">
        <v>70</v>
      </c>
      <c r="AI23" s="111">
        <v>45533</v>
      </c>
      <c r="AJ23" s="167" t="s">
        <v>70</v>
      </c>
      <c r="AK23" s="167" t="s">
        <v>70</v>
      </c>
      <c r="AL23" s="166" t="s">
        <v>69</v>
      </c>
      <c r="AM23" s="166"/>
      <c r="AN23" s="167" t="s">
        <v>70</v>
      </c>
      <c r="AO23" s="167" t="s">
        <v>70</v>
      </c>
      <c r="AP23" s="167" t="s">
        <v>70</v>
      </c>
      <c r="AQ23" s="166" t="s">
        <v>69</v>
      </c>
      <c r="AR23" s="167" t="s">
        <v>70</v>
      </c>
      <c r="AS23" s="167" t="s">
        <v>70</v>
      </c>
      <c r="AT23" s="166" t="s">
        <v>69</v>
      </c>
      <c r="AU23" s="167" t="s">
        <v>70</v>
      </c>
      <c r="AV23" s="167" t="s">
        <v>70</v>
      </c>
      <c r="AW23" s="167" t="s">
        <v>70</v>
      </c>
      <c r="AX23" s="167" t="s">
        <v>70</v>
      </c>
      <c r="AY23" s="167" t="s">
        <v>70</v>
      </c>
      <c r="AZ23" s="167" t="s">
        <v>70</v>
      </c>
      <c r="BA23" s="167" t="s">
        <v>70</v>
      </c>
      <c r="BB23" s="167" t="s">
        <v>70</v>
      </c>
      <c r="BC23" s="167" t="s">
        <v>70</v>
      </c>
      <c r="BD23" s="167" t="s">
        <v>70</v>
      </c>
      <c r="BE23" s="167" t="s">
        <v>70</v>
      </c>
      <c r="BF23" s="167" t="s">
        <v>70</v>
      </c>
      <c r="BG23" s="167" t="s">
        <v>70</v>
      </c>
      <c r="BH23" s="167" t="s">
        <v>70</v>
      </c>
      <c r="BI23" s="167" t="s">
        <v>70</v>
      </c>
      <c r="BJ23" s="167" t="s">
        <v>70</v>
      </c>
      <c r="BK23" s="167" t="s">
        <v>70</v>
      </c>
      <c r="BL23" s="167" t="s">
        <v>70</v>
      </c>
      <c r="BM23" s="167" t="s">
        <v>70</v>
      </c>
      <c r="BN23" s="167" t="s">
        <v>70</v>
      </c>
      <c r="BO23" s="167" t="s">
        <v>70</v>
      </c>
      <c r="BP23" s="167" t="s">
        <v>70</v>
      </c>
      <c r="BQ23" s="151">
        <v>0</v>
      </c>
    </row>
    <row r="24" spans="1:136" s="151" customFormat="1" ht="19.5" customHeight="1" x14ac:dyDescent="0.2">
      <c r="A24" s="117">
        <v>21</v>
      </c>
      <c r="B24" s="144" t="s">
        <v>782</v>
      </c>
      <c r="C24" s="182">
        <v>83130108</v>
      </c>
      <c r="D24" s="117" t="s">
        <v>783</v>
      </c>
      <c r="E24" s="117" t="s">
        <v>68</v>
      </c>
      <c r="F24" s="146" t="s">
        <v>208</v>
      </c>
      <c r="G24" s="124" t="s">
        <v>781</v>
      </c>
      <c r="H24" s="119">
        <v>41397</v>
      </c>
      <c r="I24" s="111">
        <v>46301</v>
      </c>
      <c r="J24" s="162">
        <f t="shared" ref="J24:J45" si="2">IF(I24="", "", DATE(YEAR(I24)+2, MONTH(I24), DAY(I24)))</f>
        <v>47032</v>
      </c>
      <c r="K24" s="119">
        <v>45582</v>
      </c>
      <c r="L24" s="119">
        <v>45582</v>
      </c>
      <c r="M24" s="163">
        <f t="shared" ref="M24:M53" si="3">IF(L24="", "", DATE(YEAR(L24)+2, MONTH(L24), DAY(L24)))</f>
        <v>46312</v>
      </c>
      <c r="N24" s="175">
        <v>42032</v>
      </c>
      <c r="O24" s="175">
        <v>42034</v>
      </c>
      <c r="P24" s="175">
        <v>42034</v>
      </c>
      <c r="Q24" s="169" t="s">
        <v>70</v>
      </c>
      <c r="R24" s="169" t="s">
        <v>70</v>
      </c>
      <c r="S24" s="169" t="s">
        <v>70</v>
      </c>
      <c r="T24" s="169" t="s">
        <v>70</v>
      </c>
      <c r="U24" s="169" t="s">
        <v>70</v>
      </c>
      <c r="V24" s="169" t="s">
        <v>70</v>
      </c>
      <c r="W24" s="169" t="s">
        <v>70</v>
      </c>
      <c r="X24" s="169" t="s">
        <v>70</v>
      </c>
      <c r="Y24" s="169" t="s">
        <v>70</v>
      </c>
      <c r="Z24" s="169" t="s">
        <v>70</v>
      </c>
      <c r="AA24" s="169" t="s">
        <v>70</v>
      </c>
      <c r="AB24" s="167" t="s">
        <v>70</v>
      </c>
      <c r="AC24" s="167" t="s">
        <v>70</v>
      </c>
      <c r="AD24" s="167" t="s">
        <v>70</v>
      </c>
      <c r="AE24" s="167" t="s">
        <v>70</v>
      </c>
      <c r="AF24" s="167" t="s">
        <v>70</v>
      </c>
      <c r="AG24" s="167" t="s">
        <v>70</v>
      </c>
      <c r="AH24" s="167" t="s">
        <v>70</v>
      </c>
      <c r="AI24" s="167" t="s">
        <v>70</v>
      </c>
      <c r="AJ24" s="167" t="s">
        <v>70</v>
      </c>
      <c r="AK24" s="167" t="s">
        <v>70</v>
      </c>
      <c r="AL24" s="166" t="s">
        <v>69</v>
      </c>
      <c r="AM24" s="166"/>
      <c r="AN24" s="167" t="s">
        <v>70</v>
      </c>
      <c r="AO24" s="167" t="s">
        <v>70</v>
      </c>
      <c r="AP24" s="167" t="s">
        <v>70</v>
      </c>
      <c r="AQ24" s="166" t="s">
        <v>69</v>
      </c>
      <c r="AR24" s="169" t="s">
        <v>70</v>
      </c>
      <c r="AS24" s="167" t="s">
        <v>70</v>
      </c>
      <c r="AT24" s="166" t="s">
        <v>69</v>
      </c>
      <c r="AU24" s="167" t="s">
        <v>70</v>
      </c>
      <c r="AV24" s="167" t="s">
        <v>70</v>
      </c>
      <c r="AW24" s="167" t="s">
        <v>70</v>
      </c>
      <c r="AX24" s="167" t="s">
        <v>70</v>
      </c>
      <c r="AY24" s="167" t="s">
        <v>70</v>
      </c>
      <c r="AZ24" s="176" t="s">
        <v>70</v>
      </c>
      <c r="BA24" s="176" t="s">
        <v>70</v>
      </c>
      <c r="BB24" s="167" t="s">
        <v>70</v>
      </c>
      <c r="BC24" s="167" t="s">
        <v>70</v>
      </c>
      <c r="BD24" s="167" t="s">
        <v>70</v>
      </c>
      <c r="BE24" s="167" t="s">
        <v>70</v>
      </c>
      <c r="BF24" s="167" t="s">
        <v>70</v>
      </c>
      <c r="BG24" s="169" t="s">
        <v>70</v>
      </c>
      <c r="BH24" s="169" t="s">
        <v>70</v>
      </c>
      <c r="BI24" s="169" t="s">
        <v>70</v>
      </c>
      <c r="BJ24" s="167" t="s">
        <v>70</v>
      </c>
      <c r="BK24" s="167" t="s">
        <v>70</v>
      </c>
      <c r="BL24" s="167" t="s">
        <v>70</v>
      </c>
      <c r="BM24" s="167" t="s">
        <v>70</v>
      </c>
      <c r="BN24" s="167" t="s">
        <v>70</v>
      </c>
      <c r="BO24" s="167" t="s">
        <v>70</v>
      </c>
      <c r="BP24" s="167" t="s">
        <v>70</v>
      </c>
      <c r="BQ24" s="151">
        <v>0</v>
      </c>
    </row>
    <row r="25" spans="1:136" s="151" customFormat="1" ht="19.5" customHeight="1" x14ac:dyDescent="0.2">
      <c r="A25" s="117">
        <v>22</v>
      </c>
      <c r="B25" s="174" t="s">
        <v>784</v>
      </c>
      <c r="C25" s="144">
        <v>83102747</v>
      </c>
      <c r="D25" s="146" t="s">
        <v>783</v>
      </c>
      <c r="E25" s="146" t="s">
        <v>83</v>
      </c>
      <c r="F25" s="146" t="s">
        <v>208</v>
      </c>
      <c r="G25" s="111">
        <v>40910</v>
      </c>
      <c r="H25" s="119">
        <v>40935</v>
      </c>
      <c r="I25" s="111">
        <v>45573</v>
      </c>
      <c r="J25" s="162">
        <f t="shared" si="2"/>
        <v>46303</v>
      </c>
      <c r="K25" s="112">
        <v>40841</v>
      </c>
      <c r="L25" s="111">
        <v>46071</v>
      </c>
      <c r="M25" s="163">
        <f t="shared" si="3"/>
        <v>46801</v>
      </c>
      <c r="N25" s="111">
        <v>40910</v>
      </c>
      <c r="O25" s="111">
        <v>45624</v>
      </c>
      <c r="P25" s="111">
        <v>46300</v>
      </c>
      <c r="Q25" s="164">
        <v>42396</v>
      </c>
      <c r="R25" s="169" t="s">
        <v>70</v>
      </c>
      <c r="S25" s="169" t="s">
        <v>70</v>
      </c>
      <c r="T25" s="169" t="s">
        <v>70</v>
      </c>
      <c r="U25" s="169" t="s">
        <v>70</v>
      </c>
      <c r="V25" s="169" t="s">
        <v>70</v>
      </c>
      <c r="W25" s="169" t="s">
        <v>70</v>
      </c>
      <c r="X25" s="169" t="s">
        <v>70</v>
      </c>
      <c r="Y25" s="169" t="s">
        <v>70</v>
      </c>
      <c r="Z25" s="169" t="s">
        <v>70</v>
      </c>
      <c r="AA25" s="169" t="s">
        <v>70</v>
      </c>
      <c r="AB25" s="167" t="s">
        <v>70</v>
      </c>
      <c r="AC25" s="167" t="s">
        <v>70</v>
      </c>
      <c r="AD25" s="167" t="s">
        <v>70</v>
      </c>
      <c r="AE25" s="167" t="s">
        <v>70</v>
      </c>
      <c r="AF25" s="167" t="s">
        <v>70</v>
      </c>
      <c r="AG25" s="167" t="s">
        <v>70</v>
      </c>
      <c r="AH25" s="167" t="s">
        <v>70</v>
      </c>
      <c r="AI25" s="167" t="s">
        <v>70</v>
      </c>
      <c r="AJ25" s="167" t="s">
        <v>70</v>
      </c>
      <c r="AK25" s="167" t="s">
        <v>70</v>
      </c>
      <c r="AL25" s="166" t="s">
        <v>69</v>
      </c>
      <c r="AM25" s="166"/>
      <c r="AN25" s="167" t="s">
        <v>70</v>
      </c>
      <c r="AO25" s="167" t="s">
        <v>70</v>
      </c>
      <c r="AP25" s="164">
        <v>42293</v>
      </c>
      <c r="AQ25" s="166" t="s">
        <v>69</v>
      </c>
      <c r="AR25" s="169" t="s">
        <v>70</v>
      </c>
      <c r="AS25" s="167" t="s">
        <v>70</v>
      </c>
      <c r="AT25" s="166" t="s">
        <v>69</v>
      </c>
      <c r="AU25" s="167" t="s">
        <v>70</v>
      </c>
      <c r="AV25" s="167" t="s">
        <v>70</v>
      </c>
      <c r="AW25" s="167" t="s">
        <v>70</v>
      </c>
      <c r="AX25" s="167" t="s">
        <v>70</v>
      </c>
      <c r="AY25" s="167" t="s">
        <v>70</v>
      </c>
      <c r="AZ25" s="94">
        <v>43024</v>
      </c>
      <c r="BA25" s="176" t="s">
        <v>70</v>
      </c>
      <c r="BB25" s="167" t="s">
        <v>70</v>
      </c>
      <c r="BC25" s="167" t="s">
        <v>70</v>
      </c>
      <c r="BD25" s="167" t="s">
        <v>70</v>
      </c>
      <c r="BE25" s="167" t="s">
        <v>70</v>
      </c>
      <c r="BF25" s="167" t="s">
        <v>70</v>
      </c>
      <c r="BG25" s="169" t="s">
        <v>70</v>
      </c>
      <c r="BH25" s="169" t="s">
        <v>70</v>
      </c>
      <c r="BI25" s="169" t="s">
        <v>70</v>
      </c>
      <c r="BJ25" s="167" t="s">
        <v>70</v>
      </c>
      <c r="BK25" s="167" t="s">
        <v>70</v>
      </c>
      <c r="BL25" s="167" t="s">
        <v>70</v>
      </c>
      <c r="BM25" s="167" t="s">
        <v>70</v>
      </c>
      <c r="BN25" s="167" t="s">
        <v>70</v>
      </c>
      <c r="BO25" s="167" t="s">
        <v>70</v>
      </c>
      <c r="BP25" s="167" t="s">
        <v>70</v>
      </c>
      <c r="BQ25" s="151">
        <v>0</v>
      </c>
    </row>
    <row r="26" spans="1:136" s="151" customFormat="1" ht="19.5" customHeight="1" x14ac:dyDescent="0.2">
      <c r="A26" s="117">
        <v>23</v>
      </c>
      <c r="B26" s="174" t="s">
        <v>785</v>
      </c>
      <c r="C26" s="144">
        <v>146480</v>
      </c>
      <c r="D26" s="146" t="s">
        <v>86</v>
      </c>
      <c r="E26" s="146" t="s">
        <v>83</v>
      </c>
      <c r="F26" s="146" t="s">
        <v>208</v>
      </c>
      <c r="G26" s="162">
        <v>42481</v>
      </c>
      <c r="H26" s="162">
        <v>44545</v>
      </c>
      <c r="I26" s="162">
        <v>46083</v>
      </c>
      <c r="J26" s="162">
        <f t="shared" si="2"/>
        <v>46814</v>
      </c>
      <c r="K26" s="111">
        <v>42017</v>
      </c>
      <c r="L26" s="111">
        <v>46127</v>
      </c>
      <c r="M26" s="163">
        <f t="shared" si="3"/>
        <v>46858</v>
      </c>
      <c r="N26" s="111">
        <v>42640</v>
      </c>
      <c r="O26" s="111">
        <v>45645</v>
      </c>
      <c r="P26" s="111">
        <v>42641</v>
      </c>
      <c r="Q26" s="169" t="s">
        <v>70</v>
      </c>
      <c r="R26" s="169" t="s">
        <v>70</v>
      </c>
      <c r="S26" s="169" t="s">
        <v>70</v>
      </c>
      <c r="T26" s="169" t="s">
        <v>70</v>
      </c>
      <c r="U26" s="169" t="s">
        <v>70</v>
      </c>
      <c r="V26" s="169" t="s">
        <v>70</v>
      </c>
      <c r="W26" s="169" t="s">
        <v>70</v>
      </c>
      <c r="X26" s="169" t="s">
        <v>70</v>
      </c>
      <c r="Y26" s="169" t="s">
        <v>70</v>
      </c>
      <c r="Z26" s="169" t="s">
        <v>70</v>
      </c>
      <c r="AA26" s="169" t="s">
        <v>70</v>
      </c>
      <c r="AB26" s="167" t="s">
        <v>70</v>
      </c>
      <c r="AC26" s="167" t="s">
        <v>70</v>
      </c>
      <c r="AD26" s="167" t="s">
        <v>70</v>
      </c>
      <c r="AE26" s="167" t="s">
        <v>70</v>
      </c>
      <c r="AF26" s="168">
        <v>46294</v>
      </c>
      <c r="AG26" s="167" t="s">
        <v>70</v>
      </c>
      <c r="AH26" s="167" t="s">
        <v>70</v>
      </c>
      <c r="AI26" s="167" t="s">
        <v>70</v>
      </c>
      <c r="AJ26" s="167" t="s">
        <v>70</v>
      </c>
      <c r="AK26" s="167" t="s">
        <v>70</v>
      </c>
      <c r="AL26" s="166" t="s">
        <v>69</v>
      </c>
      <c r="AM26" s="166"/>
      <c r="AN26" s="167" t="s">
        <v>70</v>
      </c>
      <c r="AO26" s="167" t="s">
        <v>70</v>
      </c>
      <c r="AP26" s="176" t="s">
        <v>70</v>
      </c>
      <c r="AQ26" s="166" t="s">
        <v>69</v>
      </c>
      <c r="AR26" s="166" t="s">
        <v>69</v>
      </c>
      <c r="AS26" s="167" t="s">
        <v>70</v>
      </c>
      <c r="AT26" s="166" t="s">
        <v>69</v>
      </c>
      <c r="AU26" s="167" t="s">
        <v>70</v>
      </c>
      <c r="AV26" s="167" t="s">
        <v>70</v>
      </c>
      <c r="AW26" s="167" t="s">
        <v>70</v>
      </c>
      <c r="AX26" s="167" t="s">
        <v>70</v>
      </c>
      <c r="AY26" s="167" t="s">
        <v>70</v>
      </c>
      <c r="AZ26" s="176" t="s">
        <v>70</v>
      </c>
      <c r="BA26" s="176" t="s">
        <v>70</v>
      </c>
      <c r="BB26" s="167" t="s">
        <v>70</v>
      </c>
      <c r="BC26" s="167" t="s">
        <v>70</v>
      </c>
      <c r="BD26" s="167" t="s">
        <v>70</v>
      </c>
      <c r="BE26" s="167" t="s">
        <v>70</v>
      </c>
      <c r="BF26" s="167" t="s">
        <v>70</v>
      </c>
      <c r="BG26" s="169" t="s">
        <v>70</v>
      </c>
      <c r="BH26" s="169" t="s">
        <v>70</v>
      </c>
      <c r="BI26" s="169" t="s">
        <v>70</v>
      </c>
      <c r="BJ26" s="167" t="s">
        <v>70</v>
      </c>
      <c r="BK26" s="167" t="s">
        <v>70</v>
      </c>
      <c r="BL26" s="167" t="s">
        <v>70</v>
      </c>
      <c r="BM26" s="167" t="s">
        <v>70</v>
      </c>
      <c r="BN26" s="167" t="s">
        <v>70</v>
      </c>
      <c r="BO26" s="167" t="s">
        <v>70</v>
      </c>
      <c r="BP26" s="167" t="s">
        <v>70</v>
      </c>
      <c r="BQ26" s="151">
        <v>0</v>
      </c>
    </row>
    <row r="27" spans="1:136" s="151" customFormat="1" ht="19.5" customHeight="1" x14ac:dyDescent="0.2">
      <c r="A27" s="117">
        <v>24</v>
      </c>
      <c r="B27" s="161" t="s">
        <v>134</v>
      </c>
      <c r="C27" s="161">
        <v>83099398</v>
      </c>
      <c r="D27" s="161" t="s">
        <v>135</v>
      </c>
      <c r="E27" s="183" t="s">
        <v>83</v>
      </c>
      <c r="F27" s="146" t="s">
        <v>208</v>
      </c>
      <c r="G27" s="172">
        <v>40933</v>
      </c>
      <c r="H27" s="172">
        <v>40945</v>
      </c>
      <c r="I27" s="172">
        <v>46065</v>
      </c>
      <c r="J27" s="162">
        <f t="shared" si="2"/>
        <v>46795</v>
      </c>
      <c r="K27" s="111">
        <v>40891</v>
      </c>
      <c r="L27" s="111">
        <v>46134</v>
      </c>
      <c r="M27" s="163">
        <f t="shared" si="3"/>
        <v>46865</v>
      </c>
      <c r="N27" s="111">
        <v>40905</v>
      </c>
      <c r="O27" s="111">
        <v>40905</v>
      </c>
      <c r="P27" s="111">
        <v>40905</v>
      </c>
      <c r="Q27" s="165" t="s">
        <v>69</v>
      </c>
      <c r="R27" s="165" t="s">
        <v>69</v>
      </c>
      <c r="S27" s="165" t="s">
        <v>69</v>
      </c>
      <c r="T27" s="94">
        <v>41766</v>
      </c>
      <c r="U27" s="94">
        <v>41773</v>
      </c>
      <c r="V27" s="94">
        <v>45702</v>
      </c>
      <c r="W27" s="94">
        <v>43284</v>
      </c>
      <c r="X27" s="94">
        <v>42301</v>
      </c>
      <c r="Y27" s="165" t="s">
        <v>69</v>
      </c>
      <c r="Z27" s="94">
        <v>42314</v>
      </c>
      <c r="AA27" s="112">
        <v>45674</v>
      </c>
      <c r="AB27" s="166" t="s">
        <v>69</v>
      </c>
      <c r="AC27" s="166" t="s">
        <v>69</v>
      </c>
      <c r="AD27" s="167" t="s">
        <v>70</v>
      </c>
      <c r="AE27" s="167" t="s">
        <v>70</v>
      </c>
      <c r="AF27" s="112" t="s">
        <v>69</v>
      </c>
      <c r="AG27" s="112" t="s">
        <v>69</v>
      </c>
      <c r="AH27" s="166" t="s">
        <v>69</v>
      </c>
      <c r="AI27" s="167" t="s">
        <v>70</v>
      </c>
      <c r="AJ27" s="167" t="s">
        <v>70</v>
      </c>
      <c r="AK27" s="111">
        <v>46252</v>
      </c>
      <c r="AL27" s="166" t="s">
        <v>69</v>
      </c>
      <c r="AM27" s="166"/>
      <c r="AN27" s="168" t="s">
        <v>69</v>
      </c>
      <c r="AO27" s="168">
        <v>46307</v>
      </c>
      <c r="AP27" s="94">
        <v>43637</v>
      </c>
      <c r="AQ27" s="166" t="s">
        <v>69</v>
      </c>
      <c r="AR27" s="166" t="s">
        <v>69</v>
      </c>
      <c r="AS27" s="166" t="s">
        <v>69</v>
      </c>
      <c r="AT27" s="94">
        <v>43502</v>
      </c>
      <c r="AU27" s="166" t="s">
        <v>69</v>
      </c>
      <c r="AV27" s="166" t="s">
        <v>69</v>
      </c>
      <c r="AW27" s="94">
        <v>41901</v>
      </c>
      <c r="AX27" s="167" t="s">
        <v>70</v>
      </c>
      <c r="AY27" s="166" t="s">
        <v>69</v>
      </c>
      <c r="AZ27" s="166" t="s">
        <v>69</v>
      </c>
      <c r="BA27" s="166" t="s">
        <v>69</v>
      </c>
      <c r="BB27" s="167" t="s">
        <v>70</v>
      </c>
      <c r="BC27" s="167" t="s">
        <v>70</v>
      </c>
      <c r="BD27" s="166" t="s">
        <v>69</v>
      </c>
      <c r="BE27" s="167" t="s">
        <v>70</v>
      </c>
      <c r="BF27" s="167" t="s">
        <v>70</v>
      </c>
      <c r="BG27" s="167" t="s">
        <v>70</v>
      </c>
      <c r="BH27" s="167" t="s">
        <v>70</v>
      </c>
      <c r="BI27" s="167" t="s">
        <v>70</v>
      </c>
      <c r="BJ27" s="166" t="s">
        <v>69</v>
      </c>
      <c r="BK27" s="166" t="s">
        <v>69</v>
      </c>
      <c r="BL27" s="166" t="s">
        <v>69</v>
      </c>
      <c r="BM27" s="167" t="s">
        <v>70</v>
      </c>
      <c r="BN27" s="167" t="s">
        <v>70</v>
      </c>
      <c r="BO27" s="167" t="s">
        <v>70</v>
      </c>
      <c r="BP27" s="94">
        <v>41830</v>
      </c>
      <c r="BQ27" s="151">
        <v>0</v>
      </c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</row>
    <row r="28" spans="1:136" s="151" customFormat="1" ht="19.5" customHeight="1" x14ac:dyDescent="0.2">
      <c r="A28" s="117">
        <v>25</v>
      </c>
      <c r="B28" s="161" t="s">
        <v>136</v>
      </c>
      <c r="C28" s="161">
        <v>135040</v>
      </c>
      <c r="D28" s="161" t="s">
        <v>137</v>
      </c>
      <c r="E28" s="117" t="s">
        <v>83</v>
      </c>
      <c r="F28" s="146" t="s">
        <v>208</v>
      </c>
      <c r="G28" s="172">
        <v>42024</v>
      </c>
      <c r="H28" s="172">
        <v>42285</v>
      </c>
      <c r="I28" s="172">
        <v>46084</v>
      </c>
      <c r="J28" s="162">
        <f t="shared" si="2"/>
        <v>46815</v>
      </c>
      <c r="K28" s="111">
        <v>41807</v>
      </c>
      <c r="L28" s="111">
        <v>46076</v>
      </c>
      <c r="M28" s="163">
        <f t="shared" si="3"/>
        <v>46806</v>
      </c>
      <c r="N28" s="111">
        <v>42671</v>
      </c>
      <c r="O28" s="111">
        <v>42669</v>
      </c>
      <c r="P28" s="111">
        <v>42670</v>
      </c>
      <c r="Q28" s="165" t="s">
        <v>69</v>
      </c>
      <c r="R28" s="165" t="s">
        <v>69</v>
      </c>
      <c r="S28" s="165" t="s">
        <v>69</v>
      </c>
      <c r="T28" s="94">
        <v>43402</v>
      </c>
      <c r="U28" s="165" t="s">
        <v>69</v>
      </c>
      <c r="V28" s="94">
        <v>44725</v>
      </c>
      <c r="W28" s="94">
        <v>44501</v>
      </c>
      <c r="X28" s="94">
        <v>42076</v>
      </c>
      <c r="Y28" s="165" t="s">
        <v>69</v>
      </c>
      <c r="Z28" s="94">
        <v>44781</v>
      </c>
      <c r="AA28" s="165" t="s">
        <v>69</v>
      </c>
      <c r="AB28" s="166" t="s">
        <v>69</v>
      </c>
      <c r="AC28" s="166" t="s">
        <v>69</v>
      </c>
      <c r="AD28" s="167" t="s">
        <v>70</v>
      </c>
      <c r="AE28" s="167" t="s">
        <v>70</v>
      </c>
      <c r="AF28" s="112">
        <v>46261</v>
      </c>
      <c r="AG28" s="167" t="s">
        <v>70</v>
      </c>
      <c r="AH28" s="167" t="s">
        <v>71</v>
      </c>
      <c r="AI28" s="167" t="s">
        <v>70</v>
      </c>
      <c r="AJ28" s="167" t="s">
        <v>70</v>
      </c>
      <c r="AK28" s="167" t="s">
        <v>70</v>
      </c>
      <c r="AL28" s="166" t="s">
        <v>69</v>
      </c>
      <c r="AM28" s="166"/>
      <c r="AN28" s="168" t="s">
        <v>69</v>
      </c>
      <c r="AO28" s="167" t="s">
        <v>70</v>
      </c>
      <c r="AP28" s="166" t="s">
        <v>69</v>
      </c>
      <c r="AQ28" s="166" t="s">
        <v>69</v>
      </c>
      <c r="AR28" s="166" t="s">
        <v>69</v>
      </c>
      <c r="AS28" s="166" t="s">
        <v>69</v>
      </c>
      <c r="AT28" s="166" t="s">
        <v>69</v>
      </c>
      <c r="AU28" s="166" t="s">
        <v>69</v>
      </c>
      <c r="AV28" s="166" t="s">
        <v>69</v>
      </c>
      <c r="AW28" s="94">
        <v>41907</v>
      </c>
      <c r="AX28" s="167" t="s">
        <v>70</v>
      </c>
      <c r="AY28" s="166" t="s">
        <v>69</v>
      </c>
      <c r="AZ28" s="166" t="s">
        <v>69</v>
      </c>
      <c r="BA28" s="166" t="s">
        <v>69</v>
      </c>
      <c r="BB28" s="167" t="s">
        <v>70</v>
      </c>
      <c r="BC28" s="167" t="s">
        <v>70</v>
      </c>
      <c r="BD28" s="167" t="s">
        <v>70</v>
      </c>
      <c r="BE28" s="167" t="s">
        <v>70</v>
      </c>
      <c r="BF28" s="167" t="s">
        <v>70</v>
      </c>
      <c r="BG28" s="169" t="s">
        <v>70</v>
      </c>
      <c r="BH28" s="169" t="s">
        <v>70</v>
      </c>
      <c r="BI28" s="169" t="s">
        <v>70</v>
      </c>
      <c r="BJ28" s="169" t="s">
        <v>71</v>
      </c>
      <c r="BK28" s="167" t="s">
        <v>70</v>
      </c>
      <c r="BL28" s="167" t="s">
        <v>70</v>
      </c>
      <c r="BM28" s="167" t="s">
        <v>70</v>
      </c>
      <c r="BN28" s="167" t="s">
        <v>70</v>
      </c>
      <c r="BO28" s="167" t="s">
        <v>70</v>
      </c>
      <c r="BP28" s="167" t="s">
        <v>70</v>
      </c>
      <c r="BQ28" s="151">
        <v>0</v>
      </c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</row>
    <row r="29" spans="1:136" s="151" customFormat="1" ht="19.5" customHeight="1" x14ac:dyDescent="0.2">
      <c r="A29" s="117">
        <v>26</v>
      </c>
      <c r="B29" s="161" t="s">
        <v>138</v>
      </c>
      <c r="C29" s="161">
        <v>145323</v>
      </c>
      <c r="D29" s="161" t="s">
        <v>139</v>
      </c>
      <c r="E29" s="183" t="s">
        <v>83</v>
      </c>
      <c r="F29" s="146" t="s">
        <v>208</v>
      </c>
      <c r="G29" s="172">
        <v>42302</v>
      </c>
      <c r="H29" s="172">
        <v>42193</v>
      </c>
      <c r="I29" s="172">
        <v>46041</v>
      </c>
      <c r="J29" s="162">
        <f t="shared" si="2"/>
        <v>46771</v>
      </c>
      <c r="K29" s="111">
        <v>42174</v>
      </c>
      <c r="L29" s="111">
        <v>46246</v>
      </c>
      <c r="M29" s="163">
        <f t="shared" si="3"/>
        <v>46977</v>
      </c>
      <c r="N29" s="165" t="s">
        <v>69</v>
      </c>
      <c r="O29" s="111">
        <v>42159</v>
      </c>
      <c r="P29" s="111">
        <v>42174</v>
      </c>
      <c r="Q29" s="165" t="s">
        <v>69</v>
      </c>
      <c r="R29" s="165" t="s">
        <v>69</v>
      </c>
      <c r="S29" s="165" t="s">
        <v>69</v>
      </c>
      <c r="T29" s="94">
        <v>43822</v>
      </c>
      <c r="U29" s="165" t="s">
        <v>69</v>
      </c>
      <c r="V29" s="94">
        <v>45121</v>
      </c>
      <c r="W29" s="94">
        <v>43696</v>
      </c>
      <c r="X29" s="94">
        <v>42303</v>
      </c>
      <c r="Y29" s="94">
        <v>44421</v>
      </c>
      <c r="Z29" s="94">
        <v>44732</v>
      </c>
      <c r="AA29" s="165" t="s">
        <v>69</v>
      </c>
      <c r="AB29" s="166" t="s">
        <v>69</v>
      </c>
      <c r="AC29" s="166" t="s">
        <v>69</v>
      </c>
      <c r="AD29" s="167" t="s">
        <v>70</v>
      </c>
      <c r="AE29" s="167" t="s">
        <v>70</v>
      </c>
      <c r="AF29" s="94">
        <v>45645</v>
      </c>
      <c r="AG29" s="167" t="s">
        <v>70</v>
      </c>
      <c r="AH29" s="167" t="s">
        <v>70</v>
      </c>
      <c r="AI29" s="167" t="s">
        <v>70</v>
      </c>
      <c r="AJ29" s="167" t="s">
        <v>70</v>
      </c>
      <c r="AK29" s="111">
        <v>46303</v>
      </c>
      <c r="AL29" s="166" t="s">
        <v>69</v>
      </c>
      <c r="AM29" s="166"/>
      <c r="AN29" s="168" t="s">
        <v>69</v>
      </c>
      <c r="AO29" s="167" t="s">
        <v>70</v>
      </c>
      <c r="AP29" s="166" t="s">
        <v>69</v>
      </c>
      <c r="AQ29" s="166" t="s">
        <v>69</v>
      </c>
      <c r="AR29" s="166" t="s">
        <v>69</v>
      </c>
      <c r="AS29" s="94">
        <v>45904</v>
      </c>
      <c r="AT29" s="166" t="s">
        <v>69</v>
      </c>
      <c r="AU29" s="166" t="s">
        <v>69</v>
      </c>
      <c r="AV29" s="166" t="s">
        <v>69</v>
      </c>
      <c r="AW29" s="167" t="s">
        <v>70</v>
      </c>
      <c r="AX29" s="167" t="s">
        <v>70</v>
      </c>
      <c r="AY29" s="166" t="s">
        <v>69</v>
      </c>
      <c r="AZ29" s="166" t="s">
        <v>69</v>
      </c>
      <c r="BA29" s="166" t="s">
        <v>69</v>
      </c>
      <c r="BB29" s="167" t="s">
        <v>70</v>
      </c>
      <c r="BC29" s="167" t="s">
        <v>70</v>
      </c>
      <c r="BD29" s="167" t="s">
        <v>70</v>
      </c>
      <c r="BE29" s="167" t="s">
        <v>70</v>
      </c>
      <c r="BF29" s="167" t="s">
        <v>70</v>
      </c>
      <c r="BG29" s="169" t="s">
        <v>70</v>
      </c>
      <c r="BH29" s="169" t="s">
        <v>70</v>
      </c>
      <c r="BI29" s="169" t="s">
        <v>70</v>
      </c>
      <c r="BJ29" s="169" t="s">
        <v>71</v>
      </c>
      <c r="BK29" s="167" t="s">
        <v>70</v>
      </c>
      <c r="BL29" s="167" t="s">
        <v>70</v>
      </c>
      <c r="BM29" s="167" t="s">
        <v>70</v>
      </c>
      <c r="BN29" s="167" t="s">
        <v>70</v>
      </c>
      <c r="BO29" s="167" t="s">
        <v>70</v>
      </c>
      <c r="BP29" s="167" t="s">
        <v>70</v>
      </c>
      <c r="BQ29" s="151">
        <v>0</v>
      </c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</row>
    <row r="30" spans="1:136" s="151" customFormat="1" ht="19.5" customHeight="1" x14ac:dyDescent="0.2">
      <c r="A30" s="117">
        <v>27</v>
      </c>
      <c r="B30" s="159" t="s">
        <v>183</v>
      </c>
      <c r="C30" s="159">
        <v>152475</v>
      </c>
      <c r="D30" s="161" t="s">
        <v>833</v>
      </c>
      <c r="E30" s="117" t="s">
        <v>68</v>
      </c>
      <c r="F30" s="146" t="s">
        <v>208</v>
      </c>
      <c r="G30" s="162">
        <v>42684</v>
      </c>
      <c r="H30" s="111">
        <v>45994</v>
      </c>
      <c r="I30" s="111">
        <v>45994</v>
      </c>
      <c r="J30" s="162">
        <f t="shared" si="2"/>
        <v>46724</v>
      </c>
      <c r="K30" s="111">
        <v>42422</v>
      </c>
      <c r="L30" s="111">
        <v>46083</v>
      </c>
      <c r="M30" s="163">
        <f t="shared" si="3"/>
        <v>46814</v>
      </c>
      <c r="N30" s="111">
        <v>43901</v>
      </c>
      <c r="O30" s="111">
        <v>44875</v>
      </c>
      <c r="P30" s="111">
        <v>43901</v>
      </c>
      <c r="Q30" s="166" t="s">
        <v>69</v>
      </c>
      <c r="R30" s="166" t="s">
        <v>69</v>
      </c>
      <c r="S30" s="166" t="s">
        <v>69</v>
      </c>
      <c r="T30" s="94">
        <v>43738</v>
      </c>
      <c r="U30" s="166" t="s">
        <v>69</v>
      </c>
      <c r="V30" s="94">
        <v>45429</v>
      </c>
      <c r="W30" s="166" t="s">
        <v>69</v>
      </c>
      <c r="X30" s="94">
        <v>44372</v>
      </c>
      <c r="Y30" s="166" t="s">
        <v>69</v>
      </c>
      <c r="Z30" s="166" t="s">
        <v>69</v>
      </c>
      <c r="AA30" s="166" t="s">
        <v>69</v>
      </c>
      <c r="AB30" s="166" t="s">
        <v>69</v>
      </c>
      <c r="AC30" s="166" t="s">
        <v>69</v>
      </c>
      <c r="AD30" s="167" t="s">
        <v>71</v>
      </c>
      <c r="AE30" s="167" t="s">
        <v>70</v>
      </c>
      <c r="AF30" s="112" t="s">
        <v>69</v>
      </c>
      <c r="AG30" s="167" t="s">
        <v>70</v>
      </c>
      <c r="AH30" s="167" t="s">
        <v>71</v>
      </c>
      <c r="AI30" s="167" t="s">
        <v>71</v>
      </c>
      <c r="AJ30" s="167" t="s">
        <v>71</v>
      </c>
      <c r="AK30" s="167" t="s">
        <v>70</v>
      </c>
      <c r="AL30" s="166" t="s">
        <v>69</v>
      </c>
      <c r="AM30" s="166"/>
      <c r="AN30" s="166" t="s">
        <v>69</v>
      </c>
      <c r="AO30" s="167" t="s">
        <v>70</v>
      </c>
      <c r="AP30" s="166" t="s">
        <v>69</v>
      </c>
      <c r="AQ30" s="166" t="s">
        <v>69</v>
      </c>
      <c r="AR30" s="166" t="s">
        <v>69</v>
      </c>
      <c r="AS30" s="94">
        <v>45904</v>
      </c>
      <c r="AT30" s="166" t="s">
        <v>69</v>
      </c>
      <c r="AU30" s="166" t="s">
        <v>69</v>
      </c>
      <c r="AV30" s="166" t="s">
        <v>69</v>
      </c>
      <c r="AW30" s="167" t="s">
        <v>70</v>
      </c>
      <c r="AX30" s="167" t="s">
        <v>70</v>
      </c>
      <c r="AY30" s="166" t="s">
        <v>69</v>
      </c>
      <c r="AZ30" s="166" t="s">
        <v>69</v>
      </c>
      <c r="BA30" s="166" t="s">
        <v>69</v>
      </c>
      <c r="BB30" s="167" t="s">
        <v>70</v>
      </c>
      <c r="BC30" s="167" t="s">
        <v>70</v>
      </c>
      <c r="BD30" s="167" t="s">
        <v>70</v>
      </c>
      <c r="BE30" s="167" t="s">
        <v>70</v>
      </c>
      <c r="BF30" s="167" t="s">
        <v>70</v>
      </c>
      <c r="BG30" s="169" t="s">
        <v>70</v>
      </c>
      <c r="BH30" s="169" t="s">
        <v>70</v>
      </c>
      <c r="BI30" s="169" t="s">
        <v>70</v>
      </c>
      <c r="BJ30" s="167" t="s">
        <v>70</v>
      </c>
      <c r="BK30" s="167" t="s">
        <v>70</v>
      </c>
      <c r="BL30" s="167" t="s">
        <v>70</v>
      </c>
      <c r="BM30" s="167" t="s">
        <v>70</v>
      </c>
      <c r="BN30" s="167" t="s">
        <v>70</v>
      </c>
      <c r="BO30" s="167" t="s">
        <v>70</v>
      </c>
      <c r="BP30" s="167" t="s">
        <v>70</v>
      </c>
      <c r="BQ30" s="151">
        <v>0</v>
      </c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</row>
    <row r="31" spans="1:136" s="151" customFormat="1" ht="19.5" customHeight="1" x14ac:dyDescent="0.2">
      <c r="A31" s="117">
        <v>28</v>
      </c>
      <c r="B31" s="174" t="s">
        <v>140</v>
      </c>
      <c r="C31" s="144">
        <v>135718</v>
      </c>
      <c r="D31" s="117" t="s">
        <v>846</v>
      </c>
      <c r="E31" s="146" t="s">
        <v>83</v>
      </c>
      <c r="F31" s="146" t="s">
        <v>208</v>
      </c>
      <c r="G31" s="111">
        <v>41905</v>
      </c>
      <c r="H31" s="162">
        <v>45611</v>
      </c>
      <c r="I31" s="162">
        <v>45611</v>
      </c>
      <c r="J31" s="162">
        <f t="shared" si="2"/>
        <v>46341</v>
      </c>
      <c r="K31" s="112">
        <v>42221</v>
      </c>
      <c r="L31" s="111">
        <v>46148</v>
      </c>
      <c r="M31" s="163">
        <f t="shared" si="3"/>
        <v>46879</v>
      </c>
      <c r="N31" s="111">
        <v>42072</v>
      </c>
      <c r="O31" s="111">
        <v>45694</v>
      </c>
      <c r="P31" s="111">
        <v>42105</v>
      </c>
      <c r="Q31" s="164">
        <v>42535</v>
      </c>
      <c r="R31" s="94">
        <v>42232</v>
      </c>
      <c r="S31" s="94">
        <v>42963</v>
      </c>
      <c r="T31" s="165" t="s">
        <v>69</v>
      </c>
      <c r="U31" s="165" t="s">
        <v>69</v>
      </c>
      <c r="V31" s="165" t="s">
        <v>69</v>
      </c>
      <c r="W31" s="165" t="s">
        <v>69</v>
      </c>
      <c r="X31" s="165" t="s">
        <v>69</v>
      </c>
      <c r="Y31" s="165" t="s">
        <v>69</v>
      </c>
      <c r="Z31" s="165" t="s">
        <v>69</v>
      </c>
      <c r="AA31" s="165" t="s">
        <v>69</v>
      </c>
      <c r="AB31" s="165" t="s">
        <v>69</v>
      </c>
      <c r="AC31" s="165" t="s">
        <v>69</v>
      </c>
      <c r="AD31" s="167" t="s">
        <v>70</v>
      </c>
      <c r="AE31" s="167" t="s">
        <v>70</v>
      </c>
      <c r="AF31" s="112" t="s">
        <v>69</v>
      </c>
      <c r="AG31" s="167" t="s">
        <v>70</v>
      </c>
      <c r="AH31" s="167" t="s">
        <v>70</v>
      </c>
      <c r="AI31" s="167" t="s">
        <v>70</v>
      </c>
      <c r="AJ31" s="167" t="s">
        <v>70</v>
      </c>
      <c r="AK31" s="167" t="s">
        <v>70</v>
      </c>
      <c r="AL31" s="166" t="s">
        <v>69</v>
      </c>
      <c r="AM31" s="166"/>
      <c r="AN31" s="168" t="s">
        <v>69</v>
      </c>
      <c r="AO31" s="168" t="s">
        <v>69</v>
      </c>
      <c r="AP31" s="94">
        <v>42398</v>
      </c>
      <c r="AQ31" s="166" t="s">
        <v>69</v>
      </c>
      <c r="AR31" s="166" t="s">
        <v>69</v>
      </c>
      <c r="AS31" s="166" t="s">
        <v>69</v>
      </c>
      <c r="AT31" s="166" t="s">
        <v>69</v>
      </c>
      <c r="AU31" s="166" t="s">
        <v>69</v>
      </c>
      <c r="AV31" s="166" t="s">
        <v>69</v>
      </c>
      <c r="AW31" s="167" t="s">
        <v>70</v>
      </c>
      <c r="AX31" s="167" t="s">
        <v>70</v>
      </c>
      <c r="AY31" s="167" t="s">
        <v>70</v>
      </c>
      <c r="AZ31" s="94">
        <v>43129</v>
      </c>
      <c r="BA31" s="168" t="s">
        <v>69</v>
      </c>
      <c r="BB31" s="167" t="s">
        <v>70</v>
      </c>
      <c r="BC31" s="167" t="s">
        <v>70</v>
      </c>
      <c r="BD31" s="166" t="s">
        <v>69</v>
      </c>
      <c r="BE31" s="167" t="s">
        <v>70</v>
      </c>
      <c r="BF31" s="167" t="s">
        <v>70</v>
      </c>
      <c r="BG31" s="167" t="s">
        <v>70</v>
      </c>
      <c r="BH31" s="167" t="s">
        <v>70</v>
      </c>
      <c r="BI31" s="167" t="s">
        <v>70</v>
      </c>
      <c r="BJ31" s="166" t="s">
        <v>69</v>
      </c>
      <c r="BK31" s="166" t="s">
        <v>69</v>
      </c>
      <c r="BL31" s="166" t="s">
        <v>69</v>
      </c>
      <c r="BM31" s="167" t="s">
        <v>70</v>
      </c>
      <c r="BN31" s="167" t="s">
        <v>70</v>
      </c>
      <c r="BO31" s="167" t="s">
        <v>70</v>
      </c>
      <c r="BP31" s="167" t="s">
        <v>70</v>
      </c>
      <c r="BQ31" s="151">
        <v>0</v>
      </c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</row>
    <row r="32" spans="1:136" s="151" customFormat="1" ht="19.5" customHeight="1" x14ac:dyDescent="0.2">
      <c r="A32" s="117">
        <v>29</v>
      </c>
      <c r="B32" s="174" t="s">
        <v>141</v>
      </c>
      <c r="C32" s="144">
        <v>83103438</v>
      </c>
      <c r="D32" s="146" t="s">
        <v>847</v>
      </c>
      <c r="E32" s="146" t="s">
        <v>83</v>
      </c>
      <c r="F32" s="146" t="s">
        <v>208</v>
      </c>
      <c r="G32" s="119">
        <v>42768</v>
      </c>
      <c r="H32" s="162">
        <v>42243</v>
      </c>
      <c r="I32" s="111">
        <v>45617</v>
      </c>
      <c r="J32" s="162">
        <f t="shared" si="2"/>
        <v>46347</v>
      </c>
      <c r="K32" s="111">
        <v>42244</v>
      </c>
      <c r="L32" s="163">
        <v>46168</v>
      </c>
      <c r="M32" s="163">
        <f t="shared" si="3"/>
        <v>46899</v>
      </c>
      <c r="N32" s="111">
        <v>40924</v>
      </c>
      <c r="O32" s="111">
        <v>46300</v>
      </c>
      <c r="P32" s="111">
        <v>42242</v>
      </c>
      <c r="Q32" s="165" t="s">
        <v>69</v>
      </c>
      <c r="R32" s="165" t="s">
        <v>69</v>
      </c>
      <c r="S32" s="165" t="s">
        <v>69</v>
      </c>
      <c r="T32" s="165" t="s">
        <v>69</v>
      </c>
      <c r="U32" s="165" t="s">
        <v>69</v>
      </c>
      <c r="V32" s="165" t="s">
        <v>69</v>
      </c>
      <c r="W32" s="165" t="s">
        <v>69</v>
      </c>
      <c r="X32" s="165" t="s">
        <v>69</v>
      </c>
      <c r="Y32" s="165" t="s">
        <v>69</v>
      </c>
      <c r="Z32" s="165" t="s">
        <v>69</v>
      </c>
      <c r="AA32" s="165" t="s">
        <v>69</v>
      </c>
      <c r="AB32" s="165" t="s">
        <v>69</v>
      </c>
      <c r="AC32" s="165" t="s">
        <v>69</v>
      </c>
      <c r="AD32" s="167" t="s">
        <v>70</v>
      </c>
      <c r="AE32" s="167" t="s">
        <v>70</v>
      </c>
      <c r="AF32" s="112" t="s">
        <v>69</v>
      </c>
      <c r="AG32" s="167" t="s">
        <v>70</v>
      </c>
      <c r="AH32" s="167" t="s">
        <v>70</v>
      </c>
      <c r="AI32" s="167" t="s">
        <v>70</v>
      </c>
      <c r="AJ32" s="167" t="s">
        <v>70</v>
      </c>
      <c r="AK32" s="167" t="s">
        <v>70</v>
      </c>
      <c r="AL32" s="166" t="s">
        <v>69</v>
      </c>
      <c r="AM32" s="166"/>
      <c r="AN32" s="168" t="s">
        <v>69</v>
      </c>
      <c r="AO32" s="168" t="s">
        <v>69</v>
      </c>
      <c r="AP32" s="166" t="s">
        <v>69</v>
      </c>
      <c r="AQ32" s="166" t="s">
        <v>69</v>
      </c>
      <c r="AR32" s="166" t="s">
        <v>69</v>
      </c>
      <c r="AS32" s="166" t="s">
        <v>69</v>
      </c>
      <c r="AT32" s="166" t="s">
        <v>69</v>
      </c>
      <c r="AU32" s="166" t="s">
        <v>69</v>
      </c>
      <c r="AV32" s="166" t="s">
        <v>69</v>
      </c>
      <c r="AW32" s="167" t="s">
        <v>70</v>
      </c>
      <c r="AX32" s="167" t="s">
        <v>70</v>
      </c>
      <c r="AY32" s="167" t="s">
        <v>70</v>
      </c>
      <c r="AZ32" s="168" t="s">
        <v>69</v>
      </c>
      <c r="BA32" s="168" t="s">
        <v>69</v>
      </c>
      <c r="BB32" s="167" t="s">
        <v>70</v>
      </c>
      <c r="BC32" s="167" t="s">
        <v>70</v>
      </c>
      <c r="BD32" s="166" t="s">
        <v>69</v>
      </c>
      <c r="BE32" s="167" t="s">
        <v>70</v>
      </c>
      <c r="BF32" s="167" t="s">
        <v>70</v>
      </c>
      <c r="BG32" s="167" t="s">
        <v>70</v>
      </c>
      <c r="BH32" s="167" t="s">
        <v>70</v>
      </c>
      <c r="BI32" s="167" t="s">
        <v>70</v>
      </c>
      <c r="BJ32" s="166" t="s">
        <v>69</v>
      </c>
      <c r="BK32" s="166" t="s">
        <v>69</v>
      </c>
      <c r="BL32" s="166" t="s">
        <v>69</v>
      </c>
      <c r="BM32" s="167" t="s">
        <v>70</v>
      </c>
      <c r="BN32" s="167" t="s">
        <v>70</v>
      </c>
      <c r="BO32" s="167" t="s">
        <v>70</v>
      </c>
      <c r="BP32" s="167" t="s">
        <v>70</v>
      </c>
      <c r="BQ32" s="151">
        <v>0</v>
      </c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</row>
    <row r="33" spans="1:136" s="151" customFormat="1" ht="19.5" customHeight="1" x14ac:dyDescent="0.2">
      <c r="A33" s="117">
        <v>30</v>
      </c>
      <c r="B33" s="174" t="s">
        <v>142</v>
      </c>
      <c r="C33" s="144">
        <v>83116897</v>
      </c>
      <c r="D33" s="117" t="s">
        <v>848</v>
      </c>
      <c r="E33" s="146" t="s">
        <v>83</v>
      </c>
      <c r="F33" s="146" t="s">
        <v>208</v>
      </c>
      <c r="G33" s="162">
        <v>40960</v>
      </c>
      <c r="H33" s="162">
        <v>41042</v>
      </c>
      <c r="I33" s="162">
        <v>46083</v>
      </c>
      <c r="J33" s="162">
        <f t="shared" si="2"/>
        <v>46814</v>
      </c>
      <c r="K33" s="111">
        <v>40843</v>
      </c>
      <c r="L33" s="111">
        <v>46083</v>
      </c>
      <c r="M33" s="163">
        <f t="shared" si="3"/>
        <v>46814</v>
      </c>
      <c r="N33" s="111">
        <v>40920</v>
      </c>
      <c r="O33" s="111">
        <v>46300</v>
      </c>
      <c r="P33" s="111">
        <v>40922</v>
      </c>
      <c r="Q33" s="94">
        <v>42396</v>
      </c>
      <c r="R33" s="94">
        <v>45399</v>
      </c>
      <c r="S33" s="94">
        <v>46129</v>
      </c>
      <c r="T33" s="165" t="s">
        <v>69</v>
      </c>
      <c r="U33" s="165" t="s">
        <v>69</v>
      </c>
      <c r="V33" s="165" t="s">
        <v>69</v>
      </c>
      <c r="W33" s="165" t="s">
        <v>69</v>
      </c>
      <c r="X33" s="165" t="s">
        <v>69</v>
      </c>
      <c r="Y33" s="165" t="s">
        <v>69</v>
      </c>
      <c r="Z33" s="165" t="s">
        <v>69</v>
      </c>
      <c r="AA33" s="165" t="s">
        <v>69</v>
      </c>
      <c r="AB33" s="165" t="s">
        <v>69</v>
      </c>
      <c r="AC33" s="165" t="s">
        <v>69</v>
      </c>
      <c r="AD33" s="167" t="s">
        <v>70</v>
      </c>
      <c r="AE33" s="167" t="s">
        <v>70</v>
      </c>
      <c r="AF33" s="112">
        <v>46301</v>
      </c>
      <c r="AG33" s="167" t="s">
        <v>70</v>
      </c>
      <c r="AH33" s="167" t="s">
        <v>70</v>
      </c>
      <c r="AI33" s="167" t="s">
        <v>70</v>
      </c>
      <c r="AJ33" s="167" t="s">
        <v>70</v>
      </c>
      <c r="AK33" s="167" t="s">
        <v>70</v>
      </c>
      <c r="AL33" s="166" t="s">
        <v>69</v>
      </c>
      <c r="AM33" s="166"/>
      <c r="AN33" s="168" t="s">
        <v>69</v>
      </c>
      <c r="AO33" s="168" t="s">
        <v>69</v>
      </c>
      <c r="AP33" s="166" t="s">
        <v>69</v>
      </c>
      <c r="AQ33" s="166" t="s">
        <v>69</v>
      </c>
      <c r="AR33" s="166" t="s">
        <v>69</v>
      </c>
      <c r="AS33" s="166" t="s">
        <v>69</v>
      </c>
      <c r="AT33" s="166" t="s">
        <v>69</v>
      </c>
      <c r="AU33" s="166" t="s">
        <v>69</v>
      </c>
      <c r="AV33" s="166" t="s">
        <v>69</v>
      </c>
      <c r="AW33" s="167" t="s">
        <v>70</v>
      </c>
      <c r="AX33" s="167" t="s">
        <v>70</v>
      </c>
      <c r="AY33" s="167" t="s">
        <v>70</v>
      </c>
      <c r="AZ33" s="168" t="s">
        <v>69</v>
      </c>
      <c r="BA33" s="168" t="s">
        <v>69</v>
      </c>
      <c r="BB33" s="167" t="s">
        <v>70</v>
      </c>
      <c r="BC33" s="167" t="s">
        <v>70</v>
      </c>
      <c r="BD33" s="166" t="s">
        <v>69</v>
      </c>
      <c r="BE33" s="167" t="s">
        <v>70</v>
      </c>
      <c r="BF33" s="167" t="s">
        <v>70</v>
      </c>
      <c r="BG33" s="167" t="s">
        <v>70</v>
      </c>
      <c r="BH33" s="167" t="s">
        <v>70</v>
      </c>
      <c r="BI33" s="167" t="s">
        <v>70</v>
      </c>
      <c r="BJ33" s="166" t="s">
        <v>69</v>
      </c>
      <c r="BK33" s="166" t="s">
        <v>69</v>
      </c>
      <c r="BL33" s="166" t="s">
        <v>69</v>
      </c>
      <c r="BM33" s="167" t="s">
        <v>70</v>
      </c>
      <c r="BN33" s="167" t="s">
        <v>70</v>
      </c>
      <c r="BO33" s="167" t="s">
        <v>70</v>
      </c>
      <c r="BP33" s="167" t="s">
        <v>70</v>
      </c>
      <c r="BQ33" s="151">
        <v>0</v>
      </c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</row>
    <row r="34" spans="1:136" s="151" customFormat="1" ht="19.5" customHeight="1" x14ac:dyDescent="0.2">
      <c r="A34" s="117">
        <v>31</v>
      </c>
      <c r="B34" s="174" t="s">
        <v>143</v>
      </c>
      <c r="C34" s="144">
        <v>83119852</v>
      </c>
      <c r="D34" s="117" t="s">
        <v>849</v>
      </c>
      <c r="E34" s="146" t="s">
        <v>83</v>
      </c>
      <c r="F34" s="146" t="s">
        <v>208</v>
      </c>
      <c r="G34" s="162">
        <v>41019</v>
      </c>
      <c r="H34" s="162">
        <v>42214</v>
      </c>
      <c r="I34" s="162">
        <v>46084</v>
      </c>
      <c r="J34" s="162">
        <f t="shared" si="2"/>
        <v>46815</v>
      </c>
      <c r="K34" s="111">
        <v>40913</v>
      </c>
      <c r="L34" s="111">
        <v>46083</v>
      </c>
      <c r="M34" s="163">
        <f t="shared" si="3"/>
        <v>46814</v>
      </c>
      <c r="N34" s="111">
        <v>40927</v>
      </c>
      <c r="O34" s="163">
        <v>46273</v>
      </c>
      <c r="P34" s="163">
        <v>40929</v>
      </c>
      <c r="Q34" s="94">
        <v>42396</v>
      </c>
      <c r="R34" s="165" t="s">
        <v>69</v>
      </c>
      <c r="S34" s="165" t="s">
        <v>69</v>
      </c>
      <c r="T34" s="165" t="s">
        <v>69</v>
      </c>
      <c r="U34" s="165" t="s">
        <v>69</v>
      </c>
      <c r="V34" s="165" t="s">
        <v>69</v>
      </c>
      <c r="W34" s="165" t="s">
        <v>69</v>
      </c>
      <c r="X34" s="165" t="s">
        <v>69</v>
      </c>
      <c r="Y34" s="165" t="s">
        <v>69</v>
      </c>
      <c r="Z34" s="165" t="s">
        <v>69</v>
      </c>
      <c r="AA34" s="165" t="s">
        <v>69</v>
      </c>
      <c r="AB34" s="165" t="s">
        <v>69</v>
      </c>
      <c r="AC34" s="165" t="s">
        <v>69</v>
      </c>
      <c r="AD34" s="167" t="s">
        <v>70</v>
      </c>
      <c r="AE34" s="167" t="s">
        <v>70</v>
      </c>
      <c r="AF34" s="112" t="s">
        <v>69</v>
      </c>
      <c r="AG34" s="167" t="s">
        <v>70</v>
      </c>
      <c r="AH34" s="167" t="s">
        <v>70</v>
      </c>
      <c r="AI34" s="167" t="s">
        <v>70</v>
      </c>
      <c r="AJ34" s="167" t="s">
        <v>70</v>
      </c>
      <c r="AK34" s="167" t="s">
        <v>70</v>
      </c>
      <c r="AL34" s="166" t="s">
        <v>69</v>
      </c>
      <c r="AM34" s="166"/>
      <c r="AN34" s="168" t="s">
        <v>69</v>
      </c>
      <c r="AO34" s="168" t="s">
        <v>69</v>
      </c>
      <c r="AP34" s="166" t="s">
        <v>69</v>
      </c>
      <c r="AQ34" s="166" t="s">
        <v>69</v>
      </c>
      <c r="AR34" s="166" t="s">
        <v>69</v>
      </c>
      <c r="AS34" s="166" t="s">
        <v>69</v>
      </c>
      <c r="AT34" s="166" t="s">
        <v>69</v>
      </c>
      <c r="AU34" s="166" t="s">
        <v>69</v>
      </c>
      <c r="AV34" s="166" t="s">
        <v>69</v>
      </c>
      <c r="AW34" s="167" t="s">
        <v>70</v>
      </c>
      <c r="AX34" s="167" t="s">
        <v>70</v>
      </c>
      <c r="AY34" s="167" t="s">
        <v>70</v>
      </c>
      <c r="AZ34" s="168" t="s">
        <v>69</v>
      </c>
      <c r="BA34" s="168" t="s">
        <v>69</v>
      </c>
      <c r="BB34" s="167" t="s">
        <v>70</v>
      </c>
      <c r="BC34" s="167" t="s">
        <v>70</v>
      </c>
      <c r="BD34" s="166" t="s">
        <v>69</v>
      </c>
      <c r="BE34" s="167" t="s">
        <v>70</v>
      </c>
      <c r="BF34" s="167" t="s">
        <v>70</v>
      </c>
      <c r="BG34" s="167" t="s">
        <v>70</v>
      </c>
      <c r="BH34" s="167" t="s">
        <v>70</v>
      </c>
      <c r="BI34" s="167" t="s">
        <v>70</v>
      </c>
      <c r="BJ34" s="166" t="s">
        <v>69</v>
      </c>
      <c r="BK34" s="166" t="s">
        <v>69</v>
      </c>
      <c r="BL34" s="166" t="s">
        <v>69</v>
      </c>
      <c r="BM34" s="167" t="s">
        <v>70</v>
      </c>
      <c r="BN34" s="167" t="s">
        <v>70</v>
      </c>
      <c r="BO34" s="167" t="s">
        <v>70</v>
      </c>
      <c r="BP34" s="167" t="s">
        <v>70</v>
      </c>
      <c r="BQ34" s="151">
        <v>0</v>
      </c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</row>
    <row r="35" spans="1:136" s="151" customFormat="1" ht="19.5" customHeight="1" x14ac:dyDescent="0.2">
      <c r="A35" s="117">
        <v>32</v>
      </c>
      <c r="B35" s="184" t="s">
        <v>118</v>
      </c>
      <c r="C35" s="184">
        <v>145340</v>
      </c>
      <c r="D35" s="171" t="s">
        <v>119</v>
      </c>
      <c r="E35" s="146" t="s">
        <v>68</v>
      </c>
      <c r="F35" s="146" t="s">
        <v>208</v>
      </c>
      <c r="G35" s="162">
        <v>42586</v>
      </c>
      <c r="H35" s="162">
        <v>42653</v>
      </c>
      <c r="I35" s="162">
        <v>46056</v>
      </c>
      <c r="J35" s="162">
        <f t="shared" si="2"/>
        <v>46786</v>
      </c>
      <c r="K35" s="111">
        <v>42079</v>
      </c>
      <c r="L35" s="162">
        <v>45722</v>
      </c>
      <c r="M35" s="163">
        <f t="shared" si="3"/>
        <v>46452</v>
      </c>
      <c r="N35" s="111">
        <v>42584</v>
      </c>
      <c r="O35" s="111">
        <v>42191</v>
      </c>
      <c r="P35" s="111">
        <v>42191</v>
      </c>
      <c r="Q35" s="165" t="s">
        <v>69</v>
      </c>
      <c r="R35" s="165" t="s">
        <v>69</v>
      </c>
      <c r="S35" s="165" t="s">
        <v>69</v>
      </c>
      <c r="T35" s="94">
        <v>42843</v>
      </c>
      <c r="U35" s="165" t="s">
        <v>69</v>
      </c>
      <c r="V35" s="165" t="s">
        <v>69</v>
      </c>
      <c r="W35" s="165" t="s">
        <v>69</v>
      </c>
      <c r="X35" s="165" t="s">
        <v>69</v>
      </c>
      <c r="Y35" s="165" t="s">
        <v>69</v>
      </c>
      <c r="Z35" s="165" t="s">
        <v>69</v>
      </c>
      <c r="AA35" s="165" t="s">
        <v>69</v>
      </c>
      <c r="AB35" s="167" t="s">
        <v>70</v>
      </c>
      <c r="AC35" s="167" t="s">
        <v>70</v>
      </c>
      <c r="AD35" s="165" t="s">
        <v>69</v>
      </c>
      <c r="AE35" s="165" t="s">
        <v>69</v>
      </c>
      <c r="AF35" s="112">
        <v>46301</v>
      </c>
      <c r="AG35" s="167" t="s">
        <v>70</v>
      </c>
      <c r="AH35" s="166" t="s">
        <v>69</v>
      </c>
      <c r="AI35" s="167" t="s">
        <v>70</v>
      </c>
      <c r="AJ35" s="167" t="s">
        <v>70</v>
      </c>
      <c r="AK35" s="166" t="s">
        <v>69</v>
      </c>
      <c r="AL35" s="166" t="s">
        <v>69</v>
      </c>
      <c r="AM35" s="166"/>
      <c r="AN35" s="167" t="s">
        <v>70</v>
      </c>
      <c r="AO35" s="167" t="s">
        <v>70</v>
      </c>
      <c r="AP35" s="166" t="s">
        <v>69</v>
      </c>
      <c r="AQ35" s="166" t="s">
        <v>69</v>
      </c>
      <c r="AR35" s="166" t="s">
        <v>69</v>
      </c>
      <c r="AS35" s="94">
        <v>45891</v>
      </c>
      <c r="AT35" s="166" t="s">
        <v>69</v>
      </c>
      <c r="AU35" s="166" t="s">
        <v>69</v>
      </c>
      <c r="AV35" s="166" t="s">
        <v>69</v>
      </c>
      <c r="AW35" s="167" t="s">
        <v>70</v>
      </c>
      <c r="AX35" s="94">
        <v>42499</v>
      </c>
      <c r="AY35" s="94">
        <v>42521</v>
      </c>
      <c r="AZ35" s="166" t="s">
        <v>69</v>
      </c>
      <c r="BA35" s="166" t="s">
        <v>69</v>
      </c>
      <c r="BB35" s="167" t="s">
        <v>70</v>
      </c>
      <c r="BC35" s="167" t="s">
        <v>70</v>
      </c>
      <c r="BD35" s="167" t="s">
        <v>70</v>
      </c>
      <c r="BE35" s="167" t="s">
        <v>70</v>
      </c>
      <c r="BF35" s="167" t="s">
        <v>70</v>
      </c>
      <c r="BG35" s="169" t="s">
        <v>70</v>
      </c>
      <c r="BH35" s="169" t="s">
        <v>70</v>
      </c>
      <c r="BI35" s="169" t="s">
        <v>70</v>
      </c>
      <c r="BJ35" s="167" t="s">
        <v>70</v>
      </c>
      <c r="BK35" s="167" t="s">
        <v>70</v>
      </c>
      <c r="BL35" s="166" t="s">
        <v>69</v>
      </c>
      <c r="BM35" s="167" t="s">
        <v>70</v>
      </c>
      <c r="BN35" s="166" t="s">
        <v>69</v>
      </c>
      <c r="BO35" s="166" t="s">
        <v>69</v>
      </c>
      <c r="BP35" s="167" t="s">
        <v>70</v>
      </c>
      <c r="BQ35" s="151">
        <v>0</v>
      </c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</row>
    <row r="36" spans="1:136" s="151" customFormat="1" ht="19.5" customHeight="1" x14ac:dyDescent="0.2">
      <c r="A36" s="117">
        <v>33</v>
      </c>
      <c r="B36" s="146" t="s">
        <v>66</v>
      </c>
      <c r="C36" s="146">
        <v>53030972</v>
      </c>
      <c r="D36" s="146" t="s">
        <v>67</v>
      </c>
      <c r="E36" s="146" t="s">
        <v>68</v>
      </c>
      <c r="F36" s="146" t="s">
        <v>208</v>
      </c>
      <c r="G36" s="162">
        <v>40770</v>
      </c>
      <c r="H36" s="162">
        <v>40543</v>
      </c>
      <c r="I36" s="111">
        <v>46175</v>
      </c>
      <c r="J36" s="162">
        <f t="shared" si="2"/>
        <v>46906</v>
      </c>
      <c r="K36" s="111">
        <v>40774</v>
      </c>
      <c r="L36" s="111">
        <v>46268</v>
      </c>
      <c r="M36" s="163">
        <f t="shared" si="3"/>
        <v>46999</v>
      </c>
      <c r="N36" s="111">
        <v>40735</v>
      </c>
      <c r="O36" s="111">
        <v>40580</v>
      </c>
      <c r="P36" s="111">
        <v>40580</v>
      </c>
      <c r="Q36" s="165" t="s">
        <v>69</v>
      </c>
      <c r="R36" s="165" t="s">
        <v>69</v>
      </c>
      <c r="S36" s="165" t="s">
        <v>69</v>
      </c>
      <c r="T36" s="165" t="s">
        <v>69</v>
      </c>
      <c r="U36" s="165" t="s">
        <v>69</v>
      </c>
      <c r="V36" s="111">
        <v>41579</v>
      </c>
      <c r="W36" s="165" t="s">
        <v>69</v>
      </c>
      <c r="X36" s="111">
        <v>41890</v>
      </c>
      <c r="Y36" s="165" t="s">
        <v>69</v>
      </c>
      <c r="Z36" s="165" t="s">
        <v>69</v>
      </c>
      <c r="AA36" s="165" t="s">
        <v>69</v>
      </c>
      <c r="AB36" s="167" t="s">
        <v>70</v>
      </c>
      <c r="AC36" s="167" t="s">
        <v>70</v>
      </c>
      <c r="AD36" s="111">
        <v>40316</v>
      </c>
      <c r="AE36" s="111">
        <v>39326</v>
      </c>
      <c r="AF36" s="112" t="s">
        <v>69</v>
      </c>
      <c r="AG36" s="111">
        <v>40756</v>
      </c>
      <c r="AH36" s="111">
        <v>41269</v>
      </c>
      <c r="AI36" s="167" t="s">
        <v>70</v>
      </c>
      <c r="AJ36" s="167" t="s">
        <v>70</v>
      </c>
      <c r="AK36" s="167" t="s">
        <v>70</v>
      </c>
      <c r="AL36" s="166" t="s">
        <v>69</v>
      </c>
      <c r="AM36" s="166"/>
      <c r="AN36" s="168" t="s">
        <v>69</v>
      </c>
      <c r="AO36" s="94">
        <v>40960</v>
      </c>
      <c r="AP36" s="166" t="s">
        <v>69</v>
      </c>
      <c r="AQ36" s="166" t="s">
        <v>69</v>
      </c>
      <c r="AR36" s="166" t="s">
        <v>69</v>
      </c>
      <c r="AS36" s="166" t="s">
        <v>69</v>
      </c>
      <c r="AT36" s="166" t="s">
        <v>69</v>
      </c>
      <c r="AU36" s="166" t="s">
        <v>69</v>
      </c>
      <c r="AV36" s="173"/>
      <c r="AW36" s="167" t="s">
        <v>71</v>
      </c>
      <c r="AX36" s="167" t="s">
        <v>71</v>
      </c>
      <c r="AY36" s="94">
        <v>41639</v>
      </c>
      <c r="AZ36" s="166" t="s">
        <v>69</v>
      </c>
      <c r="BA36" s="166" t="s">
        <v>69</v>
      </c>
      <c r="BB36" s="167" t="s">
        <v>70</v>
      </c>
      <c r="BC36" s="167" t="s">
        <v>70</v>
      </c>
      <c r="BD36" s="167" t="s">
        <v>71</v>
      </c>
      <c r="BE36" s="167" t="s">
        <v>71</v>
      </c>
      <c r="BF36" s="167" t="s">
        <v>71</v>
      </c>
      <c r="BG36" s="169" t="s">
        <v>71</v>
      </c>
      <c r="BH36" s="169" t="s">
        <v>71</v>
      </c>
      <c r="BI36" s="169" t="s">
        <v>71</v>
      </c>
      <c r="BJ36" s="167" t="s">
        <v>70</v>
      </c>
      <c r="BK36" s="167" t="s">
        <v>70</v>
      </c>
      <c r="BL36" s="94">
        <v>39589</v>
      </c>
      <c r="BM36" s="167" t="s">
        <v>70</v>
      </c>
      <c r="BN36" s="94">
        <v>38553</v>
      </c>
      <c r="BO36" s="94">
        <v>39326</v>
      </c>
      <c r="BP36" s="94">
        <v>41725</v>
      </c>
      <c r="BQ36" s="151">
        <v>0</v>
      </c>
    </row>
    <row r="37" spans="1:136" s="151" customFormat="1" ht="19.5" customHeight="1" x14ac:dyDescent="0.2">
      <c r="A37" s="117">
        <v>34</v>
      </c>
      <c r="B37" s="146" t="s">
        <v>74</v>
      </c>
      <c r="C37" s="146">
        <v>53031290</v>
      </c>
      <c r="D37" s="146" t="s">
        <v>67</v>
      </c>
      <c r="E37" s="146" t="s">
        <v>68</v>
      </c>
      <c r="F37" s="146" t="s">
        <v>208</v>
      </c>
      <c r="G37" s="162">
        <v>40954</v>
      </c>
      <c r="H37" s="162">
        <v>40906</v>
      </c>
      <c r="I37" s="111">
        <v>46175</v>
      </c>
      <c r="J37" s="162">
        <f t="shared" si="2"/>
        <v>46906</v>
      </c>
      <c r="K37" s="111">
        <v>40840</v>
      </c>
      <c r="L37" s="111">
        <v>46058</v>
      </c>
      <c r="M37" s="163">
        <f t="shared" si="3"/>
        <v>46788</v>
      </c>
      <c r="N37" s="111">
        <v>40896</v>
      </c>
      <c r="O37" s="111">
        <v>40898</v>
      </c>
      <c r="P37" s="111">
        <v>40898</v>
      </c>
      <c r="Q37" s="111">
        <v>42499</v>
      </c>
      <c r="R37" s="165" t="s">
        <v>69</v>
      </c>
      <c r="S37" s="165" t="s">
        <v>69</v>
      </c>
      <c r="T37" s="165" t="s">
        <v>69</v>
      </c>
      <c r="U37" s="165" t="s">
        <v>69</v>
      </c>
      <c r="V37" s="165" t="s">
        <v>69</v>
      </c>
      <c r="W37" s="165" t="s">
        <v>69</v>
      </c>
      <c r="X37" s="111">
        <v>41890</v>
      </c>
      <c r="Y37" s="111">
        <v>42037</v>
      </c>
      <c r="Z37" s="165" t="s">
        <v>69</v>
      </c>
      <c r="AA37" s="165" t="s">
        <v>69</v>
      </c>
      <c r="AB37" s="167" t="s">
        <v>70</v>
      </c>
      <c r="AC37" s="167" t="s">
        <v>70</v>
      </c>
      <c r="AD37" s="111">
        <v>40316</v>
      </c>
      <c r="AE37" s="111">
        <v>39326</v>
      </c>
      <c r="AF37" s="112" t="s">
        <v>69</v>
      </c>
      <c r="AG37" s="167" t="s">
        <v>70</v>
      </c>
      <c r="AH37" s="167" t="s">
        <v>70</v>
      </c>
      <c r="AI37" s="167" t="s">
        <v>70</v>
      </c>
      <c r="AJ37" s="167" t="s">
        <v>70</v>
      </c>
      <c r="AK37" s="167" t="s">
        <v>70</v>
      </c>
      <c r="AL37" s="166" t="s">
        <v>69</v>
      </c>
      <c r="AM37" s="166"/>
      <c r="AN37" s="167" t="s">
        <v>70</v>
      </c>
      <c r="AO37" s="167" t="s">
        <v>70</v>
      </c>
      <c r="AP37" s="166" t="s">
        <v>69</v>
      </c>
      <c r="AQ37" s="166" t="s">
        <v>69</v>
      </c>
      <c r="AR37" s="166" t="s">
        <v>69</v>
      </c>
      <c r="AS37" s="166" t="s">
        <v>69</v>
      </c>
      <c r="AT37" s="94">
        <v>43564</v>
      </c>
      <c r="AU37" s="166" t="s">
        <v>69</v>
      </c>
      <c r="AV37" s="166" t="s">
        <v>69</v>
      </c>
      <c r="AW37" s="167" t="s">
        <v>70</v>
      </c>
      <c r="AX37" s="167" t="s">
        <v>70</v>
      </c>
      <c r="AY37" s="167" t="s">
        <v>70</v>
      </c>
      <c r="AZ37" s="166" t="s">
        <v>69</v>
      </c>
      <c r="BA37" s="166" t="s">
        <v>69</v>
      </c>
      <c r="BB37" s="167" t="s">
        <v>70</v>
      </c>
      <c r="BC37" s="167" t="s">
        <v>70</v>
      </c>
      <c r="BD37" s="167" t="s">
        <v>70</v>
      </c>
      <c r="BE37" s="167" t="s">
        <v>70</v>
      </c>
      <c r="BF37" s="167" t="s">
        <v>70</v>
      </c>
      <c r="BG37" s="169" t="s">
        <v>70</v>
      </c>
      <c r="BH37" s="169" t="s">
        <v>70</v>
      </c>
      <c r="BI37" s="169" t="s">
        <v>70</v>
      </c>
      <c r="BJ37" s="167" t="s">
        <v>70</v>
      </c>
      <c r="BK37" s="167" t="s">
        <v>70</v>
      </c>
      <c r="BL37" s="94">
        <v>39589</v>
      </c>
      <c r="BM37" s="167" t="s">
        <v>70</v>
      </c>
      <c r="BN37" s="94">
        <v>38553</v>
      </c>
      <c r="BO37" s="94">
        <v>39326</v>
      </c>
      <c r="BP37" s="94">
        <v>41750</v>
      </c>
      <c r="BQ37" s="151">
        <v>0</v>
      </c>
    </row>
    <row r="38" spans="1:136" s="151" customFormat="1" ht="19.5" customHeight="1" x14ac:dyDescent="0.2">
      <c r="A38" s="117">
        <v>35</v>
      </c>
      <c r="B38" s="117" t="s">
        <v>106</v>
      </c>
      <c r="C38" s="117">
        <v>53041688</v>
      </c>
      <c r="D38" s="146" t="s">
        <v>67</v>
      </c>
      <c r="E38" s="146" t="s">
        <v>68</v>
      </c>
      <c r="F38" s="146" t="s">
        <v>208</v>
      </c>
      <c r="G38" s="162">
        <v>40959</v>
      </c>
      <c r="H38" s="162">
        <v>40956</v>
      </c>
      <c r="I38" s="162">
        <v>46171</v>
      </c>
      <c r="J38" s="162">
        <f t="shared" si="2"/>
        <v>46902</v>
      </c>
      <c r="K38" s="162">
        <v>41625</v>
      </c>
      <c r="L38" s="111">
        <v>46058</v>
      </c>
      <c r="M38" s="163">
        <f t="shared" si="3"/>
        <v>46788</v>
      </c>
      <c r="N38" s="162">
        <v>40893</v>
      </c>
      <c r="O38" s="162">
        <v>41259</v>
      </c>
      <c r="P38" s="162">
        <v>40893</v>
      </c>
      <c r="Q38" s="165" t="s">
        <v>69</v>
      </c>
      <c r="R38" s="165" t="s">
        <v>69</v>
      </c>
      <c r="S38" s="165" t="s">
        <v>69</v>
      </c>
      <c r="T38" s="165" t="s">
        <v>69</v>
      </c>
      <c r="U38" s="165" t="s">
        <v>69</v>
      </c>
      <c r="V38" s="165" t="s">
        <v>69</v>
      </c>
      <c r="W38" s="165" t="s">
        <v>69</v>
      </c>
      <c r="X38" s="165" t="s">
        <v>69</v>
      </c>
      <c r="Y38" s="94">
        <v>42034</v>
      </c>
      <c r="Z38" s="165" t="s">
        <v>69</v>
      </c>
      <c r="AA38" s="165" t="s">
        <v>69</v>
      </c>
      <c r="AB38" s="167" t="s">
        <v>70</v>
      </c>
      <c r="AC38" s="167" t="s">
        <v>70</v>
      </c>
      <c r="AD38" s="111">
        <v>40316</v>
      </c>
      <c r="AE38" s="111">
        <v>39326</v>
      </c>
      <c r="AF38" s="112" t="s">
        <v>69</v>
      </c>
      <c r="AG38" s="167" t="s">
        <v>70</v>
      </c>
      <c r="AH38" s="167" t="s">
        <v>70</v>
      </c>
      <c r="AI38" s="167" t="s">
        <v>70</v>
      </c>
      <c r="AJ38" s="167" t="s">
        <v>70</v>
      </c>
      <c r="AK38" s="167" t="s">
        <v>70</v>
      </c>
      <c r="AL38" s="166" t="s">
        <v>69</v>
      </c>
      <c r="AM38" s="166"/>
      <c r="AN38" s="167" t="s">
        <v>70</v>
      </c>
      <c r="AO38" s="167" t="s">
        <v>70</v>
      </c>
      <c r="AP38" s="166" t="s">
        <v>69</v>
      </c>
      <c r="AQ38" s="166" t="s">
        <v>69</v>
      </c>
      <c r="AR38" s="166" t="s">
        <v>69</v>
      </c>
      <c r="AS38" s="166" t="s">
        <v>69</v>
      </c>
      <c r="AT38" s="166" t="s">
        <v>69</v>
      </c>
      <c r="AU38" s="166" t="s">
        <v>69</v>
      </c>
      <c r="AV38" s="166" t="s">
        <v>69</v>
      </c>
      <c r="AW38" s="167" t="s">
        <v>70</v>
      </c>
      <c r="AX38" s="167" t="s">
        <v>70</v>
      </c>
      <c r="AY38" s="167" t="s">
        <v>70</v>
      </c>
      <c r="AZ38" s="166" t="s">
        <v>69</v>
      </c>
      <c r="BA38" s="166" t="s">
        <v>69</v>
      </c>
      <c r="BB38" s="167" t="s">
        <v>70</v>
      </c>
      <c r="BC38" s="167" t="s">
        <v>70</v>
      </c>
      <c r="BD38" s="167" t="s">
        <v>70</v>
      </c>
      <c r="BE38" s="167" t="s">
        <v>70</v>
      </c>
      <c r="BF38" s="167" t="s">
        <v>70</v>
      </c>
      <c r="BG38" s="169" t="s">
        <v>70</v>
      </c>
      <c r="BH38" s="169" t="s">
        <v>70</v>
      </c>
      <c r="BI38" s="169" t="s">
        <v>70</v>
      </c>
      <c r="BJ38" s="167" t="s">
        <v>70</v>
      </c>
      <c r="BK38" s="167" t="s">
        <v>70</v>
      </c>
      <c r="BL38" s="94">
        <v>39589</v>
      </c>
      <c r="BM38" s="167" t="s">
        <v>70</v>
      </c>
      <c r="BN38" s="166" t="s">
        <v>69</v>
      </c>
      <c r="BO38" s="94">
        <v>39326</v>
      </c>
      <c r="BP38" s="167" t="s">
        <v>70</v>
      </c>
      <c r="BQ38" s="151">
        <v>0</v>
      </c>
    </row>
    <row r="39" spans="1:136" s="151" customFormat="1" ht="19.5" customHeight="1" x14ac:dyDescent="0.2">
      <c r="A39" s="117">
        <v>36</v>
      </c>
      <c r="B39" s="117" t="s">
        <v>107</v>
      </c>
      <c r="C39" s="117">
        <v>83123903</v>
      </c>
      <c r="D39" s="146" t="s">
        <v>67</v>
      </c>
      <c r="E39" s="146" t="s">
        <v>68</v>
      </c>
      <c r="F39" s="146" t="s">
        <v>208</v>
      </c>
      <c r="G39" s="162">
        <v>42437</v>
      </c>
      <c r="H39" s="162">
        <v>41397</v>
      </c>
      <c r="I39" s="162">
        <v>46188</v>
      </c>
      <c r="J39" s="162">
        <f t="shared" si="2"/>
        <v>46919</v>
      </c>
      <c r="K39" s="111">
        <v>42500</v>
      </c>
      <c r="L39" s="112">
        <v>46191</v>
      </c>
      <c r="M39" s="163">
        <f t="shared" si="3"/>
        <v>46922</v>
      </c>
      <c r="N39" s="111">
        <v>43545</v>
      </c>
      <c r="O39" s="111">
        <v>43544</v>
      </c>
      <c r="P39" s="111">
        <v>43553</v>
      </c>
      <c r="Q39" s="165" t="s">
        <v>69</v>
      </c>
      <c r="R39" s="165" t="s">
        <v>69</v>
      </c>
      <c r="S39" s="165" t="s">
        <v>69</v>
      </c>
      <c r="T39" s="165" t="s">
        <v>69</v>
      </c>
      <c r="U39" s="165" t="s">
        <v>69</v>
      </c>
      <c r="V39" s="165" t="s">
        <v>69</v>
      </c>
      <c r="W39" s="165" t="s">
        <v>69</v>
      </c>
      <c r="X39" s="94">
        <v>41936</v>
      </c>
      <c r="Y39" s="94">
        <v>42037</v>
      </c>
      <c r="Z39" s="165" t="s">
        <v>69</v>
      </c>
      <c r="AA39" s="165" t="s">
        <v>69</v>
      </c>
      <c r="AB39" s="167" t="s">
        <v>70</v>
      </c>
      <c r="AC39" s="167" t="s">
        <v>70</v>
      </c>
      <c r="AD39" s="165" t="s">
        <v>69</v>
      </c>
      <c r="AE39" s="165" t="s">
        <v>69</v>
      </c>
      <c r="AF39" s="112" t="s">
        <v>69</v>
      </c>
      <c r="AG39" s="167" t="s">
        <v>70</v>
      </c>
      <c r="AH39" s="167" t="s">
        <v>70</v>
      </c>
      <c r="AI39" s="167" t="s">
        <v>70</v>
      </c>
      <c r="AJ39" s="167" t="s">
        <v>70</v>
      </c>
      <c r="AK39" s="167" t="s">
        <v>70</v>
      </c>
      <c r="AL39" s="166" t="s">
        <v>69</v>
      </c>
      <c r="AM39" s="166"/>
      <c r="AN39" s="167" t="s">
        <v>70</v>
      </c>
      <c r="AO39" s="167" t="s">
        <v>70</v>
      </c>
      <c r="AP39" s="166" t="s">
        <v>69</v>
      </c>
      <c r="AQ39" s="166" t="s">
        <v>69</v>
      </c>
      <c r="AR39" s="166" t="s">
        <v>69</v>
      </c>
      <c r="AS39" s="168">
        <v>46279</v>
      </c>
      <c r="AT39" s="166" t="s">
        <v>69</v>
      </c>
      <c r="AU39" s="166" t="s">
        <v>69</v>
      </c>
      <c r="AV39" s="166" t="s">
        <v>69</v>
      </c>
      <c r="AW39" s="167" t="s">
        <v>70</v>
      </c>
      <c r="AX39" s="167" t="s">
        <v>70</v>
      </c>
      <c r="AY39" s="167" t="s">
        <v>70</v>
      </c>
      <c r="AZ39" s="166" t="s">
        <v>69</v>
      </c>
      <c r="BA39" s="166" t="s">
        <v>69</v>
      </c>
      <c r="BB39" s="167" t="s">
        <v>70</v>
      </c>
      <c r="BC39" s="167" t="s">
        <v>70</v>
      </c>
      <c r="BD39" s="167" t="s">
        <v>70</v>
      </c>
      <c r="BE39" s="167" t="s">
        <v>70</v>
      </c>
      <c r="BF39" s="167" t="s">
        <v>70</v>
      </c>
      <c r="BG39" s="169" t="s">
        <v>70</v>
      </c>
      <c r="BH39" s="169" t="s">
        <v>70</v>
      </c>
      <c r="BI39" s="169" t="s">
        <v>70</v>
      </c>
      <c r="BJ39" s="167" t="s">
        <v>70</v>
      </c>
      <c r="BK39" s="167" t="s">
        <v>70</v>
      </c>
      <c r="BL39" s="167" t="s">
        <v>70</v>
      </c>
      <c r="BM39" s="167" t="s">
        <v>70</v>
      </c>
      <c r="BN39" s="166" t="s">
        <v>69</v>
      </c>
      <c r="BO39" s="166" t="s">
        <v>69</v>
      </c>
      <c r="BP39" s="167" t="s">
        <v>70</v>
      </c>
      <c r="BQ39" s="151">
        <v>0</v>
      </c>
    </row>
    <row r="40" spans="1:136" s="151" customFormat="1" ht="19.5" customHeight="1" x14ac:dyDescent="0.2">
      <c r="A40" s="117">
        <v>37</v>
      </c>
      <c r="B40" s="117" t="s">
        <v>108</v>
      </c>
      <c r="C40" s="117">
        <v>83123901</v>
      </c>
      <c r="D40" s="146" t="s">
        <v>67</v>
      </c>
      <c r="E40" s="146" t="s">
        <v>68</v>
      </c>
      <c r="F40" s="146" t="s">
        <v>208</v>
      </c>
      <c r="G40" s="162">
        <v>42657</v>
      </c>
      <c r="H40" s="162">
        <v>43321</v>
      </c>
      <c r="I40" s="162">
        <v>46132</v>
      </c>
      <c r="J40" s="162">
        <f t="shared" si="2"/>
        <v>46863</v>
      </c>
      <c r="K40" s="111">
        <v>41409</v>
      </c>
      <c r="L40" s="111">
        <v>46058</v>
      </c>
      <c r="M40" s="163">
        <f t="shared" si="3"/>
        <v>46788</v>
      </c>
      <c r="N40" s="111">
        <v>42423</v>
      </c>
      <c r="O40" s="111">
        <v>42425</v>
      </c>
      <c r="P40" s="111">
        <v>42424</v>
      </c>
      <c r="Q40" s="165" t="s">
        <v>69</v>
      </c>
      <c r="R40" s="165" t="s">
        <v>69</v>
      </c>
      <c r="S40" s="165" t="s">
        <v>69</v>
      </c>
      <c r="T40" s="165" t="s">
        <v>69</v>
      </c>
      <c r="U40" s="165" t="s">
        <v>69</v>
      </c>
      <c r="V40" s="165" t="s">
        <v>69</v>
      </c>
      <c r="W40" s="165" t="s">
        <v>69</v>
      </c>
      <c r="X40" s="165" t="s">
        <v>69</v>
      </c>
      <c r="Y40" s="94">
        <v>42359</v>
      </c>
      <c r="Z40" s="165" t="s">
        <v>69</v>
      </c>
      <c r="AA40" s="165" t="s">
        <v>69</v>
      </c>
      <c r="AB40" s="167" t="s">
        <v>70</v>
      </c>
      <c r="AC40" s="167" t="s">
        <v>70</v>
      </c>
      <c r="AD40" s="165" t="s">
        <v>69</v>
      </c>
      <c r="AE40" s="165" t="s">
        <v>69</v>
      </c>
      <c r="AF40" s="112" t="s">
        <v>69</v>
      </c>
      <c r="AG40" s="167" t="s">
        <v>70</v>
      </c>
      <c r="AH40" s="167" t="s">
        <v>70</v>
      </c>
      <c r="AI40" s="167" t="s">
        <v>70</v>
      </c>
      <c r="AJ40" s="167" t="s">
        <v>70</v>
      </c>
      <c r="AK40" s="167" t="s">
        <v>70</v>
      </c>
      <c r="AL40" s="166" t="s">
        <v>69</v>
      </c>
      <c r="AM40" s="166"/>
      <c r="AN40" s="167" t="s">
        <v>70</v>
      </c>
      <c r="AO40" s="167" t="s">
        <v>70</v>
      </c>
      <c r="AP40" s="166" t="s">
        <v>69</v>
      </c>
      <c r="AQ40" s="166" t="s">
        <v>69</v>
      </c>
      <c r="AR40" s="166" t="s">
        <v>69</v>
      </c>
      <c r="AS40" s="166" t="s">
        <v>69</v>
      </c>
      <c r="AT40" s="166" t="s">
        <v>69</v>
      </c>
      <c r="AU40" s="166" t="s">
        <v>69</v>
      </c>
      <c r="AV40" s="166" t="s">
        <v>69</v>
      </c>
      <c r="AW40" s="167" t="s">
        <v>70</v>
      </c>
      <c r="AX40" s="167" t="s">
        <v>70</v>
      </c>
      <c r="AY40" s="167" t="s">
        <v>70</v>
      </c>
      <c r="AZ40" s="166" t="s">
        <v>69</v>
      </c>
      <c r="BA40" s="166" t="s">
        <v>69</v>
      </c>
      <c r="BB40" s="167" t="s">
        <v>70</v>
      </c>
      <c r="BC40" s="167" t="s">
        <v>70</v>
      </c>
      <c r="BD40" s="167" t="s">
        <v>70</v>
      </c>
      <c r="BE40" s="167" t="s">
        <v>70</v>
      </c>
      <c r="BF40" s="167" t="s">
        <v>70</v>
      </c>
      <c r="BG40" s="169" t="s">
        <v>70</v>
      </c>
      <c r="BH40" s="169" t="s">
        <v>70</v>
      </c>
      <c r="BI40" s="169" t="s">
        <v>70</v>
      </c>
      <c r="BJ40" s="167" t="s">
        <v>70</v>
      </c>
      <c r="BK40" s="167" t="s">
        <v>70</v>
      </c>
      <c r="BL40" s="167" t="s">
        <v>70</v>
      </c>
      <c r="BM40" s="167" t="s">
        <v>70</v>
      </c>
      <c r="BN40" s="166" t="s">
        <v>69</v>
      </c>
      <c r="BO40" s="166" t="s">
        <v>69</v>
      </c>
      <c r="BP40" s="167" t="s">
        <v>70</v>
      </c>
      <c r="BQ40" s="151">
        <v>0</v>
      </c>
    </row>
    <row r="41" spans="1:136" s="151" customFormat="1" ht="19.5" customHeight="1" x14ac:dyDescent="0.2">
      <c r="A41" s="117">
        <v>38</v>
      </c>
      <c r="B41" s="117" t="s">
        <v>109</v>
      </c>
      <c r="C41" s="117">
        <v>131844</v>
      </c>
      <c r="D41" s="146" t="s">
        <v>67</v>
      </c>
      <c r="E41" s="146" t="s">
        <v>68</v>
      </c>
      <c r="F41" s="146" t="s">
        <v>208</v>
      </c>
      <c r="G41" s="162">
        <v>42114</v>
      </c>
      <c r="H41" s="162">
        <v>41519</v>
      </c>
      <c r="I41" s="162">
        <v>46107</v>
      </c>
      <c r="J41" s="162">
        <f t="shared" si="2"/>
        <v>46838</v>
      </c>
      <c r="K41" s="111">
        <v>42722</v>
      </c>
      <c r="L41" s="172">
        <v>46058</v>
      </c>
      <c r="M41" s="163">
        <f t="shared" si="3"/>
        <v>46788</v>
      </c>
      <c r="N41" s="111">
        <v>42416</v>
      </c>
      <c r="O41" s="111">
        <v>42417</v>
      </c>
      <c r="P41" s="111">
        <v>42418</v>
      </c>
      <c r="Q41" s="165" t="s">
        <v>69</v>
      </c>
      <c r="R41" s="165" t="s">
        <v>69</v>
      </c>
      <c r="S41" s="165" t="s">
        <v>69</v>
      </c>
      <c r="T41" s="165" t="s">
        <v>69</v>
      </c>
      <c r="U41" s="165" t="s">
        <v>69</v>
      </c>
      <c r="V41" s="165" t="s">
        <v>69</v>
      </c>
      <c r="W41" s="165" t="s">
        <v>69</v>
      </c>
      <c r="X41" s="94">
        <v>42646</v>
      </c>
      <c r="Y41" s="165" t="s">
        <v>69</v>
      </c>
      <c r="Z41" s="165" t="s">
        <v>69</v>
      </c>
      <c r="AA41" s="165" t="s">
        <v>69</v>
      </c>
      <c r="AB41" s="167" t="s">
        <v>70</v>
      </c>
      <c r="AC41" s="167" t="s">
        <v>70</v>
      </c>
      <c r="AD41" s="165" t="s">
        <v>69</v>
      </c>
      <c r="AE41" s="165" t="s">
        <v>69</v>
      </c>
      <c r="AF41" s="112" t="s">
        <v>69</v>
      </c>
      <c r="AG41" s="167" t="s">
        <v>70</v>
      </c>
      <c r="AH41" s="167" t="s">
        <v>70</v>
      </c>
      <c r="AI41" s="167" t="s">
        <v>70</v>
      </c>
      <c r="AJ41" s="167" t="s">
        <v>70</v>
      </c>
      <c r="AK41" s="167" t="s">
        <v>70</v>
      </c>
      <c r="AL41" s="166" t="s">
        <v>69</v>
      </c>
      <c r="AM41" s="166"/>
      <c r="AN41" s="167" t="s">
        <v>70</v>
      </c>
      <c r="AO41" s="167" t="s">
        <v>70</v>
      </c>
      <c r="AP41" s="166" t="s">
        <v>69</v>
      </c>
      <c r="AQ41" s="166" t="s">
        <v>69</v>
      </c>
      <c r="AR41" s="166" t="s">
        <v>69</v>
      </c>
      <c r="AS41" s="168">
        <v>46279</v>
      </c>
      <c r="AT41" s="166" t="s">
        <v>69</v>
      </c>
      <c r="AU41" s="166" t="s">
        <v>69</v>
      </c>
      <c r="AV41" s="166" t="s">
        <v>69</v>
      </c>
      <c r="AW41" s="167" t="s">
        <v>70</v>
      </c>
      <c r="AX41" s="167" t="s">
        <v>70</v>
      </c>
      <c r="AY41" s="167" t="s">
        <v>70</v>
      </c>
      <c r="AZ41" s="166" t="s">
        <v>69</v>
      </c>
      <c r="BA41" s="166" t="s">
        <v>69</v>
      </c>
      <c r="BB41" s="167" t="s">
        <v>70</v>
      </c>
      <c r="BC41" s="167" t="s">
        <v>70</v>
      </c>
      <c r="BD41" s="167" t="s">
        <v>70</v>
      </c>
      <c r="BE41" s="167" t="s">
        <v>70</v>
      </c>
      <c r="BF41" s="167" t="s">
        <v>70</v>
      </c>
      <c r="BG41" s="169" t="s">
        <v>70</v>
      </c>
      <c r="BH41" s="169" t="s">
        <v>70</v>
      </c>
      <c r="BI41" s="169" t="s">
        <v>70</v>
      </c>
      <c r="BJ41" s="167" t="s">
        <v>70</v>
      </c>
      <c r="BK41" s="167" t="s">
        <v>70</v>
      </c>
      <c r="BL41" s="167" t="s">
        <v>70</v>
      </c>
      <c r="BM41" s="167" t="s">
        <v>70</v>
      </c>
      <c r="BN41" s="166" t="s">
        <v>69</v>
      </c>
      <c r="BO41" s="166" t="s">
        <v>69</v>
      </c>
      <c r="BP41" s="167" t="s">
        <v>70</v>
      </c>
      <c r="BQ41" s="151">
        <v>0</v>
      </c>
    </row>
    <row r="42" spans="1:136" s="151" customFormat="1" ht="19.5" customHeight="1" x14ac:dyDescent="0.2">
      <c r="A42" s="117">
        <v>39</v>
      </c>
      <c r="B42" s="117" t="s">
        <v>110</v>
      </c>
      <c r="C42" s="117">
        <v>131857</v>
      </c>
      <c r="D42" s="146" t="s">
        <v>67</v>
      </c>
      <c r="E42" s="146" t="s">
        <v>68</v>
      </c>
      <c r="F42" s="146" t="s">
        <v>208</v>
      </c>
      <c r="G42" s="162">
        <v>42360</v>
      </c>
      <c r="H42" s="162">
        <v>41519</v>
      </c>
      <c r="I42" s="162">
        <v>46157</v>
      </c>
      <c r="J42" s="162">
        <f t="shared" si="2"/>
        <v>46888</v>
      </c>
      <c r="K42" s="111">
        <v>41715</v>
      </c>
      <c r="L42" s="111">
        <v>46071</v>
      </c>
      <c r="M42" s="163">
        <f t="shared" si="3"/>
        <v>46801</v>
      </c>
      <c r="N42" s="111">
        <v>43347</v>
      </c>
      <c r="O42" s="111">
        <v>43348</v>
      </c>
      <c r="P42" s="111">
        <v>43349</v>
      </c>
      <c r="Q42" s="165" t="s">
        <v>69</v>
      </c>
      <c r="R42" s="165" t="s">
        <v>69</v>
      </c>
      <c r="S42" s="165" t="s">
        <v>69</v>
      </c>
      <c r="T42" s="165" t="s">
        <v>69</v>
      </c>
      <c r="U42" s="165" t="s">
        <v>69</v>
      </c>
      <c r="V42" s="165" t="s">
        <v>69</v>
      </c>
      <c r="W42" s="165" t="s">
        <v>69</v>
      </c>
      <c r="X42" s="165" t="s">
        <v>69</v>
      </c>
      <c r="Y42" s="165" t="s">
        <v>69</v>
      </c>
      <c r="Z42" s="165" t="s">
        <v>69</v>
      </c>
      <c r="AA42" s="165" t="s">
        <v>69</v>
      </c>
      <c r="AB42" s="167" t="s">
        <v>70</v>
      </c>
      <c r="AC42" s="167" t="s">
        <v>70</v>
      </c>
      <c r="AD42" s="165" t="s">
        <v>69</v>
      </c>
      <c r="AE42" s="165" t="s">
        <v>69</v>
      </c>
      <c r="AF42" s="112" t="s">
        <v>69</v>
      </c>
      <c r="AG42" s="167" t="s">
        <v>70</v>
      </c>
      <c r="AH42" s="167" t="s">
        <v>70</v>
      </c>
      <c r="AI42" s="167" t="s">
        <v>70</v>
      </c>
      <c r="AJ42" s="167" t="s">
        <v>70</v>
      </c>
      <c r="AK42" s="167" t="s">
        <v>70</v>
      </c>
      <c r="AL42" s="166" t="s">
        <v>69</v>
      </c>
      <c r="AM42" s="166"/>
      <c r="AN42" s="167" t="s">
        <v>70</v>
      </c>
      <c r="AO42" s="167" t="s">
        <v>70</v>
      </c>
      <c r="AP42" s="166" t="s">
        <v>69</v>
      </c>
      <c r="AQ42" s="166" t="s">
        <v>69</v>
      </c>
      <c r="AR42" s="166" t="s">
        <v>69</v>
      </c>
      <c r="AS42" s="166" t="s">
        <v>69</v>
      </c>
      <c r="AT42" s="166" t="s">
        <v>69</v>
      </c>
      <c r="AU42" s="166" t="s">
        <v>69</v>
      </c>
      <c r="AV42" s="166" t="s">
        <v>69</v>
      </c>
      <c r="AW42" s="167" t="s">
        <v>70</v>
      </c>
      <c r="AX42" s="167" t="s">
        <v>70</v>
      </c>
      <c r="AY42" s="167" t="s">
        <v>70</v>
      </c>
      <c r="AZ42" s="166" t="s">
        <v>69</v>
      </c>
      <c r="BA42" s="166" t="s">
        <v>69</v>
      </c>
      <c r="BB42" s="167" t="s">
        <v>70</v>
      </c>
      <c r="BC42" s="167" t="s">
        <v>70</v>
      </c>
      <c r="BD42" s="167" t="s">
        <v>70</v>
      </c>
      <c r="BE42" s="167" t="s">
        <v>70</v>
      </c>
      <c r="BF42" s="167" t="s">
        <v>70</v>
      </c>
      <c r="BG42" s="169" t="s">
        <v>70</v>
      </c>
      <c r="BH42" s="169" t="s">
        <v>70</v>
      </c>
      <c r="BI42" s="169" t="s">
        <v>70</v>
      </c>
      <c r="BJ42" s="167" t="s">
        <v>70</v>
      </c>
      <c r="BK42" s="167" t="s">
        <v>70</v>
      </c>
      <c r="BL42" s="167" t="s">
        <v>70</v>
      </c>
      <c r="BM42" s="167" t="s">
        <v>70</v>
      </c>
      <c r="BN42" s="166" t="s">
        <v>69</v>
      </c>
      <c r="BO42" s="166" t="s">
        <v>69</v>
      </c>
      <c r="BP42" s="167" t="s">
        <v>70</v>
      </c>
      <c r="BQ42" s="151">
        <v>0</v>
      </c>
    </row>
    <row r="43" spans="1:136" s="151" customFormat="1" ht="19.5" customHeight="1" x14ac:dyDescent="0.2">
      <c r="A43" s="117">
        <v>40</v>
      </c>
      <c r="B43" s="117" t="s">
        <v>111</v>
      </c>
      <c r="C43" s="117">
        <v>135028</v>
      </c>
      <c r="D43" s="146" t="s">
        <v>67</v>
      </c>
      <c r="E43" s="146" t="s">
        <v>68</v>
      </c>
      <c r="F43" s="146" t="s">
        <v>208</v>
      </c>
      <c r="G43" s="162">
        <v>42111</v>
      </c>
      <c r="H43" s="119">
        <v>46148</v>
      </c>
      <c r="I43" s="124">
        <v>46148</v>
      </c>
      <c r="J43" s="162">
        <f t="shared" si="2"/>
        <v>46879</v>
      </c>
      <c r="K43" s="112">
        <v>46275</v>
      </c>
      <c r="L43" s="112">
        <v>46275</v>
      </c>
      <c r="M43" s="163">
        <f t="shared" si="3"/>
        <v>47006</v>
      </c>
      <c r="N43" s="111">
        <v>42423</v>
      </c>
      <c r="O43" s="111">
        <v>42424</v>
      </c>
      <c r="P43" s="111">
        <v>42425</v>
      </c>
      <c r="Q43" s="165" t="s">
        <v>69</v>
      </c>
      <c r="R43" s="165" t="s">
        <v>69</v>
      </c>
      <c r="S43" s="165" t="s">
        <v>69</v>
      </c>
      <c r="T43" s="165" t="s">
        <v>69</v>
      </c>
      <c r="U43" s="165" t="s">
        <v>69</v>
      </c>
      <c r="V43" s="165" t="s">
        <v>69</v>
      </c>
      <c r="W43" s="165" t="s">
        <v>69</v>
      </c>
      <c r="X43" s="165" t="s">
        <v>69</v>
      </c>
      <c r="Y43" s="165" t="s">
        <v>69</v>
      </c>
      <c r="Z43" s="165" t="s">
        <v>69</v>
      </c>
      <c r="AA43" s="165" t="s">
        <v>69</v>
      </c>
      <c r="AB43" s="167" t="s">
        <v>70</v>
      </c>
      <c r="AC43" s="167" t="s">
        <v>70</v>
      </c>
      <c r="AD43" s="165" t="s">
        <v>69</v>
      </c>
      <c r="AE43" s="165" t="s">
        <v>69</v>
      </c>
      <c r="AF43" s="112" t="s">
        <v>69</v>
      </c>
      <c r="AG43" s="167" t="s">
        <v>70</v>
      </c>
      <c r="AH43" s="167" t="s">
        <v>70</v>
      </c>
      <c r="AI43" s="167" t="s">
        <v>70</v>
      </c>
      <c r="AJ43" s="167" t="s">
        <v>70</v>
      </c>
      <c r="AK43" s="167" t="s">
        <v>70</v>
      </c>
      <c r="AL43" s="166" t="s">
        <v>69</v>
      </c>
      <c r="AM43" s="166"/>
      <c r="AN43" s="167" t="s">
        <v>70</v>
      </c>
      <c r="AO43" s="167" t="s">
        <v>70</v>
      </c>
      <c r="AP43" s="166" t="s">
        <v>69</v>
      </c>
      <c r="AQ43" s="166" t="s">
        <v>69</v>
      </c>
      <c r="AR43" s="166" t="s">
        <v>69</v>
      </c>
      <c r="AS43" s="166" t="s">
        <v>69</v>
      </c>
      <c r="AT43" s="166" t="s">
        <v>69</v>
      </c>
      <c r="AU43" s="166" t="s">
        <v>69</v>
      </c>
      <c r="AV43" s="166" t="s">
        <v>69</v>
      </c>
      <c r="AW43" s="167" t="s">
        <v>70</v>
      </c>
      <c r="AX43" s="167" t="s">
        <v>70</v>
      </c>
      <c r="AY43" s="167" t="s">
        <v>70</v>
      </c>
      <c r="AZ43" s="166" t="s">
        <v>69</v>
      </c>
      <c r="BA43" s="166" t="s">
        <v>69</v>
      </c>
      <c r="BB43" s="167" t="s">
        <v>70</v>
      </c>
      <c r="BC43" s="167" t="s">
        <v>70</v>
      </c>
      <c r="BD43" s="167" t="s">
        <v>70</v>
      </c>
      <c r="BE43" s="167" t="s">
        <v>70</v>
      </c>
      <c r="BF43" s="167" t="s">
        <v>70</v>
      </c>
      <c r="BG43" s="169" t="s">
        <v>70</v>
      </c>
      <c r="BH43" s="169" t="s">
        <v>70</v>
      </c>
      <c r="BI43" s="169" t="s">
        <v>70</v>
      </c>
      <c r="BJ43" s="167" t="s">
        <v>70</v>
      </c>
      <c r="BK43" s="167" t="s">
        <v>70</v>
      </c>
      <c r="BL43" s="167" t="s">
        <v>70</v>
      </c>
      <c r="BM43" s="167" t="s">
        <v>70</v>
      </c>
      <c r="BN43" s="166" t="s">
        <v>69</v>
      </c>
      <c r="BO43" s="166" t="s">
        <v>69</v>
      </c>
      <c r="BP43" s="167" t="s">
        <v>70</v>
      </c>
      <c r="BQ43" s="151">
        <v>0</v>
      </c>
    </row>
    <row r="44" spans="1:136" s="151" customFormat="1" ht="19.5" customHeight="1" x14ac:dyDescent="0.2">
      <c r="A44" s="117">
        <v>41</v>
      </c>
      <c r="B44" s="117" t="s">
        <v>112</v>
      </c>
      <c r="C44" s="117">
        <v>135016</v>
      </c>
      <c r="D44" s="146" t="s">
        <v>67</v>
      </c>
      <c r="E44" s="146" t="s">
        <v>68</v>
      </c>
      <c r="F44" s="146" t="s">
        <v>208</v>
      </c>
      <c r="G44" s="162">
        <v>42114</v>
      </c>
      <c r="H44" s="162">
        <v>42116</v>
      </c>
      <c r="I44" s="162">
        <v>46157</v>
      </c>
      <c r="J44" s="162">
        <f t="shared" si="2"/>
        <v>46888</v>
      </c>
      <c r="K44" s="111">
        <v>42429</v>
      </c>
      <c r="L44" s="111">
        <v>46083</v>
      </c>
      <c r="M44" s="163">
        <f t="shared" si="3"/>
        <v>46814</v>
      </c>
      <c r="N44" s="111">
        <v>43481</v>
      </c>
      <c r="O44" s="111">
        <v>43482</v>
      </c>
      <c r="P44" s="111">
        <v>43480</v>
      </c>
      <c r="Q44" s="165" t="s">
        <v>69</v>
      </c>
      <c r="R44" s="165" t="s">
        <v>69</v>
      </c>
      <c r="S44" s="165" t="s">
        <v>69</v>
      </c>
      <c r="T44" s="165" t="s">
        <v>69</v>
      </c>
      <c r="U44" s="165" t="s">
        <v>69</v>
      </c>
      <c r="V44" s="165" t="s">
        <v>69</v>
      </c>
      <c r="W44" s="165" t="s">
        <v>69</v>
      </c>
      <c r="X44" s="165" t="s">
        <v>69</v>
      </c>
      <c r="Y44" s="165" t="s">
        <v>69</v>
      </c>
      <c r="Z44" s="165" t="s">
        <v>69</v>
      </c>
      <c r="AA44" s="165" t="s">
        <v>69</v>
      </c>
      <c r="AB44" s="167" t="s">
        <v>70</v>
      </c>
      <c r="AC44" s="167" t="s">
        <v>70</v>
      </c>
      <c r="AD44" s="165" t="s">
        <v>69</v>
      </c>
      <c r="AE44" s="165" t="s">
        <v>69</v>
      </c>
      <c r="AF44" s="112" t="s">
        <v>69</v>
      </c>
      <c r="AG44" s="167" t="s">
        <v>70</v>
      </c>
      <c r="AH44" s="167" t="s">
        <v>70</v>
      </c>
      <c r="AI44" s="167" t="s">
        <v>70</v>
      </c>
      <c r="AJ44" s="167" t="s">
        <v>70</v>
      </c>
      <c r="AK44" s="167" t="s">
        <v>70</v>
      </c>
      <c r="AL44" s="166" t="s">
        <v>69</v>
      </c>
      <c r="AM44" s="166"/>
      <c r="AN44" s="167" t="s">
        <v>70</v>
      </c>
      <c r="AO44" s="167" t="s">
        <v>70</v>
      </c>
      <c r="AP44" s="166" t="s">
        <v>69</v>
      </c>
      <c r="AQ44" s="94">
        <v>42417</v>
      </c>
      <c r="AR44" s="166" t="s">
        <v>69</v>
      </c>
      <c r="AS44" s="94">
        <v>45891</v>
      </c>
      <c r="AT44" s="168">
        <v>42417</v>
      </c>
      <c r="AU44" s="166" t="s">
        <v>69</v>
      </c>
      <c r="AV44" s="166" t="s">
        <v>69</v>
      </c>
      <c r="AW44" s="167" t="s">
        <v>70</v>
      </c>
      <c r="AX44" s="167" t="s">
        <v>70</v>
      </c>
      <c r="AY44" s="167" t="s">
        <v>70</v>
      </c>
      <c r="AZ44" s="166" t="s">
        <v>69</v>
      </c>
      <c r="BA44" s="166" t="s">
        <v>69</v>
      </c>
      <c r="BB44" s="167" t="s">
        <v>70</v>
      </c>
      <c r="BC44" s="167" t="s">
        <v>70</v>
      </c>
      <c r="BD44" s="167" t="s">
        <v>70</v>
      </c>
      <c r="BE44" s="167" t="s">
        <v>70</v>
      </c>
      <c r="BF44" s="167" t="s">
        <v>70</v>
      </c>
      <c r="BG44" s="169" t="s">
        <v>70</v>
      </c>
      <c r="BH44" s="169" t="s">
        <v>70</v>
      </c>
      <c r="BI44" s="169" t="s">
        <v>70</v>
      </c>
      <c r="BJ44" s="167" t="s">
        <v>70</v>
      </c>
      <c r="BK44" s="167" t="s">
        <v>70</v>
      </c>
      <c r="BL44" s="167" t="s">
        <v>70</v>
      </c>
      <c r="BM44" s="167" t="s">
        <v>70</v>
      </c>
      <c r="BN44" s="166" t="s">
        <v>69</v>
      </c>
      <c r="BO44" s="166" t="s">
        <v>69</v>
      </c>
      <c r="BP44" s="167" t="s">
        <v>70</v>
      </c>
      <c r="BQ44" s="151">
        <v>0</v>
      </c>
    </row>
    <row r="45" spans="1:136" s="151" customFormat="1" ht="19.5" customHeight="1" x14ac:dyDescent="0.2">
      <c r="A45" s="117">
        <v>42</v>
      </c>
      <c r="B45" s="146" t="s">
        <v>113</v>
      </c>
      <c r="C45" s="146">
        <v>145524</v>
      </c>
      <c r="D45" s="146" t="s">
        <v>67</v>
      </c>
      <c r="E45" s="146" t="s">
        <v>68</v>
      </c>
      <c r="F45" s="146" t="s">
        <v>208</v>
      </c>
      <c r="G45" s="162">
        <v>42425</v>
      </c>
      <c r="H45" s="119">
        <v>46272</v>
      </c>
      <c r="I45" s="119">
        <v>46272</v>
      </c>
      <c r="J45" s="162">
        <f t="shared" si="2"/>
        <v>47003</v>
      </c>
      <c r="K45" s="112">
        <v>46149</v>
      </c>
      <c r="L45" s="112">
        <v>46149</v>
      </c>
      <c r="M45" s="163">
        <f t="shared" si="3"/>
        <v>46880</v>
      </c>
      <c r="N45" s="111">
        <v>44112</v>
      </c>
      <c r="O45" s="111">
        <v>44111</v>
      </c>
      <c r="P45" s="111">
        <v>44110</v>
      </c>
      <c r="Q45" s="165" t="s">
        <v>69</v>
      </c>
      <c r="R45" s="165" t="s">
        <v>69</v>
      </c>
      <c r="S45" s="165" t="s">
        <v>69</v>
      </c>
      <c r="T45" s="165" t="s">
        <v>69</v>
      </c>
      <c r="U45" s="165" t="s">
        <v>69</v>
      </c>
      <c r="V45" s="165" t="s">
        <v>69</v>
      </c>
      <c r="W45" s="165" t="s">
        <v>69</v>
      </c>
      <c r="X45" s="94">
        <v>44309</v>
      </c>
      <c r="Y45" s="165" t="s">
        <v>69</v>
      </c>
      <c r="Z45" s="165" t="s">
        <v>69</v>
      </c>
      <c r="AA45" s="165" t="s">
        <v>69</v>
      </c>
      <c r="AB45" s="167" t="s">
        <v>70</v>
      </c>
      <c r="AC45" s="167" t="s">
        <v>70</v>
      </c>
      <c r="AD45" s="165" t="s">
        <v>69</v>
      </c>
      <c r="AE45" s="165" t="s">
        <v>69</v>
      </c>
      <c r="AF45" s="112" t="s">
        <v>69</v>
      </c>
      <c r="AG45" s="167" t="s">
        <v>70</v>
      </c>
      <c r="AH45" s="167" t="s">
        <v>70</v>
      </c>
      <c r="AI45" s="167" t="s">
        <v>70</v>
      </c>
      <c r="AJ45" s="167" t="s">
        <v>70</v>
      </c>
      <c r="AK45" s="167" t="s">
        <v>70</v>
      </c>
      <c r="AL45" s="166" t="s">
        <v>69</v>
      </c>
      <c r="AM45" s="166"/>
      <c r="AN45" s="167" t="s">
        <v>70</v>
      </c>
      <c r="AO45" s="167" t="s">
        <v>70</v>
      </c>
      <c r="AP45" s="166" t="s">
        <v>69</v>
      </c>
      <c r="AQ45" s="166" t="s">
        <v>69</v>
      </c>
      <c r="AR45" s="166" t="s">
        <v>69</v>
      </c>
      <c r="AS45" s="168">
        <v>46279</v>
      </c>
      <c r="AT45" s="166" t="s">
        <v>69</v>
      </c>
      <c r="AU45" s="166" t="s">
        <v>69</v>
      </c>
      <c r="AV45" s="166" t="s">
        <v>69</v>
      </c>
      <c r="AW45" s="167" t="s">
        <v>70</v>
      </c>
      <c r="AX45" s="167" t="s">
        <v>70</v>
      </c>
      <c r="AY45" s="167" t="s">
        <v>70</v>
      </c>
      <c r="AZ45" s="166" t="s">
        <v>69</v>
      </c>
      <c r="BA45" s="166" t="s">
        <v>69</v>
      </c>
      <c r="BB45" s="167" t="s">
        <v>70</v>
      </c>
      <c r="BC45" s="167" t="s">
        <v>70</v>
      </c>
      <c r="BD45" s="167" t="s">
        <v>70</v>
      </c>
      <c r="BE45" s="167" t="s">
        <v>70</v>
      </c>
      <c r="BF45" s="167" t="s">
        <v>70</v>
      </c>
      <c r="BG45" s="169" t="s">
        <v>70</v>
      </c>
      <c r="BH45" s="169" t="s">
        <v>70</v>
      </c>
      <c r="BI45" s="169" t="s">
        <v>70</v>
      </c>
      <c r="BJ45" s="167" t="s">
        <v>70</v>
      </c>
      <c r="BK45" s="167" t="s">
        <v>70</v>
      </c>
      <c r="BL45" s="167" t="s">
        <v>70</v>
      </c>
      <c r="BM45" s="167" t="s">
        <v>70</v>
      </c>
      <c r="BN45" s="166" t="s">
        <v>69</v>
      </c>
      <c r="BO45" s="166" t="s">
        <v>69</v>
      </c>
      <c r="BP45" s="167" t="s">
        <v>70</v>
      </c>
      <c r="BQ45" s="151">
        <v>0</v>
      </c>
    </row>
    <row r="46" spans="1:136" s="151" customFormat="1" ht="19.5" customHeight="1" x14ac:dyDescent="0.2">
      <c r="A46" s="117">
        <v>43</v>
      </c>
      <c r="B46" s="146" t="s">
        <v>114</v>
      </c>
      <c r="C46" s="146">
        <v>145526</v>
      </c>
      <c r="D46" s="146" t="s">
        <v>67</v>
      </c>
      <c r="E46" s="146" t="s">
        <v>68</v>
      </c>
      <c r="F46" s="146" t="s">
        <v>208</v>
      </c>
      <c r="G46" s="162">
        <v>42425</v>
      </c>
      <c r="H46" s="119">
        <v>46218</v>
      </c>
      <c r="I46" s="112">
        <v>46218</v>
      </c>
      <c r="J46" s="112">
        <v>46949</v>
      </c>
      <c r="K46" s="111">
        <v>42361</v>
      </c>
      <c r="L46" s="111">
        <v>46168</v>
      </c>
      <c r="M46" s="163">
        <f t="shared" si="3"/>
        <v>46899</v>
      </c>
      <c r="N46" s="111">
        <v>44111</v>
      </c>
      <c r="O46" s="111">
        <v>44112</v>
      </c>
      <c r="P46" s="111">
        <v>44110</v>
      </c>
      <c r="Q46" s="165" t="s">
        <v>69</v>
      </c>
      <c r="R46" s="165" t="s">
        <v>69</v>
      </c>
      <c r="S46" s="165" t="s">
        <v>69</v>
      </c>
      <c r="T46" s="165" t="s">
        <v>69</v>
      </c>
      <c r="U46" s="165" t="s">
        <v>69</v>
      </c>
      <c r="V46" s="165" t="s">
        <v>69</v>
      </c>
      <c r="W46" s="165" t="s">
        <v>69</v>
      </c>
      <c r="X46" s="94">
        <v>40461</v>
      </c>
      <c r="Y46" s="165" t="s">
        <v>69</v>
      </c>
      <c r="Z46" s="165" t="s">
        <v>69</v>
      </c>
      <c r="AA46" s="165" t="s">
        <v>69</v>
      </c>
      <c r="AB46" s="167" t="s">
        <v>70</v>
      </c>
      <c r="AC46" s="167" t="s">
        <v>70</v>
      </c>
      <c r="AD46" s="165" t="s">
        <v>69</v>
      </c>
      <c r="AE46" s="165" t="s">
        <v>69</v>
      </c>
      <c r="AF46" s="112" t="s">
        <v>69</v>
      </c>
      <c r="AG46" s="167" t="s">
        <v>70</v>
      </c>
      <c r="AH46" s="167" t="s">
        <v>70</v>
      </c>
      <c r="AI46" s="167" t="s">
        <v>70</v>
      </c>
      <c r="AJ46" s="167" t="s">
        <v>70</v>
      </c>
      <c r="AK46" s="167" t="s">
        <v>70</v>
      </c>
      <c r="AL46" s="166" t="s">
        <v>69</v>
      </c>
      <c r="AM46" s="166"/>
      <c r="AN46" s="167" t="s">
        <v>70</v>
      </c>
      <c r="AO46" s="167" t="s">
        <v>70</v>
      </c>
      <c r="AP46" s="166" t="s">
        <v>69</v>
      </c>
      <c r="AQ46" s="166" t="s">
        <v>69</v>
      </c>
      <c r="AR46" s="166" t="s">
        <v>69</v>
      </c>
      <c r="AS46" s="166" t="s">
        <v>69</v>
      </c>
      <c r="AT46" s="166" t="s">
        <v>69</v>
      </c>
      <c r="AU46" s="166" t="s">
        <v>69</v>
      </c>
      <c r="AV46" s="166" t="s">
        <v>69</v>
      </c>
      <c r="AW46" s="167" t="s">
        <v>70</v>
      </c>
      <c r="AX46" s="167" t="s">
        <v>70</v>
      </c>
      <c r="AY46" s="167" t="s">
        <v>70</v>
      </c>
      <c r="AZ46" s="166" t="s">
        <v>69</v>
      </c>
      <c r="BA46" s="166" t="s">
        <v>69</v>
      </c>
      <c r="BB46" s="167" t="s">
        <v>70</v>
      </c>
      <c r="BC46" s="167" t="s">
        <v>70</v>
      </c>
      <c r="BD46" s="167" t="s">
        <v>70</v>
      </c>
      <c r="BE46" s="167" t="s">
        <v>70</v>
      </c>
      <c r="BF46" s="167" t="s">
        <v>70</v>
      </c>
      <c r="BG46" s="169" t="s">
        <v>70</v>
      </c>
      <c r="BH46" s="169" t="s">
        <v>70</v>
      </c>
      <c r="BI46" s="169" t="s">
        <v>70</v>
      </c>
      <c r="BJ46" s="167" t="s">
        <v>70</v>
      </c>
      <c r="BK46" s="167" t="s">
        <v>70</v>
      </c>
      <c r="BL46" s="167" t="s">
        <v>70</v>
      </c>
      <c r="BM46" s="167" t="s">
        <v>70</v>
      </c>
      <c r="BN46" s="166" t="s">
        <v>69</v>
      </c>
      <c r="BO46" s="166" t="s">
        <v>69</v>
      </c>
      <c r="BP46" s="167" t="s">
        <v>70</v>
      </c>
      <c r="BQ46" s="151">
        <v>0</v>
      </c>
    </row>
    <row r="47" spans="1:136" s="151" customFormat="1" ht="19.5" customHeight="1" x14ac:dyDescent="0.2">
      <c r="A47" s="117">
        <v>44</v>
      </c>
      <c r="B47" s="174" t="s">
        <v>115</v>
      </c>
      <c r="C47" s="144">
        <v>146479</v>
      </c>
      <c r="D47" s="146" t="s">
        <v>67</v>
      </c>
      <c r="E47" s="146" t="s">
        <v>83</v>
      </c>
      <c r="F47" s="146" t="s">
        <v>208</v>
      </c>
      <c r="G47" s="162">
        <v>42467</v>
      </c>
      <c r="H47" s="162">
        <v>42590</v>
      </c>
      <c r="I47" s="111">
        <v>46126</v>
      </c>
      <c r="J47" s="162">
        <f t="shared" ref="J47:J53" si="4">IF(I47="", "", DATE(YEAR(I47)+2, MONTH(I47), DAY(I47)))</f>
        <v>46857</v>
      </c>
      <c r="K47" s="111">
        <v>42199</v>
      </c>
      <c r="L47" s="111">
        <v>46076</v>
      </c>
      <c r="M47" s="163">
        <f t="shared" si="3"/>
        <v>46806</v>
      </c>
      <c r="N47" s="111">
        <v>42423</v>
      </c>
      <c r="O47" s="111">
        <v>46300</v>
      </c>
      <c r="P47" s="111">
        <v>42424</v>
      </c>
      <c r="Q47" s="165" t="s">
        <v>69</v>
      </c>
      <c r="R47" s="165" t="s">
        <v>69</v>
      </c>
      <c r="S47" s="165" t="s">
        <v>69</v>
      </c>
      <c r="T47" s="165" t="s">
        <v>69</v>
      </c>
      <c r="U47" s="165" t="s">
        <v>69</v>
      </c>
      <c r="V47" s="165" t="s">
        <v>69</v>
      </c>
      <c r="W47" s="165" t="s">
        <v>69</v>
      </c>
      <c r="X47" s="165" t="s">
        <v>69</v>
      </c>
      <c r="Y47" s="165" t="s">
        <v>69</v>
      </c>
      <c r="Z47" s="165" t="s">
        <v>69</v>
      </c>
      <c r="AA47" s="165" t="s">
        <v>69</v>
      </c>
      <c r="AB47" s="167" t="s">
        <v>70</v>
      </c>
      <c r="AC47" s="167" t="s">
        <v>70</v>
      </c>
      <c r="AD47" s="165" t="s">
        <v>69</v>
      </c>
      <c r="AE47" s="165" t="s">
        <v>69</v>
      </c>
      <c r="AF47" s="94">
        <v>44931</v>
      </c>
      <c r="AG47" s="167" t="s">
        <v>70</v>
      </c>
      <c r="AH47" s="167" t="s">
        <v>70</v>
      </c>
      <c r="AI47" s="167" t="s">
        <v>70</v>
      </c>
      <c r="AJ47" s="167" t="s">
        <v>70</v>
      </c>
      <c r="AK47" s="167" t="s">
        <v>70</v>
      </c>
      <c r="AL47" s="166" t="s">
        <v>69</v>
      </c>
      <c r="AM47" s="166"/>
      <c r="AN47" s="167" t="s">
        <v>70</v>
      </c>
      <c r="AO47" s="167" t="s">
        <v>70</v>
      </c>
      <c r="AP47" s="166" t="s">
        <v>69</v>
      </c>
      <c r="AQ47" s="166" t="s">
        <v>69</v>
      </c>
      <c r="AR47" s="166" t="s">
        <v>69</v>
      </c>
      <c r="AS47" s="168">
        <v>46031</v>
      </c>
      <c r="AT47" s="166" t="s">
        <v>69</v>
      </c>
      <c r="AU47" s="166" t="s">
        <v>69</v>
      </c>
      <c r="AV47" s="166" t="s">
        <v>69</v>
      </c>
      <c r="AW47" s="167" t="s">
        <v>70</v>
      </c>
      <c r="AX47" s="167" t="s">
        <v>70</v>
      </c>
      <c r="AY47" s="167" t="s">
        <v>70</v>
      </c>
      <c r="AZ47" s="166" t="s">
        <v>69</v>
      </c>
      <c r="BA47" s="166" t="s">
        <v>69</v>
      </c>
      <c r="BB47" s="167" t="s">
        <v>70</v>
      </c>
      <c r="BC47" s="167" t="s">
        <v>70</v>
      </c>
      <c r="BD47" s="167" t="s">
        <v>70</v>
      </c>
      <c r="BE47" s="167" t="s">
        <v>70</v>
      </c>
      <c r="BF47" s="167" t="s">
        <v>70</v>
      </c>
      <c r="BG47" s="169" t="s">
        <v>70</v>
      </c>
      <c r="BH47" s="169" t="s">
        <v>70</v>
      </c>
      <c r="BI47" s="169" t="s">
        <v>70</v>
      </c>
      <c r="BJ47" s="167" t="s">
        <v>70</v>
      </c>
      <c r="BK47" s="167" t="s">
        <v>70</v>
      </c>
      <c r="BL47" s="167" t="s">
        <v>70</v>
      </c>
      <c r="BM47" s="167" t="s">
        <v>70</v>
      </c>
      <c r="BN47" s="166" t="s">
        <v>69</v>
      </c>
      <c r="BO47" s="166" t="s">
        <v>69</v>
      </c>
      <c r="BP47" s="167" t="s">
        <v>70</v>
      </c>
      <c r="BQ47" s="151">
        <v>0</v>
      </c>
    </row>
    <row r="48" spans="1:136" s="151" customFormat="1" ht="19.5" customHeight="1" x14ac:dyDescent="0.2">
      <c r="A48" s="117">
        <v>45</v>
      </c>
      <c r="B48" s="174" t="s">
        <v>116</v>
      </c>
      <c r="C48" s="144">
        <v>152472</v>
      </c>
      <c r="D48" s="146" t="s">
        <v>67</v>
      </c>
      <c r="E48" s="146" t="s">
        <v>83</v>
      </c>
      <c r="F48" s="146" t="s">
        <v>208</v>
      </c>
      <c r="G48" s="119">
        <v>42584</v>
      </c>
      <c r="H48" s="162">
        <v>44776</v>
      </c>
      <c r="I48" s="172">
        <v>45544</v>
      </c>
      <c r="J48" s="162">
        <f t="shared" si="4"/>
        <v>46274</v>
      </c>
      <c r="K48" s="111">
        <v>43752</v>
      </c>
      <c r="L48" s="111">
        <v>46127</v>
      </c>
      <c r="M48" s="163">
        <f t="shared" si="3"/>
        <v>46858</v>
      </c>
      <c r="N48" s="111">
        <v>43873</v>
      </c>
      <c r="O48" s="111">
        <v>46300</v>
      </c>
      <c r="P48" s="111">
        <v>43872</v>
      </c>
      <c r="Q48" s="165" t="s">
        <v>69</v>
      </c>
      <c r="R48" s="165" t="s">
        <v>69</v>
      </c>
      <c r="S48" s="165" t="s">
        <v>69</v>
      </c>
      <c r="T48" s="165" t="s">
        <v>69</v>
      </c>
      <c r="U48" s="165" t="s">
        <v>69</v>
      </c>
      <c r="V48" s="165" t="s">
        <v>69</v>
      </c>
      <c r="W48" s="165" t="s">
        <v>69</v>
      </c>
      <c r="X48" s="165" t="s">
        <v>69</v>
      </c>
      <c r="Y48" s="165" t="s">
        <v>69</v>
      </c>
      <c r="Z48" s="165" t="s">
        <v>69</v>
      </c>
      <c r="AA48" s="165" t="s">
        <v>69</v>
      </c>
      <c r="AB48" s="167" t="s">
        <v>70</v>
      </c>
      <c r="AC48" s="167" t="s">
        <v>70</v>
      </c>
      <c r="AD48" s="165" t="s">
        <v>69</v>
      </c>
      <c r="AE48" s="165" t="s">
        <v>69</v>
      </c>
      <c r="AF48" s="112" t="s">
        <v>69</v>
      </c>
      <c r="AG48" s="167" t="s">
        <v>70</v>
      </c>
      <c r="AH48" s="167" t="s">
        <v>70</v>
      </c>
      <c r="AI48" s="167" t="s">
        <v>70</v>
      </c>
      <c r="AJ48" s="167" t="s">
        <v>70</v>
      </c>
      <c r="AK48" s="167" t="s">
        <v>70</v>
      </c>
      <c r="AL48" s="166" t="s">
        <v>69</v>
      </c>
      <c r="AM48" s="166"/>
      <c r="AN48" s="167" t="s">
        <v>70</v>
      </c>
      <c r="AO48" s="167" t="s">
        <v>70</v>
      </c>
      <c r="AP48" s="166" t="s">
        <v>69</v>
      </c>
      <c r="AQ48" s="166" t="s">
        <v>69</v>
      </c>
      <c r="AR48" s="166" t="s">
        <v>69</v>
      </c>
      <c r="AS48" s="94">
        <v>45891</v>
      </c>
      <c r="AT48" s="166" t="s">
        <v>69</v>
      </c>
      <c r="AU48" s="166" t="s">
        <v>69</v>
      </c>
      <c r="AV48" s="166" t="s">
        <v>69</v>
      </c>
      <c r="AW48" s="167" t="s">
        <v>70</v>
      </c>
      <c r="AX48" s="167" t="s">
        <v>70</v>
      </c>
      <c r="AY48" s="167" t="s">
        <v>70</v>
      </c>
      <c r="AZ48" s="166" t="s">
        <v>69</v>
      </c>
      <c r="BA48" s="166" t="s">
        <v>69</v>
      </c>
      <c r="BB48" s="167" t="s">
        <v>70</v>
      </c>
      <c r="BC48" s="167" t="s">
        <v>70</v>
      </c>
      <c r="BD48" s="167" t="s">
        <v>70</v>
      </c>
      <c r="BE48" s="167" t="s">
        <v>70</v>
      </c>
      <c r="BF48" s="167" t="s">
        <v>70</v>
      </c>
      <c r="BG48" s="169" t="s">
        <v>70</v>
      </c>
      <c r="BH48" s="169" t="s">
        <v>70</v>
      </c>
      <c r="BI48" s="169" t="s">
        <v>70</v>
      </c>
      <c r="BJ48" s="167" t="s">
        <v>70</v>
      </c>
      <c r="BK48" s="167" t="s">
        <v>70</v>
      </c>
      <c r="BL48" s="167" t="s">
        <v>70</v>
      </c>
      <c r="BM48" s="167" t="s">
        <v>70</v>
      </c>
      <c r="BN48" s="166" t="s">
        <v>69</v>
      </c>
      <c r="BO48" s="166" t="s">
        <v>69</v>
      </c>
      <c r="BP48" s="167" t="s">
        <v>70</v>
      </c>
      <c r="BQ48" s="151">
        <v>0</v>
      </c>
    </row>
    <row r="49" spans="1:135" s="151" customFormat="1" ht="19.5" customHeight="1" x14ac:dyDescent="0.2">
      <c r="A49" s="117">
        <v>46</v>
      </c>
      <c r="B49" s="174" t="s">
        <v>117</v>
      </c>
      <c r="C49" s="144">
        <v>150978</v>
      </c>
      <c r="D49" s="146" t="s">
        <v>67</v>
      </c>
      <c r="E49" s="146" t="s">
        <v>83</v>
      </c>
      <c r="F49" s="146" t="s">
        <v>208</v>
      </c>
      <c r="G49" s="162">
        <v>42221</v>
      </c>
      <c r="H49" s="162">
        <v>42481</v>
      </c>
      <c r="I49" s="111">
        <v>46128</v>
      </c>
      <c r="J49" s="162">
        <f t="shared" si="4"/>
        <v>46859</v>
      </c>
      <c r="K49" s="111">
        <v>42269</v>
      </c>
      <c r="L49" s="163">
        <v>46140</v>
      </c>
      <c r="M49" s="163">
        <f t="shared" si="3"/>
        <v>46871</v>
      </c>
      <c r="N49" s="111">
        <v>42165</v>
      </c>
      <c r="O49" s="111">
        <v>45638</v>
      </c>
      <c r="P49" s="111">
        <v>42167</v>
      </c>
      <c r="Q49" s="165" t="s">
        <v>69</v>
      </c>
      <c r="R49" s="165" t="s">
        <v>69</v>
      </c>
      <c r="S49" s="165" t="s">
        <v>69</v>
      </c>
      <c r="T49" s="165" t="s">
        <v>69</v>
      </c>
      <c r="U49" s="165" t="s">
        <v>69</v>
      </c>
      <c r="V49" s="165" t="s">
        <v>69</v>
      </c>
      <c r="W49" s="165" t="s">
        <v>69</v>
      </c>
      <c r="X49" s="165" t="s">
        <v>69</v>
      </c>
      <c r="Y49" s="165" t="s">
        <v>69</v>
      </c>
      <c r="Z49" s="165" t="s">
        <v>69</v>
      </c>
      <c r="AA49" s="165" t="s">
        <v>69</v>
      </c>
      <c r="AB49" s="167" t="s">
        <v>70</v>
      </c>
      <c r="AC49" s="167" t="s">
        <v>70</v>
      </c>
      <c r="AD49" s="165" t="s">
        <v>69</v>
      </c>
      <c r="AE49" s="165" t="s">
        <v>69</v>
      </c>
      <c r="AF49" s="112">
        <v>46294</v>
      </c>
      <c r="AG49" s="167" t="s">
        <v>70</v>
      </c>
      <c r="AH49" s="167" t="s">
        <v>70</v>
      </c>
      <c r="AI49" s="167" t="s">
        <v>70</v>
      </c>
      <c r="AJ49" s="167" t="s">
        <v>70</v>
      </c>
      <c r="AK49" s="167" t="s">
        <v>70</v>
      </c>
      <c r="AL49" s="166" t="s">
        <v>69</v>
      </c>
      <c r="AM49" s="166"/>
      <c r="AN49" s="167" t="s">
        <v>70</v>
      </c>
      <c r="AO49" s="167" t="s">
        <v>70</v>
      </c>
      <c r="AP49" s="166" t="s">
        <v>69</v>
      </c>
      <c r="AQ49" s="166" t="s">
        <v>69</v>
      </c>
      <c r="AR49" s="166" t="s">
        <v>69</v>
      </c>
      <c r="AS49" s="166" t="s">
        <v>69</v>
      </c>
      <c r="AT49" s="166" t="s">
        <v>69</v>
      </c>
      <c r="AU49" s="166" t="s">
        <v>69</v>
      </c>
      <c r="AV49" s="166" t="s">
        <v>69</v>
      </c>
      <c r="AW49" s="167" t="s">
        <v>70</v>
      </c>
      <c r="AX49" s="167" t="s">
        <v>70</v>
      </c>
      <c r="AY49" s="167" t="s">
        <v>70</v>
      </c>
      <c r="AZ49" s="166" t="s">
        <v>69</v>
      </c>
      <c r="BA49" s="166" t="s">
        <v>69</v>
      </c>
      <c r="BB49" s="167" t="s">
        <v>70</v>
      </c>
      <c r="BC49" s="167" t="s">
        <v>70</v>
      </c>
      <c r="BD49" s="167" t="s">
        <v>70</v>
      </c>
      <c r="BE49" s="167" t="s">
        <v>70</v>
      </c>
      <c r="BF49" s="167" t="s">
        <v>70</v>
      </c>
      <c r="BG49" s="169" t="s">
        <v>70</v>
      </c>
      <c r="BH49" s="169" t="s">
        <v>70</v>
      </c>
      <c r="BI49" s="169" t="s">
        <v>70</v>
      </c>
      <c r="BJ49" s="167" t="s">
        <v>70</v>
      </c>
      <c r="BK49" s="167" t="s">
        <v>70</v>
      </c>
      <c r="BL49" s="167" t="s">
        <v>70</v>
      </c>
      <c r="BM49" s="167" t="s">
        <v>70</v>
      </c>
      <c r="BN49" s="166" t="s">
        <v>69</v>
      </c>
      <c r="BO49" s="166" t="s">
        <v>69</v>
      </c>
      <c r="BP49" s="167" t="s">
        <v>70</v>
      </c>
      <c r="BQ49" s="151">
        <v>0</v>
      </c>
    </row>
    <row r="50" spans="1:135" s="151" customFormat="1" ht="19.5" customHeight="1" x14ac:dyDescent="0.2">
      <c r="A50" s="117">
        <v>48</v>
      </c>
      <c r="B50" s="161" t="s">
        <v>574</v>
      </c>
      <c r="C50" s="161">
        <v>145059</v>
      </c>
      <c r="D50" s="161" t="s">
        <v>850</v>
      </c>
      <c r="E50" s="144" t="s">
        <v>573</v>
      </c>
      <c r="F50" s="146" t="s">
        <v>208</v>
      </c>
      <c r="G50" s="89">
        <v>42192</v>
      </c>
      <c r="H50" s="89">
        <v>42277</v>
      </c>
      <c r="I50" s="89">
        <v>46065</v>
      </c>
      <c r="J50" s="162">
        <f t="shared" si="4"/>
        <v>46795</v>
      </c>
      <c r="K50" s="89">
        <v>42250</v>
      </c>
      <c r="L50" s="89">
        <v>45938</v>
      </c>
      <c r="M50" s="163">
        <f t="shared" si="3"/>
        <v>46668</v>
      </c>
      <c r="N50" s="89">
        <v>42268</v>
      </c>
      <c r="O50" s="89">
        <v>42269</v>
      </c>
      <c r="P50" s="89">
        <v>42270</v>
      </c>
      <c r="Q50" s="166" t="s">
        <v>69</v>
      </c>
      <c r="R50" s="166" t="s">
        <v>69</v>
      </c>
      <c r="S50" s="166" t="s">
        <v>69</v>
      </c>
      <c r="T50" s="181">
        <v>43749</v>
      </c>
      <c r="U50" s="181">
        <v>43518</v>
      </c>
      <c r="V50" s="166" t="s">
        <v>69</v>
      </c>
      <c r="W50" s="166" t="s">
        <v>69</v>
      </c>
      <c r="X50" s="181">
        <v>42345</v>
      </c>
      <c r="Y50" s="181">
        <v>42143</v>
      </c>
      <c r="Z50" s="181">
        <v>43434</v>
      </c>
      <c r="AA50" s="166" t="s">
        <v>69</v>
      </c>
      <c r="AB50" s="166" t="s">
        <v>69</v>
      </c>
      <c r="AC50" s="166" t="s">
        <v>69</v>
      </c>
      <c r="AD50" s="167" t="s">
        <v>71</v>
      </c>
      <c r="AE50" s="167" t="s">
        <v>70</v>
      </c>
      <c r="AF50" s="112">
        <v>45818</v>
      </c>
      <c r="AG50" s="112" t="s">
        <v>69</v>
      </c>
      <c r="AH50" s="167" t="s">
        <v>71</v>
      </c>
      <c r="AI50" s="167" t="s">
        <v>70</v>
      </c>
      <c r="AJ50" s="167" t="s">
        <v>70</v>
      </c>
      <c r="AK50" s="167" t="s">
        <v>70</v>
      </c>
      <c r="AL50" s="166" t="s">
        <v>69</v>
      </c>
      <c r="AM50" s="166"/>
      <c r="AN50" s="168" t="s">
        <v>69</v>
      </c>
      <c r="AO50" s="167" t="s">
        <v>70</v>
      </c>
      <c r="AP50" s="168">
        <v>46050</v>
      </c>
      <c r="AQ50" s="166" t="s">
        <v>69</v>
      </c>
      <c r="AR50" s="166" t="s">
        <v>69</v>
      </c>
      <c r="AS50" s="168">
        <v>46031</v>
      </c>
      <c r="AT50" s="166" t="s">
        <v>69</v>
      </c>
      <c r="AU50" s="166" t="s">
        <v>69</v>
      </c>
      <c r="AV50" s="166" t="s">
        <v>69</v>
      </c>
      <c r="AW50" s="167" t="s">
        <v>70</v>
      </c>
      <c r="AX50" s="167" t="s">
        <v>70</v>
      </c>
      <c r="AY50" s="166" t="s">
        <v>69</v>
      </c>
      <c r="AZ50" s="166" t="s">
        <v>69</v>
      </c>
      <c r="BA50" s="166" t="s">
        <v>69</v>
      </c>
      <c r="BB50" s="167" t="s">
        <v>70</v>
      </c>
      <c r="BC50" s="167" t="s">
        <v>70</v>
      </c>
      <c r="BD50" s="167" t="s">
        <v>70</v>
      </c>
      <c r="BE50" s="167" t="s">
        <v>70</v>
      </c>
      <c r="BF50" s="167" t="s">
        <v>70</v>
      </c>
      <c r="BG50" s="169" t="s">
        <v>70</v>
      </c>
      <c r="BH50" s="169" t="s">
        <v>70</v>
      </c>
      <c r="BI50" s="169" t="s">
        <v>70</v>
      </c>
      <c r="BJ50" s="167" t="s">
        <v>70</v>
      </c>
      <c r="BK50" s="167" t="s">
        <v>70</v>
      </c>
      <c r="BL50" s="167" t="s">
        <v>70</v>
      </c>
      <c r="BM50" s="167" t="s">
        <v>70</v>
      </c>
      <c r="BN50" s="167" t="s">
        <v>70</v>
      </c>
      <c r="BO50" s="167" t="s">
        <v>70</v>
      </c>
      <c r="BP50" s="167" t="s">
        <v>70</v>
      </c>
      <c r="BQ50" s="151">
        <v>0</v>
      </c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</row>
    <row r="51" spans="1:135" s="151" customFormat="1" ht="19.5" customHeight="1" x14ac:dyDescent="0.2">
      <c r="A51" s="117">
        <v>47</v>
      </c>
      <c r="B51" s="117" t="s">
        <v>572</v>
      </c>
      <c r="C51" s="117">
        <v>131642</v>
      </c>
      <c r="D51" s="117" t="s">
        <v>73</v>
      </c>
      <c r="E51" s="144" t="s">
        <v>573</v>
      </c>
      <c r="F51" s="146" t="s">
        <v>208</v>
      </c>
      <c r="G51" s="89">
        <v>44617</v>
      </c>
      <c r="H51" s="89">
        <v>42326</v>
      </c>
      <c r="I51" s="89">
        <v>45915</v>
      </c>
      <c r="J51" s="162">
        <f>IF(I51="", "", DATE(YEAR(I51)+2, MONTH(I51), DAY(I51)))</f>
        <v>46645</v>
      </c>
      <c r="K51" s="89">
        <v>42327</v>
      </c>
      <c r="L51" s="163">
        <v>46168</v>
      </c>
      <c r="M51" s="163">
        <f>IF(L51="", "", DATE(YEAR(L51)+2, MONTH(L51), DAY(L51)))</f>
        <v>46899</v>
      </c>
      <c r="N51" s="89">
        <v>42328</v>
      </c>
      <c r="O51" s="89">
        <v>42329</v>
      </c>
      <c r="P51" s="89">
        <v>42329</v>
      </c>
      <c r="Q51" s="166" t="s">
        <v>69</v>
      </c>
      <c r="R51" s="166" t="s">
        <v>69</v>
      </c>
      <c r="S51" s="166" t="s">
        <v>69</v>
      </c>
      <c r="T51" s="168">
        <v>46059</v>
      </c>
      <c r="U51" s="168">
        <v>44981</v>
      </c>
      <c r="V51" s="168">
        <v>46213</v>
      </c>
      <c r="W51" s="166" t="s">
        <v>69</v>
      </c>
      <c r="X51" s="181">
        <v>44638</v>
      </c>
      <c r="Y51" s="168">
        <v>45663</v>
      </c>
      <c r="Z51" s="166" t="s">
        <v>69</v>
      </c>
      <c r="AA51" s="168">
        <v>46293</v>
      </c>
      <c r="AB51" s="166" t="s">
        <v>69</v>
      </c>
      <c r="AC51" s="166" t="s">
        <v>69</v>
      </c>
      <c r="AD51" s="167" t="s">
        <v>71</v>
      </c>
      <c r="AE51" s="167" t="s">
        <v>70</v>
      </c>
      <c r="AF51" s="181">
        <v>45639</v>
      </c>
      <c r="AG51" s="111">
        <v>43671</v>
      </c>
      <c r="AH51" s="167" t="s">
        <v>71</v>
      </c>
      <c r="AI51" s="167" t="s">
        <v>70</v>
      </c>
      <c r="AJ51" s="167" t="s">
        <v>70</v>
      </c>
      <c r="AK51" s="167" t="s">
        <v>70</v>
      </c>
      <c r="AL51" s="166" t="s">
        <v>69</v>
      </c>
      <c r="AM51" s="166"/>
      <c r="AN51" s="166" t="s">
        <v>69</v>
      </c>
      <c r="AO51" s="167" t="s">
        <v>70</v>
      </c>
      <c r="AP51" s="166" t="s">
        <v>69</v>
      </c>
      <c r="AQ51" s="166" t="s">
        <v>69</v>
      </c>
      <c r="AR51" s="166" t="s">
        <v>69</v>
      </c>
      <c r="AS51" s="94">
        <v>45904</v>
      </c>
      <c r="AT51" s="166" t="s">
        <v>69</v>
      </c>
      <c r="AU51" s="166" t="s">
        <v>69</v>
      </c>
      <c r="AV51" s="166" t="s">
        <v>69</v>
      </c>
      <c r="AW51" s="166" t="s">
        <v>69</v>
      </c>
      <c r="AX51" s="166" t="s">
        <v>69</v>
      </c>
      <c r="AY51" s="166" t="s">
        <v>69</v>
      </c>
      <c r="AZ51" s="166" t="s">
        <v>69</v>
      </c>
      <c r="BA51" s="166" t="s">
        <v>69</v>
      </c>
      <c r="BB51" s="166" t="s">
        <v>69</v>
      </c>
      <c r="BC51" s="166" t="s">
        <v>69</v>
      </c>
      <c r="BD51" s="166" t="s">
        <v>69</v>
      </c>
      <c r="BE51" s="166" t="s">
        <v>69</v>
      </c>
      <c r="BF51" s="166" t="s">
        <v>69</v>
      </c>
      <c r="BG51" s="167" t="s">
        <v>70</v>
      </c>
      <c r="BH51" s="166" t="s">
        <v>69</v>
      </c>
      <c r="BI51" s="166" t="s">
        <v>69</v>
      </c>
      <c r="BJ51" s="167" t="s">
        <v>70</v>
      </c>
      <c r="BK51" s="166" t="s">
        <v>69</v>
      </c>
      <c r="BL51" s="167" t="s">
        <v>70</v>
      </c>
      <c r="BM51" s="167" t="s">
        <v>70</v>
      </c>
      <c r="BN51" s="167" t="s">
        <v>70</v>
      </c>
      <c r="BO51" s="167" t="s">
        <v>70</v>
      </c>
      <c r="BP51" s="167" t="s">
        <v>70</v>
      </c>
      <c r="BQ51" s="151">
        <v>0</v>
      </c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</row>
    <row r="52" spans="1:135" s="151" customFormat="1" ht="19.5" customHeight="1" x14ac:dyDescent="0.2">
      <c r="A52" s="117">
        <v>49</v>
      </c>
      <c r="B52" s="117" t="s">
        <v>575</v>
      </c>
      <c r="C52" s="117">
        <v>191558</v>
      </c>
      <c r="D52" s="117" t="s">
        <v>73</v>
      </c>
      <c r="E52" s="144" t="s">
        <v>573</v>
      </c>
      <c r="F52" s="146" t="s">
        <v>208</v>
      </c>
      <c r="G52" s="89">
        <v>44617</v>
      </c>
      <c r="H52" s="89">
        <v>43684</v>
      </c>
      <c r="I52" s="89">
        <v>45915</v>
      </c>
      <c r="J52" s="162">
        <f t="shared" si="4"/>
        <v>46645</v>
      </c>
      <c r="K52" s="89">
        <v>43683</v>
      </c>
      <c r="L52" s="89">
        <v>45917</v>
      </c>
      <c r="M52" s="163">
        <f t="shared" si="3"/>
        <v>46647</v>
      </c>
      <c r="N52" s="89">
        <v>43685</v>
      </c>
      <c r="O52" s="89">
        <v>43686</v>
      </c>
      <c r="P52" s="89">
        <v>43682</v>
      </c>
      <c r="Q52" s="166" t="s">
        <v>69</v>
      </c>
      <c r="R52" s="166" t="s">
        <v>69</v>
      </c>
      <c r="S52" s="166" t="s">
        <v>69</v>
      </c>
      <c r="T52" s="181">
        <v>44603</v>
      </c>
      <c r="U52" s="168">
        <v>44981</v>
      </c>
      <c r="V52" s="181">
        <v>45772</v>
      </c>
      <c r="W52" s="166" t="s">
        <v>69</v>
      </c>
      <c r="X52" s="166" t="s">
        <v>69</v>
      </c>
      <c r="Y52" s="168">
        <v>45663</v>
      </c>
      <c r="Z52" s="168">
        <v>45772</v>
      </c>
      <c r="AA52" s="166" t="s">
        <v>69</v>
      </c>
      <c r="AB52" s="166" t="s">
        <v>69</v>
      </c>
      <c r="AC52" s="166" t="s">
        <v>69</v>
      </c>
      <c r="AD52" s="167" t="s">
        <v>71</v>
      </c>
      <c r="AE52" s="167" t="s">
        <v>70</v>
      </c>
      <c r="AF52" s="112">
        <v>45642</v>
      </c>
      <c r="AG52" s="112" t="s">
        <v>69</v>
      </c>
      <c r="AH52" s="167" t="s">
        <v>71</v>
      </c>
      <c r="AI52" s="167" t="s">
        <v>70</v>
      </c>
      <c r="AJ52" s="167" t="s">
        <v>70</v>
      </c>
      <c r="AK52" s="167" t="s">
        <v>70</v>
      </c>
      <c r="AL52" s="166" t="s">
        <v>69</v>
      </c>
      <c r="AM52" s="166"/>
      <c r="AN52" s="166" t="s">
        <v>69</v>
      </c>
      <c r="AO52" s="167" t="s">
        <v>70</v>
      </c>
      <c r="AP52" s="168">
        <v>46050</v>
      </c>
      <c r="AQ52" s="166" t="s">
        <v>69</v>
      </c>
      <c r="AR52" s="166" t="s">
        <v>69</v>
      </c>
      <c r="AS52" s="94">
        <v>45940</v>
      </c>
      <c r="AT52" s="166" t="s">
        <v>69</v>
      </c>
      <c r="AU52" s="166" t="s">
        <v>69</v>
      </c>
      <c r="AV52" s="166" t="s">
        <v>69</v>
      </c>
      <c r="AW52" s="166" t="s">
        <v>69</v>
      </c>
      <c r="AX52" s="166" t="s">
        <v>69</v>
      </c>
      <c r="AY52" s="166" t="s">
        <v>69</v>
      </c>
      <c r="AZ52" s="166" t="s">
        <v>69</v>
      </c>
      <c r="BA52" s="166" t="s">
        <v>69</v>
      </c>
      <c r="BB52" s="166" t="s">
        <v>69</v>
      </c>
      <c r="BC52" s="166" t="s">
        <v>69</v>
      </c>
      <c r="BD52" s="166" t="s">
        <v>69</v>
      </c>
      <c r="BE52" s="166" t="s">
        <v>69</v>
      </c>
      <c r="BF52" s="166" t="s">
        <v>69</v>
      </c>
      <c r="BG52" s="167" t="s">
        <v>70</v>
      </c>
      <c r="BH52" s="166" t="s">
        <v>69</v>
      </c>
      <c r="BI52" s="166" t="s">
        <v>69</v>
      </c>
      <c r="BJ52" s="167" t="s">
        <v>70</v>
      </c>
      <c r="BK52" s="166" t="s">
        <v>69</v>
      </c>
      <c r="BL52" s="167" t="s">
        <v>70</v>
      </c>
      <c r="BM52" s="167" t="s">
        <v>70</v>
      </c>
      <c r="BN52" s="167" t="s">
        <v>70</v>
      </c>
      <c r="BO52" s="167" t="s">
        <v>70</v>
      </c>
      <c r="BP52" s="167" t="s">
        <v>70</v>
      </c>
      <c r="BQ52" s="151">
        <v>0</v>
      </c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</row>
    <row r="53" spans="1:135" s="151" customFormat="1" ht="19.5" customHeight="1" x14ac:dyDescent="0.2">
      <c r="A53" s="117">
        <v>50</v>
      </c>
      <c r="B53" s="174" t="s">
        <v>576</v>
      </c>
      <c r="C53" s="144">
        <v>83091136</v>
      </c>
      <c r="D53" s="117" t="s">
        <v>73</v>
      </c>
      <c r="E53" s="146" t="s">
        <v>573</v>
      </c>
      <c r="F53" s="146" t="s">
        <v>208</v>
      </c>
      <c r="G53" s="162">
        <v>40938</v>
      </c>
      <c r="H53" s="162">
        <v>41012</v>
      </c>
      <c r="I53" s="111">
        <v>45687</v>
      </c>
      <c r="J53" s="162">
        <f t="shared" si="4"/>
        <v>46417</v>
      </c>
      <c r="K53" s="111">
        <v>41085</v>
      </c>
      <c r="L53" s="111">
        <v>46301</v>
      </c>
      <c r="M53" s="163">
        <f t="shared" si="3"/>
        <v>47032</v>
      </c>
      <c r="N53" s="163">
        <v>40987</v>
      </c>
      <c r="O53" s="111">
        <v>45260</v>
      </c>
      <c r="P53" s="111">
        <v>40989</v>
      </c>
      <c r="Q53" s="166" t="s">
        <v>69</v>
      </c>
      <c r="R53" s="166" t="s">
        <v>69</v>
      </c>
      <c r="S53" s="166" t="s">
        <v>69</v>
      </c>
      <c r="T53" s="168">
        <v>46087</v>
      </c>
      <c r="U53" s="168">
        <v>46045</v>
      </c>
      <c r="V53" s="185">
        <v>45996</v>
      </c>
      <c r="W53" s="185" t="s">
        <v>69</v>
      </c>
      <c r="X53" s="166" t="s">
        <v>69</v>
      </c>
      <c r="Y53" s="166" t="s">
        <v>69</v>
      </c>
      <c r="Z53" s="166" t="s">
        <v>69</v>
      </c>
      <c r="AA53" s="168">
        <v>46146</v>
      </c>
      <c r="AB53" s="166" t="s">
        <v>69</v>
      </c>
      <c r="AC53" s="166" t="s">
        <v>69</v>
      </c>
      <c r="AD53" s="167" t="s">
        <v>71</v>
      </c>
      <c r="AE53" s="167" t="s">
        <v>70</v>
      </c>
      <c r="AF53" s="112">
        <v>46028</v>
      </c>
      <c r="AG53" s="112" t="s">
        <v>69</v>
      </c>
      <c r="AH53" s="167" t="s">
        <v>71</v>
      </c>
      <c r="AI53" s="167" t="s">
        <v>70</v>
      </c>
      <c r="AJ53" s="167" t="s">
        <v>70</v>
      </c>
      <c r="AK53" s="167" t="s">
        <v>70</v>
      </c>
      <c r="AL53" s="166" t="s">
        <v>69</v>
      </c>
      <c r="AM53" s="166"/>
      <c r="AN53" s="166" t="s">
        <v>69</v>
      </c>
      <c r="AO53" s="167" t="s">
        <v>70</v>
      </c>
      <c r="AP53" s="166" t="s">
        <v>69</v>
      </c>
      <c r="AQ53" s="166" t="s">
        <v>69</v>
      </c>
      <c r="AR53" s="166" t="s">
        <v>69</v>
      </c>
      <c r="AS53" s="168">
        <v>46171</v>
      </c>
      <c r="AT53" s="166" t="s">
        <v>69</v>
      </c>
      <c r="AU53" s="166" t="s">
        <v>69</v>
      </c>
      <c r="AV53" s="166" t="s">
        <v>69</v>
      </c>
      <c r="AW53" s="166" t="s">
        <v>69</v>
      </c>
      <c r="AX53" s="166" t="s">
        <v>69</v>
      </c>
      <c r="AY53" s="166" t="s">
        <v>69</v>
      </c>
      <c r="AZ53" s="166" t="s">
        <v>69</v>
      </c>
      <c r="BA53" s="166" t="s">
        <v>69</v>
      </c>
      <c r="BB53" s="166" t="s">
        <v>69</v>
      </c>
      <c r="BC53" s="166" t="s">
        <v>69</v>
      </c>
      <c r="BD53" s="166" t="s">
        <v>69</v>
      </c>
      <c r="BE53" s="166" t="s">
        <v>69</v>
      </c>
      <c r="BF53" s="166" t="s">
        <v>69</v>
      </c>
      <c r="BG53" s="167" t="s">
        <v>70</v>
      </c>
      <c r="BH53" s="166" t="s">
        <v>69</v>
      </c>
      <c r="BI53" s="166" t="s">
        <v>69</v>
      </c>
      <c r="BJ53" s="167" t="s">
        <v>70</v>
      </c>
      <c r="BK53" s="166" t="s">
        <v>69</v>
      </c>
      <c r="BL53" s="167" t="s">
        <v>70</v>
      </c>
      <c r="BM53" s="167" t="s">
        <v>70</v>
      </c>
      <c r="BN53" s="167" t="s">
        <v>70</v>
      </c>
      <c r="BO53" s="167" t="s">
        <v>70</v>
      </c>
      <c r="BP53" s="167" t="s">
        <v>70</v>
      </c>
      <c r="BQ53" s="151">
        <v>0</v>
      </c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</row>
    <row r="54" spans="1:135" s="151" customFormat="1" ht="19.5" customHeight="1" x14ac:dyDescent="0.2">
      <c r="A54" s="117">
        <v>51</v>
      </c>
      <c r="B54" s="117" t="s">
        <v>651</v>
      </c>
      <c r="C54" s="117">
        <v>133572</v>
      </c>
      <c r="D54" s="117" t="s">
        <v>212</v>
      </c>
      <c r="E54" s="117" t="s">
        <v>573</v>
      </c>
      <c r="F54" s="146" t="s">
        <v>256</v>
      </c>
      <c r="G54" s="124" t="s">
        <v>69</v>
      </c>
      <c r="H54" s="89">
        <v>45770</v>
      </c>
      <c r="I54" s="89">
        <v>45770</v>
      </c>
      <c r="J54" s="162">
        <f>IF(I54="", "", DATE(YEAR(I54)+3, MONTH(I54), DAY(I54)))</f>
        <v>46866</v>
      </c>
      <c r="K54" s="89">
        <v>45769</v>
      </c>
      <c r="L54" s="89">
        <v>45769</v>
      </c>
      <c r="M54" s="163">
        <f>IF(L54="", "", DATE(YEAR(L54)+3, MONTH(L54), DAY(L54)))</f>
        <v>46865</v>
      </c>
      <c r="N54" s="89">
        <v>45772</v>
      </c>
      <c r="O54" s="93">
        <v>45771</v>
      </c>
      <c r="P54" s="89">
        <v>45768</v>
      </c>
      <c r="Q54" s="167" t="s">
        <v>70</v>
      </c>
      <c r="R54" s="167" t="s">
        <v>70</v>
      </c>
      <c r="S54" s="167" t="s">
        <v>70</v>
      </c>
      <c r="T54" s="167" t="s">
        <v>70</v>
      </c>
      <c r="U54" s="167" t="s">
        <v>70</v>
      </c>
      <c r="V54" s="167" t="s">
        <v>70</v>
      </c>
      <c r="W54" s="167" t="s">
        <v>70</v>
      </c>
      <c r="X54" s="167" t="s">
        <v>70</v>
      </c>
      <c r="Y54" s="167" t="s">
        <v>70</v>
      </c>
      <c r="Z54" s="167" t="s">
        <v>70</v>
      </c>
      <c r="AA54" s="167" t="s">
        <v>70</v>
      </c>
      <c r="AB54" s="167" t="s">
        <v>70</v>
      </c>
      <c r="AC54" s="167" t="s">
        <v>70</v>
      </c>
      <c r="AD54" s="167" t="s">
        <v>70</v>
      </c>
      <c r="AE54" s="167" t="s">
        <v>70</v>
      </c>
      <c r="AF54" s="167" t="s">
        <v>70</v>
      </c>
      <c r="AG54" s="167" t="s">
        <v>70</v>
      </c>
      <c r="AH54" s="167" t="s">
        <v>70</v>
      </c>
      <c r="AI54" s="111">
        <v>45694</v>
      </c>
      <c r="AJ54" s="166" t="s">
        <v>69</v>
      </c>
      <c r="AK54" s="167" t="s">
        <v>70</v>
      </c>
      <c r="AL54" s="167" t="s">
        <v>70</v>
      </c>
      <c r="AM54" s="167"/>
      <c r="AN54" s="167" t="s">
        <v>70</v>
      </c>
      <c r="AO54" s="167" t="s">
        <v>70</v>
      </c>
      <c r="AP54" s="167" t="s">
        <v>70</v>
      </c>
      <c r="AQ54" s="167" t="s">
        <v>70</v>
      </c>
      <c r="AR54" s="166" t="s">
        <v>69</v>
      </c>
      <c r="AS54" s="167" t="s">
        <v>70</v>
      </c>
      <c r="AT54" s="167" t="s">
        <v>70</v>
      </c>
      <c r="AU54" s="167" t="s">
        <v>70</v>
      </c>
      <c r="AV54" s="167" t="s">
        <v>70</v>
      </c>
      <c r="AW54" s="167" t="s">
        <v>70</v>
      </c>
      <c r="AX54" s="167" t="s">
        <v>70</v>
      </c>
      <c r="AY54" s="167" t="s">
        <v>70</v>
      </c>
      <c r="AZ54" s="167" t="s">
        <v>70</v>
      </c>
      <c r="BA54" s="167" t="s">
        <v>70</v>
      </c>
      <c r="BB54" s="167" t="s">
        <v>70</v>
      </c>
      <c r="BC54" s="167" t="s">
        <v>70</v>
      </c>
      <c r="BD54" s="167" t="s">
        <v>70</v>
      </c>
      <c r="BE54" s="167" t="s">
        <v>70</v>
      </c>
      <c r="BF54" s="167" t="s">
        <v>70</v>
      </c>
      <c r="BG54" s="167" t="s">
        <v>70</v>
      </c>
      <c r="BH54" s="167" t="s">
        <v>70</v>
      </c>
      <c r="BI54" s="167" t="s">
        <v>70</v>
      </c>
      <c r="BJ54" s="167" t="s">
        <v>70</v>
      </c>
      <c r="BK54" s="167" t="s">
        <v>70</v>
      </c>
      <c r="BL54" s="167" t="s">
        <v>70</v>
      </c>
      <c r="BM54" s="167" t="s">
        <v>70</v>
      </c>
      <c r="BN54" s="167" t="s">
        <v>70</v>
      </c>
      <c r="BO54" s="167" t="s">
        <v>70</v>
      </c>
      <c r="BP54" s="167" t="s">
        <v>70</v>
      </c>
      <c r="BQ54" s="151" t="s">
        <v>208</v>
      </c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</row>
    <row r="55" spans="1:135" s="151" customFormat="1" ht="19.5" customHeight="1" x14ac:dyDescent="0.2">
      <c r="A55" s="117">
        <v>52</v>
      </c>
      <c r="B55" s="117" t="s">
        <v>654</v>
      </c>
      <c r="C55" s="117">
        <v>135259</v>
      </c>
      <c r="D55" s="117" t="s">
        <v>212</v>
      </c>
      <c r="E55" s="117" t="s">
        <v>573</v>
      </c>
      <c r="F55" s="146" t="s">
        <v>256</v>
      </c>
      <c r="G55" s="124" t="s">
        <v>69</v>
      </c>
      <c r="H55" s="112">
        <v>46003</v>
      </c>
      <c r="I55" s="112">
        <v>46003</v>
      </c>
      <c r="J55" s="112">
        <v>46733</v>
      </c>
      <c r="K55" s="112">
        <v>46281</v>
      </c>
      <c r="L55" s="112">
        <v>46281</v>
      </c>
      <c r="M55" s="112">
        <v>47377</v>
      </c>
      <c r="N55" s="262"/>
      <c r="O55" s="112">
        <v>46002</v>
      </c>
      <c r="P55" s="112">
        <v>46280</v>
      </c>
      <c r="Q55" s="167" t="s">
        <v>70</v>
      </c>
      <c r="R55" s="167" t="s">
        <v>70</v>
      </c>
      <c r="S55" s="167" t="s">
        <v>70</v>
      </c>
      <c r="T55" s="167" t="s">
        <v>70</v>
      </c>
      <c r="U55" s="167" t="s">
        <v>70</v>
      </c>
      <c r="V55" s="167" t="s">
        <v>70</v>
      </c>
      <c r="W55" s="167" t="s">
        <v>70</v>
      </c>
      <c r="X55" s="167" t="s">
        <v>70</v>
      </c>
      <c r="Y55" s="167" t="s">
        <v>70</v>
      </c>
      <c r="Z55" s="167" t="s">
        <v>70</v>
      </c>
      <c r="AA55" s="167" t="s">
        <v>70</v>
      </c>
      <c r="AB55" s="167" t="s">
        <v>70</v>
      </c>
      <c r="AC55" s="167" t="s">
        <v>70</v>
      </c>
      <c r="AD55" s="167" t="s">
        <v>70</v>
      </c>
      <c r="AE55" s="167" t="s">
        <v>70</v>
      </c>
      <c r="AF55" s="167" t="s">
        <v>70</v>
      </c>
      <c r="AG55" s="167" t="s">
        <v>70</v>
      </c>
      <c r="AH55" s="167" t="s">
        <v>70</v>
      </c>
      <c r="AI55" s="186">
        <v>45715</v>
      </c>
      <c r="AJ55" s="166" t="s">
        <v>69</v>
      </c>
      <c r="AK55" s="167" t="s">
        <v>70</v>
      </c>
      <c r="AL55" s="167" t="s">
        <v>70</v>
      </c>
      <c r="AM55" s="167"/>
      <c r="AN55" s="167" t="s">
        <v>70</v>
      </c>
      <c r="AO55" s="167" t="s">
        <v>70</v>
      </c>
      <c r="AP55" s="167" t="s">
        <v>70</v>
      </c>
      <c r="AQ55" s="167" t="s">
        <v>70</v>
      </c>
      <c r="AR55" s="166" t="s">
        <v>69</v>
      </c>
      <c r="AS55" s="167" t="s">
        <v>70</v>
      </c>
      <c r="AT55" s="167" t="s">
        <v>70</v>
      </c>
      <c r="AU55" s="167" t="s">
        <v>70</v>
      </c>
      <c r="AV55" s="167" t="s">
        <v>70</v>
      </c>
      <c r="AW55" s="167" t="s">
        <v>70</v>
      </c>
      <c r="AX55" s="167" t="s">
        <v>70</v>
      </c>
      <c r="AY55" s="167" t="s">
        <v>70</v>
      </c>
      <c r="AZ55" s="167" t="s">
        <v>70</v>
      </c>
      <c r="BA55" s="167" t="s">
        <v>70</v>
      </c>
      <c r="BB55" s="167" t="s">
        <v>70</v>
      </c>
      <c r="BC55" s="167" t="s">
        <v>70</v>
      </c>
      <c r="BD55" s="167" t="s">
        <v>70</v>
      </c>
      <c r="BE55" s="167" t="s">
        <v>70</v>
      </c>
      <c r="BF55" s="167" t="s">
        <v>70</v>
      </c>
      <c r="BG55" s="167" t="s">
        <v>70</v>
      </c>
      <c r="BH55" s="167" t="s">
        <v>70</v>
      </c>
      <c r="BI55" s="167" t="s">
        <v>70</v>
      </c>
      <c r="BJ55" s="167" t="s">
        <v>70</v>
      </c>
      <c r="BK55" s="167" t="s">
        <v>70</v>
      </c>
      <c r="BL55" s="167" t="s">
        <v>70</v>
      </c>
      <c r="BM55" s="167" t="s">
        <v>70</v>
      </c>
      <c r="BN55" s="167" t="s">
        <v>70</v>
      </c>
      <c r="BO55" s="167" t="s">
        <v>70</v>
      </c>
      <c r="BP55" s="167" t="s">
        <v>70</v>
      </c>
      <c r="BQ55" s="151" t="s">
        <v>208</v>
      </c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</row>
    <row r="56" spans="1:135" s="151" customFormat="1" ht="19.5" customHeight="1" x14ac:dyDescent="0.2">
      <c r="A56" s="117">
        <v>53</v>
      </c>
      <c r="B56" s="174" t="s">
        <v>655</v>
      </c>
      <c r="C56" s="144">
        <v>83103629</v>
      </c>
      <c r="D56" s="117" t="s">
        <v>212</v>
      </c>
      <c r="E56" s="117" t="s">
        <v>573</v>
      </c>
      <c r="F56" s="146" t="s">
        <v>208</v>
      </c>
      <c r="G56" s="162">
        <v>44433</v>
      </c>
      <c r="H56" s="162">
        <v>44412</v>
      </c>
      <c r="I56" s="162">
        <v>45951</v>
      </c>
      <c r="J56" s="162">
        <f>IF(I56="", "", DATE(YEAR(I56)+2, MONTH(I56), DAY(I56)))</f>
        <v>46681</v>
      </c>
      <c r="K56" s="162">
        <v>40941</v>
      </c>
      <c r="L56" s="162">
        <v>45677</v>
      </c>
      <c r="M56" s="163">
        <f>IF(L56="", "", DATE(YEAR(L56)+2, MONTH(L56), DAY(L56)))</f>
        <v>46407</v>
      </c>
      <c r="N56" s="111">
        <v>44420</v>
      </c>
      <c r="O56" s="111">
        <v>45632</v>
      </c>
      <c r="P56" s="111">
        <v>44418</v>
      </c>
      <c r="Q56" s="167" t="s">
        <v>70</v>
      </c>
      <c r="R56" s="167" t="s">
        <v>70</v>
      </c>
      <c r="S56" s="167" t="s">
        <v>70</v>
      </c>
      <c r="T56" s="167" t="s">
        <v>70</v>
      </c>
      <c r="U56" s="167" t="s">
        <v>70</v>
      </c>
      <c r="V56" s="167" t="s">
        <v>70</v>
      </c>
      <c r="W56" s="167" t="s">
        <v>70</v>
      </c>
      <c r="X56" s="167" t="s">
        <v>70</v>
      </c>
      <c r="Y56" s="167" t="s">
        <v>70</v>
      </c>
      <c r="Z56" s="167" t="s">
        <v>70</v>
      </c>
      <c r="AA56" s="167" t="s">
        <v>70</v>
      </c>
      <c r="AB56" s="167" t="s">
        <v>70</v>
      </c>
      <c r="AC56" s="167" t="s">
        <v>70</v>
      </c>
      <c r="AD56" s="167" t="s">
        <v>70</v>
      </c>
      <c r="AE56" s="167" t="s">
        <v>70</v>
      </c>
      <c r="AF56" s="167" t="s">
        <v>70</v>
      </c>
      <c r="AG56" s="167" t="s">
        <v>70</v>
      </c>
      <c r="AH56" s="167" t="s">
        <v>70</v>
      </c>
      <c r="AI56" s="187">
        <v>45995</v>
      </c>
      <c r="AJ56" s="166" t="s">
        <v>69</v>
      </c>
      <c r="AK56" s="167" t="s">
        <v>70</v>
      </c>
      <c r="AL56" s="167" t="s">
        <v>70</v>
      </c>
      <c r="AM56" s="167"/>
      <c r="AN56" s="167" t="s">
        <v>70</v>
      </c>
      <c r="AO56" s="167" t="s">
        <v>70</v>
      </c>
      <c r="AP56" s="167" t="s">
        <v>70</v>
      </c>
      <c r="AQ56" s="167" t="s">
        <v>70</v>
      </c>
      <c r="AR56" s="166" t="s">
        <v>69</v>
      </c>
      <c r="AS56" s="167" t="s">
        <v>70</v>
      </c>
      <c r="AT56" s="167" t="s">
        <v>70</v>
      </c>
      <c r="AU56" s="167" t="s">
        <v>70</v>
      </c>
      <c r="AV56" s="167" t="s">
        <v>70</v>
      </c>
      <c r="AW56" s="167" t="s">
        <v>70</v>
      </c>
      <c r="AX56" s="167" t="s">
        <v>70</v>
      </c>
      <c r="AY56" s="167" t="s">
        <v>70</v>
      </c>
      <c r="AZ56" s="167" t="s">
        <v>70</v>
      </c>
      <c r="BA56" s="167" t="s">
        <v>70</v>
      </c>
      <c r="BB56" s="167" t="s">
        <v>70</v>
      </c>
      <c r="BC56" s="167" t="s">
        <v>70</v>
      </c>
      <c r="BD56" s="167" t="s">
        <v>70</v>
      </c>
      <c r="BE56" s="167" t="s">
        <v>70</v>
      </c>
      <c r="BF56" s="167" t="s">
        <v>70</v>
      </c>
      <c r="BG56" s="167" t="s">
        <v>70</v>
      </c>
      <c r="BH56" s="167" t="s">
        <v>70</v>
      </c>
      <c r="BI56" s="167" t="s">
        <v>70</v>
      </c>
      <c r="BJ56" s="167" t="s">
        <v>70</v>
      </c>
      <c r="BK56" s="167" t="s">
        <v>70</v>
      </c>
      <c r="BL56" s="167" t="s">
        <v>70</v>
      </c>
      <c r="BM56" s="167" t="s">
        <v>70</v>
      </c>
      <c r="BN56" s="167" t="s">
        <v>70</v>
      </c>
      <c r="BO56" s="167" t="s">
        <v>70</v>
      </c>
      <c r="BP56" s="167" t="s">
        <v>70</v>
      </c>
      <c r="BQ56" s="151" t="s">
        <v>208</v>
      </c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</row>
    <row r="57" spans="1:135" s="242" customFormat="1" ht="19.5" customHeight="1" x14ac:dyDescent="0.2">
      <c r="A57" s="117">
        <v>54</v>
      </c>
      <c r="B57" s="243" t="s">
        <v>863</v>
      </c>
      <c r="C57" s="243">
        <v>142172</v>
      </c>
      <c r="D57" s="243" t="s">
        <v>864</v>
      </c>
      <c r="E57" s="241" t="s">
        <v>414</v>
      </c>
      <c r="F57" s="146" t="s">
        <v>208</v>
      </c>
      <c r="G57" s="162">
        <v>41877</v>
      </c>
      <c r="H57" s="180">
        <v>44503</v>
      </c>
      <c r="I57" s="180">
        <v>46083</v>
      </c>
      <c r="J57" s="162">
        <f>IF(I57="", "", DATE(YEAR(I57)+2, MONTH(I57), DAY(I57)))</f>
        <v>46814</v>
      </c>
      <c r="K57" s="180">
        <v>42010</v>
      </c>
      <c r="L57" s="180">
        <v>46113</v>
      </c>
      <c r="M57" s="163">
        <f>IF(L57="", "", DATE(YEAR(L57)+2, MONTH(L57), DAY(L57)))</f>
        <v>46844</v>
      </c>
      <c r="N57" s="111">
        <v>42032</v>
      </c>
      <c r="O57" s="111">
        <v>45642</v>
      </c>
      <c r="P57" s="111">
        <v>42034</v>
      </c>
      <c r="Q57" s="166" t="s">
        <v>69</v>
      </c>
      <c r="R57" s="166" t="s">
        <v>69</v>
      </c>
      <c r="S57" s="166" t="s">
        <v>69</v>
      </c>
      <c r="T57" s="166" t="s">
        <v>69</v>
      </c>
      <c r="U57" s="168">
        <v>46300</v>
      </c>
      <c r="V57" s="166" t="s">
        <v>69</v>
      </c>
      <c r="W57" s="166" t="s">
        <v>69</v>
      </c>
      <c r="X57" s="166" t="s">
        <v>69</v>
      </c>
      <c r="Y57" s="166" t="s">
        <v>69</v>
      </c>
      <c r="Z57" s="166" t="s">
        <v>69</v>
      </c>
      <c r="AA57" s="166" t="s">
        <v>69</v>
      </c>
      <c r="AB57" s="166" t="s">
        <v>69</v>
      </c>
      <c r="AC57" s="166" t="s">
        <v>69</v>
      </c>
      <c r="AD57" s="167" t="s">
        <v>71</v>
      </c>
      <c r="AE57" s="167" t="s">
        <v>70</v>
      </c>
      <c r="AF57" s="112" t="s">
        <v>69</v>
      </c>
      <c r="AG57" s="112" t="s">
        <v>69</v>
      </c>
      <c r="AH57" s="167" t="s">
        <v>71</v>
      </c>
      <c r="AI57" s="167" t="s">
        <v>70</v>
      </c>
      <c r="AJ57" s="167" t="s">
        <v>70</v>
      </c>
      <c r="AK57" s="167" t="s">
        <v>70</v>
      </c>
      <c r="AL57" s="166" t="s">
        <v>69</v>
      </c>
      <c r="AM57" s="166" t="s">
        <v>69</v>
      </c>
      <c r="AN57" s="166" t="s">
        <v>69</v>
      </c>
      <c r="AO57" s="167" t="s">
        <v>70</v>
      </c>
      <c r="AP57" s="166" t="s">
        <v>69</v>
      </c>
      <c r="AQ57" s="166" t="s">
        <v>69</v>
      </c>
      <c r="AR57" s="166" t="s">
        <v>69</v>
      </c>
      <c r="AS57" s="166" t="s">
        <v>69</v>
      </c>
      <c r="AT57" s="166" t="s">
        <v>69</v>
      </c>
      <c r="AU57" s="166" t="s">
        <v>69</v>
      </c>
      <c r="AV57" s="166" t="s">
        <v>69</v>
      </c>
      <c r="AW57" s="166" t="s">
        <v>69</v>
      </c>
      <c r="AX57" s="166" t="s">
        <v>69</v>
      </c>
      <c r="AY57" s="166" t="s">
        <v>69</v>
      </c>
      <c r="AZ57" s="166" t="s">
        <v>69</v>
      </c>
      <c r="BA57" s="166" t="s">
        <v>69</v>
      </c>
      <c r="BB57" s="166" t="s">
        <v>69</v>
      </c>
      <c r="BC57" s="166" t="s">
        <v>69</v>
      </c>
      <c r="BD57" s="166" t="s">
        <v>69</v>
      </c>
      <c r="BE57" s="166" t="s">
        <v>69</v>
      </c>
      <c r="BF57" s="166" t="s">
        <v>69</v>
      </c>
      <c r="BG57" s="167" t="s">
        <v>70</v>
      </c>
      <c r="BH57" s="166" t="s">
        <v>69</v>
      </c>
      <c r="BI57" s="166" t="s">
        <v>69</v>
      </c>
      <c r="BJ57" s="167" t="s">
        <v>70</v>
      </c>
      <c r="BK57" s="166" t="s">
        <v>69</v>
      </c>
      <c r="BL57" s="167" t="s">
        <v>70</v>
      </c>
      <c r="BM57" s="167" t="s">
        <v>70</v>
      </c>
      <c r="BN57" s="167" t="s">
        <v>70</v>
      </c>
      <c r="BO57" s="167" t="s">
        <v>70</v>
      </c>
      <c r="BP57" s="167" t="s">
        <v>70</v>
      </c>
      <c r="BQ57" s="151" t="e">
        <v>#N/A</v>
      </c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</row>
    <row r="58" spans="1:135" s="151" customFormat="1" ht="19.5" customHeight="1" x14ac:dyDescent="0.2">
      <c r="A58" s="117">
        <v>55</v>
      </c>
      <c r="B58" s="117" t="s">
        <v>583</v>
      </c>
      <c r="C58" s="117">
        <v>131846</v>
      </c>
      <c r="D58" s="117" t="s">
        <v>73</v>
      </c>
      <c r="E58" s="144" t="s">
        <v>414</v>
      </c>
      <c r="F58" s="146" t="s">
        <v>208</v>
      </c>
      <c r="G58" s="89">
        <v>41989</v>
      </c>
      <c r="H58" s="89">
        <v>42008</v>
      </c>
      <c r="I58" s="89">
        <v>46301</v>
      </c>
      <c r="J58" s="162">
        <f>IF(I58="", "", DATE(YEAR(I58)+2, MONTH(I58), DAY(I58)))</f>
        <v>47032</v>
      </c>
      <c r="K58" s="89">
        <v>41513</v>
      </c>
      <c r="L58" s="89">
        <v>46154</v>
      </c>
      <c r="M58" s="163">
        <f>IF(L58="", "", DATE(YEAR(L58)+2, MONTH(L58), DAY(L58)))</f>
        <v>46885</v>
      </c>
      <c r="N58" s="89">
        <v>41507</v>
      </c>
      <c r="O58" s="89">
        <v>41509</v>
      </c>
      <c r="P58" s="89">
        <v>41509</v>
      </c>
      <c r="Q58" s="166" t="s">
        <v>69</v>
      </c>
      <c r="R58" s="166" t="s">
        <v>69</v>
      </c>
      <c r="S58" s="166" t="s">
        <v>69</v>
      </c>
      <c r="T58" s="181">
        <v>44435</v>
      </c>
      <c r="U58" s="168">
        <v>42506</v>
      </c>
      <c r="V58" s="168">
        <v>45800</v>
      </c>
      <c r="W58" s="168">
        <v>45632</v>
      </c>
      <c r="X58" s="181">
        <v>44232</v>
      </c>
      <c r="Y58" s="181">
        <v>42258</v>
      </c>
      <c r="Z58" s="181">
        <v>44316</v>
      </c>
      <c r="AA58" s="94">
        <v>45695</v>
      </c>
      <c r="AB58" s="166" t="s">
        <v>69</v>
      </c>
      <c r="AC58" s="166" t="s">
        <v>69</v>
      </c>
      <c r="AD58" s="167" t="s">
        <v>71</v>
      </c>
      <c r="AE58" s="167" t="s">
        <v>70</v>
      </c>
      <c r="AF58" s="112">
        <v>45972</v>
      </c>
      <c r="AG58" s="112" t="s">
        <v>69</v>
      </c>
      <c r="AH58" s="167" t="s">
        <v>71</v>
      </c>
      <c r="AI58" s="167" t="s">
        <v>70</v>
      </c>
      <c r="AJ58" s="167" t="s">
        <v>70</v>
      </c>
      <c r="AK58" s="167" t="s">
        <v>70</v>
      </c>
      <c r="AL58" s="166" t="s">
        <v>69</v>
      </c>
      <c r="AM58" s="166"/>
      <c r="AN58" s="166" t="s">
        <v>69</v>
      </c>
      <c r="AO58" s="167" t="s">
        <v>70</v>
      </c>
      <c r="AP58" s="168">
        <v>46050</v>
      </c>
      <c r="AQ58" s="166" t="s">
        <v>69</v>
      </c>
      <c r="AR58" s="94">
        <v>45940</v>
      </c>
      <c r="AS58" s="166" t="s">
        <v>69</v>
      </c>
      <c r="AT58" s="166" t="s">
        <v>69</v>
      </c>
      <c r="AU58" s="166" t="s">
        <v>69</v>
      </c>
      <c r="AV58" s="166" t="s">
        <v>69</v>
      </c>
      <c r="AW58" s="166" t="s">
        <v>69</v>
      </c>
      <c r="AX58" s="166" t="s">
        <v>69</v>
      </c>
      <c r="AY58" s="166" t="s">
        <v>69</v>
      </c>
      <c r="AZ58" s="166" t="s">
        <v>69</v>
      </c>
      <c r="BA58" s="166" t="s">
        <v>69</v>
      </c>
      <c r="BB58" s="166" t="s">
        <v>69</v>
      </c>
      <c r="BC58" s="166" t="s">
        <v>69</v>
      </c>
      <c r="BD58" s="166" t="s">
        <v>69</v>
      </c>
      <c r="BE58" s="166" t="s">
        <v>69</v>
      </c>
      <c r="BF58" s="166" t="s">
        <v>69</v>
      </c>
      <c r="BG58" s="167" t="s">
        <v>70</v>
      </c>
      <c r="BH58" s="166" t="s">
        <v>69</v>
      </c>
      <c r="BI58" s="166" t="s">
        <v>69</v>
      </c>
      <c r="BJ58" s="167" t="s">
        <v>70</v>
      </c>
      <c r="BK58" s="166" t="s">
        <v>69</v>
      </c>
      <c r="BL58" s="167" t="s">
        <v>70</v>
      </c>
      <c r="BM58" s="167" t="s">
        <v>70</v>
      </c>
      <c r="BN58" s="167" t="s">
        <v>70</v>
      </c>
      <c r="BO58" s="167" t="s">
        <v>70</v>
      </c>
      <c r="BP58" s="167" t="s">
        <v>70</v>
      </c>
      <c r="BQ58" s="151">
        <v>0</v>
      </c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</row>
    <row r="59" spans="1:135" s="151" customFormat="1" ht="19.5" customHeight="1" x14ac:dyDescent="0.2">
      <c r="A59" s="117">
        <v>56</v>
      </c>
      <c r="B59" s="117" t="s">
        <v>584</v>
      </c>
      <c r="C59" s="117">
        <v>83040148</v>
      </c>
      <c r="D59" s="117" t="s">
        <v>73</v>
      </c>
      <c r="E59" s="144" t="s">
        <v>414</v>
      </c>
      <c r="F59" s="146" t="s">
        <v>208</v>
      </c>
      <c r="G59" s="89">
        <v>38117</v>
      </c>
      <c r="H59" s="89">
        <v>41017</v>
      </c>
      <c r="I59" s="89">
        <v>45916</v>
      </c>
      <c r="J59" s="162">
        <f>IF(I59="", "", DATE(YEAR(I59)+2, MONTH(I59), DAY(I59)))</f>
        <v>46646</v>
      </c>
      <c r="K59" s="89">
        <v>40905</v>
      </c>
      <c r="L59" s="175">
        <v>46064</v>
      </c>
      <c r="M59" s="163">
        <f>IF(L59="", "", DATE(YEAR(L59)+2, MONTH(L59), DAY(L59)))</f>
        <v>46794</v>
      </c>
      <c r="N59" s="89">
        <v>40889</v>
      </c>
      <c r="O59" s="89">
        <v>40889</v>
      </c>
      <c r="P59" s="89">
        <v>40889</v>
      </c>
      <c r="Q59" s="166" t="s">
        <v>69</v>
      </c>
      <c r="R59" s="166" t="s">
        <v>69</v>
      </c>
      <c r="S59" s="166" t="s">
        <v>69</v>
      </c>
      <c r="T59" s="181">
        <v>44176</v>
      </c>
      <c r="U59" s="181">
        <v>43518</v>
      </c>
      <c r="V59" s="168">
        <v>42174</v>
      </c>
      <c r="W59" s="166" t="s">
        <v>69</v>
      </c>
      <c r="X59" s="168">
        <v>41722</v>
      </c>
      <c r="Y59" s="168">
        <v>41778</v>
      </c>
      <c r="Z59" s="181">
        <v>43434</v>
      </c>
      <c r="AA59" s="168">
        <v>46146</v>
      </c>
      <c r="AB59" s="166" t="s">
        <v>69</v>
      </c>
      <c r="AC59" s="166" t="s">
        <v>69</v>
      </c>
      <c r="AD59" s="167" t="s">
        <v>71</v>
      </c>
      <c r="AE59" s="167" t="s">
        <v>70</v>
      </c>
      <c r="AF59" s="112">
        <v>46217</v>
      </c>
      <c r="AG59" s="112" t="s">
        <v>69</v>
      </c>
      <c r="AH59" s="167" t="s">
        <v>71</v>
      </c>
      <c r="AI59" s="167" t="s">
        <v>70</v>
      </c>
      <c r="AJ59" s="167" t="s">
        <v>70</v>
      </c>
      <c r="AK59" s="167" t="s">
        <v>70</v>
      </c>
      <c r="AL59" s="166" t="s">
        <v>69</v>
      </c>
      <c r="AM59" s="166"/>
      <c r="AN59" s="166" t="s">
        <v>69</v>
      </c>
      <c r="AO59" s="167" t="s">
        <v>70</v>
      </c>
      <c r="AP59" s="168">
        <v>41259</v>
      </c>
      <c r="AQ59" s="166" t="s">
        <v>69</v>
      </c>
      <c r="AR59" s="166" t="s">
        <v>69</v>
      </c>
      <c r="AS59" s="166" t="s">
        <v>69</v>
      </c>
      <c r="AT59" s="94">
        <v>43603</v>
      </c>
      <c r="AU59" s="166" t="s">
        <v>69</v>
      </c>
      <c r="AV59" s="166" t="s">
        <v>69</v>
      </c>
      <c r="AW59" s="166" t="s">
        <v>69</v>
      </c>
      <c r="AX59" s="166" t="s">
        <v>69</v>
      </c>
      <c r="AY59" s="166" t="s">
        <v>69</v>
      </c>
      <c r="AZ59" s="166" t="s">
        <v>69</v>
      </c>
      <c r="BA59" s="166" t="s">
        <v>69</v>
      </c>
      <c r="BB59" s="166" t="s">
        <v>69</v>
      </c>
      <c r="BC59" s="166" t="s">
        <v>69</v>
      </c>
      <c r="BD59" s="166" t="s">
        <v>69</v>
      </c>
      <c r="BE59" s="166" t="s">
        <v>69</v>
      </c>
      <c r="BF59" s="166" t="s">
        <v>69</v>
      </c>
      <c r="BG59" s="167" t="s">
        <v>70</v>
      </c>
      <c r="BH59" s="166" t="s">
        <v>69</v>
      </c>
      <c r="BI59" s="166" t="s">
        <v>69</v>
      </c>
      <c r="BJ59" s="167" t="s">
        <v>70</v>
      </c>
      <c r="BK59" s="166" t="s">
        <v>69</v>
      </c>
      <c r="BL59" s="167" t="s">
        <v>70</v>
      </c>
      <c r="BM59" s="167" t="s">
        <v>70</v>
      </c>
      <c r="BN59" s="167" t="s">
        <v>70</v>
      </c>
      <c r="BO59" s="167" t="s">
        <v>70</v>
      </c>
      <c r="BP59" s="167" t="s">
        <v>70</v>
      </c>
      <c r="BQ59" s="151">
        <v>0</v>
      </c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</row>
    <row r="60" spans="1:135" s="151" customFormat="1" ht="19.5" customHeight="1" x14ac:dyDescent="0.2">
      <c r="A60" s="117">
        <v>57</v>
      </c>
      <c r="B60" s="188" t="s">
        <v>413</v>
      </c>
      <c r="C60" s="189">
        <v>131240</v>
      </c>
      <c r="D60" s="161" t="s">
        <v>838</v>
      </c>
      <c r="E60" s="117" t="s">
        <v>414</v>
      </c>
      <c r="F60" s="146" t="s">
        <v>256</v>
      </c>
      <c r="G60" s="124" t="s">
        <v>69</v>
      </c>
      <c r="H60" s="93">
        <v>42326</v>
      </c>
      <c r="I60" s="93">
        <v>45889</v>
      </c>
      <c r="J60" s="92">
        <f>IF(I60="", "", DATE(YEAR(I60)+3, MONTH(I60), DAY(L60)))</f>
        <v>46984</v>
      </c>
      <c r="K60" s="93">
        <v>42326</v>
      </c>
      <c r="L60" s="93">
        <v>45888</v>
      </c>
      <c r="M60" s="140">
        <f t="shared" ref="M60:M73" si="5">IF(L60="", "", DATE(YEAR(L60)+3, MONTH(L60), DAY(L60)))</f>
        <v>46984</v>
      </c>
      <c r="N60" s="93">
        <v>45891</v>
      </c>
      <c r="O60" s="93">
        <v>45890</v>
      </c>
      <c r="P60" s="93">
        <v>45887</v>
      </c>
      <c r="Q60" s="167" t="s">
        <v>70</v>
      </c>
      <c r="R60" s="167" t="s">
        <v>70</v>
      </c>
      <c r="S60" s="167" t="s">
        <v>70</v>
      </c>
      <c r="T60" s="167" t="s">
        <v>70</v>
      </c>
      <c r="U60" s="167" t="s">
        <v>70</v>
      </c>
      <c r="V60" s="167" t="s">
        <v>70</v>
      </c>
      <c r="W60" s="167" t="s">
        <v>70</v>
      </c>
      <c r="X60" s="167" t="s">
        <v>70</v>
      </c>
      <c r="Y60" s="167" t="s">
        <v>70</v>
      </c>
      <c r="Z60" s="167" t="s">
        <v>70</v>
      </c>
      <c r="AA60" s="167" t="s">
        <v>70</v>
      </c>
      <c r="AB60" s="167" t="s">
        <v>70</v>
      </c>
      <c r="AC60" s="167" t="s">
        <v>70</v>
      </c>
      <c r="AD60" s="167" t="s">
        <v>70</v>
      </c>
      <c r="AE60" s="167" t="s">
        <v>70</v>
      </c>
      <c r="AF60" s="167" t="s">
        <v>70</v>
      </c>
      <c r="AG60" s="167" t="s">
        <v>70</v>
      </c>
      <c r="AH60" s="167" t="s">
        <v>70</v>
      </c>
      <c r="AI60" s="181">
        <v>46044</v>
      </c>
      <c r="AJ60" s="166" t="s">
        <v>69</v>
      </c>
      <c r="AK60" s="167" t="s">
        <v>70</v>
      </c>
      <c r="AL60" s="167" t="s">
        <v>70</v>
      </c>
      <c r="AM60" s="167"/>
      <c r="AN60" s="167" t="s">
        <v>70</v>
      </c>
      <c r="AO60" s="167" t="s">
        <v>70</v>
      </c>
      <c r="AP60" s="167" t="s">
        <v>70</v>
      </c>
      <c r="AQ60" s="167" t="s">
        <v>70</v>
      </c>
      <c r="AR60" s="166" t="s">
        <v>69</v>
      </c>
      <c r="AS60" s="167" t="s">
        <v>70</v>
      </c>
      <c r="AT60" s="167" t="s">
        <v>70</v>
      </c>
      <c r="AU60" s="167" t="s">
        <v>70</v>
      </c>
      <c r="AV60" s="167" t="s">
        <v>70</v>
      </c>
      <c r="AW60" s="167" t="s">
        <v>70</v>
      </c>
      <c r="AX60" s="167" t="s">
        <v>70</v>
      </c>
      <c r="AY60" s="167" t="s">
        <v>70</v>
      </c>
      <c r="AZ60" s="167" t="s">
        <v>70</v>
      </c>
      <c r="BA60" s="167" t="s">
        <v>70</v>
      </c>
      <c r="BB60" s="167" t="s">
        <v>70</v>
      </c>
      <c r="BC60" s="167" t="s">
        <v>70</v>
      </c>
      <c r="BD60" s="167" t="s">
        <v>70</v>
      </c>
      <c r="BE60" s="167" t="s">
        <v>70</v>
      </c>
      <c r="BF60" s="167" t="s">
        <v>70</v>
      </c>
      <c r="BG60" s="167" t="s">
        <v>70</v>
      </c>
      <c r="BH60" s="167" t="s">
        <v>70</v>
      </c>
      <c r="BI60" s="167" t="s">
        <v>70</v>
      </c>
      <c r="BJ60" s="167" t="s">
        <v>70</v>
      </c>
      <c r="BK60" s="167" t="s">
        <v>70</v>
      </c>
      <c r="BL60" s="167" t="s">
        <v>70</v>
      </c>
      <c r="BM60" s="167" t="s">
        <v>70</v>
      </c>
      <c r="BN60" s="167" t="s">
        <v>70</v>
      </c>
      <c r="BO60" s="167" t="s">
        <v>70</v>
      </c>
      <c r="BP60" s="167" t="s">
        <v>70</v>
      </c>
      <c r="BQ60" s="151" t="s">
        <v>256</v>
      </c>
    </row>
    <row r="61" spans="1:135" s="151" customFormat="1" ht="19.5" customHeight="1" x14ac:dyDescent="0.2">
      <c r="A61" s="117">
        <v>58</v>
      </c>
      <c r="B61" s="121" t="s">
        <v>415</v>
      </c>
      <c r="C61" s="122">
        <v>83120957</v>
      </c>
      <c r="D61" s="117" t="s">
        <v>212</v>
      </c>
      <c r="E61" s="117" t="s">
        <v>414</v>
      </c>
      <c r="F61" s="146" t="s">
        <v>256</v>
      </c>
      <c r="G61" s="124" t="s">
        <v>69</v>
      </c>
      <c r="H61" s="93">
        <v>46199</v>
      </c>
      <c r="I61" s="93">
        <v>46199</v>
      </c>
      <c r="J61" s="92">
        <f>IF(I61="", "", DATE(YEAR(I61)+3, MONTH(I61), DAY(I61)))</f>
        <v>47295</v>
      </c>
      <c r="K61" s="93">
        <v>46198</v>
      </c>
      <c r="L61" s="93">
        <v>46198</v>
      </c>
      <c r="M61" s="140">
        <f t="shared" si="5"/>
        <v>47294</v>
      </c>
      <c r="N61" s="190">
        <v>46195</v>
      </c>
      <c r="O61" s="93">
        <v>46196</v>
      </c>
      <c r="P61" s="93">
        <v>46197</v>
      </c>
      <c r="Q61" s="167" t="s">
        <v>70</v>
      </c>
      <c r="R61" s="167" t="s">
        <v>70</v>
      </c>
      <c r="S61" s="167" t="s">
        <v>70</v>
      </c>
      <c r="T61" s="167" t="s">
        <v>70</v>
      </c>
      <c r="U61" s="167" t="s">
        <v>70</v>
      </c>
      <c r="V61" s="167" t="s">
        <v>70</v>
      </c>
      <c r="W61" s="167" t="s">
        <v>70</v>
      </c>
      <c r="X61" s="167" t="s">
        <v>70</v>
      </c>
      <c r="Y61" s="167" t="s">
        <v>70</v>
      </c>
      <c r="Z61" s="167" t="s">
        <v>70</v>
      </c>
      <c r="AA61" s="167" t="s">
        <v>70</v>
      </c>
      <c r="AB61" s="167" t="s">
        <v>70</v>
      </c>
      <c r="AC61" s="167" t="s">
        <v>70</v>
      </c>
      <c r="AD61" s="167" t="s">
        <v>70</v>
      </c>
      <c r="AE61" s="167" t="s">
        <v>70</v>
      </c>
      <c r="AF61" s="167" t="s">
        <v>70</v>
      </c>
      <c r="AG61" s="167" t="s">
        <v>70</v>
      </c>
      <c r="AH61" s="167" t="s">
        <v>70</v>
      </c>
      <c r="AI61" s="186">
        <v>46128</v>
      </c>
      <c r="AJ61" s="166" t="s">
        <v>69</v>
      </c>
      <c r="AK61" s="167" t="s">
        <v>70</v>
      </c>
      <c r="AL61" s="167" t="s">
        <v>70</v>
      </c>
      <c r="AM61" s="167"/>
      <c r="AN61" s="167" t="s">
        <v>70</v>
      </c>
      <c r="AO61" s="167" t="s">
        <v>70</v>
      </c>
      <c r="AP61" s="167" t="s">
        <v>70</v>
      </c>
      <c r="AQ61" s="167" t="s">
        <v>70</v>
      </c>
      <c r="AR61" s="166" t="s">
        <v>69</v>
      </c>
      <c r="AS61" s="167" t="s">
        <v>70</v>
      </c>
      <c r="AT61" s="167" t="s">
        <v>70</v>
      </c>
      <c r="AU61" s="167" t="s">
        <v>70</v>
      </c>
      <c r="AV61" s="167" t="s">
        <v>70</v>
      </c>
      <c r="AW61" s="167" t="s">
        <v>70</v>
      </c>
      <c r="AX61" s="167" t="s">
        <v>70</v>
      </c>
      <c r="AY61" s="167" t="s">
        <v>70</v>
      </c>
      <c r="AZ61" s="167" t="s">
        <v>70</v>
      </c>
      <c r="BA61" s="167" t="s">
        <v>70</v>
      </c>
      <c r="BB61" s="167" t="s">
        <v>70</v>
      </c>
      <c r="BC61" s="167" t="s">
        <v>70</v>
      </c>
      <c r="BD61" s="167" t="s">
        <v>70</v>
      </c>
      <c r="BE61" s="167" t="s">
        <v>70</v>
      </c>
      <c r="BF61" s="167" t="s">
        <v>70</v>
      </c>
      <c r="BG61" s="167" t="s">
        <v>70</v>
      </c>
      <c r="BH61" s="167" t="s">
        <v>70</v>
      </c>
      <c r="BI61" s="167" t="s">
        <v>70</v>
      </c>
      <c r="BJ61" s="167" t="s">
        <v>70</v>
      </c>
      <c r="BK61" s="167" t="s">
        <v>70</v>
      </c>
      <c r="BL61" s="167" t="s">
        <v>70</v>
      </c>
      <c r="BM61" s="167" t="s">
        <v>70</v>
      </c>
      <c r="BN61" s="167" t="s">
        <v>70</v>
      </c>
      <c r="BO61" s="167" t="s">
        <v>70</v>
      </c>
      <c r="BP61" s="167" t="s">
        <v>70</v>
      </c>
      <c r="BQ61" s="151" t="s">
        <v>256</v>
      </c>
    </row>
    <row r="62" spans="1:135" s="151" customFormat="1" ht="19.5" customHeight="1" x14ac:dyDescent="0.2">
      <c r="A62" s="117">
        <v>59</v>
      </c>
      <c r="B62" s="121" t="s">
        <v>416</v>
      </c>
      <c r="C62" s="122">
        <v>83119823</v>
      </c>
      <c r="D62" s="117" t="s">
        <v>212</v>
      </c>
      <c r="E62" s="117" t="s">
        <v>414</v>
      </c>
      <c r="F62" s="146" t="s">
        <v>256</v>
      </c>
      <c r="G62" s="124" t="s">
        <v>69</v>
      </c>
      <c r="H62" s="93">
        <v>46199</v>
      </c>
      <c r="I62" s="93">
        <v>46199</v>
      </c>
      <c r="J62" s="92">
        <f>IF(I62="", "", DATE(YEAR(I62)+3, MONTH(I62), DAY(I62)))</f>
        <v>47295</v>
      </c>
      <c r="K62" s="93">
        <v>46198</v>
      </c>
      <c r="L62" s="93">
        <v>46198</v>
      </c>
      <c r="M62" s="140">
        <f t="shared" si="5"/>
        <v>47294</v>
      </c>
      <c r="N62" s="190">
        <v>46195</v>
      </c>
      <c r="O62" s="93">
        <v>46196</v>
      </c>
      <c r="P62" s="93">
        <v>46197</v>
      </c>
      <c r="Q62" s="167" t="s">
        <v>70</v>
      </c>
      <c r="R62" s="167" t="s">
        <v>70</v>
      </c>
      <c r="S62" s="167" t="s">
        <v>70</v>
      </c>
      <c r="T62" s="167" t="s">
        <v>70</v>
      </c>
      <c r="U62" s="167" t="s">
        <v>70</v>
      </c>
      <c r="V62" s="167" t="s">
        <v>70</v>
      </c>
      <c r="W62" s="167" t="s">
        <v>70</v>
      </c>
      <c r="X62" s="167" t="s">
        <v>70</v>
      </c>
      <c r="Y62" s="167" t="s">
        <v>70</v>
      </c>
      <c r="Z62" s="167" t="s">
        <v>70</v>
      </c>
      <c r="AA62" s="167" t="s">
        <v>70</v>
      </c>
      <c r="AB62" s="167" t="s">
        <v>70</v>
      </c>
      <c r="AC62" s="167" t="s">
        <v>70</v>
      </c>
      <c r="AD62" s="167" t="s">
        <v>70</v>
      </c>
      <c r="AE62" s="167" t="s">
        <v>70</v>
      </c>
      <c r="AF62" s="167" t="s">
        <v>70</v>
      </c>
      <c r="AG62" s="167" t="s">
        <v>70</v>
      </c>
      <c r="AH62" s="167" t="s">
        <v>70</v>
      </c>
      <c r="AI62" s="181">
        <v>374951</v>
      </c>
      <c r="AJ62" s="166" t="s">
        <v>69</v>
      </c>
      <c r="AK62" s="167" t="s">
        <v>70</v>
      </c>
      <c r="AL62" s="167" t="s">
        <v>70</v>
      </c>
      <c r="AM62" s="167"/>
      <c r="AN62" s="167" t="s">
        <v>70</v>
      </c>
      <c r="AO62" s="167" t="s">
        <v>70</v>
      </c>
      <c r="AP62" s="167" t="s">
        <v>70</v>
      </c>
      <c r="AQ62" s="167" t="s">
        <v>70</v>
      </c>
      <c r="AR62" s="166" t="s">
        <v>69</v>
      </c>
      <c r="AS62" s="167" t="s">
        <v>70</v>
      </c>
      <c r="AT62" s="167" t="s">
        <v>70</v>
      </c>
      <c r="AU62" s="167" t="s">
        <v>70</v>
      </c>
      <c r="AV62" s="167" t="s">
        <v>70</v>
      </c>
      <c r="AW62" s="167" t="s">
        <v>70</v>
      </c>
      <c r="AX62" s="167" t="s">
        <v>70</v>
      </c>
      <c r="AY62" s="167" t="s">
        <v>70</v>
      </c>
      <c r="AZ62" s="167" t="s">
        <v>70</v>
      </c>
      <c r="BA62" s="167" t="s">
        <v>70</v>
      </c>
      <c r="BB62" s="167" t="s">
        <v>70</v>
      </c>
      <c r="BC62" s="167" t="s">
        <v>70</v>
      </c>
      <c r="BD62" s="167" t="s">
        <v>70</v>
      </c>
      <c r="BE62" s="167" t="s">
        <v>70</v>
      </c>
      <c r="BF62" s="167" t="s">
        <v>70</v>
      </c>
      <c r="BG62" s="167" t="s">
        <v>70</v>
      </c>
      <c r="BH62" s="167" t="s">
        <v>70</v>
      </c>
      <c r="BI62" s="167" t="s">
        <v>70</v>
      </c>
      <c r="BJ62" s="167" t="s">
        <v>70</v>
      </c>
      <c r="BK62" s="167" t="s">
        <v>70</v>
      </c>
      <c r="BL62" s="167" t="s">
        <v>70</v>
      </c>
      <c r="BM62" s="167" t="s">
        <v>70</v>
      </c>
      <c r="BN62" s="167" t="s">
        <v>70</v>
      </c>
      <c r="BO62" s="167" t="s">
        <v>70</v>
      </c>
      <c r="BP62" s="167" t="s">
        <v>70</v>
      </c>
      <c r="BQ62" s="151" t="s">
        <v>256</v>
      </c>
    </row>
    <row r="63" spans="1:135" s="151" customFormat="1" ht="19.5" customHeight="1" x14ac:dyDescent="0.2">
      <c r="A63" s="117">
        <v>60</v>
      </c>
      <c r="B63" s="121" t="s">
        <v>417</v>
      </c>
      <c r="C63" s="122">
        <v>142954</v>
      </c>
      <c r="D63" s="117" t="s">
        <v>212</v>
      </c>
      <c r="E63" s="117" t="s">
        <v>414</v>
      </c>
      <c r="F63" s="146" t="s">
        <v>256</v>
      </c>
      <c r="G63" s="124" t="s">
        <v>69</v>
      </c>
      <c r="H63" s="93">
        <v>46227</v>
      </c>
      <c r="I63" s="93">
        <v>46227</v>
      </c>
      <c r="J63" s="92">
        <f>IF(I63="", "", DATE(YEAR(I63)+3, MONTH(I63), DAY(L63)))</f>
        <v>47322</v>
      </c>
      <c r="K63" s="93">
        <v>46226</v>
      </c>
      <c r="L63" s="93">
        <v>46226</v>
      </c>
      <c r="M63" s="140">
        <f t="shared" si="5"/>
        <v>47322</v>
      </c>
      <c r="N63" s="93">
        <v>46223</v>
      </c>
      <c r="O63" s="93">
        <v>46224</v>
      </c>
      <c r="P63" s="93">
        <v>46225</v>
      </c>
      <c r="Q63" s="167" t="s">
        <v>70</v>
      </c>
      <c r="R63" s="167" t="s">
        <v>70</v>
      </c>
      <c r="S63" s="167" t="s">
        <v>70</v>
      </c>
      <c r="T63" s="167" t="s">
        <v>70</v>
      </c>
      <c r="U63" s="167" t="s">
        <v>70</v>
      </c>
      <c r="V63" s="167" t="s">
        <v>70</v>
      </c>
      <c r="W63" s="167" t="s">
        <v>70</v>
      </c>
      <c r="X63" s="167" t="s">
        <v>70</v>
      </c>
      <c r="Y63" s="167" t="s">
        <v>70</v>
      </c>
      <c r="Z63" s="167" t="s">
        <v>70</v>
      </c>
      <c r="AA63" s="167" t="s">
        <v>70</v>
      </c>
      <c r="AB63" s="167" t="s">
        <v>70</v>
      </c>
      <c r="AC63" s="167" t="s">
        <v>70</v>
      </c>
      <c r="AD63" s="167" t="s">
        <v>70</v>
      </c>
      <c r="AE63" s="167" t="s">
        <v>70</v>
      </c>
      <c r="AF63" s="167" t="s">
        <v>70</v>
      </c>
      <c r="AG63" s="167" t="s">
        <v>70</v>
      </c>
      <c r="AH63" s="167" t="s">
        <v>70</v>
      </c>
      <c r="AI63" s="181">
        <v>46128</v>
      </c>
      <c r="AJ63" s="166" t="s">
        <v>69</v>
      </c>
      <c r="AK63" s="167" t="s">
        <v>70</v>
      </c>
      <c r="AL63" s="167" t="s">
        <v>70</v>
      </c>
      <c r="AM63" s="167"/>
      <c r="AN63" s="167" t="s">
        <v>70</v>
      </c>
      <c r="AO63" s="167" t="s">
        <v>70</v>
      </c>
      <c r="AP63" s="167" t="s">
        <v>70</v>
      </c>
      <c r="AQ63" s="167" t="s">
        <v>70</v>
      </c>
      <c r="AR63" s="166" t="s">
        <v>69</v>
      </c>
      <c r="AS63" s="167" t="s">
        <v>70</v>
      </c>
      <c r="AT63" s="167" t="s">
        <v>70</v>
      </c>
      <c r="AU63" s="167" t="s">
        <v>70</v>
      </c>
      <c r="AV63" s="167" t="s">
        <v>70</v>
      </c>
      <c r="AW63" s="167" t="s">
        <v>70</v>
      </c>
      <c r="AX63" s="167" t="s">
        <v>70</v>
      </c>
      <c r="AY63" s="167" t="s">
        <v>70</v>
      </c>
      <c r="AZ63" s="167" t="s">
        <v>70</v>
      </c>
      <c r="BA63" s="167" t="s">
        <v>70</v>
      </c>
      <c r="BB63" s="167" t="s">
        <v>70</v>
      </c>
      <c r="BC63" s="167" t="s">
        <v>70</v>
      </c>
      <c r="BD63" s="167" t="s">
        <v>70</v>
      </c>
      <c r="BE63" s="167" t="s">
        <v>70</v>
      </c>
      <c r="BF63" s="167" t="s">
        <v>70</v>
      </c>
      <c r="BG63" s="167" t="s">
        <v>70</v>
      </c>
      <c r="BH63" s="167" t="s">
        <v>70</v>
      </c>
      <c r="BI63" s="167" t="s">
        <v>70</v>
      </c>
      <c r="BJ63" s="167" t="s">
        <v>70</v>
      </c>
      <c r="BK63" s="167" t="s">
        <v>70</v>
      </c>
      <c r="BL63" s="167" t="s">
        <v>70</v>
      </c>
      <c r="BM63" s="167" t="s">
        <v>70</v>
      </c>
      <c r="BN63" s="167" t="s">
        <v>70</v>
      </c>
      <c r="BO63" s="167" t="s">
        <v>70</v>
      </c>
      <c r="BP63" s="167" t="s">
        <v>70</v>
      </c>
      <c r="BQ63" s="151" t="s">
        <v>256</v>
      </c>
    </row>
    <row r="64" spans="1:135" s="151" customFormat="1" ht="19.5" customHeight="1" x14ac:dyDescent="0.2">
      <c r="A64" s="117">
        <v>61</v>
      </c>
      <c r="B64" s="121" t="s">
        <v>418</v>
      </c>
      <c r="C64" s="122">
        <v>145964</v>
      </c>
      <c r="D64" s="117" t="s">
        <v>212</v>
      </c>
      <c r="E64" s="117" t="s">
        <v>414</v>
      </c>
      <c r="F64" s="146" t="s">
        <v>256</v>
      </c>
      <c r="G64" s="124" t="s">
        <v>69</v>
      </c>
      <c r="H64" s="93">
        <v>42326</v>
      </c>
      <c r="I64" s="93">
        <v>46051</v>
      </c>
      <c r="J64" s="92">
        <f>IF(I64="", "", DATE(YEAR(I64)+3, MONTH(I64), DAY(L64)))</f>
        <v>47148</v>
      </c>
      <c r="K64" s="93">
        <v>42326</v>
      </c>
      <c r="L64" s="93">
        <v>46052</v>
      </c>
      <c r="M64" s="140">
        <f t="shared" si="5"/>
        <v>47148</v>
      </c>
      <c r="N64" s="93">
        <v>46048</v>
      </c>
      <c r="O64" s="93">
        <v>46049</v>
      </c>
      <c r="P64" s="93">
        <v>46050</v>
      </c>
      <c r="Q64" s="167" t="s">
        <v>70</v>
      </c>
      <c r="R64" s="167" t="s">
        <v>70</v>
      </c>
      <c r="S64" s="167" t="s">
        <v>70</v>
      </c>
      <c r="T64" s="167" t="s">
        <v>70</v>
      </c>
      <c r="U64" s="167" t="s">
        <v>70</v>
      </c>
      <c r="V64" s="167" t="s">
        <v>70</v>
      </c>
      <c r="W64" s="167" t="s">
        <v>70</v>
      </c>
      <c r="X64" s="167" t="s">
        <v>70</v>
      </c>
      <c r="Y64" s="167" t="s">
        <v>70</v>
      </c>
      <c r="Z64" s="167" t="s">
        <v>70</v>
      </c>
      <c r="AA64" s="167" t="s">
        <v>70</v>
      </c>
      <c r="AB64" s="167" t="s">
        <v>70</v>
      </c>
      <c r="AC64" s="167" t="s">
        <v>70</v>
      </c>
      <c r="AD64" s="167" t="s">
        <v>70</v>
      </c>
      <c r="AE64" s="167" t="s">
        <v>70</v>
      </c>
      <c r="AF64" s="167" t="s">
        <v>70</v>
      </c>
      <c r="AG64" s="167" t="s">
        <v>70</v>
      </c>
      <c r="AH64" s="167" t="s">
        <v>70</v>
      </c>
      <c r="AI64" s="181">
        <v>46086</v>
      </c>
      <c r="AJ64" s="166" t="s">
        <v>69</v>
      </c>
      <c r="AK64" s="167" t="s">
        <v>70</v>
      </c>
      <c r="AL64" s="167" t="s">
        <v>70</v>
      </c>
      <c r="AM64" s="167"/>
      <c r="AN64" s="167" t="s">
        <v>70</v>
      </c>
      <c r="AO64" s="167" t="s">
        <v>70</v>
      </c>
      <c r="AP64" s="167" t="s">
        <v>70</v>
      </c>
      <c r="AQ64" s="167" t="s">
        <v>70</v>
      </c>
      <c r="AR64" s="166" t="s">
        <v>69</v>
      </c>
      <c r="AS64" s="167" t="s">
        <v>70</v>
      </c>
      <c r="AT64" s="167" t="s">
        <v>70</v>
      </c>
      <c r="AU64" s="167" t="s">
        <v>70</v>
      </c>
      <c r="AV64" s="167" t="s">
        <v>70</v>
      </c>
      <c r="AW64" s="167" t="s">
        <v>70</v>
      </c>
      <c r="AX64" s="167" t="s">
        <v>70</v>
      </c>
      <c r="AY64" s="167" t="s">
        <v>70</v>
      </c>
      <c r="AZ64" s="167" t="s">
        <v>70</v>
      </c>
      <c r="BA64" s="167" t="s">
        <v>70</v>
      </c>
      <c r="BB64" s="167" t="s">
        <v>70</v>
      </c>
      <c r="BC64" s="167" t="s">
        <v>70</v>
      </c>
      <c r="BD64" s="167" t="s">
        <v>70</v>
      </c>
      <c r="BE64" s="167" t="s">
        <v>70</v>
      </c>
      <c r="BF64" s="167" t="s">
        <v>70</v>
      </c>
      <c r="BG64" s="167" t="s">
        <v>70</v>
      </c>
      <c r="BH64" s="167" t="s">
        <v>70</v>
      </c>
      <c r="BI64" s="167" t="s">
        <v>70</v>
      </c>
      <c r="BJ64" s="167" t="s">
        <v>70</v>
      </c>
      <c r="BK64" s="167" t="s">
        <v>70</v>
      </c>
      <c r="BL64" s="167" t="s">
        <v>70</v>
      </c>
      <c r="BM64" s="167" t="s">
        <v>70</v>
      </c>
      <c r="BN64" s="167" t="s">
        <v>70</v>
      </c>
      <c r="BO64" s="167" t="s">
        <v>70</v>
      </c>
      <c r="BP64" s="167" t="s">
        <v>70</v>
      </c>
      <c r="BQ64" s="151" t="s">
        <v>256</v>
      </c>
    </row>
    <row r="65" spans="1:135" s="151" customFormat="1" ht="19.5" customHeight="1" x14ac:dyDescent="0.2">
      <c r="A65" s="117">
        <v>62</v>
      </c>
      <c r="B65" s="121" t="s">
        <v>420</v>
      </c>
      <c r="C65" s="122">
        <v>160810</v>
      </c>
      <c r="D65" s="117" t="s">
        <v>212</v>
      </c>
      <c r="E65" s="117" t="s">
        <v>414</v>
      </c>
      <c r="F65" s="146" t="s">
        <v>256</v>
      </c>
      <c r="G65" s="124" t="s">
        <v>69</v>
      </c>
      <c r="H65" s="93">
        <v>42541</v>
      </c>
      <c r="I65" s="93">
        <v>46051</v>
      </c>
      <c r="J65" s="92">
        <f>IF(I65="", "", DATE(YEAR(I65)+3, MONTH(I65), DAY(L65)))</f>
        <v>47148</v>
      </c>
      <c r="K65" s="93">
        <v>42541</v>
      </c>
      <c r="L65" s="93">
        <v>46052</v>
      </c>
      <c r="M65" s="140">
        <f t="shared" si="5"/>
        <v>47148</v>
      </c>
      <c r="N65" s="93">
        <v>46048</v>
      </c>
      <c r="O65" s="93">
        <v>46049</v>
      </c>
      <c r="P65" s="93">
        <v>46050</v>
      </c>
      <c r="Q65" s="167" t="s">
        <v>70</v>
      </c>
      <c r="R65" s="167" t="s">
        <v>70</v>
      </c>
      <c r="S65" s="167" t="s">
        <v>70</v>
      </c>
      <c r="T65" s="167" t="s">
        <v>70</v>
      </c>
      <c r="U65" s="167" t="s">
        <v>70</v>
      </c>
      <c r="V65" s="167" t="s">
        <v>70</v>
      </c>
      <c r="W65" s="167" t="s">
        <v>70</v>
      </c>
      <c r="X65" s="167" t="s">
        <v>70</v>
      </c>
      <c r="Y65" s="167" t="s">
        <v>70</v>
      </c>
      <c r="Z65" s="167" t="s">
        <v>70</v>
      </c>
      <c r="AA65" s="167" t="s">
        <v>70</v>
      </c>
      <c r="AB65" s="167" t="s">
        <v>70</v>
      </c>
      <c r="AC65" s="167" t="s">
        <v>70</v>
      </c>
      <c r="AD65" s="167" t="s">
        <v>70</v>
      </c>
      <c r="AE65" s="167" t="s">
        <v>70</v>
      </c>
      <c r="AF65" s="167" t="s">
        <v>70</v>
      </c>
      <c r="AG65" s="167" t="s">
        <v>70</v>
      </c>
      <c r="AH65" s="167" t="s">
        <v>70</v>
      </c>
      <c r="AI65" s="181">
        <v>46175</v>
      </c>
      <c r="AJ65" s="166" t="s">
        <v>69</v>
      </c>
      <c r="AK65" s="167" t="s">
        <v>70</v>
      </c>
      <c r="AL65" s="167" t="s">
        <v>70</v>
      </c>
      <c r="AM65" s="167"/>
      <c r="AN65" s="167" t="s">
        <v>70</v>
      </c>
      <c r="AO65" s="167" t="s">
        <v>70</v>
      </c>
      <c r="AP65" s="167" t="s">
        <v>70</v>
      </c>
      <c r="AQ65" s="167" t="s">
        <v>70</v>
      </c>
      <c r="AR65" s="166" t="s">
        <v>69</v>
      </c>
      <c r="AS65" s="167" t="s">
        <v>70</v>
      </c>
      <c r="AT65" s="167" t="s">
        <v>70</v>
      </c>
      <c r="AU65" s="167" t="s">
        <v>70</v>
      </c>
      <c r="AV65" s="167" t="s">
        <v>70</v>
      </c>
      <c r="AW65" s="167" t="s">
        <v>70</v>
      </c>
      <c r="AX65" s="167" t="s">
        <v>70</v>
      </c>
      <c r="AY65" s="167" t="s">
        <v>70</v>
      </c>
      <c r="AZ65" s="167" t="s">
        <v>70</v>
      </c>
      <c r="BA65" s="167" t="s">
        <v>70</v>
      </c>
      <c r="BB65" s="167" t="s">
        <v>70</v>
      </c>
      <c r="BC65" s="167" t="s">
        <v>70</v>
      </c>
      <c r="BD65" s="167" t="s">
        <v>70</v>
      </c>
      <c r="BE65" s="167" t="s">
        <v>70</v>
      </c>
      <c r="BF65" s="167" t="s">
        <v>70</v>
      </c>
      <c r="BG65" s="167" t="s">
        <v>70</v>
      </c>
      <c r="BH65" s="167" t="s">
        <v>70</v>
      </c>
      <c r="BI65" s="167" t="s">
        <v>70</v>
      </c>
      <c r="BJ65" s="167" t="s">
        <v>70</v>
      </c>
      <c r="BK65" s="167" t="s">
        <v>70</v>
      </c>
      <c r="BL65" s="167" t="s">
        <v>70</v>
      </c>
      <c r="BM65" s="167" t="s">
        <v>70</v>
      </c>
      <c r="BN65" s="167" t="s">
        <v>70</v>
      </c>
      <c r="BO65" s="167" t="s">
        <v>70</v>
      </c>
      <c r="BP65" s="167" t="s">
        <v>70</v>
      </c>
      <c r="BQ65" s="151" t="s">
        <v>256</v>
      </c>
    </row>
    <row r="66" spans="1:135" s="151" customFormat="1" ht="19.5" customHeight="1" x14ac:dyDescent="0.2">
      <c r="A66" s="117">
        <v>63</v>
      </c>
      <c r="B66" s="121" t="s">
        <v>421</v>
      </c>
      <c r="C66" s="122">
        <v>146097</v>
      </c>
      <c r="D66" s="117" t="s">
        <v>212</v>
      </c>
      <c r="E66" s="117" t="s">
        <v>414</v>
      </c>
      <c r="F66" s="146" t="s">
        <v>256</v>
      </c>
      <c r="G66" s="124" t="s">
        <v>69</v>
      </c>
      <c r="H66" s="93">
        <v>46164</v>
      </c>
      <c r="I66" s="93">
        <v>46164</v>
      </c>
      <c r="J66" s="92">
        <f>IF(I66="", "", DATE(YEAR(I66)+3, MONTH(I66), DAY(L66)))</f>
        <v>47259</v>
      </c>
      <c r="K66" s="93">
        <v>46163</v>
      </c>
      <c r="L66" s="93">
        <v>46163</v>
      </c>
      <c r="M66" s="140">
        <f t="shared" si="5"/>
        <v>47259</v>
      </c>
      <c r="N66" s="93">
        <v>46167</v>
      </c>
      <c r="O66" s="190" t="s">
        <v>69</v>
      </c>
      <c r="P66" s="93">
        <v>46162</v>
      </c>
      <c r="Q66" s="167" t="s">
        <v>70</v>
      </c>
      <c r="R66" s="167" t="s">
        <v>70</v>
      </c>
      <c r="S66" s="167" t="s">
        <v>70</v>
      </c>
      <c r="T66" s="167" t="s">
        <v>70</v>
      </c>
      <c r="U66" s="167" t="s">
        <v>70</v>
      </c>
      <c r="V66" s="167" t="s">
        <v>70</v>
      </c>
      <c r="W66" s="167" t="s">
        <v>70</v>
      </c>
      <c r="X66" s="167" t="s">
        <v>70</v>
      </c>
      <c r="Y66" s="167" t="s">
        <v>70</v>
      </c>
      <c r="Z66" s="167" t="s">
        <v>70</v>
      </c>
      <c r="AA66" s="167" t="s">
        <v>70</v>
      </c>
      <c r="AB66" s="167" t="s">
        <v>70</v>
      </c>
      <c r="AC66" s="167" t="s">
        <v>70</v>
      </c>
      <c r="AD66" s="167" t="s">
        <v>70</v>
      </c>
      <c r="AE66" s="167" t="s">
        <v>70</v>
      </c>
      <c r="AF66" s="167" t="s">
        <v>70</v>
      </c>
      <c r="AG66" s="167" t="s">
        <v>70</v>
      </c>
      <c r="AH66" s="167" t="s">
        <v>70</v>
      </c>
      <c r="AI66" s="181">
        <v>46175</v>
      </c>
      <c r="AJ66" s="166" t="s">
        <v>69</v>
      </c>
      <c r="AK66" s="167" t="s">
        <v>70</v>
      </c>
      <c r="AL66" s="167" t="s">
        <v>70</v>
      </c>
      <c r="AM66" s="167"/>
      <c r="AN66" s="167" t="s">
        <v>70</v>
      </c>
      <c r="AO66" s="167" t="s">
        <v>70</v>
      </c>
      <c r="AP66" s="167" t="s">
        <v>70</v>
      </c>
      <c r="AQ66" s="167" t="s">
        <v>70</v>
      </c>
      <c r="AR66" s="166" t="s">
        <v>69</v>
      </c>
      <c r="AS66" s="167" t="s">
        <v>70</v>
      </c>
      <c r="AT66" s="167" t="s">
        <v>70</v>
      </c>
      <c r="AU66" s="167" t="s">
        <v>70</v>
      </c>
      <c r="AV66" s="167" t="s">
        <v>70</v>
      </c>
      <c r="AW66" s="167" t="s">
        <v>70</v>
      </c>
      <c r="AX66" s="167" t="s">
        <v>70</v>
      </c>
      <c r="AY66" s="167" t="s">
        <v>70</v>
      </c>
      <c r="AZ66" s="167" t="s">
        <v>70</v>
      </c>
      <c r="BA66" s="167" t="s">
        <v>70</v>
      </c>
      <c r="BB66" s="167" t="s">
        <v>70</v>
      </c>
      <c r="BC66" s="167" t="s">
        <v>70</v>
      </c>
      <c r="BD66" s="167" t="s">
        <v>70</v>
      </c>
      <c r="BE66" s="167" t="s">
        <v>70</v>
      </c>
      <c r="BF66" s="167" t="s">
        <v>70</v>
      </c>
      <c r="BG66" s="167" t="s">
        <v>70</v>
      </c>
      <c r="BH66" s="167" t="s">
        <v>70</v>
      </c>
      <c r="BI66" s="167" t="s">
        <v>70</v>
      </c>
      <c r="BJ66" s="167" t="s">
        <v>70</v>
      </c>
      <c r="BK66" s="167" t="s">
        <v>70</v>
      </c>
      <c r="BL66" s="167" t="s">
        <v>70</v>
      </c>
      <c r="BM66" s="167" t="s">
        <v>70</v>
      </c>
      <c r="BN66" s="167" t="s">
        <v>70</v>
      </c>
      <c r="BO66" s="167" t="s">
        <v>70</v>
      </c>
      <c r="BP66" s="167" t="s">
        <v>70</v>
      </c>
      <c r="BQ66" s="151" t="s">
        <v>256</v>
      </c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</row>
    <row r="67" spans="1:135" s="151" customFormat="1" ht="19.5" customHeight="1" x14ac:dyDescent="0.2">
      <c r="A67" s="117">
        <v>64</v>
      </c>
      <c r="B67" s="121" t="s">
        <v>422</v>
      </c>
      <c r="C67" s="122">
        <v>146453</v>
      </c>
      <c r="D67" s="117" t="s">
        <v>212</v>
      </c>
      <c r="E67" s="117" t="s">
        <v>414</v>
      </c>
      <c r="F67" s="146" t="s">
        <v>256</v>
      </c>
      <c r="G67" s="124" t="s">
        <v>69</v>
      </c>
      <c r="H67" s="93">
        <v>46248</v>
      </c>
      <c r="I67" s="93">
        <v>46248</v>
      </c>
      <c r="J67" s="92">
        <f>IF(I67="", "", DATE(YEAR(I67)+3, MONTH(I67), DAY(I67)))</f>
        <v>47344</v>
      </c>
      <c r="K67" s="93">
        <v>46247</v>
      </c>
      <c r="L67" s="93">
        <v>46247</v>
      </c>
      <c r="M67" s="140">
        <f t="shared" si="5"/>
        <v>47343</v>
      </c>
      <c r="N67" s="93">
        <v>46245</v>
      </c>
      <c r="O67" s="93">
        <v>46258</v>
      </c>
      <c r="P67" s="93">
        <v>46246</v>
      </c>
      <c r="Q67" s="167" t="s">
        <v>70</v>
      </c>
      <c r="R67" s="167" t="s">
        <v>70</v>
      </c>
      <c r="S67" s="167" t="s">
        <v>70</v>
      </c>
      <c r="T67" s="167" t="s">
        <v>70</v>
      </c>
      <c r="U67" s="167" t="s">
        <v>70</v>
      </c>
      <c r="V67" s="167" t="s">
        <v>70</v>
      </c>
      <c r="W67" s="167" t="s">
        <v>70</v>
      </c>
      <c r="X67" s="167" t="s">
        <v>70</v>
      </c>
      <c r="Y67" s="167" t="s">
        <v>70</v>
      </c>
      <c r="Z67" s="167" t="s">
        <v>70</v>
      </c>
      <c r="AA67" s="167" t="s">
        <v>70</v>
      </c>
      <c r="AB67" s="167" t="s">
        <v>70</v>
      </c>
      <c r="AC67" s="167" t="s">
        <v>70</v>
      </c>
      <c r="AD67" s="167" t="s">
        <v>70</v>
      </c>
      <c r="AE67" s="167" t="s">
        <v>70</v>
      </c>
      <c r="AF67" s="167" t="s">
        <v>70</v>
      </c>
      <c r="AG67" s="167" t="s">
        <v>70</v>
      </c>
      <c r="AH67" s="167" t="s">
        <v>70</v>
      </c>
      <c r="AI67" s="186">
        <v>46065</v>
      </c>
      <c r="AJ67" s="166" t="s">
        <v>69</v>
      </c>
      <c r="AK67" s="167" t="s">
        <v>70</v>
      </c>
      <c r="AL67" s="167" t="s">
        <v>70</v>
      </c>
      <c r="AM67" s="167"/>
      <c r="AN67" s="167" t="s">
        <v>70</v>
      </c>
      <c r="AO67" s="167" t="s">
        <v>70</v>
      </c>
      <c r="AP67" s="167" t="s">
        <v>70</v>
      </c>
      <c r="AQ67" s="167" t="s">
        <v>70</v>
      </c>
      <c r="AR67" s="166" t="s">
        <v>69</v>
      </c>
      <c r="AS67" s="167" t="s">
        <v>70</v>
      </c>
      <c r="AT67" s="167" t="s">
        <v>70</v>
      </c>
      <c r="AU67" s="167" t="s">
        <v>70</v>
      </c>
      <c r="AV67" s="167" t="s">
        <v>70</v>
      </c>
      <c r="AW67" s="167" t="s">
        <v>70</v>
      </c>
      <c r="AX67" s="167" t="s">
        <v>70</v>
      </c>
      <c r="AY67" s="167" t="s">
        <v>70</v>
      </c>
      <c r="AZ67" s="167" t="s">
        <v>70</v>
      </c>
      <c r="BA67" s="167" t="s">
        <v>70</v>
      </c>
      <c r="BB67" s="167" t="s">
        <v>70</v>
      </c>
      <c r="BC67" s="167" t="s">
        <v>70</v>
      </c>
      <c r="BD67" s="167" t="s">
        <v>70</v>
      </c>
      <c r="BE67" s="167" t="s">
        <v>70</v>
      </c>
      <c r="BF67" s="167" t="s">
        <v>70</v>
      </c>
      <c r="BG67" s="167" t="s">
        <v>70</v>
      </c>
      <c r="BH67" s="167" t="s">
        <v>70</v>
      </c>
      <c r="BI67" s="167" t="s">
        <v>70</v>
      </c>
      <c r="BJ67" s="167" t="s">
        <v>70</v>
      </c>
      <c r="BK67" s="167" t="s">
        <v>70</v>
      </c>
      <c r="BL67" s="167" t="s">
        <v>70</v>
      </c>
      <c r="BM67" s="167" t="s">
        <v>70</v>
      </c>
      <c r="BN67" s="167" t="s">
        <v>70</v>
      </c>
      <c r="BO67" s="167" t="s">
        <v>70</v>
      </c>
      <c r="BP67" s="167" t="s">
        <v>70</v>
      </c>
      <c r="BQ67" s="151" t="s">
        <v>256</v>
      </c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  <c r="CY67" s="142"/>
      <c r="CZ67" s="142"/>
      <c r="DA67" s="142"/>
      <c r="DB67" s="142"/>
      <c r="DC67" s="142"/>
      <c r="DD67" s="142"/>
      <c r="DE67" s="142"/>
      <c r="DF67" s="142"/>
      <c r="DG67" s="142"/>
      <c r="DH67" s="142"/>
      <c r="DI67" s="142"/>
      <c r="DJ67" s="142"/>
      <c r="DK67" s="142"/>
      <c r="DL67" s="142"/>
      <c r="DM67" s="142"/>
      <c r="DN67" s="142"/>
      <c r="DO67" s="142"/>
      <c r="DP67" s="142"/>
      <c r="DQ67" s="142"/>
      <c r="DR67" s="142"/>
      <c r="DS67" s="142"/>
      <c r="DT67" s="142"/>
      <c r="DU67" s="142"/>
      <c r="DV67" s="142"/>
      <c r="DW67" s="142"/>
      <c r="DX67" s="142"/>
      <c r="DY67" s="142"/>
      <c r="DZ67" s="142"/>
      <c r="EA67" s="142"/>
      <c r="EB67" s="142"/>
      <c r="EC67" s="142"/>
      <c r="ED67" s="142"/>
      <c r="EE67" s="142"/>
    </row>
    <row r="68" spans="1:135" s="151" customFormat="1" ht="19.5" customHeight="1" x14ac:dyDescent="0.2">
      <c r="A68" s="117">
        <v>65</v>
      </c>
      <c r="B68" s="121" t="s">
        <v>423</v>
      </c>
      <c r="C68" s="122">
        <v>146112</v>
      </c>
      <c r="D68" s="117" t="s">
        <v>212</v>
      </c>
      <c r="E68" s="117" t="s">
        <v>414</v>
      </c>
      <c r="F68" s="146" t="s">
        <v>256</v>
      </c>
      <c r="G68" s="124" t="s">
        <v>69</v>
      </c>
      <c r="H68" s="93">
        <v>46282</v>
      </c>
      <c r="I68" s="93">
        <v>46282</v>
      </c>
      <c r="J68" s="92">
        <f>IF(I68="", "", DATE(YEAR(I68)+3, MONTH(I68), DAY(I68)))</f>
        <v>47378</v>
      </c>
      <c r="K68" s="93">
        <v>46281</v>
      </c>
      <c r="L68" s="93">
        <v>46281</v>
      </c>
      <c r="M68" s="140">
        <f t="shared" si="5"/>
        <v>47377</v>
      </c>
      <c r="N68" s="93">
        <v>46279</v>
      </c>
      <c r="O68" s="93">
        <v>46286</v>
      </c>
      <c r="P68" s="93">
        <v>46280</v>
      </c>
      <c r="Q68" s="167" t="s">
        <v>70</v>
      </c>
      <c r="R68" s="167" t="s">
        <v>70</v>
      </c>
      <c r="S68" s="167" t="s">
        <v>70</v>
      </c>
      <c r="T68" s="167" t="s">
        <v>70</v>
      </c>
      <c r="U68" s="167" t="s">
        <v>70</v>
      </c>
      <c r="V68" s="167" t="s">
        <v>70</v>
      </c>
      <c r="W68" s="167" t="s">
        <v>70</v>
      </c>
      <c r="X68" s="167" t="s">
        <v>70</v>
      </c>
      <c r="Y68" s="167" t="s">
        <v>70</v>
      </c>
      <c r="Z68" s="167" t="s">
        <v>70</v>
      </c>
      <c r="AA68" s="167" t="s">
        <v>70</v>
      </c>
      <c r="AB68" s="167" t="s">
        <v>70</v>
      </c>
      <c r="AC68" s="167" t="s">
        <v>70</v>
      </c>
      <c r="AD68" s="167" t="s">
        <v>70</v>
      </c>
      <c r="AE68" s="167" t="s">
        <v>70</v>
      </c>
      <c r="AF68" s="167" t="s">
        <v>70</v>
      </c>
      <c r="AG68" s="167" t="s">
        <v>70</v>
      </c>
      <c r="AH68" s="167" t="s">
        <v>70</v>
      </c>
      <c r="AI68" s="186">
        <v>46086</v>
      </c>
      <c r="AJ68" s="166" t="s">
        <v>69</v>
      </c>
      <c r="AK68" s="167" t="s">
        <v>70</v>
      </c>
      <c r="AL68" s="167" t="s">
        <v>70</v>
      </c>
      <c r="AM68" s="167"/>
      <c r="AN68" s="167" t="s">
        <v>70</v>
      </c>
      <c r="AO68" s="167" t="s">
        <v>70</v>
      </c>
      <c r="AP68" s="167" t="s">
        <v>70</v>
      </c>
      <c r="AQ68" s="167" t="s">
        <v>70</v>
      </c>
      <c r="AR68" s="166" t="s">
        <v>69</v>
      </c>
      <c r="AS68" s="167" t="s">
        <v>70</v>
      </c>
      <c r="AT68" s="167" t="s">
        <v>70</v>
      </c>
      <c r="AU68" s="167" t="s">
        <v>70</v>
      </c>
      <c r="AV68" s="167" t="s">
        <v>70</v>
      </c>
      <c r="AW68" s="167" t="s">
        <v>70</v>
      </c>
      <c r="AX68" s="167" t="s">
        <v>70</v>
      </c>
      <c r="AY68" s="167" t="s">
        <v>70</v>
      </c>
      <c r="AZ68" s="167" t="s">
        <v>70</v>
      </c>
      <c r="BA68" s="167" t="s">
        <v>70</v>
      </c>
      <c r="BB68" s="167" t="s">
        <v>70</v>
      </c>
      <c r="BC68" s="167" t="s">
        <v>70</v>
      </c>
      <c r="BD68" s="167" t="s">
        <v>70</v>
      </c>
      <c r="BE68" s="167" t="s">
        <v>70</v>
      </c>
      <c r="BF68" s="167" t="s">
        <v>70</v>
      </c>
      <c r="BG68" s="167" t="s">
        <v>70</v>
      </c>
      <c r="BH68" s="167" t="s">
        <v>70</v>
      </c>
      <c r="BI68" s="167" t="s">
        <v>70</v>
      </c>
      <c r="BJ68" s="167" t="s">
        <v>70</v>
      </c>
      <c r="BK68" s="167" t="s">
        <v>70</v>
      </c>
      <c r="BL68" s="167" t="s">
        <v>70</v>
      </c>
      <c r="BM68" s="167" t="s">
        <v>70</v>
      </c>
      <c r="BN68" s="167" t="s">
        <v>70</v>
      </c>
      <c r="BO68" s="167" t="s">
        <v>70</v>
      </c>
      <c r="BP68" s="167" t="s">
        <v>70</v>
      </c>
      <c r="BQ68" s="151" t="s">
        <v>256</v>
      </c>
      <c r="BR68" s="142"/>
      <c r="BS68" s="142"/>
      <c r="BT68" s="142"/>
      <c r="BU68" s="142"/>
      <c r="BV68" s="142"/>
      <c r="BW68" s="142"/>
      <c r="BX68" s="142"/>
      <c r="BY68" s="142"/>
      <c r="BZ68" s="142"/>
      <c r="CA68" s="142"/>
      <c r="CB68" s="142"/>
      <c r="CC68" s="142"/>
      <c r="CD68" s="142"/>
      <c r="CE68" s="142"/>
      <c r="CF68" s="142"/>
      <c r="CG68" s="142"/>
      <c r="CH68" s="142"/>
      <c r="CI68" s="142"/>
      <c r="CJ68" s="142"/>
      <c r="CK68" s="142"/>
      <c r="CL68" s="142"/>
      <c r="CM68" s="142"/>
      <c r="CN68" s="142"/>
      <c r="CO68" s="142"/>
      <c r="CP68" s="142"/>
      <c r="CQ68" s="142"/>
      <c r="CR68" s="142"/>
      <c r="CS68" s="142"/>
      <c r="CT68" s="142"/>
      <c r="CU68" s="142"/>
      <c r="CV68" s="142"/>
      <c r="CW68" s="142"/>
      <c r="CX68" s="142"/>
      <c r="CY68" s="142"/>
      <c r="CZ68" s="142"/>
      <c r="DA68" s="142"/>
      <c r="DB68" s="142"/>
      <c r="DC68" s="142"/>
      <c r="DD68" s="142"/>
      <c r="DE68" s="142"/>
      <c r="DF68" s="142"/>
      <c r="DG68" s="142"/>
      <c r="DH68" s="142"/>
      <c r="DI68" s="142"/>
      <c r="DJ68" s="142"/>
      <c r="DK68" s="142"/>
      <c r="DL68" s="142"/>
      <c r="DM68" s="142"/>
      <c r="DN68" s="142"/>
      <c r="DO68" s="142"/>
      <c r="DP68" s="142"/>
      <c r="DQ68" s="142"/>
      <c r="DR68" s="142"/>
      <c r="DS68" s="142"/>
      <c r="DT68" s="142"/>
      <c r="DU68" s="142"/>
      <c r="DV68" s="142"/>
      <c r="DW68" s="142"/>
      <c r="DX68" s="142"/>
      <c r="DY68" s="142"/>
      <c r="DZ68" s="142"/>
      <c r="EA68" s="142"/>
      <c r="EB68" s="142"/>
      <c r="EC68" s="142"/>
      <c r="ED68" s="142"/>
      <c r="EE68" s="142"/>
    </row>
    <row r="69" spans="1:135" s="151" customFormat="1" ht="19.5" customHeight="1" x14ac:dyDescent="0.2">
      <c r="A69" s="117">
        <v>66</v>
      </c>
      <c r="B69" s="121" t="s">
        <v>424</v>
      </c>
      <c r="C69" s="122">
        <v>160797</v>
      </c>
      <c r="D69" s="117" t="s">
        <v>212</v>
      </c>
      <c r="E69" s="117" t="s">
        <v>414</v>
      </c>
      <c r="F69" s="146" t="s">
        <v>256</v>
      </c>
      <c r="G69" s="124" t="s">
        <v>69</v>
      </c>
      <c r="H69" s="93">
        <v>46164</v>
      </c>
      <c r="I69" s="93">
        <v>46164</v>
      </c>
      <c r="J69" s="92">
        <f>IF(I69="", "", DATE(YEAR(I69)+3, MONTH(I69), DAY(L69)))</f>
        <v>47259</v>
      </c>
      <c r="K69" s="93">
        <v>46163</v>
      </c>
      <c r="L69" s="93">
        <v>46163</v>
      </c>
      <c r="M69" s="140">
        <f t="shared" si="5"/>
        <v>47259</v>
      </c>
      <c r="N69" s="93">
        <v>46167</v>
      </c>
      <c r="O69" s="93">
        <v>46161</v>
      </c>
      <c r="P69" s="93">
        <v>46162</v>
      </c>
      <c r="Q69" s="167" t="s">
        <v>70</v>
      </c>
      <c r="R69" s="167" t="s">
        <v>70</v>
      </c>
      <c r="S69" s="167" t="s">
        <v>70</v>
      </c>
      <c r="T69" s="167" t="s">
        <v>70</v>
      </c>
      <c r="U69" s="167" t="s">
        <v>70</v>
      </c>
      <c r="V69" s="167" t="s">
        <v>70</v>
      </c>
      <c r="W69" s="167" t="s">
        <v>70</v>
      </c>
      <c r="X69" s="167" t="s">
        <v>70</v>
      </c>
      <c r="Y69" s="167" t="s">
        <v>70</v>
      </c>
      <c r="Z69" s="167" t="s">
        <v>70</v>
      </c>
      <c r="AA69" s="167" t="s">
        <v>70</v>
      </c>
      <c r="AB69" s="167" t="s">
        <v>70</v>
      </c>
      <c r="AC69" s="167" t="s">
        <v>70</v>
      </c>
      <c r="AD69" s="167" t="s">
        <v>70</v>
      </c>
      <c r="AE69" s="167" t="s">
        <v>70</v>
      </c>
      <c r="AF69" s="167" t="s">
        <v>70</v>
      </c>
      <c r="AG69" s="167" t="s">
        <v>70</v>
      </c>
      <c r="AH69" s="167" t="s">
        <v>70</v>
      </c>
      <c r="AI69" s="186">
        <v>46044</v>
      </c>
      <c r="AJ69" s="166" t="s">
        <v>69</v>
      </c>
      <c r="AK69" s="167" t="s">
        <v>70</v>
      </c>
      <c r="AL69" s="167" t="s">
        <v>70</v>
      </c>
      <c r="AM69" s="167"/>
      <c r="AN69" s="167" t="s">
        <v>70</v>
      </c>
      <c r="AO69" s="167" t="s">
        <v>70</v>
      </c>
      <c r="AP69" s="167" t="s">
        <v>70</v>
      </c>
      <c r="AQ69" s="167" t="s">
        <v>70</v>
      </c>
      <c r="AR69" s="166" t="s">
        <v>69</v>
      </c>
      <c r="AS69" s="167" t="s">
        <v>70</v>
      </c>
      <c r="AT69" s="167" t="s">
        <v>70</v>
      </c>
      <c r="AU69" s="167" t="s">
        <v>70</v>
      </c>
      <c r="AV69" s="167" t="s">
        <v>70</v>
      </c>
      <c r="AW69" s="167" t="s">
        <v>70</v>
      </c>
      <c r="AX69" s="167" t="s">
        <v>70</v>
      </c>
      <c r="AY69" s="167" t="s">
        <v>70</v>
      </c>
      <c r="AZ69" s="167" t="s">
        <v>70</v>
      </c>
      <c r="BA69" s="167" t="s">
        <v>70</v>
      </c>
      <c r="BB69" s="167" t="s">
        <v>70</v>
      </c>
      <c r="BC69" s="167" t="s">
        <v>70</v>
      </c>
      <c r="BD69" s="167" t="s">
        <v>70</v>
      </c>
      <c r="BE69" s="167" t="s">
        <v>70</v>
      </c>
      <c r="BF69" s="167" t="s">
        <v>70</v>
      </c>
      <c r="BG69" s="167" t="s">
        <v>70</v>
      </c>
      <c r="BH69" s="167" t="s">
        <v>70</v>
      </c>
      <c r="BI69" s="167" t="s">
        <v>70</v>
      </c>
      <c r="BJ69" s="167" t="s">
        <v>70</v>
      </c>
      <c r="BK69" s="167" t="s">
        <v>70</v>
      </c>
      <c r="BL69" s="167" t="s">
        <v>70</v>
      </c>
      <c r="BM69" s="167" t="s">
        <v>70</v>
      </c>
      <c r="BN69" s="167" t="s">
        <v>70</v>
      </c>
      <c r="BO69" s="167" t="s">
        <v>70</v>
      </c>
      <c r="BP69" s="167" t="s">
        <v>70</v>
      </c>
      <c r="BQ69" s="151" t="s">
        <v>256</v>
      </c>
      <c r="BR69" s="142"/>
      <c r="BS69" s="142"/>
      <c r="BT69" s="142"/>
      <c r="BU69" s="142"/>
      <c r="BV69" s="142"/>
      <c r="BW69" s="142"/>
      <c r="BX69" s="142"/>
      <c r="BY69" s="142"/>
      <c r="BZ69" s="142"/>
      <c r="CA69" s="142"/>
      <c r="CB69" s="142"/>
      <c r="CC69" s="142"/>
      <c r="CD69" s="142"/>
      <c r="CE69" s="142"/>
      <c r="CF69" s="142"/>
      <c r="CG69" s="142"/>
      <c r="CH69" s="142"/>
      <c r="CI69" s="142"/>
      <c r="CJ69" s="142"/>
      <c r="CK69" s="142"/>
      <c r="CL69" s="142"/>
      <c r="CM69" s="142"/>
      <c r="CN69" s="142"/>
      <c r="CO69" s="142"/>
      <c r="CP69" s="142"/>
      <c r="CQ69" s="142"/>
      <c r="CR69" s="142"/>
      <c r="CS69" s="142"/>
      <c r="CT69" s="142"/>
      <c r="CU69" s="142"/>
      <c r="CV69" s="142"/>
      <c r="CW69" s="142"/>
      <c r="CX69" s="142"/>
      <c r="CY69" s="142"/>
      <c r="CZ69" s="142"/>
      <c r="DA69" s="142"/>
      <c r="DB69" s="142"/>
      <c r="DC69" s="142"/>
      <c r="DD69" s="142"/>
      <c r="DE69" s="142"/>
      <c r="DF69" s="142"/>
      <c r="DG69" s="142"/>
      <c r="DH69" s="142"/>
      <c r="DI69" s="142"/>
      <c r="DJ69" s="142"/>
      <c r="DK69" s="142"/>
      <c r="DL69" s="142"/>
      <c r="DM69" s="142"/>
      <c r="DN69" s="142"/>
      <c r="DO69" s="142"/>
      <c r="DP69" s="142"/>
      <c r="DQ69" s="142"/>
      <c r="DR69" s="142"/>
      <c r="DS69" s="142"/>
      <c r="DT69" s="142"/>
      <c r="DU69" s="142"/>
      <c r="DV69" s="142"/>
      <c r="DW69" s="142"/>
      <c r="DX69" s="142"/>
      <c r="DY69" s="142"/>
      <c r="DZ69" s="142"/>
      <c r="EA69" s="142"/>
      <c r="EB69" s="142"/>
      <c r="EC69" s="142"/>
      <c r="ED69" s="142"/>
      <c r="EE69" s="142"/>
    </row>
    <row r="70" spans="1:135" s="151" customFormat="1" ht="19.5" customHeight="1" x14ac:dyDescent="0.2">
      <c r="A70" s="117">
        <v>67</v>
      </c>
      <c r="B70" s="121" t="s">
        <v>425</v>
      </c>
      <c r="C70" s="122">
        <v>153242</v>
      </c>
      <c r="D70" s="117" t="s">
        <v>212</v>
      </c>
      <c r="E70" s="117" t="s">
        <v>414</v>
      </c>
      <c r="F70" s="146" t="s">
        <v>256</v>
      </c>
      <c r="G70" s="124" t="s">
        <v>69</v>
      </c>
      <c r="H70" s="93">
        <v>42326</v>
      </c>
      <c r="I70" s="93">
        <v>45926</v>
      </c>
      <c r="J70" s="92">
        <f>IF(I70="", "", DATE(YEAR(I70)+3, MONTH(I70), DAY(L70)))</f>
        <v>47021</v>
      </c>
      <c r="K70" s="93">
        <v>42326</v>
      </c>
      <c r="L70" s="93">
        <v>45925</v>
      </c>
      <c r="M70" s="140">
        <f t="shared" si="5"/>
        <v>47021</v>
      </c>
      <c r="N70" s="93">
        <v>45924</v>
      </c>
      <c r="O70" s="93"/>
      <c r="P70" s="93">
        <v>45922</v>
      </c>
      <c r="Q70" s="167" t="s">
        <v>70</v>
      </c>
      <c r="R70" s="167" t="s">
        <v>70</v>
      </c>
      <c r="S70" s="167" t="s">
        <v>70</v>
      </c>
      <c r="T70" s="167" t="s">
        <v>70</v>
      </c>
      <c r="U70" s="167" t="s">
        <v>70</v>
      </c>
      <c r="V70" s="167" t="s">
        <v>70</v>
      </c>
      <c r="W70" s="167" t="s">
        <v>70</v>
      </c>
      <c r="X70" s="167" t="s">
        <v>70</v>
      </c>
      <c r="Y70" s="167" t="s">
        <v>70</v>
      </c>
      <c r="Z70" s="167" t="s">
        <v>70</v>
      </c>
      <c r="AA70" s="167" t="s">
        <v>70</v>
      </c>
      <c r="AB70" s="167" t="s">
        <v>70</v>
      </c>
      <c r="AC70" s="167" t="s">
        <v>70</v>
      </c>
      <c r="AD70" s="167" t="s">
        <v>70</v>
      </c>
      <c r="AE70" s="167" t="s">
        <v>70</v>
      </c>
      <c r="AF70" s="167" t="s">
        <v>70</v>
      </c>
      <c r="AG70" s="167" t="s">
        <v>70</v>
      </c>
      <c r="AH70" s="167" t="s">
        <v>70</v>
      </c>
      <c r="AI70" s="181">
        <v>46044</v>
      </c>
      <c r="AJ70" s="166" t="s">
        <v>69</v>
      </c>
      <c r="AK70" s="167" t="s">
        <v>70</v>
      </c>
      <c r="AL70" s="167" t="s">
        <v>70</v>
      </c>
      <c r="AM70" s="167"/>
      <c r="AN70" s="167" t="s">
        <v>70</v>
      </c>
      <c r="AO70" s="167" t="s">
        <v>70</v>
      </c>
      <c r="AP70" s="167" t="s">
        <v>70</v>
      </c>
      <c r="AQ70" s="167" t="s">
        <v>70</v>
      </c>
      <c r="AR70" s="166" t="s">
        <v>69</v>
      </c>
      <c r="AS70" s="167" t="s">
        <v>70</v>
      </c>
      <c r="AT70" s="167" t="s">
        <v>70</v>
      </c>
      <c r="AU70" s="167" t="s">
        <v>70</v>
      </c>
      <c r="AV70" s="167" t="s">
        <v>70</v>
      </c>
      <c r="AW70" s="167" t="s">
        <v>70</v>
      </c>
      <c r="AX70" s="167" t="s">
        <v>70</v>
      </c>
      <c r="AY70" s="167" t="s">
        <v>70</v>
      </c>
      <c r="AZ70" s="167" t="s">
        <v>70</v>
      </c>
      <c r="BA70" s="167" t="s">
        <v>70</v>
      </c>
      <c r="BB70" s="167" t="s">
        <v>70</v>
      </c>
      <c r="BC70" s="167" t="s">
        <v>70</v>
      </c>
      <c r="BD70" s="167" t="s">
        <v>70</v>
      </c>
      <c r="BE70" s="167" t="s">
        <v>70</v>
      </c>
      <c r="BF70" s="167" t="s">
        <v>70</v>
      </c>
      <c r="BG70" s="167" t="s">
        <v>70</v>
      </c>
      <c r="BH70" s="167" t="s">
        <v>70</v>
      </c>
      <c r="BI70" s="167" t="s">
        <v>70</v>
      </c>
      <c r="BJ70" s="167" t="s">
        <v>70</v>
      </c>
      <c r="BK70" s="167" t="s">
        <v>70</v>
      </c>
      <c r="BL70" s="167" t="s">
        <v>70</v>
      </c>
      <c r="BM70" s="167" t="s">
        <v>70</v>
      </c>
      <c r="BN70" s="167" t="s">
        <v>70</v>
      </c>
      <c r="BO70" s="167" t="s">
        <v>70</v>
      </c>
      <c r="BP70" s="167" t="s">
        <v>70</v>
      </c>
      <c r="BQ70" s="151" t="s">
        <v>256</v>
      </c>
      <c r="BR70" s="142"/>
      <c r="BS70" s="142"/>
      <c r="BT70" s="142"/>
      <c r="BU70" s="142"/>
      <c r="BV70" s="142"/>
      <c r="BW70" s="142"/>
      <c r="BX70" s="142"/>
      <c r="BY70" s="142"/>
      <c r="BZ70" s="142"/>
      <c r="CA70" s="142"/>
      <c r="CB70" s="142"/>
      <c r="CC70" s="142"/>
      <c r="CD70" s="142"/>
      <c r="CE70" s="142"/>
      <c r="CF70" s="142"/>
      <c r="CG70" s="142"/>
      <c r="CH70" s="142"/>
      <c r="CI70" s="142"/>
      <c r="CJ70" s="142"/>
      <c r="CK70" s="142"/>
      <c r="CL70" s="142"/>
      <c r="CM70" s="142"/>
      <c r="CN70" s="142"/>
      <c r="CO70" s="142"/>
      <c r="CP70" s="142"/>
      <c r="CQ70" s="142"/>
      <c r="CR70" s="142"/>
      <c r="CS70" s="142"/>
      <c r="CT70" s="142"/>
      <c r="CU70" s="142"/>
      <c r="CV70" s="142"/>
      <c r="CW70" s="142"/>
      <c r="CX70" s="142"/>
      <c r="CY70" s="142"/>
      <c r="CZ70" s="142"/>
      <c r="DA70" s="142"/>
      <c r="DB70" s="142"/>
      <c r="DC70" s="142"/>
      <c r="DD70" s="142"/>
      <c r="DE70" s="142"/>
      <c r="DF70" s="142"/>
      <c r="DG70" s="142"/>
      <c r="DH70" s="142"/>
      <c r="DI70" s="142"/>
      <c r="DJ70" s="142"/>
      <c r="DK70" s="142"/>
      <c r="DL70" s="142"/>
      <c r="DM70" s="142"/>
      <c r="DN70" s="142"/>
      <c r="DO70" s="142"/>
      <c r="DP70" s="142"/>
      <c r="DQ70" s="142"/>
      <c r="DR70" s="142"/>
      <c r="DS70" s="142"/>
      <c r="DT70" s="142"/>
      <c r="DU70" s="142"/>
      <c r="DV70" s="142"/>
      <c r="DW70" s="142"/>
      <c r="DX70" s="142"/>
      <c r="DY70" s="142"/>
      <c r="DZ70" s="142"/>
      <c r="EA70" s="142"/>
      <c r="EB70" s="142"/>
      <c r="EC70" s="142"/>
      <c r="ED70" s="142"/>
      <c r="EE70" s="142"/>
    </row>
    <row r="71" spans="1:135" s="151" customFormat="1" ht="19.5" customHeight="1" x14ac:dyDescent="0.2">
      <c r="A71" s="117">
        <v>68</v>
      </c>
      <c r="B71" s="121" t="s">
        <v>426</v>
      </c>
      <c r="C71" s="122">
        <v>160829</v>
      </c>
      <c r="D71" s="117" t="s">
        <v>212</v>
      </c>
      <c r="E71" s="117" t="s">
        <v>414</v>
      </c>
      <c r="F71" s="146" t="s">
        <v>256</v>
      </c>
      <c r="G71" s="124" t="s">
        <v>69</v>
      </c>
      <c r="H71" s="93">
        <v>46282</v>
      </c>
      <c r="I71" s="93">
        <v>46282</v>
      </c>
      <c r="J71" s="92">
        <f>IF(I71="", "", DATE(YEAR(I71)+3, MONTH(I71), DAY(I71)))</f>
        <v>47378</v>
      </c>
      <c r="K71" s="93">
        <v>46281</v>
      </c>
      <c r="L71" s="93">
        <v>46281</v>
      </c>
      <c r="M71" s="140">
        <f t="shared" si="5"/>
        <v>47377</v>
      </c>
      <c r="N71" s="93">
        <v>46279</v>
      </c>
      <c r="O71" s="93">
        <v>46286</v>
      </c>
      <c r="P71" s="93">
        <v>46280</v>
      </c>
      <c r="Q71" s="167" t="s">
        <v>70</v>
      </c>
      <c r="R71" s="167" t="s">
        <v>70</v>
      </c>
      <c r="S71" s="167" t="s">
        <v>70</v>
      </c>
      <c r="T71" s="167" t="s">
        <v>70</v>
      </c>
      <c r="U71" s="167" t="s">
        <v>70</v>
      </c>
      <c r="V71" s="167" t="s">
        <v>70</v>
      </c>
      <c r="W71" s="167" t="s">
        <v>70</v>
      </c>
      <c r="X71" s="167" t="s">
        <v>70</v>
      </c>
      <c r="Y71" s="167" t="s">
        <v>70</v>
      </c>
      <c r="Z71" s="167" t="s">
        <v>70</v>
      </c>
      <c r="AA71" s="167" t="s">
        <v>70</v>
      </c>
      <c r="AB71" s="167" t="s">
        <v>70</v>
      </c>
      <c r="AC71" s="167" t="s">
        <v>70</v>
      </c>
      <c r="AD71" s="167" t="s">
        <v>70</v>
      </c>
      <c r="AE71" s="167" t="s">
        <v>70</v>
      </c>
      <c r="AF71" s="167" t="s">
        <v>70</v>
      </c>
      <c r="AG71" s="167" t="s">
        <v>70</v>
      </c>
      <c r="AH71" s="167" t="s">
        <v>70</v>
      </c>
      <c r="AI71" s="181">
        <v>46233</v>
      </c>
      <c r="AJ71" s="166" t="s">
        <v>69</v>
      </c>
      <c r="AK71" s="167" t="s">
        <v>70</v>
      </c>
      <c r="AL71" s="167" t="s">
        <v>70</v>
      </c>
      <c r="AM71" s="167"/>
      <c r="AN71" s="167" t="s">
        <v>70</v>
      </c>
      <c r="AO71" s="167" t="s">
        <v>70</v>
      </c>
      <c r="AP71" s="167" t="s">
        <v>70</v>
      </c>
      <c r="AQ71" s="167" t="s">
        <v>70</v>
      </c>
      <c r="AR71" s="166" t="s">
        <v>69</v>
      </c>
      <c r="AS71" s="167" t="s">
        <v>70</v>
      </c>
      <c r="AT71" s="167" t="s">
        <v>70</v>
      </c>
      <c r="AU71" s="167" t="s">
        <v>70</v>
      </c>
      <c r="AV71" s="167" t="s">
        <v>70</v>
      </c>
      <c r="AW71" s="167" t="s">
        <v>70</v>
      </c>
      <c r="AX71" s="167" t="s">
        <v>70</v>
      </c>
      <c r="AY71" s="167" t="s">
        <v>70</v>
      </c>
      <c r="AZ71" s="167" t="s">
        <v>70</v>
      </c>
      <c r="BA71" s="167" t="s">
        <v>70</v>
      </c>
      <c r="BB71" s="167" t="s">
        <v>70</v>
      </c>
      <c r="BC71" s="167" t="s">
        <v>70</v>
      </c>
      <c r="BD71" s="167" t="s">
        <v>70</v>
      </c>
      <c r="BE71" s="167" t="s">
        <v>70</v>
      </c>
      <c r="BF71" s="167" t="s">
        <v>70</v>
      </c>
      <c r="BG71" s="167" t="s">
        <v>70</v>
      </c>
      <c r="BH71" s="167" t="s">
        <v>70</v>
      </c>
      <c r="BI71" s="167" t="s">
        <v>70</v>
      </c>
      <c r="BJ71" s="167" t="s">
        <v>70</v>
      </c>
      <c r="BK71" s="167" t="s">
        <v>70</v>
      </c>
      <c r="BL71" s="167" t="s">
        <v>70</v>
      </c>
      <c r="BM71" s="167" t="s">
        <v>70</v>
      </c>
      <c r="BN71" s="167" t="s">
        <v>70</v>
      </c>
      <c r="BO71" s="167" t="s">
        <v>70</v>
      </c>
      <c r="BP71" s="167" t="s">
        <v>70</v>
      </c>
      <c r="BQ71" s="151" t="s">
        <v>256</v>
      </c>
      <c r="BR71" s="142"/>
      <c r="BS71" s="142"/>
      <c r="BT71" s="142"/>
      <c r="BU71" s="142"/>
      <c r="BV71" s="142"/>
      <c r="BW71" s="142"/>
      <c r="BX71" s="142"/>
      <c r="BY71" s="142"/>
      <c r="BZ71" s="142"/>
      <c r="CA71" s="142"/>
      <c r="CB71" s="142"/>
      <c r="CC71" s="142"/>
      <c r="CD71" s="142"/>
      <c r="CE71" s="142"/>
      <c r="CF71" s="142"/>
      <c r="CG71" s="142"/>
      <c r="CH71" s="142"/>
      <c r="CI71" s="142"/>
      <c r="CJ71" s="142"/>
      <c r="CK71" s="142"/>
      <c r="CL71" s="142"/>
      <c r="CM71" s="142"/>
      <c r="CN71" s="142"/>
      <c r="CO71" s="142"/>
      <c r="CP71" s="142"/>
      <c r="CQ71" s="142"/>
      <c r="CR71" s="142"/>
      <c r="CS71" s="142"/>
      <c r="CT71" s="142"/>
      <c r="CU71" s="142"/>
      <c r="CV71" s="142"/>
      <c r="CW71" s="142"/>
      <c r="CX71" s="142"/>
      <c r="CY71" s="142"/>
      <c r="CZ71" s="142"/>
      <c r="DA71" s="142"/>
      <c r="DB71" s="142"/>
      <c r="DC71" s="142"/>
      <c r="DD71" s="142"/>
      <c r="DE71" s="142"/>
      <c r="DF71" s="142"/>
      <c r="DG71" s="142"/>
      <c r="DH71" s="142"/>
      <c r="DI71" s="142"/>
      <c r="DJ71" s="142"/>
      <c r="DK71" s="142"/>
      <c r="DL71" s="142"/>
      <c r="DM71" s="142"/>
      <c r="DN71" s="142"/>
      <c r="DO71" s="142"/>
      <c r="DP71" s="142"/>
      <c r="DQ71" s="142"/>
      <c r="DR71" s="142"/>
      <c r="DS71" s="142"/>
      <c r="DT71" s="142"/>
      <c r="DU71" s="142"/>
      <c r="DV71" s="142"/>
      <c r="DW71" s="142"/>
      <c r="DX71" s="142"/>
      <c r="DY71" s="142"/>
      <c r="DZ71" s="142"/>
      <c r="EA71" s="142"/>
      <c r="EB71" s="142"/>
      <c r="EC71" s="142"/>
      <c r="ED71" s="142"/>
      <c r="EE71" s="142"/>
    </row>
    <row r="72" spans="1:135" s="151" customFormat="1" ht="19.5" customHeight="1" x14ac:dyDescent="0.2">
      <c r="A72" s="117">
        <v>69</v>
      </c>
      <c r="B72" s="121" t="s">
        <v>427</v>
      </c>
      <c r="C72" s="122">
        <v>173162</v>
      </c>
      <c r="D72" s="117" t="s">
        <v>212</v>
      </c>
      <c r="E72" s="117" t="s">
        <v>414</v>
      </c>
      <c r="F72" s="146" t="s">
        <v>256</v>
      </c>
      <c r="G72" s="124" t="s">
        <v>69</v>
      </c>
      <c r="H72" s="93">
        <v>46248</v>
      </c>
      <c r="I72" s="93">
        <v>46248</v>
      </c>
      <c r="J72" s="92">
        <f>IF(I72="", "", DATE(YEAR(I72)+3, MONTH(I72), DAY(I72)))</f>
        <v>47344</v>
      </c>
      <c r="K72" s="93">
        <v>46247</v>
      </c>
      <c r="L72" s="93">
        <v>46247</v>
      </c>
      <c r="M72" s="140">
        <f t="shared" si="5"/>
        <v>47343</v>
      </c>
      <c r="N72" s="93">
        <v>46245</v>
      </c>
      <c r="O72" s="93">
        <v>46258</v>
      </c>
      <c r="P72" s="93">
        <v>46246</v>
      </c>
      <c r="Q72" s="167" t="s">
        <v>70</v>
      </c>
      <c r="R72" s="167" t="s">
        <v>70</v>
      </c>
      <c r="S72" s="167" t="s">
        <v>70</v>
      </c>
      <c r="T72" s="167" t="s">
        <v>70</v>
      </c>
      <c r="U72" s="167" t="s">
        <v>70</v>
      </c>
      <c r="V72" s="167" t="s">
        <v>70</v>
      </c>
      <c r="W72" s="167" t="s">
        <v>70</v>
      </c>
      <c r="X72" s="167" t="s">
        <v>70</v>
      </c>
      <c r="Y72" s="167" t="s">
        <v>70</v>
      </c>
      <c r="Z72" s="167" t="s">
        <v>70</v>
      </c>
      <c r="AA72" s="167" t="s">
        <v>70</v>
      </c>
      <c r="AB72" s="167" t="s">
        <v>70</v>
      </c>
      <c r="AC72" s="167" t="s">
        <v>70</v>
      </c>
      <c r="AD72" s="167" t="s">
        <v>70</v>
      </c>
      <c r="AE72" s="167" t="s">
        <v>70</v>
      </c>
      <c r="AF72" s="167" t="s">
        <v>70</v>
      </c>
      <c r="AG72" s="167" t="s">
        <v>70</v>
      </c>
      <c r="AH72" s="167" t="s">
        <v>70</v>
      </c>
      <c r="AI72" s="181">
        <v>46065</v>
      </c>
      <c r="AJ72" s="166" t="s">
        <v>69</v>
      </c>
      <c r="AK72" s="167" t="s">
        <v>70</v>
      </c>
      <c r="AL72" s="167" t="s">
        <v>70</v>
      </c>
      <c r="AM72" s="167"/>
      <c r="AN72" s="167" t="s">
        <v>70</v>
      </c>
      <c r="AO72" s="167" t="s">
        <v>70</v>
      </c>
      <c r="AP72" s="167" t="s">
        <v>70</v>
      </c>
      <c r="AQ72" s="167" t="s">
        <v>70</v>
      </c>
      <c r="AR72" s="166" t="s">
        <v>69</v>
      </c>
      <c r="AS72" s="167" t="s">
        <v>70</v>
      </c>
      <c r="AT72" s="167" t="s">
        <v>70</v>
      </c>
      <c r="AU72" s="167" t="s">
        <v>70</v>
      </c>
      <c r="AV72" s="167" t="s">
        <v>70</v>
      </c>
      <c r="AW72" s="167" t="s">
        <v>70</v>
      </c>
      <c r="AX72" s="167" t="s">
        <v>70</v>
      </c>
      <c r="AY72" s="167" t="s">
        <v>70</v>
      </c>
      <c r="AZ72" s="167" t="s">
        <v>70</v>
      </c>
      <c r="BA72" s="167" t="s">
        <v>70</v>
      </c>
      <c r="BB72" s="167" t="s">
        <v>70</v>
      </c>
      <c r="BC72" s="167" t="s">
        <v>70</v>
      </c>
      <c r="BD72" s="167" t="s">
        <v>70</v>
      </c>
      <c r="BE72" s="167" t="s">
        <v>70</v>
      </c>
      <c r="BF72" s="167" t="s">
        <v>70</v>
      </c>
      <c r="BG72" s="167" t="s">
        <v>70</v>
      </c>
      <c r="BH72" s="167" t="s">
        <v>70</v>
      </c>
      <c r="BI72" s="167" t="s">
        <v>70</v>
      </c>
      <c r="BJ72" s="167" t="s">
        <v>70</v>
      </c>
      <c r="BK72" s="167" t="s">
        <v>70</v>
      </c>
      <c r="BL72" s="167" t="s">
        <v>70</v>
      </c>
      <c r="BM72" s="167" t="s">
        <v>70</v>
      </c>
      <c r="BN72" s="167" t="s">
        <v>70</v>
      </c>
      <c r="BO72" s="167" t="s">
        <v>70</v>
      </c>
      <c r="BP72" s="167" t="s">
        <v>70</v>
      </c>
      <c r="BQ72" s="151" t="s">
        <v>256</v>
      </c>
      <c r="BR72" s="142"/>
      <c r="BS72" s="142"/>
      <c r="BT72" s="142"/>
      <c r="BU72" s="142"/>
      <c r="BV72" s="142"/>
      <c r="BW72" s="142"/>
      <c r="BX72" s="142"/>
      <c r="BY72" s="142"/>
      <c r="BZ72" s="142"/>
      <c r="CA72" s="142"/>
      <c r="CB72" s="142"/>
      <c r="CC72" s="142"/>
      <c r="CD72" s="142"/>
      <c r="CE72" s="142"/>
      <c r="CF72" s="142"/>
      <c r="CG72" s="142"/>
      <c r="CH72" s="142"/>
      <c r="CI72" s="142"/>
      <c r="CJ72" s="142"/>
      <c r="CK72" s="142"/>
      <c r="CL72" s="142"/>
      <c r="CM72" s="142"/>
      <c r="CN72" s="142"/>
      <c r="CO72" s="142"/>
      <c r="CP72" s="142"/>
      <c r="CQ72" s="142"/>
      <c r="CR72" s="142"/>
      <c r="CS72" s="142"/>
      <c r="CT72" s="142"/>
      <c r="CU72" s="142"/>
      <c r="CV72" s="142"/>
      <c r="CW72" s="142"/>
      <c r="CX72" s="142"/>
      <c r="CY72" s="142"/>
      <c r="CZ72" s="142"/>
      <c r="DA72" s="142"/>
      <c r="DB72" s="142"/>
      <c r="DC72" s="142"/>
      <c r="DD72" s="142"/>
      <c r="DE72" s="142"/>
      <c r="DF72" s="142"/>
      <c r="DG72" s="142"/>
      <c r="DH72" s="142"/>
      <c r="DI72" s="142"/>
      <c r="DJ72" s="142"/>
      <c r="DK72" s="142"/>
      <c r="DL72" s="142"/>
      <c r="DM72" s="142"/>
      <c r="DN72" s="142"/>
      <c r="DO72" s="142"/>
      <c r="DP72" s="142"/>
      <c r="DQ72" s="142"/>
      <c r="DR72" s="142"/>
      <c r="DS72" s="142"/>
      <c r="DT72" s="142"/>
      <c r="DU72" s="142"/>
      <c r="DV72" s="142"/>
      <c r="DW72" s="142"/>
      <c r="DX72" s="142"/>
      <c r="DY72" s="142"/>
      <c r="DZ72" s="142"/>
      <c r="EA72" s="142"/>
      <c r="EB72" s="142"/>
      <c r="EC72" s="142"/>
      <c r="ED72" s="142"/>
      <c r="EE72" s="142"/>
    </row>
    <row r="73" spans="1:135" s="151" customFormat="1" ht="19.5" customHeight="1" x14ac:dyDescent="0.2">
      <c r="A73" s="117">
        <v>70</v>
      </c>
      <c r="B73" s="121" t="s">
        <v>428</v>
      </c>
      <c r="C73" s="122">
        <v>145973</v>
      </c>
      <c r="D73" s="117" t="s">
        <v>212</v>
      </c>
      <c r="E73" s="117" t="s">
        <v>414</v>
      </c>
      <c r="F73" s="146" t="s">
        <v>256</v>
      </c>
      <c r="G73" s="124" t="s">
        <v>69</v>
      </c>
      <c r="H73" s="93"/>
      <c r="I73" s="93"/>
      <c r="J73" s="92" t="str">
        <f>IF(I73="", "", DATE(YEAR(I73)+3, MONTH(I73), DAY(L73)))</f>
        <v/>
      </c>
      <c r="K73" s="93"/>
      <c r="L73" s="93"/>
      <c r="M73" s="140" t="str">
        <f t="shared" si="5"/>
        <v/>
      </c>
      <c r="N73" s="93"/>
      <c r="O73" s="93"/>
      <c r="P73" s="93"/>
      <c r="Q73" s="167" t="s">
        <v>70</v>
      </c>
      <c r="R73" s="167" t="s">
        <v>70</v>
      </c>
      <c r="S73" s="167" t="s">
        <v>70</v>
      </c>
      <c r="T73" s="167" t="s">
        <v>70</v>
      </c>
      <c r="U73" s="167" t="s">
        <v>70</v>
      </c>
      <c r="V73" s="167" t="s">
        <v>70</v>
      </c>
      <c r="W73" s="167" t="s">
        <v>70</v>
      </c>
      <c r="X73" s="167" t="s">
        <v>70</v>
      </c>
      <c r="Y73" s="167" t="s">
        <v>70</v>
      </c>
      <c r="Z73" s="167" t="s">
        <v>70</v>
      </c>
      <c r="AA73" s="167" t="s">
        <v>70</v>
      </c>
      <c r="AB73" s="167" t="s">
        <v>70</v>
      </c>
      <c r="AC73" s="167" t="s">
        <v>70</v>
      </c>
      <c r="AD73" s="167" t="s">
        <v>70</v>
      </c>
      <c r="AE73" s="167" t="s">
        <v>70</v>
      </c>
      <c r="AF73" s="167" t="s">
        <v>70</v>
      </c>
      <c r="AG73" s="167" t="s">
        <v>70</v>
      </c>
      <c r="AH73" s="167" t="s">
        <v>70</v>
      </c>
      <c r="AI73" s="181">
        <v>46149</v>
      </c>
      <c r="AJ73" s="166" t="s">
        <v>69</v>
      </c>
      <c r="AK73" s="167" t="s">
        <v>70</v>
      </c>
      <c r="AL73" s="167" t="s">
        <v>70</v>
      </c>
      <c r="AM73" s="167"/>
      <c r="AN73" s="167" t="s">
        <v>70</v>
      </c>
      <c r="AO73" s="167" t="s">
        <v>70</v>
      </c>
      <c r="AP73" s="167" t="s">
        <v>70</v>
      </c>
      <c r="AQ73" s="167" t="s">
        <v>70</v>
      </c>
      <c r="AR73" s="166" t="s">
        <v>69</v>
      </c>
      <c r="AS73" s="167" t="s">
        <v>70</v>
      </c>
      <c r="AT73" s="167" t="s">
        <v>70</v>
      </c>
      <c r="AU73" s="167" t="s">
        <v>70</v>
      </c>
      <c r="AV73" s="167" t="s">
        <v>70</v>
      </c>
      <c r="AW73" s="167" t="s">
        <v>70</v>
      </c>
      <c r="AX73" s="167" t="s">
        <v>70</v>
      </c>
      <c r="AY73" s="167" t="s">
        <v>70</v>
      </c>
      <c r="AZ73" s="167" t="s">
        <v>70</v>
      </c>
      <c r="BA73" s="167" t="s">
        <v>70</v>
      </c>
      <c r="BB73" s="167" t="s">
        <v>70</v>
      </c>
      <c r="BC73" s="167" t="s">
        <v>70</v>
      </c>
      <c r="BD73" s="167" t="s">
        <v>70</v>
      </c>
      <c r="BE73" s="167" t="s">
        <v>70</v>
      </c>
      <c r="BF73" s="167" t="s">
        <v>70</v>
      </c>
      <c r="BG73" s="167" t="s">
        <v>70</v>
      </c>
      <c r="BH73" s="167" t="s">
        <v>70</v>
      </c>
      <c r="BI73" s="167" t="s">
        <v>70</v>
      </c>
      <c r="BJ73" s="167" t="s">
        <v>70</v>
      </c>
      <c r="BK73" s="167" t="s">
        <v>70</v>
      </c>
      <c r="BL73" s="167" t="s">
        <v>70</v>
      </c>
      <c r="BM73" s="167" t="s">
        <v>70</v>
      </c>
      <c r="BN73" s="167" t="s">
        <v>70</v>
      </c>
      <c r="BO73" s="167" t="s">
        <v>70</v>
      </c>
      <c r="BP73" s="167" t="s">
        <v>70</v>
      </c>
      <c r="BQ73" s="151" t="s">
        <v>256</v>
      </c>
      <c r="BR73" s="142"/>
      <c r="BS73" s="142"/>
      <c r="BT73" s="142"/>
      <c r="BU73" s="142"/>
      <c r="BV73" s="142"/>
      <c r="BW73" s="142"/>
      <c r="BX73" s="142"/>
      <c r="BY73" s="142"/>
      <c r="BZ73" s="142"/>
      <c r="CA73" s="142"/>
      <c r="CB73" s="142"/>
      <c r="CC73" s="142"/>
      <c r="CD73" s="142"/>
      <c r="CE73" s="142"/>
      <c r="CF73" s="142"/>
      <c r="CG73" s="142"/>
      <c r="CH73" s="142"/>
      <c r="CI73" s="142"/>
      <c r="CJ73" s="142"/>
      <c r="CK73" s="142"/>
      <c r="CL73" s="142"/>
      <c r="CM73" s="142"/>
      <c r="CN73" s="142"/>
      <c r="CO73" s="142"/>
      <c r="CP73" s="142"/>
      <c r="CQ73" s="142"/>
      <c r="CR73" s="142"/>
      <c r="CS73" s="142"/>
      <c r="CT73" s="142"/>
      <c r="CU73" s="142"/>
      <c r="CV73" s="142"/>
      <c r="CW73" s="142"/>
      <c r="CX73" s="142"/>
      <c r="CY73" s="142"/>
      <c r="CZ73" s="142"/>
      <c r="DA73" s="142"/>
      <c r="DB73" s="142"/>
      <c r="DC73" s="142"/>
      <c r="DD73" s="142"/>
      <c r="DE73" s="142"/>
      <c r="DF73" s="142"/>
      <c r="DG73" s="142"/>
      <c r="DH73" s="142"/>
      <c r="DI73" s="142"/>
      <c r="DJ73" s="142"/>
      <c r="DK73" s="142"/>
      <c r="DL73" s="142"/>
      <c r="DM73" s="142"/>
      <c r="DN73" s="142"/>
      <c r="DO73" s="142"/>
      <c r="DP73" s="142"/>
      <c r="DQ73" s="142"/>
      <c r="DR73" s="142"/>
      <c r="DS73" s="142"/>
      <c r="DT73" s="142"/>
      <c r="DU73" s="142"/>
      <c r="DV73" s="142"/>
      <c r="DW73" s="142"/>
      <c r="DX73" s="142"/>
      <c r="DY73" s="142"/>
      <c r="DZ73" s="142"/>
      <c r="EA73" s="142"/>
      <c r="EB73" s="142"/>
      <c r="EC73" s="142"/>
      <c r="ED73" s="142"/>
      <c r="EE73" s="142"/>
    </row>
    <row r="74" spans="1:135" s="151" customFormat="1" ht="19.5" customHeight="1" x14ac:dyDescent="0.2">
      <c r="A74" s="117">
        <v>71</v>
      </c>
      <c r="B74" s="191" t="s">
        <v>429</v>
      </c>
      <c r="C74" s="159">
        <v>143708</v>
      </c>
      <c r="D74" s="161" t="s">
        <v>73</v>
      </c>
      <c r="E74" s="117" t="s">
        <v>430</v>
      </c>
      <c r="F74" s="146" t="s">
        <v>208</v>
      </c>
      <c r="G74" s="162">
        <v>42481</v>
      </c>
      <c r="H74" s="172">
        <v>43545</v>
      </c>
      <c r="I74" s="172">
        <v>45947</v>
      </c>
      <c r="J74" s="162">
        <f>IF(I74="", "", DATE(YEAR(I74)+2, MONTH(I74), DAY(I74)))</f>
        <v>46677</v>
      </c>
      <c r="K74" s="111">
        <v>42339</v>
      </c>
      <c r="L74" s="163">
        <v>46162</v>
      </c>
      <c r="M74" s="163">
        <f>IF(L74="", "", DATE(YEAR(L74)+2, MONTH(L74), DAY(L74)))</f>
        <v>46893</v>
      </c>
      <c r="N74" s="111">
        <v>42261</v>
      </c>
      <c r="O74" s="111">
        <v>45436</v>
      </c>
      <c r="P74" s="111">
        <v>43418</v>
      </c>
      <c r="Q74" s="166" t="s">
        <v>69</v>
      </c>
      <c r="R74" s="166" t="s">
        <v>69</v>
      </c>
      <c r="S74" s="166" t="s">
        <v>69</v>
      </c>
      <c r="T74" s="166" t="s">
        <v>69</v>
      </c>
      <c r="U74" s="168">
        <v>43532</v>
      </c>
      <c r="V74" s="168">
        <v>42821</v>
      </c>
      <c r="W74" s="168">
        <v>43665</v>
      </c>
      <c r="X74" s="168">
        <v>42360</v>
      </c>
      <c r="Y74" s="168">
        <v>42083</v>
      </c>
      <c r="Z74" s="168">
        <v>43434</v>
      </c>
      <c r="AA74" s="168">
        <v>46146</v>
      </c>
      <c r="AB74" s="166" t="s">
        <v>69</v>
      </c>
      <c r="AC74" s="166" t="s">
        <v>69</v>
      </c>
      <c r="AD74" s="167" t="s">
        <v>71</v>
      </c>
      <c r="AE74" s="167" t="s">
        <v>70</v>
      </c>
      <c r="AF74" s="112">
        <v>46287</v>
      </c>
      <c r="AG74" s="112" t="s">
        <v>69</v>
      </c>
      <c r="AH74" s="167" t="s">
        <v>71</v>
      </c>
      <c r="AI74" s="167" t="s">
        <v>70</v>
      </c>
      <c r="AJ74" s="167" t="s">
        <v>70</v>
      </c>
      <c r="AK74" s="167" t="s">
        <v>70</v>
      </c>
      <c r="AL74" s="166" t="s">
        <v>69</v>
      </c>
      <c r="AM74" s="166"/>
      <c r="AN74" s="166" t="s">
        <v>69</v>
      </c>
      <c r="AO74" s="167" t="s">
        <v>70</v>
      </c>
      <c r="AP74" s="166" t="s">
        <v>69</v>
      </c>
      <c r="AQ74" s="166" t="s">
        <v>69</v>
      </c>
      <c r="AR74" s="168">
        <v>46119</v>
      </c>
      <c r="AS74" s="94">
        <v>45232</v>
      </c>
      <c r="AT74" s="94">
        <v>45232</v>
      </c>
      <c r="AU74" s="166" t="s">
        <v>69</v>
      </c>
      <c r="AV74" s="166" t="s">
        <v>69</v>
      </c>
      <c r="AW74" s="166" t="s">
        <v>69</v>
      </c>
      <c r="AX74" s="166" t="s">
        <v>69</v>
      </c>
      <c r="AY74" s="166" t="s">
        <v>69</v>
      </c>
      <c r="AZ74" s="166" t="s">
        <v>69</v>
      </c>
      <c r="BA74" s="166" t="s">
        <v>69</v>
      </c>
      <c r="BB74" s="166" t="s">
        <v>69</v>
      </c>
      <c r="BC74" s="166" t="s">
        <v>69</v>
      </c>
      <c r="BD74" s="166" t="s">
        <v>69</v>
      </c>
      <c r="BE74" s="166" t="s">
        <v>69</v>
      </c>
      <c r="BF74" s="166" t="s">
        <v>69</v>
      </c>
      <c r="BG74" s="167" t="s">
        <v>70</v>
      </c>
      <c r="BH74" s="166" t="s">
        <v>69</v>
      </c>
      <c r="BI74" s="166" t="s">
        <v>69</v>
      </c>
      <c r="BJ74" s="167" t="s">
        <v>70</v>
      </c>
      <c r="BK74" s="166" t="s">
        <v>69</v>
      </c>
      <c r="BL74" s="167" t="s">
        <v>70</v>
      </c>
      <c r="BM74" s="167" t="s">
        <v>70</v>
      </c>
      <c r="BN74" s="167" t="s">
        <v>70</v>
      </c>
      <c r="BO74" s="167" t="s">
        <v>70</v>
      </c>
      <c r="BP74" s="167" t="s">
        <v>70</v>
      </c>
      <c r="BQ74" s="151">
        <v>0</v>
      </c>
      <c r="BR74" s="142"/>
      <c r="BS74" s="142"/>
      <c r="BT74" s="142"/>
      <c r="BU74" s="142"/>
      <c r="BV74" s="142"/>
      <c r="BW74" s="142"/>
      <c r="BX74" s="142"/>
      <c r="BY74" s="142"/>
      <c r="BZ74" s="142"/>
      <c r="CA74" s="142"/>
      <c r="CB74" s="142"/>
      <c r="CC74" s="142"/>
      <c r="CD74" s="142"/>
      <c r="CE74" s="142"/>
      <c r="CF74" s="142"/>
      <c r="CG74" s="142"/>
      <c r="CH74" s="142"/>
      <c r="CI74" s="142"/>
      <c r="CJ74" s="142"/>
      <c r="CK74" s="142"/>
      <c r="CL74" s="142"/>
      <c r="CM74" s="142"/>
      <c r="CN74" s="142"/>
      <c r="CO74" s="142"/>
      <c r="CP74" s="142"/>
      <c r="CQ74" s="142"/>
      <c r="CR74" s="142"/>
      <c r="CS74" s="142"/>
      <c r="CT74" s="142"/>
      <c r="CU74" s="142"/>
      <c r="CV74" s="142"/>
      <c r="CW74" s="142"/>
      <c r="CX74" s="142"/>
      <c r="CY74" s="142"/>
      <c r="CZ74" s="142"/>
      <c r="DA74" s="142"/>
      <c r="DB74" s="142"/>
      <c r="DC74" s="142"/>
      <c r="DD74" s="142"/>
      <c r="DE74" s="142"/>
      <c r="DF74" s="142"/>
      <c r="DG74" s="142"/>
      <c r="DH74" s="142"/>
      <c r="DI74" s="142"/>
      <c r="DJ74" s="142"/>
      <c r="DK74" s="142"/>
      <c r="DL74" s="142"/>
      <c r="DM74" s="142"/>
      <c r="DN74" s="142"/>
      <c r="DO74" s="142"/>
      <c r="DP74" s="142"/>
      <c r="DQ74" s="142"/>
      <c r="DR74" s="142"/>
      <c r="DS74" s="142"/>
      <c r="DT74" s="142"/>
      <c r="DU74" s="142"/>
      <c r="DV74" s="142"/>
      <c r="DW74" s="142"/>
      <c r="DX74" s="142"/>
      <c r="DY74" s="142"/>
      <c r="DZ74" s="142"/>
      <c r="EA74" s="142"/>
      <c r="EB74" s="142"/>
      <c r="EC74" s="142"/>
      <c r="ED74" s="142"/>
      <c r="EE74" s="142"/>
    </row>
    <row r="75" spans="1:135" s="151" customFormat="1" ht="19.5" customHeight="1" x14ac:dyDescent="0.2">
      <c r="A75" s="117">
        <v>72</v>
      </c>
      <c r="B75" s="174" t="s">
        <v>431</v>
      </c>
      <c r="C75" s="144">
        <v>142531</v>
      </c>
      <c r="D75" s="117" t="s">
        <v>73</v>
      </c>
      <c r="E75" s="117" t="s">
        <v>430</v>
      </c>
      <c r="F75" s="146" t="s">
        <v>208</v>
      </c>
      <c r="G75" s="162">
        <v>41859</v>
      </c>
      <c r="H75" s="172">
        <v>45111</v>
      </c>
      <c r="I75" s="172">
        <v>45925</v>
      </c>
      <c r="J75" s="162">
        <f>IF(I75="", "", DATE(YEAR(I75)+2, MONTH(I75), DAY(I75)))</f>
        <v>46655</v>
      </c>
      <c r="K75" s="111">
        <v>41940</v>
      </c>
      <c r="L75" s="111">
        <v>45923</v>
      </c>
      <c r="M75" s="163">
        <f>IF(L75="", "", DATE(YEAR(L75)+2, MONTH(L75), DAY(L75)))</f>
        <v>46653</v>
      </c>
      <c r="N75" s="111">
        <v>42479</v>
      </c>
      <c r="O75" s="111">
        <v>45436</v>
      </c>
      <c r="P75" s="111">
        <v>42481</v>
      </c>
      <c r="Q75" s="166" t="s">
        <v>69</v>
      </c>
      <c r="R75" s="166" t="s">
        <v>69</v>
      </c>
      <c r="S75" s="166" t="s">
        <v>69</v>
      </c>
      <c r="T75" s="168">
        <v>46122</v>
      </c>
      <c r="U75" s="168">
        <v>46094</v>
      </c>
      <c r="V75" s="166" t="s">
        <v>69</v>
      </c>
      <c r="W75" s="166" t="s">
        <v>69</v>
      </c>
      <c r="X75" s="166" t="s">
        <v>69</v>
      </c>
      <c r="Y75" s="166" t="s">
        <v>69</v>
      </c>
      <c r="Z75" s="166" t="s">
        <v>69</v>
      </c>
      <c r="AA75" s="168">
        <v>46293</v>
      </c>
      <c r="AB75" s="166" t="s">
        <v>69</v>
      </c>
      <c r="AC75" s="166" t="s">
        <v>69</v>
      </c>
      <c r="AD75" s="167" t="s">
        <v>71</v>
      </c>
      <c r="AE75" s="167" t="s">
        <v>70</v>
      </c>
      <c r="AF75" s="112">
        <v>46261</v>
      </c>
      <c r="AG75" s="112" t="s">
        <v>69</v>
      </c>
      <c r="AH75" s="167" t="s">
        <v>71</v>
      </c>
      <c r="AI75" s="167" t="s">
        <v>70</v>
      </c>
      <c r="AJ75" s="167" t="s">
        <v>70</v>
      </c>
      <c r="AK75" s="167" t="s">
        <v>70</v>
      </c>
      <c r="AL75" s="166" t="s">
        <v>69</v>
      </c>
      <c r="AM75" s="166"/>
      <c r="AN75" s="166" t="s">
        <v>69</v>
      </c>
      <c r="AO75" s="167" t="s">
        <v>70</v>
      </c>
      <c r="AP75" s="166" t="s">
        <v>69</v>
      </c>
      <c r="AQ75" s="166" t="s">
        <v>69</v>
      </c>
      <c r="AR75" s="166" t="s">
        <v>69</v>
      </c>
      <c r="AS75" s="166" t="s">
        <v>69</v>
      </c>
      <c r="AT75" s="166" t="s">
        <v>69</v>
      </c>
      <c r="AU75" s="166" t="s">
        <v>69</v>
      </c>
      <c r="AV75" s="166" t="s">
        <v>69</v>
      </c>
      <c r="AW75" s="166" t="s">
        <v>69</v>
      </c>
      <c r="AX75" s="166" t="s">
        <v>69</v>
      </c>
      <c r="AY75" s="166" t="s">
        <v>69</v>
      </c>
      <c r="AZ75" s="166" t="s">
        <v>69</v>
      </c>
      <c r="BA75" s="166" t="s">
        <v>69</v>
      </c>
      <c r="BB75" s="166" t="s">
        <v>69</v>
      </c>
      <c r="BC75" s="166" t="s">
        <v>69</v>
      </c>
      <c r="BD75" s="166" t="s">
        <v>69</v>
      </c>
      <c r="BE75" s="166" t="s">
        <v>69</v>
      </c>
      <c r="BF75" s="166" t="s">
        <v>69</v>
      </c>
      <c r="BG75" s="167" t="s">
        <v>70</v>
      </c>
      <c r="BH75" s="166" t="s">
        <v>69</v>
      </c>
      <c r="BI75" s="166" t="s">
        <v>69</v>
      </c>
      <c r="BJ75" s="167" t="s">
        <v>70</v>
      </c>
      <c r="BK75" s="166" t="s">
        <v>69</v>
      </c>
      <c r="BL75" s="167" t="s">
        <v>70</v>
      </c>
      <c r="BM75" s="167" t="s">
        <v>70</v>
      </c>
      <c r="BN75" s="167" t="s">
        <v>70</v>
      </c>
      <c r="BO75" s="167" t="s">
        <v>70</v>
      </c>
      <c r="BP75" s="167" t="s">
        <v>70</v>
      </c>
      <c r="BQ75" s="151">
        <v>0</v>
      </c>
      <c r="BR75" s="142"/>
      <c r="BS75" s="142"/>
      <c r="BT75" s="142"/>
      <c r="BU75" s="142"/>
      <c r="BV75" s="142"/>
      <c r="BW75" s="142"/>
      <c r="BX75" s="142"/>
      <c r="BY75" s="142"/>
      <c r="BZ75" s="142"/>
      <c r="CA75" s="142"/>
      <c r="CB75" s="142"/>
      <c r="CC75" s="142"/>
      <c r="CD75" s="142"/>
      <c r="CE75" s="142"/>
      <c r="CF75" s="142"/>
      <c r="CG75" s="142"/>
      <c r="CH75" s="142"/>
      <c r="CI75" s="142"/>
      <c r="CJ75" s="142"/>
      <c r="CK75" s="142"/>
      <c r="CL75" s="142"/>
      <c r="CM75" s="142"/>
      <c r="CN75" s="142"/>
      <c r="CO75" s="142"/>
      <c r="CP75" s="142"/>
      <c r="CQ75" s="142"/>
      <c r="CR75" s="142"/>
      <c r="CS75" s="142"/>
      <c r="CT75" s="142"/>
      <c r="CU75" s="142"/>
      <c r="CV75" s="142"/>
      <c r="CW75" s="142"/>
      <c r="CX75" s="142"/>
      <c r="CY75" s="142"/>
      <c r="CZ75" s="142"/>
      <c r="DA75" s="142"/>
      <c r="DB75" s="142"/>
      <c r="DC75" s="142"/>
      <c r="DD75" s="142"/>
      <c r="DE75" s="142"/>
      <c r="DF75" s="142"/>
      <c r="DG75" s="142"/>
      <c r="DH75" s="142"/>
      <c r="DI75" s="142"/>
      <c r="DJ75" s="142"/>
      <c r="DK75" s="142"/>
      <c r="DL75" s="142"/>
      <c r="DM75" s="142"/>
      <c r="DN75" s="142"/>
      <c r="DO75" s="142"/>
      <c r="DP75" s="142"/>
      <c r="DQ75" s="142"/>
      <c r="DR75" s="142"/>
      <c r="DS75" s="142"/>
      <c r="DT75" s="142"/>
      <c r="DU75" s="142"/>
      <c r="DV75" s="142"/>
      <c r="DW75" s="142"/>
      <c r="DX75" s="142"/>
      <c r="DY75" s="142"/>
      <c r="DZ75" s="142"/>
      <c r="EA75" s="142"/>
      <c r="EB75" s="142"/>
      <c r="EC75" s="142"/>
      <c r="ED75" s="142"/>
      <c r="EE75" s="142"/>
    </row>
    <row r="76" spans="1:135" s="151" customFormat="1" ht="19.5" customHeight="1" x14ac:dyDescent="0.2">
      <c r="A76" s="117">
        <v>73</v>
      </c>
      <c r="B76" s="188" t="s">
        <v>432</v>
      </c>
      <c r="C76" s="189">
        <v>155000</v>
      </c>
      <c r="D76" s="177" t="s">
        <v>433</v>
      </c>
      <c r="E76" s="117" t="s">
        <v>430</v>
      </c>
      <c r="F76" s="146" t="s">
        <v>256</v>
      </c>
      <c r="G76" s="124" t="s">
        <v>69</v>
      </c>
      <c r="H76" s="93">
        <v>42513</v>
      </c>
      <c r="I76" s="93">
        <v>45863</v>
      </c>
      <c r="J76" s="92">
        <f>IF(I76="", "", DATE(YEAR(I76)+3, MONTH(I76), DAY(L76)))</f>
        <v>46958</v>
      </c>
      <c r="K76" s="93">
        <v>42513</v>
      </c>
      <c r="L76" s="93">
        <v>45862</v>
      </c>
      <c r="M76" s="140">
        <f t="shared" ref="M76:M83" si="6">IF(L76="", "", DATE(YEAR(L76)+3, MONTH(L76), DAY(L76)))</f>
        <v>46958</v>
      </c>
      <c r="N76" s="93">
        <v>45859</v>
      </c>
      <c r="O76" s="93">
        <v>45860</v>
      </c>
      <c r="P76" s="93">
        <v>45861</v>
      </c>
      <c r="Q76" s="167" t="s">
        <v>70</v>
      </c>
      <c r="R76" s="167" t="s">
        <v>70</v>
      </c>
      <c r="S76" s="167" t="s">
        <v>70</v>
      </c>
      <c r="T76" s="167" t="s">
        <v>70</v>
      </c>
      <c r="U76" s="167" t="s">
        <v>70</v>
      </c>
      <c r="V76" s="167" t="s">
        <v>70</v>
      </c>
      <c r="W76" s="167" t="s">
        <v>70</v>
      </c>
      <c r="X76" s="167" t="s">
        <v>70</v>
      </c>
      <c r="Y76" s="167" t="s">
        <v>70</v>
      </c>
      <c r="Z76" s="167" t="s">
        <v>70</v>
      </c>
      <c r="AA76" s="167" t="s">
        <v>70</v>
      </c>
      <c r="AB76" s="167" t="s">
        <v>70</v>
      </c>
      <c r="AC76" s="167" t="s">
        <v>70</v>
      </c>
      <c r="AD76" s="167" t="s">
        <v>70</v>
      </c>
      <c r="AE76" s="167" t="s">
        <v>70</v>
      </c>
      <c r="AF76" s="167" t="s">
        <v>70</v>
      </c>
      <c r="AG76" s="167" t="s">
        <v>70</v>
      </c>
      <c r="AH76" s="167" t="s">
        <v>70</v>
      </c>
      <c r="AI76" s="181">
        <v>45708</v>
      </c>
      <c r="AJ76" s="166" t="s">
        <v>69</v>
      </c>
      <c r="AK76" s="167" t="s">
        <v>70</v>
      </c>
      <c r="AL76" s="167" t="s">
        <v>70</v>
      </c>
      <c r="AM76" s="167"/>
      <c r="AN76" s="167" t="s">
        <v>70</v>
      </c>
      <c r="AO76" s="167" t="s">
        <v>70</v>
      </c>
      <c r="AP76" s="167" t="s">
        <v>70</v>
      </c>
      <c r="AQ76" s="167" t="s">
        <v>70</v>
      </c>
      <c r="AR76" s="166" t="s">
        <v>69</v>
      </c>
      <c r="AS76" s="167" t="s">
        <v>70</v>
      </c>
      <c r="AT76" s="167" t="s">
        <v>70</v>
      </c>
      <c r="AU76" s="167" t="s">
        <v>70</v>
      </c>
      <c r="AV76" s="167" t="s">
        <v>70</v>
      </c>
      <c r="AW76" s="167" t="s">
        <v>70</v>
      </c>
      <c r="AX76" s="167" t="s">
        <v>70</v>
      </c>
      <c r="AY76" s="167" t="s">
        <v>70</v>
      </c>
      <c r="AZ76" s="167" t="s">
        <v>70</v>
      </c>
      <c r="BA76" s="167" t="s">
        <v>70</v>
      </c>
      <c r="BB76" s="167" t="s">
        <v>70</v>
      </c>
      <c r="BC76" s="167" t="s">
        <v>70</v>
      </c>
      <c r="BD76" s="167" t="s">
        <v>70</v>
      </c>
      <c r="BE76" s="167" t="s">
        <v>70</v>
      </c>
      <c r="BF76" s="167" t="s">
        <v>70</v>
      </c>
      <c r="BG76" s="167" t="s">
        <v>70</v>
      </c>
      <c r="BH76" s="167" t="s">
        <v>70</v>
      </c>
      <c r="BI76" s="167" t="s">
        <v>70</v>
      </c>
      <c r="BJ76" s="167" t="s">
        <v>70</v>
      </c>
      <c r="BK76" s="167" t="s">
        <v>70</v>
      </c>
      <c r="BL76" s="167" t="s">
        <v>70</v>
      </c>
      <c r="BM76" s="167" t="s">
        <v>70</v>
      </c>
      <c r="BN76" s="167" t="s">
        <v>70</v>
      </c>
      <c r="BO76" s="167" t="s">
        <v>70</v>
      </c>
      <c r="BP76" s="167" t="s">
        <v>70</v>
      </c>
      <c r="BQ76" s="151" t="s">
        <v>256</v>
      </c>
      <c r="BR76" s="142"/>
      <c r="BS76" s="142"/>
      <c r="BT76" s="142"/>
      <c r="BU76" s="142"/>
      <c r="BV76" s="142"/>
      <c r="BW76" s="142"/>
      <c r="BX76" s="142"/>
      <c r="BY76" s="142"/>
      <c r="BZ76" s="142"/>
      <c r="CA76" s="142"/>
      <c r="CB76" s="142"/>
      <c r="CC76" s="142"/>
      <c r="CD76" s="142"/>
      <c r="CE76" s="142"/>
      <c r="CF76" s="142"/>
      <c r="CG76" s="142"/>
      <c r="CH76" s="142"/>
      <c r="CI76" s="142"/>
      <c r="CJ76" s="142"/>
      <c r="CK76" s="142"/>
      <c r="CL76" s="142"/>
      <c r="CM76" s="142"/>
      <c r="CN76" s="142"/>
      <c r="CO76" s="142"/>
      <c r="CP76" s="142"/>
      <c r="CQ76" s="142"/>
      <c r="CR76" s="142"/>
      <c r="CS76" s="142"/>
      <c r="CT76" s="142"/>
      <c r="CU76" s="142"/>
      <c r="CV76" s="142"/>
      <c r="CW76" s="142"/>
      <c r="CX76" s="142"/>
      <c r="CY76" s="142"/>
      <c r="CZ76" s="142"/>
      <c r="DA76" s="142"/>
      <c r="DB76" s="142"/>
      <c r="DC76" s="142"/>
      <c r="DD76" s="142"/>
      <c r="DE76" s="142"/>
      <c r="DF76" s="142"/>
      <c r="DG76" s="142"/>
      <c r="DH76" s="142"/>
      <c r="DI76" s="142"/>
      <c r="DJ76" s="142"/>
      <c r="DK76" s="142"/>
      <c r="DL76" s="142"/>
      <c r="DM76" s="142"/>
      <c r="DN76" s="142"/>
      <c r="DO76" s="142"/>
      <c r="DP76" s="142"/>
      <c r="DQ76" s="142"/>
      <c r="DR76" s="142"/>
      <c r="DS76" s="142"/>
      <c r="DT76" s="142"/>
      <c r="DU76" s="142"/>
      <c r="DV76" s="142"/>
      <c r="DW76" s="142"/>
      <c r="DX76" s="142"/>
      <c r="DY76" s="142"/>
      <c r="DZ76" s="142"/>
      <c r="EA76" s="142"/>
      <c r="EB76" s="142"/>
      <c r="EC76" s="142"/>
      <c r="ED76" s="142"/>
      <c r="EE76" s="142"/>
    </row>
    <row r="77" spans="1:135" s="151" customFormat="1" ht="19.5" customHeight="1" x14ac:dyDescent="0.2">
      <c r="A77" s="117">
        <v>74</v>
      </c>
      <c r="B77" s="121" t="s">
        <v>434</v>
      </c>
      <c r="C77" s="122">
        <v>155002</v>
      </c>
      <c r="D77" s="179" t="s">
        <v>212</v>
      </c>
      <c r="E77" s="117" t="s">
        <v>430</v>
      </c>
      <c r="F77" s="146" t="s">
        <v>256</v>
      </c>
      <c r="G77" s="124" t="s">
        <v>69</v>
      </c>
      <c r="H77" s="93">
        <v>42520</v>
      </c>
      <c r="I77" s="93">
        <v>45863</v>
      </c>
      <c r="J77" s="92">
        <f>IF(I77="", "", DATE(YEAR(I77)+3, MONTH(I77), DAY(L77)))</f>
        <v>46958</v>
      </c>
      <c r="K77" s="93">
        <v>42520</v>
      </c>
      <c r="L77" s="93">
        <v>45862</v>
      </c>
      <c r="M77" s="140">
        <f t="shared" si="6"/>
        <v>46958</v>
      </c>
      <c r="N77" s="93">
        <v>45859</v>
      </c>
      <c r="O77" s="93">
        <v>45860</v>
      </c>
      <c r="P77" s="93">
        <v>45861</v>
      </c>
      <c r="Q77" s="167" t="s">
        <v>70</v>
      </c>
      <c r="R77" s="167" t="s">
        <v>70</v>
      </c>
      <c r="S77" s="167" t="s">
        <v>70</v>
      </c>
      <c r="T77" s="167" t="s">
        <v>70</v>
      </c>
      <c r="U77" s="167" t="s">
        <v>70</v>
      </c>
      <c r="V77" s="167" t="s">
        <v>70</v>
      </c>
      <c r="W77" s="167" t="s">
        <v>70</v>
      </c>
      <c r="X77" s="167" t="s">
        <v>70</v>
      </c>
      <c r="Y77" s="167" t="s">
        <v>70</v>
      </c>
      <c r="Z77" s="167" t="s">
        <v>70</v>
      </c>
      <c r="AA77" s="167" t="s">
        <v>70</v>
      </c>
      <c r="AB77" s="167" t="s">
        <v>70</v>
      </c>
      <c r="AC77" s="167" t="s">
        <v>70</v>
      </c>
      <c r="AD77" s="167" t="s">
        <v>70</v>
      </c>
      <c r="AE77" s="167" t="s">
        <v>70</v>
      </c>
      <c r="AF77" s="167" t="s">
        <v>70</v>
      </c>
      <c r="AG77" s="167" t="s">
        <v>70</v>
      </c>
      <c r="AH77" s="167" t="s">
        <v>70</v>
      </c>
      <c r="AI77" s="186">
        <v>45715</v>
      </c>
      <c r="AJ77" s="166" t="s">
        <v>69</v>
      </c>
      <c r="AK77" s="167" t="s">
        <v>70</v>
      </c>
      <c r="AL77" s="167" t="s">
        <v>70</v>
      </c>
      <c r="AM77" s="167"/>
      <c r="AN77" s="167" t="s">
        <v>70</v>
      </c>
      <c r="AO77" s="167" t="s">
        <v>70</v>
      </c>
      <c r="AP77" s="167" t="s">
        <v>70</v>
      </c>
      <c r="AQ77" s="167" t="s">
        <v>70</v>
      </c>
      <c r="AR77" s="166" t="s">
        <v>69</v>
      </c>
      <c r="AS77" s="167" t="s">
        <v>70</v>
      </c>
      <c r="AT77" s="167" t="s">
        <v>70</v>
      </c>
      <c r="AU77" s="167" t="s">
        <v>70</v>
      </c>
      <c r="AV77" s="167" t="s">
        <v>70</v>
      </c>
      <c r="AW77" s="167" t="s">
        <v>70</v>
      </c>
      <c r="AX77" s="167" t="s">
        <v>70</v>
      </c>
      <c r="AY77" s="167" t="s">
        <v>70</v>
      </c>
      <c r="AZ77" s="167" t="s">
        <v>70</v>
      </c>
      <c r="BA77" s="167" t="s">
        <v>70</v>
      </c>
      <c r="BB77" s="167" t="s">
        <v>70</v>
      </c>
      <c r="BC77" s="167" t="s">
        <v>70</v>
      </c>
      <c r="BD77" s="167" t="s">
        <v>70</v>
      </c>
      <c r="BE77" s="167" t="s">
        <v>70</v>
      </c>
      <c r="BF77" s="167" t="s">
        <v>70</v>
      </c>
      <c r="BG77" s="167" t="s">
        <v>70</v>
      </c>
      <c r="BH77" s="167" t="s">
        <v>70</v>
      </c>
      <c r="BI77" s="167" t="s">
        <v>70</v>
      </c>
      <c r="BJ77" s="167" t="s">
        <v>70</v>
      </c>
      <c r="BK77" s="167" t="s">
        <v>70</v>
      </c>
      <c r="BL77" s="167" t="s">
        <v>70</v>
      </c>
      <c r="BM77" s="167" t="s">
        <v>70</v>
      </c>
      <c r="BN77" s="167" t="s">
        <v>70</v>
      </c>
      <c r="BO77" s="167" t="s">
        <v>70</v>
      </c>
      <c r="BP77" s="167" t="s">
        <v>70</v>
      </c>
      <c r="BQ77" s="151" t="s">
        <v>256</v>
      </c>
      <c r="BR77" s="142"/>
      <c r="BS77" s="142"/>
      <c r="BT77" s="142"/>
      <c r="BU77" s="142"/>
      <c r="BV77" s="142"/>
      <c r="BW77" s="142"/>
      <c r="BX77" s="142"/>
      <c r="BY77" s="142"/>
      <c r="BZ77" s="142"/>
      <c r="CA77" s="142"/>
      <c r="CB77" s="142"/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2"/>
      <c r="DL77" s="142"/>
      <c r="DM77" s="142"/>
      <c r="DN77" s="142"/>
      <c r="DO77" s="142"/>
      <c r="DP77" s="142"/>
      <c r="DQ77" s="142"/>
      <c r="DR77" s="142"/>
      <c r="DS77" s="142"/>
      <c r="DT77" s="142"/>
      <c r="DU77" s="142"/>
      <c r="DV77" s="142"/>
      <c r="DW77" s="142"/>
      <c r="DX77" s="142"/>
      <c r="DY77" s="142"/>
      <c r="DZ77" s="142"/>
      <c r="EA77" s="142"/>
      <c r="EB77" s="142"/>
      <c r="EC77" s="142"/>
      <c r="ED77" s="142"/>
      <c r="EE77" s="142"/>
    </row>
    <row r="78" spans="1:135" s="151" customFormat="1" ht="19.5" customHeight="1" x14ac:dyDescent="0.2">
      <c r="A78" s="117">
        <v>75</v>
      </c>
      <c r="B78" s="121" t="s">
        <v>435</v>
      </c>
      <c r="C78" s="122">
        <v>173528</v>
      </c>
      <c r="D78" s="179" t="s">
        <v>212</v>
      </c>
      <c r="E78" s="117" t="s">
        <v>430</v>
      </c>
      <c r="F78" s="146" t="s">
        <v>256</v>
      </c>
      <c r="G78" s="124" t="s">
        <v>69</v>
      </c>
      <c r="H78" s="190" t="s">
        <v>436</v>
      </c>
      <c r="I78" s="93">
        <v>45863</v>
      </c>
      <c r="J78" s="92">
        <f>IF(I78="", "", DATE(YEAR(I78)+3, MONTH(I78), DAY(L78)))</f>
        <v>46958</v>
      </c>
      <c r="K78" s="190" t="s">
        <v>437</v>
      </c>
      <c r="L78" s="93">
        <v>45862</v>
      </c>
      <c r="M78" s="140">
        <f t="shared" si="6"/>
        <v>46958</v>
      </c>
      <c r="N78" s="93">
        <v>45859</v>
      </c>
      <c r="O78" s="190">
        <v>45860</v>
      </c>
      <c r="P78" s="93">
        <v>45861</v>
      </c>
      <c r="Q78" s="167" t="s">
        <v>70</v>
      </c>
      <c r="R78" s="167" t="s">
        <v>70</v>
      </c>
      <c r="S78" s="167" t="s">
        <v>70</v>
      </c>
      <c r="T78" s="167" t="s">
        <v>70</v>
      </c>
      <c r="U78" s="167" t="s">
        <v>70</v>
      </c>
      <c r="V78" s="167" t="s">
        <v>70</v>
      </c>
      <c r="W78" s="167" t="s">
        <v>70</v>
      </c>
      <c r="X78" s="167" t="s">
        <v>70</v>
      </c>
      <c r="Y78" s="167" t="s">
        <v>70</v>
      </c>
      <c r="Z78" s="167" t="s">
        <v>70</v>
      </c>
      <c r="AA78" s="167" t="s">
        <v>70</v>
      </c>
      <c r="AB78" s="167" t="s">
        <v>70</v>
      </c>
      <c r="AC78" s="167" t="s">
        <v>70</v>
      </c>
      <c r="AD78" s="167" t="s">
        <v>70</v>
      </c>
      <c r="AE78" s="167" t="s">
        <v>70</v>
      </c>
      <c r="AF78" s="167" t="s">
        <v>70</v>
      </c>
      <c r="AG78" s="167" t="s">
        <v>70</v>
      </c>
      <c r="AH78" s="167" t="s">
        <v>70</v>
      </c>
      <c r="AI78" s="186">
        <v>45715</v>
      </c>
      <c r="AJ78" s="166" t="s">
        <v>69</v>
      </c>
      <c r="AK78" s="167" t="s">
        <v>70</v>
      </c>
      <c r="AL78" s="167" t="s">
        <v>70</v>
      </c>
      <c r="AM78" s="167"/>
      <c r="AN78" s="167" t="s">
        <v>70</v>
      </c>
      <c r="AO78" s="167" t="s">
        <v>70</v>
      </c>
      <c r="AP78" s="167" t="s">
        <v>70</v>
      </c>
      <c r="AQ78" s="167" t="s">
        <v>70</v>
      </c>
      <c r="AR78" s="166" t="s">
        <v>69</v>
      </c>
      <c r="AS78" s="167" t="s">
        <v>70</v>
      </c>
      <c r="AT78" s="167" t="s">
        <v>70</v>
      </c>
      <c r="AU78" s="167" t="s">
        <v>70</v>
      </c>
      <c r="AV78" s="167" t="s">
        <v>70</v>
      </c>
      <c r="AW78" s="167" t="s">
        <v>70</v>
      </c>
      <c r="AX78" s="167" t="s">
        <v>70</v>
      </c>
      <c r="AY78" s="167" t="s">
        <v>70</v>
      </c>
      <c r="AZ78" s="167" t="s">
        <v>70</v>
      </c>
      <c r="BA78" s="167" t="s">
        <v>70</v>
      </c>
      <c r="BB78" s="167" t="s">
        <v>70</v>
      </c>
      <c r="BC78" s="167" t="s">
        <v>70</v>
      </c>
      <c r="BD78" s="167" t="s">
        <v>70</v>
      </c>
      <c r="BE78" s="167" t="s">
        <v>70</v>
      </c>
      <c r="BF78" s="167" t="s">
        <v>70</v>
      </c>
      <c r="BG78" s="167" t="s">
        <v>70</v>
      </c>
      <c r="BH78" s="167" t="s">
        <v>70</v>
      </c>
      <c r="BI78" s="167" t="s">
        <v>70</v>
      </c>
      <c r="BJ78" s="167" t="s">
        <v>70</v>
      </c>
      <c r="BK78" s="167" t="s">
        <v>70</v>
      </c>
      <c r="BL78" s="167" t="s">
        <v>70</v>
      </c>
      <c r="BM78" s="167" t="s">
        <v>70</v>
      </c>
      <c r="BN78" s="167" t="s">
        <v>70</v>
      </c>
      <c r="BO78" s="167" t="s">
        <v>70</v>
      </c>
      <c r="BP78" s="167" t="s">
        <v>70</v>
      </c>
      <c r="BQ78" s="151" t="s">
        <v>256</v>
      </c>
      <c r="BR78" s="142"/>
      <c r="BS78" s="142"/>
      <c r="BT78" s="142"/>
      <c r="BU78" s="142"/>
      <c r="BV78" s="142"/>
      <c r="BW78" s="142"/>
      <c r="BX78" s="142"/>
      <c r="BY78" s="142"/>
      <c r="BZ78" s="142"/>
      <c r="CA78" s="142"/>
      <c r="CB78" s="142"/>
      <c r="CC78" s="142"/>
      <c r="CD78" s="142"/>
      <c r="CE78" s="142"/>
      <c r="CF78" s="142"/>
      <c r="CG78" s="142"/>
      <c r="CH78" s="142"/>
      <c r="CI78" s="142"/>
      <c r="CJ78" s="142"/>
      <c r="CK78" s="142"/>
      <c r="CL78" s="142"/>
      <c r="CM78" s="142"/>
      <c r="CN78" s="142"/>
      <c r="CO78" s="142"/>
      <c r="CP78" s="142"/>
      <c r="CQ78" s="142"/>
      <c r="CR78" s="142"/>
      <c r="CS78" s="142"/>
      <c r="CT78" s="142"/>
      <c r="CU78" s="142"/>
      <c r="CV78" s="142"/>
      <c r="CW78" s="142"/>
      <c r="CX78" s="142"/>
      <c r="CY78" s="142"/>
      <c r="CZ78" s="142"/>
      <c r="DA78" s="142"/>
      <c r="DB78" s="142"/>
      <c r="DC78" s="142"/>
      <c r="DD78" s="142"/>
      <c r="DE78" s="142"/>
      <c r="DF78" s="142"/>
      <c r="DG78" s="142"/>
      <c r="DH78" s="142"/>
      <c r="DI78" s="142"/>
      <c r="DJ78" s="142"/>
      <c r="DK78" s="142"/>
      <c r="DL78" s="142"/>
      <c r="DM78" s="142"/>
      <c r="DN78" s="142"/>
      <c r="DO78" s="142"/>
      <c r="DP78" s="142"/>
      <c r="DQ78" s="142"/>
      <c r="DR78" s="142"/>
      <c r="DS78" s="142"/>
      <c r="DT78" s="142"/>
      <c r="DU78" s="142"/>
      <c r="DV78" s="142"/>
      <c r="DW78" s="142"/>
      <c r="DX78" s="142"/>
      <c r="DY78" s="142"/>
      <c r="DZ78" s="142"/>
      <c r="EA78" s="142"/>
      <c r="EB78" s="142"/>
      <c r="EC78" s="142"/>
      <c r="ED78" s="142"/>
      <c r="EE78" s="142"/>
    </row>
    <row r="79" spans="1:135" s="151" customFormat="1" ht="19.5" customHeight="1" x14ac:dyDescent="0.2">
      <c r="A79" s="117">
        <v>76</v>
      </c>
      <c r="B79" s="121" t="s">
        <v>438</v>
      </c>
      <c r="C79" s="122">
        <v>144643</v>
      </c>
      <c r="D79" s="179" t="s">
        <v>212</v>
      </c>
      <c r="E79" s="117" t="s">
        <v>430</v>
      </c>
      <c r="F79" s="146" t="s">
        <v>256</v>
      </c>
      <c r="G79" s="124" t="s">
        <v>69</v>
      </c>
      <c r="H79" s="93">
        <v>42310</v>
      </c>
      <c r="I79" s="93">
        <v>45926</v>
      </c>
      <c r="J79" s="92">
        <f>IF(I79="", "", DATE(YEAR(I79)+3, MONTH(I79), DAY(I79)))</f>
        <v>47022</v>
      </c>
      <c r="K79" s="93">
        <v>46247</v>
      </c>
      <c r="L79" s="93">
        <v>46247</v>
      </c>
      <c r="M79" s="92">
        <f t="shared" si="6"/>
        <v>47343</v>
      </c>
      <c r="N79" s="140">
        <v>46245</v>
      </c>
      <c r="O79" s="140">
        <v>46258</v>
      </c>
      <c r="P79" s="140">
        <v>46246</v>
      </c>
      <c r="Q79" s="167" t="s">
        <v>70</v>
      </c>
      <c r="R79" s="167" t="s">
        <v>70</v>
      </c>
      <c r="S79" s="167" t="s">
        <v>70</v>
      </c>
      <c r="T79" s="167" t="s">
        <v>70</v>
      </c>
      <c r="U79" s="167" t="s">
        <v>70</v>
      </c>
      <c r="V79" s="167" t="s">
        <v>70</v>
      </c>
      <c r="W79" s="167" t="s">
        <v>70</v>
      </c>
      <c r="X79" s="167" t="s">
        <v>70</v>
      </c>
      <c r="Y79" s="167" t="s">
        <v>70</v>
      </c>
      <c r="Z79" s="167" t="s">
        <v>70</v>
      </c>
      <c r="AA79" s="167" t="s">
        <v>70</v>
      </c>
      <c r="AB79" s="167" t="s">
        <v>70</v>
      </c>
      <c r="AC79" s="167" t="s">
        <v>70</v>
      </c>
      <c r="AD79" s="167" t="s">
        <v>70</v>
      </c>
      <c r="AE79" s="167" t="s">
        <v>70</v>
      </c>
      <c r="AF79" s="167" t="s">
        <v>70</v>
      </c>
      <c r="AG79" s="167" t="s">
        <v>70</v>
      </c>
      <c r="AH79" s="167" t="s">
        <v>70</v>
      </c>
      <c r="AI79" s="181">
        <v>45694</v>
      </c>
      <c r="AJ79" s="166" t="s">
        <v>69</v>
      </c>
      <c r="AK79" s="167" t="s">
        <v>70</v>
      </c>
      <c r="AL79" s="167" t="s">
        <v>70</v>
      </c>
      <c r="AM79" s="167"/>
      <c r="AN79" s="167" t="s">
        <v>70</v>
      </c>
      <c r="AO79" s="167" t="s">
        <v>70</v>
      </c>
      <c r="AP79" s="167" t="s">
        <v>70</v>
      </c>
      <c r="AQ79" s="167" t="s">
        <v>70</v>
      </c>
      <c r="AR79" s="166" t="s">
        <v>69</v>
      </c>
      <c r="AS79" s="167" t="s">
        <v>70</v>
      </c>
      <c r="AT79" s="167" t="s">
        <v>70</v>
      </c>
      <c r="AU79" s="167" t="s">
        <v>70</v>
      </c>
      <c r="AV79" s="167" t="s">
        <v>70</v>
      </c>
      <c r="AW79" s="167" t="s">
        <v>70</v>
      </c>
      <c r="AX79" s="167" t="s">
        <v>70</v>
      </c>
      <c r="AY79" s="167" t="s">
        <v>70</v>
      </c>
      <c r="AZ79" s="167" t="s">
        <v>70</v>
      </c>
      <c r="BA79" s="167" t="s">
        <v>70</v>
      </c>
      <c r="BB79" s="167" t="s">
        <v>70</v>
      </c>
      <c r="BC79" s="167" t="s">
        <v>70</v>
      </c>
      <c r="BD79" s="167" t="s">
        <v>70</v>
      </c>
      <c r="BE79" s="167" t="s">
        <v>70</v>
      </c>
      <c r="BF79" s="167" t="s">
        <v>70</v>
      </c>
      <c r="BG79" s="167" t="s">
        <v>70</v>
      </c>
      <c r="BH79" s="167" t="s">
        <v>70</v>
      </c>
      <c r="BI79" s="167" t="s">
        <v>70</v>
      </c>
      <c r="BJ79" s="167" t="s">
        <v>70</v>
      </c>
      <c r="BK79" s="167" t="s">
        <v>70</v>
      </c>
      <c r="BL79" s="167" t="s">
        <v>70</v>
      </c>
      <c r="BM79" s="167" t="s">
        <v>70</v>
      </c>
      <c r="BN79" s="167" t="s">
        <v>70</v>
      </c>
      <c r="BO79" s="167" t="s">
        <v>70</v>
      </c>
      <c r="BP79" s="167" t="s">
        <v>70</v>
      </c>
      <c r="BQ79" s="151" t="s">
        <v>256</v>
      </c>
      <c r="BR79" s="142"/>
      <c r="BS79" s="142"/>
      <c r="BT79" s="142"/>
      <c r="BU79" s="142"/>
      <c r="BV79" s="142"/>
      <c r="BW79" s="142"/>
      <c r="BX79" s="142"/>
      <c r="BY79" s="142"/>
      <c r="BZ79" s="142"/>
      <c r="CA79" s="142"/>
      <c r="CB79" s="142"/>
      <c r="CC79" s="142"/>
      <c r="CD79" s="142"/>
      <c r="CE79" s="142"/>
      <c r="CF79" s="142"/>
      <c r="CG79" s="142"/>
      <c r="CH79" s="142"/>
      <c r="CI79" s="142"/>
      <c r="CJ79" s="142"/>
      <c r="CK79" s="142"/>
      <c r="CL79" s="142"/>
      <c r="CM79" s="142"/>
      <c r="CN79" s="142"/>
      <c r="CO79" s="142"/>
      <c r="CP79" s="142"/>
      <c r="CQ79" s="142"/>
      <c r="CR79" s="142"/>
      <c r="CS79" s="142"/>
      <c r="CT79" s="142"/>
      <c r="CU79" s="142"/>
      <c r="CV79" s="142"/>
      <c r="CW79" s="142"/>
      <c r="CX79" s="142"/>
      <c r="CY79" s="142"/>
      <c r="CZ79" s="142"/>
      <c r="DA79" s="142"/>
      <c r="DB79" s="142"/>
      <c r="DC79" s="142"/>
      <c r="DD79" s="142"/>
      <c r="DE79" s="142"/>
      <c r="DF79" s="142"/>
      <c r="DG79" s="142"/>
      <c r="DH79" s="142"/>
      <c r="DI79" s="142"/>
      <c r="DJ79" s="142"/>
      <c r="DK79" s="142"/>
      <c r="DL79" s="142"/>
      <c r="DM79" s="142"/>
      <c r="DN79" s="142"/>
      <c r="DO79" s="142"/>
      <c r="DP79" s="142"/>
      <c r="DQ79" s="142"/>
      <c r="DR79" s="142"/>
      <c r="DS79" s="142"/>
      <c r="DT79" s="142"/>
      <c r="DU79" s="142"/>
      <c r="DV79" s="142"/>
      <c r="DW79" s="142"/>
      <c r="DX79" s="142"/>
      <c r="DY79" s="142"/>
      <c r="DZ79" s="142"/>
      <c r="EA79" s="142"/>
      <c r="EB79" s="142"/>
      <c r="EC79" s="142"/>
      <c r="ED79" s="142"/>
      <c r="EE79" s="142"/>
    </row>
    <row r="80" spans="1:135" s="151" customFormat="1" ht="19.5" customHeight="1" x14ac:dyDescent="0.2">
      <c r="A80" s="117">
        <v>77</v>
      </c>
      <c r="B80" s="121" t="s">
        <v>439</v>
      </c>
      <c r="C80" s="122">
        <v>173512</v>
      </c>
      <c r="D80" s="179" t="s">
        <v>212</v>
      </c>
      <c r="E80" s="117" t="s">
        <v>430</v>
      </c>
      <c r="F80" s="146" t="s">
        <v>256</v>
      </c>
      <c r="G80" s="124" t="s">
        <v>69</v>
      </c>
      <c r="H80" s="93">
        <v>43095</v>
      </c>
      <c r="I80" s="93">
        <v>45889</v>
      </c>
      <c r="J80" s="92">
        <f>IF(I80="", "", DATE(YEAR(I80)+3, MONTH(I80), DAY(L80)))</f>
        <v>46984</v>
      </c>
      <c r="K80" s="93">
        <v>43095</v>
      </c>
      <c r="L80" s="93">
        <v>45888</v>
      </c>
      <c r="M80" s="140">
        <f t="shared" si="6"/>
        <v>46984</v>
      </c>
      <c r="N80" s="93">
        <v>45891</v>
      </c>
      <c r="O80" s="93">
        <v>45890</v>
      </c>
      <c r="P80" s="93">
        <v>45888</v>
      </c>
      <c r="Q80" s="167" t="s">
        <v>70</v>
      </c>
      <c r="R80" s="167" t="s">
        <v>70</v>
      </c>
      <c r="S80" s="167" t="s">
        <v>70</v>
      </c>
      <c r="T80" s="167" t="s">
        <v>70</v>
      </c>
      <c r="U80" s="167" t="s">
        <v>70</v>
      </c>
      <c r="V80" s="167" t="s">
        <v>70</v>
      </c>
      <c r="W80" s="167" t="s">
        <v>70</v>
      </c>
      <c r="X80" s="167" t="s">
        <v>70</v>
      </c>
      <c r="Y80" s="167" t="s">
        <v>70</v>
      </c>
      <c r="Z80" s="167" t="s">
        <v>70</v>
      </c>
      <c r="AA80" s="167" t="s">
        <v>70</v>
      </c>
      <c r="AB80" s="167" t="s">
        <v>70</v>
      </c>
      <c r="AC80" s="167" t="s">
        <v>70</v>
      </c>
      <c r="AD80" s="167" t="s">
        <v>70</v>
      </c>
      <c r="AE80" s="167" t="s">
        <v>70</v>
      </c>
      <c r="AF80" s="167" t="s">
        <v>70</v>
      </c>
      <c r="AG80" s="167" t="s">
        <v>70</v>
      </c>
      <c r="AH80" s="167" t="s">
        <v>70</v>
      </c>
      <c r="AI80" s="181">
        <v>45708</v>
      </c>
      <c r="AJ80" s="166" t="s">
        <v>69</v>
      </c>
      <c r="AK80" s="167" t="s">
        <v>70</v>
      </c>
      <c r="AL80" s="167" t="s">
        <v>70</v>
      </c>
      <c r="AM80" s="167"/>
      <c r="AN80" s="167" t="s">
        <v>70</v>
      </c>
      <c r="AO80" s="167" t="s">
        <v>70</v>
      </c>
      <c r="AP80" s="167" t="s">
        <v>70</v>
      </c>
      <c r="AQ80" s="167" t="s">
        <v>70</v>
      </c>
      <c r="AR80" s="166" t="s">
        <v>69</v>
      </c>
      <c r="AS80" s="167" t="s">
        <v>70</v>
      </c>
      <c r="AT80" s="167" t="s">
        <v>70</v>
      </c>
      <c r="AU80" s="167" t="s">
        <v>70</v>
      </c>
      <c r="AV80" s="167" t="s">
        <v>70</v>
      </c>
      <c r="AW80" s="167" t="s">
        <v>70</v>
      </c>
      <c r="AX80" s="167" t="s">
        <v>70</v>
      </c>
      <c r="AY80" s="167" t="s">
        <v>70</v>
      </c>
      <c r="AZ80" s="167" t="s">
        <v>70</v>
      </c>
      <c r="BA80" s="167" t="s">
        <v>70</v>
      </c>
      <c r="BB80" s="167" t="s">
        <v>70</v>
      </c>
      <c r="BC80" s="167" t="s">
        <v>70</v>
      </c>
      <c r="BD80" s="167" t="s">
        <v>70</v>
      </c>
      <c r="BE80" s="167" t="s">
        <v>70</v>
      </c>
      <c r="BF80" s="167" t="s">
        <v>70</v>
      </c>
      <c r="BG80" s="167" t="s">
        <v>70</v>
      </c>
      <c r="BH80" s="167" t="s">
        <v>70</v>
      </c>
      <c r="BI80" s="167" t="s">
        <v>70</v>
      </c>
      <c r="BJ80" s="167" t="s">
        <v>70</v>
      </c>
      <c r="BK80" s="167" t="s">
        <v>70</v>
      </c>
      <c r="BL80" s="167" t="s">
        <v>70</v>
      </c>
      <c r="BM80" s="167" t="s">
        <v>70</v>
      </c>
      <c r="BN80" s="167" t="s">
        <v>70</v>
      </c>
      <c r="BO80" s="167" t="s">
        <v>70</v>
      </c>
      <c r="BP80" s="167" t="s">
        <v>70</v>
      </c>
      <c r="BQ80" s="151" t="s">
        <v>256</v>
      </c>
      <c r="BR80" s="142"/>
      <c r="BS80" s="142"/>
      <c r="BT80" s="142"/>
      <c r="BU80" s="142"/>
      <c r="BV80" s="142"/>
      <c r="BW80" s="142"/>
      <c r="BX80" s="142"/>
      <c r="BY80" s="142"/>
      <c r="BZ80" s="142"/>
      <c r="CA80" s="142"/>
      <c r="CB80" s="142"/>
      <c r="CC80" s="142"/>
      <c r="CD80" s="142"/>
      <c r="CE80" s="142"/>
      <c r="CF80" s="142"/>
      <c r="CG80" s="142"/>
      <c r="CH80" s="142"/>
      <c r="CI80" s="142"/>
      <c r="CJ80" s="142"/>
      <c r="CK80" s="142"/>
      <c r="CL80" s="142"/>
      <c r="CM80" s="142"/>
      <c r="CN80" s="142"/>
      <c r="CO80" s="142"/>
      <c r="CP80" s="142"/>
      <c r="CQ80" s="142"/>
      <c r="CR80" s="142"/>
      <c r="CS80" s="142"/>
      <c r="CT80" s="142"/>
      <c r="CU80" s="142"/>
      <c r="CV80" s="142"/>
      <c r="CW80" s="142"/>
      <c r="CX80" s="142"/>
      <c r="CY80" s="142"/>
      <c r="CZ80" s="142"/>
      <c r="DA80" s="142"/>
      <c r="DB80" s="142"/>
      <c r="DC80" s="142"/>
      <c r="DD80" s="142"/>
      <c r="DE80" s="142"/>
      <c r="DF80" s="142"/>
      <c r="DG80" s="142"/>
      <c r="DH80" s="142"/>
      <c r="DI80" s="142"/>
      <c r="DJ80" s="142"/>
      <c r="DK80" s="142"/>
      <c r="DL80" s="142"/>
      <c r="DM80" s="142"/>
      <c r="DN80" s="142"/>
      <c r="DO80" s="142"/>
      <c r="DP80" s="142"/>
      <c r="DQ80" s="142"/>
      <c r="DR80" s="142"/>
      <c r="DS80" s="142"/>
      <c r="DT80" s="142"/>
      <c r="DU80" s="142"/>
      <c r="DV80" s="142"/>
      <c r="DW80" s="142"/>
      <c r="DX80" s="142"/>
      <c r="DY80" s="142"/>
      <c r="DZ80" s="142"/>
      <c r="EA80" s="142"/>
      <c r="EB80" s="142"/>
      <c r="EC80" s="142"/>
      <c r="ED80" s="142"/>
      <c r="EE80" s="142"/>
    </row>
    <row r="81" spans="1:136" s="151" customFormat="1" ht="19.5" customHeight="1" x14ac:dyDescent="0.2">
      <c r="A81" s="117">
        <v>78</v>
      </c>
      <c r="B81" s="121" t="s">
        <v>440</v>
      </c>
      <c r="C81" s="122">
        <v>183399</v>
      </c>
      <c r="D81" s="179" t="s">
        <v>212</v>
      </c>
      <c r="E81" s="117" t="s">
        <v>430</v>
      </c>
      <c r="F81" s="146" t="s">
        <v>256</v>
      </c>
      <c r="G81" s="124" t="s">
        <v>69</v>
      </c>
      <c r="H81" s="93">
        <v>43385</v>
      </c>
      <c r="I81" s="93">
        <v>45770</v>
      </c>
      <c r="J81" s="92">
        <f>IF(I81="", "", DATE(YEAR(I81)+3, MONTH(I81), DAY(L81)))</f>
        <v>46865</v>
      </c>
      <c r="K81" s="93">
        <v>43385</v>
      </c>
      <c r="L81" s="93">
        <v>45769</v>
      </c>
      <c r="M81" s="140">
        <f t="shared" si="6"/>
        <v>46865</v>
      </c>
      <c r="N81" s="93">
        <v>45772</v>
      </c>
      <c r="O81" s="93">
        <v>45771</v>
      </c>
      <c r="P81" s="93">
        <v>45768</v>
      </c>
      <c r="Q81" s="167" t="s">
        <v>70</v>
      </c>
      <c r="R81" s="167" t="s">
        <v>70</v>
      </c>
      <c r="S81" s="167" t="s">
        <v>70</v>
      </c>
      <c r="T81" s="167" t="s">
        <v>70</v>
      </c>
      <c r="U81" s="167" t="s">
        <v>70</v>
      </c>
      <c r="V81" s="167" t="s">
        <v>70</v>
      </c>
      <c r="W81" s="167" t="s">
        <v>70</v>
      </c>
      <c r="X81" s="167" t="s">
        <v>70</v>
      </c>
      <c r="Y81" s="167" t="s">
        <v>70</v>
      </c>
      <c r="Z81" s="167" t="s">
        <v>70</v>
      </c>
      <c r="AA81" s="167" t="s">
        <v>70</v>
      </c>
      <c r="AB81" s="167" t="s">
        <v>70</v>
      </c>
      <c r="AC81" s="167" t="s">
        <v>70</v>
      </c>
      <c r="AD81" s="167" t="s">
        <v>70</v>
      </c>
      <c r="AE81" s="167" t="s">
        <v>70</v>
      </c>
      <c r="AF81" s="167" t="s">
        <v>70</v>
      </c>
      <c r="AG81" s="167" t="s">
        <v>70</v>
      </c>
      <c r="AH81" s="167" t="s">
        <v>70</v>
      </c>
      <c r="AI81" s="181">
        <v>45708</v>
      </c>
      <c r="AJ81" s="166" t="s">
        <v>69</v>
      </c>
      <c r="AK81" s="167" t="s">
        <v>70</v>
      </c>
      <c r="AL81" s="167" t="s">
        <v>70</v>
      </c>
      <c r="AM81" s="167"/>
      <c r="AN81" s="167" t="s">
        <v>70</v>
      </c>
      <c r="AO81" s="167" t="s">
        <v>70</v>
      </c>
      <c r="AP81" s="167" t="s">
        <v>70</v>
      </c>
      <c r="AQ81" s="167" t="s">
        <v>70</v>
      </c>
      <c r="AR81" s="166" t="s">
        <v>69</v>
      </c>
      <c r="AS81" s="167" t="s">
        <v>70</v>
      </c>
      <c r="AT81" s="167" t="s">
        <v>70</v>
      </c>
      <c r="AU81" s="167" t="s">
        <v>70</v>
      </c>
      <c r="AV81" s="167" t="s">
        <v>70</v>
      </c>
      <c r="AW81" s="167" t="s">
        <v>70</v>
      </c>
      <c r="AX81" s="167" t="s">
        <v>70</v>
      </c>
      <c r="AY81" s="167" t="s">
        <v>70</v>
      </c>
      <c r="AZ81" s="167" t="s">
        <v>70</v>
      </c>
      <c r="BA81" s="167" t="s">
        <v>70</v>
      </c>
      <c r="BB81" s="167" t="s">
        <v>70</v>
      </c>
      <c r="BC81" s="167" t="s">
        <v>70</v>
      </c>
      <c r="BD81" s="167" t="s">
        <v>70</v>
      </c>
      <c r="BE81" s="167" t="s">
        <v>70</v>
      </c>
      <c r="BF81" s="167" t="s">
        <v>70</v>
      </c>
      <c r="BG81" s="167" t="s">
        <v>70</v>
      </c>
      <c r="BH81" s="167" t="s">
        <v>70</v>
      </c>
      <c r="BI81" s="167" t="s">
        <v>70</v>
      </c>
      <c r="BJ81" s="167" t="s">
        <v>70</v>
      </c>
      <c r="BK81" s="167" t="s">
        <v>70</v>
      </c>
      <c r="BL81" s="167" t="s">
        <v>70</v>
      </c>
      <c r="BM81" s="167" t="s">
        <v>70</v>
      </c>
      <c r="BN81" s="167" t="s">
        <v>70</v>
      </c>
      <c r="BO81" s="167" t="s">
        <v>70</v>
      </c>
      <c r="BP81" s="167" t="s">
        <v>70</v>
      </c>
      <c r="BQ81" s="151" t="s">
        <v>256</v>
      </c>
    </row>
    <row r="82" spans="1:136" s="151" customFormat="1" ht="19.5" customHeight="1" x14ac:dyDescent="0.2">
      <c r="A82" s="117">
        <v>79</v>
      </c>
      <c r="B82" s="117" t="s">
        <v>716</v>
      </c>
      <c r="C82" s="117">
        <v>84087034</v>
      </c>
      <c r="D82" s="117" t="s">
        <v>212</v>
      </c>
      <c r="E82" s="117" t="s">
        <v>717</v>
      </c>
      <c r="F82" s="146" t="s">
        <v>256</v>
      </c>
      <c r="G82" s="89">
        <v>40612</v>
      </c>
      <c r="H82" s="89">
        <v>45889</v>
      </c>
      <c r="I82" s="89">
        <v>45889</v>
      </c>
      <c r="J82" s="162">
        <f>IF(I82="", "", DATE(YEAR(I82)+3, MONTH(I82), DAY(I82)))</f>
        <v>46985</v>
      </c>
      <c r="K82" s="89">
        <v>45888</v>
      </c>
      <c r="L82" s="89">
        <v>45888</v>
      </c>
      <c r="M82" s="163">
        <f t="shared" si="6"/>
        <v>46984</v>
      </c>
      <c r="N82" s="89">
        <v>45891</v>
      </c>
      <c r="O82" s="112">
        <v>45890</v>
      </c>
      <c r="P82" s="89">
        <v>45887</v>
      </c>
      <c r="Q82" s="167" t="s">
        <v>70</v>
      </c>
      <c r="R82" s="167" t="s">
        <v>70</v>
      </c>
      <c r="S82" s="167" t="s">
        <v>70</v>
      </c>
      <c r="T82" s="111">
        <v>46164</v>
      </c>
      <c r="U82" s="167" t="s">
        <v>70</v>
      </c>
      <c r="V82" s="167" t="s">
        <v>70</v>
      </c>
      <c r="W82" s="167" t="s">
        <v>70</v>
      </c>
      <c r="X82" s="167" t="s">
        <v>70</v>
      </c>
      <c r="Y82" s="167" t="s">
        <v>70</v>
      </c>
      <c r="Z82" s="167" t="s">
        <v>70</v>
      </c>
      <c r="AA82" s="167" t="s">
        <v>70</v>
      </c>
      <c r="AB82" s="167" t="s">
        <v>70</v>
      </c>
      <c r="AC82" s="167" t="s">
        <v>70</v>
      </c>
      <c r="AD82" s="111">
        <v>45988</v>
      </c>
      <c r="AE82" s="167" t="s">
        <v>70</v>
      </c>
      <c r="AF82" s="167" t="s">
        <v>70</v>
      </c>
      <c r="AG82" s="167" t="s">
        <v>70</v>
      </c>
      <c r="AH82" s="167" t="s">
        <v>70</v>
      </c>
      <c r="AI82" s="181">
        <v>45708</v>
      </c>
      <c r="AJ82" s="166" t="s">
        <v>69</v>
      </c>
      <c r="AK82" s="167" t="s">
        <v>70</v>
      </c>
      <c r="AL82" s="167" t="s">
        <v>70</v>
      </c>
      <c r="AM82" s="167"/>
      <c r="AN82" s="167" t="s">
        <v>70</v>
      </c>
      <c r="AO82" s="167" t="s">
        <v>70</v>
      </c>
      <c r="AP82" s="167" t="s">
        <v>70</v>
      </c>
      <c r="AQ82" s="167" t="s">
        <v>70</v>
      </c>
      <c r="AR82" s="168">
        <v>46055</v>
      </c>
      <c r="AS82" s="94">
        <v>45989</v>
      </c>
      <c r="AT82" s="167" t="s">
        <v>70</v>
      </c>
      <c r="AU82" s="167" t="s">
        <v>70</v>
      </c>
      <c r="AV82" s="167" t="s">
        <v>70</v>
      </c>
      <c r="AW82" s="167" t="s">
        <v>70</v>
      </c>
      <c r="AX82" s="167" t="s">
        <v>70</v>
      </c>
      <c r="AY82" s="167" t="s">
        <v>70</v>
      </c>
      <c r="AZ82" s="167" t="s">
        <v>70</v>
      </c>
      <c r="BA82" s="167" t="s">
        <v>70</v>
      </c>
      <c r="BB82" s="167" t="s">
        <v>70</v>
      </c>
      <c r="BC82" s="167" t="s">
        <v>70</v>
      </c>
      <c r="BD82" s="167" t="s">
        <v>70</v>
      </c>
      <c r="BE82" s="167" t="s">
        <v>70</v>
      </c>
      <c r="BF82" s="167" t="s">
        <v>70</v>
      </c>
      <c r="BG82" s="167" t="s">
        <v>70</v>
      </c>
      <c r="BH82" s="167" t="s">
        <v>70</v>
      </c>
      <c r="BI82" s="167" t="s">
        <v>70</v>
      </c>
      <c r="BJ82" s="167" t="s">
        <v>70</v>
      </c>
      <c r="BK82" s="167" t="s">
        <v>70</v>
      </c>
      <c r="BL82" s="167" t="s">
        <v>70</v>
      </c>
      <c r="BM82" s="167" t="s">
        <v>70</v>
      </c>
      <c r="BN82" s="167" t="s">
        <v>70</v>
      </c>
      <c r="BO82" s="167" t="s">
        <v>70</v>
      </c>
      <c r="BP82" s="167" t="s">
        <v>70</v>
      </c>
      <c r="BQ82" s="151" t="s">
        <v>208</v>
      </c>
    </row>
    <row r="83" spans="1:136" s="151" customFormat="1" ht="19.5" customHeight="1" x14ac:dyDescent="0.2">
      <c r="A83" s="117">
        <v>80</v>
      </c>
      <c r="B83" s="117" t="s">
        <v>778</v>
      </c>
      <c r="C83" s="117">
        <v>171981</v>
      </c>
      <c r="D83" s="117" t="s">
        <v>212</v>
      </c>
      <c r="E83" s="117" t="s">
        <v>717</v>
      </c>
      <c r="F83" s="146" t="s">
        <v>256</v>
      </c>
      <c r="G83" s="124" t="s">
        <v>69</v>
      </c>
      <c r="H83" s="112">
        <v>46218</v>
      </c>
      <c r="I83" s="112">
        <v>46218</v>
      </c>
      <c r="J83" s="162">
        <f>IF(I83="", "", DATE(YEAR(I83)+3, MONTH(I83), DAY(I83)))</f>
        <v>47314</v>
      </c>
      <c r="K83" s="112">
        <v>46220</v>
      </c>
      <c r="L83" s="112">
        <v>46220</v>
      </c>
      <c r="M83" s="163">
        <f t="shared" si="6"/>
        <v>47316</v>
      </c>
      <c r="N83" s="112">
        <v>46219</v>
      </c>
      <c r="O83" s="112">
        <v>46216</v>
      </c>
      <c r="P83" s="112">
        <v>46217</v>
      </c>
      <c r="Q83" s="167" t="s">
        <v>70</v>
      </c>
      <c r="R83" s="167" t="s">
        <v>70</v>
      </c>
      <c r="S83" s="167" t="s">
        <v>70</v>
      </c>
      <c r="T83" s="167" t="s">
        <v>70</v>
      </c>
      <c r="U83" s="167" t="s">
        <v>70</v>
      </c>
      <c r="V83" s="167" t="s">
        <v>70</v>
      </c>
      <c r="W83" s="167" t="s">
        <v>70</v>
      </c>
      <c r="X83" s="167" t="s">
        <v>70</v>
      </c>
      <c r="Y83" s="167" t="s">
        <v>70</v>
      </c>
      <c r="Z83" s="167" t="s">
        <v>70</v>
      </c>
      <c r="AA83" s="167" t="s">
        <v>70</v>
      </c>
      <c r="AB83" s="167" t="s">
        <v>70</v>
      </c>
      <c r="AC83" s="167" t="s">
        <v>70</v>
      </c>
      <c r="AD83" s="167" t="s">
        <v>70</v>
      </c>
      <c r="AE83" s="167" t="s">
        <v>70</v>
      </c>
      <c r="AF83" s="167" t="s">
        <v>70</v>
      </c>
      <c r="AG83" s="167" t="s">
        <v>70</v>
      </c>
      <c r="AH83" s="167" t="s">
        <v>70</v>
      </c>
      <c r="AI83" s="163">
        <v>45995</v>
      </c>
      <c r="AJ83" s="166" t="s">
        <v>69</v>
      </c>
      <c r="AK83" s="167" t="s">
        <v>70</v>
      </c>
      <c r="AL83" s="167" t="s">
        <v>70</v>
      </c>
      <c r="AM83" s="167"/>
      <c r="AN83" s="167" t="s">
        <v>70</v>
      </c>
      <c r="AO83" s="167" t="s">
        <v>70</v>
      </c>
      <c r="AP83" s="167" t="s">
        <v>70</v>
      </c>
      <c r="AQ83" s="167" t="s">
        <v>70</v>
      </c>
      <c r="AR83" s="166" t="s">
        <v>69</v>
      </c>
      <c r="AS83" s="167" t="s">
        <v>70</v>
      </c>
      <c r="AT83" s="167" t="s">
        <v>70</v>
      </c>
      <c r="AU83" s="167" t="s">
        <v>70</v>
      </c>
      <c r="AV83" s="167" t="s">
        <v>70</v>
      </c>
      <c r="AW83" s="167" t="s">
        <v>70</v>
      </c>
      <c r="AX83" s="167" t="s">
        <v>70</v>
      </c>
      <c r="AY83" s="167" t="s">
        <v>70</v>
      </c>
      <c r="AZ83" s="167" t="s">
        <v>70</v>
      </c>
      <c r="BA83" s="167" t="s">
        <v>70</v>
      </c>
      <c r="BB83" s="167" t="s">
        <v>70</v>
      </c>
      <c r="BC83" s="167" t="s">
        <v>70</v>
      </c>
      <c r="BD83" s="167" t="s">
        <v>70</v>
      </c>
      <c r="BE83" s="167" t="s">
        <v>70</v>
      </c>
      <c r="BF83" s="167" t="s">
        <v>70</v>
      </c>
      <c r="BG83" s="167" t="s">
        <v>70</v>
      </c>
      <c r="BH83" s="167" t="s">
        <v>70</v>
      </c>
      <c r="BI83" s="167" t="s">
        <v>70</v>
      </c>
      <c r="BJ83" s="167" t="s">
        <v>70</v>
      </c>
      <c r="BK83" s="167" t="s">
        <v>70</v>
      </c>
      <c r="BL83" s="167" t="s">
        <v>70</v>
      </c>
      <c r="BM83" s="167" t="s">
        <v>70</v>
      </c>
      <c r="BN83" s="167" t="s">
        <v>70</v>
      </c>
      <c r="BO83" s="167" t="s">
        <v>70</v>
      </c>
      <c r="BP83" s="167" t="s">
        <v>70</v>
      </c>
      <c r="BQ83" s="151" t="s">
        <v>208</v>
      </c>
    </row>
    <row r="84" spans="1:136" s="151" customFormat="1" ht="19.5" customHeight="1" x14ac:dyDescent="0.2">
      <c r="A84" s="117">
        <v>81</v>
      </c>
      <c r="B84" s="161" t="s">
        <v>131</v>
      </c>
      <c r="C84" s="170">
        <v>83040043</v>
      </c>
      <c r="D84" s="171" t="s">
        <v>132</v>
      </c>
      <c r="E84" s="117" t="s">
        <v>83</v>
      </c>
      <c r="F84" s="146" t="s">
        <v>208</v>
      </c>
      <c r="G84" s="172">
        <v>40944</v>
      </c>
      <c r="H84" s="172">
        <v>40770</v>
      </c>
      <c r="I84" s="172">
        <v>46065</v>
      </c>
      <c r="J84" s="162">
        <f>IF(I84="", "", DATE(YEAR(I84)+2, MONTH(I84), DAY(I84)))</f>
        <v>46795</v>
      </c>
      <c r="K84" s="111">
        <v>40849</v>
      </c>
      <c r="L84" s="172">
        <v>46162</v>
      </c>
      <c r="M84" s="163">
        <f>IF(L84="", "", DATE(YEAR(L84)+2, MONTH(L84), DAY(L84)))</f>
        <v>46893</v>
      </c>
      <c r="N84" s="111">
        <v>40893</v>
      </c>
      <c r="O84" s="111">
        <v>40893</v>
      </c>
      <c r="P84" s="111">
        <v>40893</v>
      </c>
      <c r="Q84" s="166" t="s">
        <v>69</v>
      </c>
      <c r="R84" s="165" t="s">
        <v>69</v>
      </c>
      <c r="S84" s="165" t="s">
        <v>69</v>
      </c>
      <c r="T84" s="112">
        <v>40749</v>
      </c>
      <c r="U84" s="166" t="s">
        <v>69</v>
      </c>
      <c r="V84" s="168" t="s">
        <v>69</v>
      </c>
      <c r="W84" s="94">
        <v>43493</v>
      </c>
      <c r="X84" s="94">
        <v>41890</v>
      </c>
      <c r="Y84" s="94">
        <v>42034</v>
      </c>
      <c r="Z84" s="94">
        <v>43724</v>
      </c>
      <c r="AA84" s="112">
        <v>45674</v>
      </c>
      <c r="AB84" s="94">
        <v>41093</v>
      </c>
      <c r="AC84" s="94">
        <v>41842</v>
      </c>
      <c r="AD84" s="166" t="s">
        <v>69</v>
      </c>
      <c r="AE84" s="167" t="s">
        <v>70</v>
      </c>
      <c r="AF84" s="112">
        <v>45646</v>
      </c>
      <c r="AG84" s="94">
        <v>44246</v>
      </c>
      <c r="AH84" s="94">
        <v>41754</v>
      </c>
      <c r="AI84" s="167" t="s">
        <v>70</v>
      </c>
      <c r="AJ84" s="167" t="s">
        <v>70</v>
      </c>
      <c r="AK84" s="111">
        <v>46267</v>
      </c>
      <c r="AL84" s="166" t="s">
        <v>69</v>
      </c>
      <c r="AM84" s="293">
        <v>44246</v>
      </c>
      <c r="AN84" s="168" t="s">
        <v>69</v>
      </c>
      <c r="AO84" s="166" t="s">
        <v>69</v>
      </c>
      <c r="AP84" s="166" t="s">
        <v>69</v>
      </c>
      <c r="AQ84" s="166" t="s">
        <v>69</v>
      </c>
      <c r="AR84" s="166" t="s">
        <v>69</v>
      </c>
      <c r="AS84" s="166" t="s">
        <v>69</v>
      </c>
      <c r="AT84" s="94">
        <v>43606</v>
      </c>
      <c r="AU84" s="94">
        <v>41904</v>
      </c>
      <c r="AV84" s="94"/>
      <c r="AW84" s="167" t="s">
        <v>71</v>
      </c>
      <c r="AX84" s="167" t="s">
        <v>71</v>
      </c>
      <c r="AY84" s="94">
        <v>41641</v>
      </c>
      <c r="AZ84" s="166" t="s">
        <v>69</v>
      </c>
      <c r="BA84" s="166" t="s">
        <v>69</v>
      </c>
      <c r="BB84" s="173"/>
      <c r="BC84" s="173"/>
      <c r="BD84" s="94">
        <v>41954</v>
      </c>
      <c r="BE84" s="94">
        <v>38691</v>
      </c>
      <c r="BF84" s="173"/>
      <c r="BG84" s="169" t="s">
        <v>71</v>
      </c>
      <c r="BH84" s="169" t="s">
        <v>71</v>
      </c>
      <c r="BI84" s="169" t="s">
        <v>71</v>
      </c>
      <c r="BJ84" s="173"/>
      <c r="BK84" s="173"/>
      <c r="BL84" s="173"/>
      <c r="BM84" s="173"/>
      <c r="BN84" s="173"/>
      <c r="BO84" s="173"/>
      <c r="BP84" s="173"/>
      <c r="BQ84" s="151">
        <v>0</v>
      </c>
      <c r="BR84" s="142"/>
      <c r="BS84" s="142"/>
      <c r="BT84" s="142"/>
      <c r="BU84" s="142"/>
      <c r="BV84" s="142"/>
      <c r="BW84" s="142"/>
      <c r="BX84" s="142"/>
      <c r="BY84" s="142"/>
      <c r="BZ84" s="142"/>
      <c r="CA84" s="142"/>
      <c r="CB84" s="142"/>
      <c r="CC84" s="142"/>
      <c r="CD84" s="142"/>
      <c r="CE84" s="142"/>
      <c r="CF84" s="142"/>
      <c r="CG84" s="142"/>
      <c r="CH84" s="142"/>
      <c r="CI84" s="142"/>
      <c r="CJ84" s="142"/>
      <c r="CK84" s="142"/>
      <c r="CL84" s="142"/>
      <c r="CM84" s="142"/>
      <c r="CN84" s="142"/>
      <c r="CO84" s="142"/>
      <c r="CP84" s="142"/>
      <c r="CQ84" s="142"/>
      <c r="CR84" s="142"/>
      <c r="CS84" s="142"/>
      <c r="CT84" s="142"/>
      <c r="CU84" s="142"/>
      <c r="CV84" s="142"/>
      <c r="CW84" s="142"/>
      <c r="CX84" s="142"/>
      <c r="CY84" s="142"/>
      <c r="CZ84" s="142"/>
      <c r="DA84" s="142"/>
      <c r="DB84" s="142"/>
      <c r="DC84" s="142"/>
      <c r="DD84" s="142"/>
      <c r="DE84" s="142"/>
      <c r="DF84" s="142"/>
      <c r="DG84" s="142"/>
      <c r="DH84" s="142"/>
      <c r="DI84" s="142"/>
      <c r="DJ84" s="142"/>
      <c r="DK84" s="142"/>
      <c r="DL84" s="142"/>
      <c r="DM84" s="142"/>
      <c r="DN84" s="142"/>
      <c r="DO84" s="142"/>
      <c r="DP84" s="142"/>
      <c r="DQ84" s="142"/>
      <c r="DR84" s="142"/>
      <c r="DS84" s="142"/>
      <c r="DT84" s="142"/>
      <c r="DU84" s="142"/>
      <c r="DV84" s="142"/>
      <c r="DW84" s="142"/>
      <c r="DX84" s="142"/>
      <c r="DY84" s="142"/>
      <c r="DZ84" s="142"/>
      <c r="EA84" s="142"/>
      <c r="EB84" s="142"/>
      <c r="EC84" s="142"/>
      <c r="ED84" s="142"/>
      <c r="EE84" s="142"/>
      <c r="EF84" s="141"/>
    </row>
    <row r="85" spans="1:136" s="151" customFormat="1" ht="19.5" customHeight="1" x14ac:dyDescent="0.2">
      <c r="A85" s="117">
        <v>82</v>
      </c>
      <c r="B85" s="161" t="s">
        <v>129</v>
      </c>
      <c r="C85" s="170">
        <v>83040027</v>
      </c>
      <c r="D85" s="171" t="s">
        <v>130</v>
      </c>
      <c r="E85" s="117" t="s">
        <v>83</v>
      </c>
      <c r="F85" s="146" t="s">
        <v>208</v>
      </c>
      <c r="G85" s="172">
        <v>40953</v>
      </c>
      <c r="H85" s="172">
        <v>40945</v>
      </c>
      <c r="I85" s="172">
        <v>46122</v>
      </c>
      <c r="J85" s="162">
        <f>IF(I85="", "", DATE(YEAR(I85)+2, MONTH(I85), DAY(I85)))</f>
        <v>46853</v>
      </c>
      <c r="K85" s="111">
        <v>40868</v>
      </c>
      <c r="L85" s="172">
        <v>46140</v>
      </c>
      <c r="M85" s="163">
        <f>IF(L85="", "", DATE(YEAR(L85)+2, MONTH(L85), DAY(L85)))</f>
        <v>46871</v>
      </c>
      <c r="N85" s="111">
        <v>40891</v>
      </c>
      <c r="O85" s="111">
        <v>40891</v>
      </c>
      <c r="P85" s="111">
        <v>40891</v>
      </c>
      <c r="Q85" s="165" t="s">
        <v>69</v>
      </c>
      <c r="R85" s="165" t="s">
        <v>69</v>
      </c>
      <c r="S85" s="165" t="s">
        <v>69</v>
      </c>
      <c r="T85" s="165" t="s">
        <v>69</v>
      </c>
      <c r="U85" s="165" t="s">
        <v>69</v>
      </c>
      <c r="V85" s="94">
        <v>43871</v>
      </c>
      <c r="W85" s="94">
        <v>43521</v>
      </c>
      <c r="X85" s="94">
        <v>41730</v>
      </c>
      <c r="Y85" s="94">
        <v>41785</v>
      </c>
      <c r="Z85" s="94">
        <v>42314</v>
      </c>
      <c r="AA85" s="165" t="s">
        <v>69</v>
      </c>
      <c r="AB85" s="94">
        <v>41093</v>
      </c>
      <c r="AC85" s="166" t="s">
        <v>69</v>
      </c>
      <c r="AD85" s="167" t="s">
        <v>70</v>
      </c>
      <c r="AE85" s="167" t="s">
        <v>70</v>
      </c>
      <c r="AF85" s="112">
        <v>45637</v>
      </c>
      <c r="AG85" s="94">
        <v>44515</v>
      </c>
      <c r="AH85" s="94">
        <v>41540</v>
      </c>
      <c r="AI85" s="167" t="s">
        <v>70</v>
      </c>
      <c r="AJ85" s="167" t="s">
        <v>70</v>
      </c>
      <c r="AK85" s="167" t="s">
        <v>70</v>
      </c>
      <c r="AL85" s="166" t="s">
        <v>69</v>
      </c>
      <c r="AM85" s="166"/>
      <c r="AN85" s="168" t="s">
        <v>69</v>
      </c>
      <c r="AO85" s="167" t="s">
        <v>70</v>
      </c>
      <c r="AP85" s="94">
        <v>41229</v>
      </c>
      <c r="AQ85" s="166" t="s">
        <v>69</v>
      </c>
      <c r="AR85" s="166" t="s">
        <v>69</v>
      </c>
      <c r="AS85" s="166" t="s">
        <v>69</v>
      </c>
      <c r="AT85" s="94">
        <v>43606</v>
      </c>
      <c r="AU85" s="166" t="s">
        <v>69</v>
      </c>
      <c r="AV85" s="166" t="s">
        <v>69</v>
      </c>
      <c r="AW85" s="167" t="s">
        <v>71</v>
      </c>
      <c r="AX85" s="167" t="s">
        <v>71</v>
      </c>
      <c r="AY85" s="94">
        <v>41660</v>
      </c>
      <c r="AZ85" s="166" t="s">
        <v>69</v>
      </c>
      <c r="BA85" s="166" t="s">
        <v>69</v>
      </c>
      <c r="BB85" s="167" t="s">
        <v>70</v>
      </c>
      <c r="BC85" s="167" t="s">
        <v>70</v>
      </c>
      <c r="BD85" s="94">
        <v>41954</v>
      </c>
      <c r="BE85" s="94">
        <v>38691</v>
      </c>
      <c r="BF85" s="169" t="s">
        <v>71</v>
      </c>
      <c r="BG85" s="169" t="s">
        <v>71</v>
      </c>
      <c r="BH85" s="169" t="s">
        <v>71</v>
      </c>
      <c r="BI85" s="169" t="s">
        <v>71</v>
      </c>
      <c r="BJ85" s="169" t="s">
        <v>71</v>
      </c>
      <c r="BK85" s="167" t="s">
        <v>70</v>
      </c>
      <c r="BL85" s="167" t="s">
        <v>70</v>
      </c>
      <c r="BM85" s="167" t="s">
        <v>70</v>
      </c>
      <c r="BN85" s="167" t="s">
        <v>70</v>
      </c>
      <c r="BO85" s="167" t="s">
        <v>70</v>
      </c>
      <c r="BP85" s="167" t="s">
        <v>70</v>
      </c>
      <c r="BQ85" s="151">
        <v>0</v>
      </c>
      <c r="BR85" s="142"/>
      <c r="BS85" s="142"/>
      <c r="BT85" s="142"/>
      <c r="BU85" s="142"/>
      <c r="BV85" s="142"/>
      <c r="BW85" s="142"/>
      <c r="BX85" s="142"/>
      <c r="BY85" s="142"/>
      <c r="BZ85" s="142"/>
      <c r="CA85" s="142"/>
      <c r="CB85" s="142"/>
      <c r="CC85" s="142"/>
      <c r="CD85" s="142"/>
      <c r="CE85" s="142"/>
      <c r="CF85" s="142"/>
      <c r="CG85" s="142"/>
      <c r="CH85" s="142"/>
      <c r="CI85" s="142"/>
      <c r="CJ85" s="142"/>
      <c r="CK85" s="142"/>
      <c r="CL85" s="142"/>
      <c r="CM85" s="142"/>
      <c r="CN85" s="142"/>
      <c r="CO85" s="142"/>
      <c r="CP85" s="142"/>
      <c r="CQ85" s="142"/>
      <c r="CR85" s="142"/>
      <c r="CS85" s="142"/>
      <c r="CT85" s="142"/>
      <c r="CU85" s="142"/>
      <c r="CV85" s="142"/>
      <c r="CW85" s="142"/>
      <c r="CX85" s="142"/>
      <c r="CY85" s="142"/>
      <c r="CZ85" s="142"/>
      <c r="DA85" s="142"/>
      <c r="DB85" s="142"/>
      <c r="DC85" s="142"/>
      <c r="DD85" s="142"/>
      <c r="DE85" s="142"/>
      <c r="DF85" s="142"/>
      <c r="DG85" s="142"/>
      <c r="DH85" s="142"/>
      <c r="DI85" s="142"/>
      <c r="DJ85" s="142"/>
      <c r="DK85" s="142"/>
      <c r="DL85" s="142"/>
      <c r="DM85" s="142"/>
      <c r="DN85" s="142"/>
      <c r="DO85" s="142"/>
      <c r="DP85" s="142"/>
      <c r="DQ85" s="142"/>
      <c r="DR85" s="142"/>
      <c r="DS85" s="142"/>
      <c r="DT85" s="142"/>
      <c r="DU85" s="142"/>
      <c r="DV85" s="142"/>
      <c r="DW85" s="142"/>
      <c r="DX85" s="142"/>
      <c r="DY85" s="142"/>
      <c r="DZ85" s="142"/>
      <c r="EA85" s="142"/>
      <c r="EB85" s="142"/>
      <c r="EC85" s="142"/>
      <c r="ED85" s="142"/>
      <c r="EE85" s="142"/>
      <c r="EF85" s="141"/>
    </row>
    <row r="86" spans="1:136" s="151" customFormat="1" ht="19.5" customHeight="1" x14ac:dyDescent="0.2">
      <c r="A86" s="117">
        <v>83</v>
      </c>
      <c r="B86" s="146" t="s">
        <v>72</v>
      </c>
      <c r="C86" s="146">
        <v>83040052</v>
      </c>
      <c r="D86" s="117" t="s">
        <v>73</v>
      </c>
      <c r="E86" s="146" t="s">
        <v>68</v>
      </c>
      <c r="F86" s="146" t="s">
        <v>208</v>
      </c>
      <c r="G86" s="162">
        <v>40476</v>
      </c>
      <c r="H86" s="162">
        <v>40731</v>
      </c>
      <c r="I86" s="111">
        <v>46076</v>
      </c>
      <c r="J86" s="162">
        <f>IF(I86="", "", DATE(YEAR(I86)+2, MONTH(I86), DAY(I86)))</f>
        <v>46806</v>
      </c>
      <c r="K86" s="111">
        <v>40800</v>
      </c>
      <c r="L86" s="111">
        <v>46058</v>
      </c>
      <c r="M86" s="163">
        <f>IF(L86="", "", DATE(YEAR(L86)+2, MONTH(L86), DAY(L86)))</f>
        <v>46788</v>
      </c>
      <c r="N86" s="111">
        <v>40749</v>
      </c>
      <c r="O86" s="111">
        <v>40749</v>
      </c>
      <c r="P86" s="111">
        <v>40749</v>
      </c>
      <c r="Q86" s="94">
        <v>42618</v>
      </c>
      <c r="R86" s="94">
        <v>41974</v>
      </c>
      <c r="S86" s="94">
        <v>45527</v>
      </c>
      <c r="T86" s="94">
        <v>41753</v>
      </c>
      <c r="U86" s="94">
        <v>41761</v>
      </c>
      <c r="V86" s="94">
        <v>42149</v>
      </c>
      <c r="W86" s="166" t="s">
        <v>69</v>
      </c>
      <c r="X86" s="94">
        <v>41890</v>
      </c>
      <c r="Y86" s="166" t="s">
        <v>69</v>
      </c>
      <c r="Z86" s="166" t="s">
        <v>69</v>
      </c>
      <c r="AA86" s="166" t="s">
        <v>69</v>
      </c>
      <c r="AB86" s="166" t="s">
        <v>69</v>
      </c>
      <c r="AC86" s="166" t="s">
        <v>69</v>
      </c>
      <c r="AD86" s="167" t="s">
        <v>71</v>
      </c>
      <c r="AE86" s="167" t="s">
        <v>71</v>
      </c>
      <c r="AF86" s="112">
        <v>46287</v>
      </c>
      <c r="AG86" s="111">
        <v>40840</v>
      </c>
      <c r="AH86" s="94">
        <v>41305</v>
      </c>
      <c r="AI86" s="167" t="s">
        <v>71</v>
      </c>
      <c r="AJ86" s="167" t="s">
        <v>71</v>
      </c>
      <c r="AK86" s="167" t="s">
        <v>70</v>
      </c>
      <c r="AL86" s="166" t="s">
        <v>69</v>
      </c>
      <c r="AM86" s="166"/>
      <c r="AN86" s="166" t="s">
        <v>69</v>
      </c>
      <c r="AO86" s="173" t="s">
        <v>70</v>
      </c>
      <c r="AP86" s="94">
        <v>42443</v>
      </c>
      <c r="AQ86" s="166" t="s">
        <v>69</v>
      </c>
      <c r="AR86" s="166" t="s">
        <v>69</v>
      </c>
      <c r="AS86" s="166" t="s">
        <v>69</v>
      </c>
      <c r="AT86" s="94">
        <v>43564</v>
      </c>
      <c r="AU86" s="166" t="s">
        <v>69</v>
      </c>
      <c r="AV86" s="166" t="s">
        <v>69</v>
      </c>
      <c r="AW86" s="94">
        <v>41904</v>
      </c>
      <c r="AX86" s="94">
        <v>42499</v>
      </c>
      <c r="AY86" s="94">
        <v>42304</v>
      </c>
      <c r="AZ86" s="166" t="s">
        <v>69</v>
      </c>
      <c r="BA86" s="166" t="s">
        <v>69</v>
      </c>
      <c r="BB86" s="166" t="s">
        <v>69</v>
      </c>
      <c r="BC86" s="166" t="s">
        <v>69</v>
      </c>
      <c r="BD86" s="166" t="s">
        <v>69</v>
      </c>
      <c r="BE86" s="94">
        <v>38698</v>
      </c>
      <c r="BF86" s="173" t="s">
        <v>70</v>
      </c>
      <c r="BG86" s="167" t="s">
        <v>70</v>
      </c>
      <c r="BH86" s="166" t="s">
        <v>69</v>
      </c>
      <c r="BI86" s="166" t="s">
        <v>69</v>
      </c>
      <c r="BJ86" s="167" t="s">
        <v>70</v>
      </c>
      <c r="BK86" s="166" t="s">
        <v>69</v>
      </c>
      <c r="BL86" s="167" t="s">
        <v>70</v>
      </c>
      <c r="BM86" s="167" t="s">
        <v>70</v>
      </c>
      <c r="BN86" s="167" t="s">
        <v>70</v>
      </c>
      <c r="BO86" s="167" t="s">
        <v>70</v>
      </c>
      <c r="BP86" s="94">
        <v>41739</v>
      </c>
      <c r="BQ86" s="151">
        <v>0</v>
      </c>
    </row>
    <row r="87" spans="1:136" s="151" customFormat="1" ht="19.5" customHeight="1" x14ac:dyDescent="0.2">
      <c r="A87" s="117">
        <v>84</v>
      </c>
      <c r="B87" s="117" t="s">
        <v>75</v>
      </c>
      <c r="C87" s="192">
        <v>53030510</v>
      </c>
      <c r="D87" s="117" t="s">
        <v>73</v>
      </c>
      <c r="E87" s="146" t="s">
        <v>68</v>
      </c>
      <c r="F87" s="146" t="s">
        <v>208</v>
      </c>
      <c r="G87" s="162">
        <v>38173</v>
      </c>
      <c r="H87" s="162">
        <v>40543</v>
      </c>
      <c r="I87" s="162">
        <v>46017</v>
      </c>
      <c r="J87" s="162">
        <f>IF(I87="", "", DATE(YEAR(I87)+2, MONTH(I87), DAY(I87)))</f>
        <v>46747</v>
      </c>
      <c r="K87" s="111">
        <v>40833</v>
      </c>
      <c r="L87" s="111">
        <v>46028</v>
      </c>
      <c r="M87" s="163">
        <f>IF(L87="", "", DATE(YEAR(L87)+2, MONTH(L87), DAY(L87)))</f>
        <v>46758</v>
      </c>
      <c r="N87" s="111">
        <v>40764</v>
      </c>
      <c r="O87" s="111">
        <v>40764</v>
      </c>
      <c r="P87" s="111">
        <v>40764</v>
      </c>
      <c r="Q87" s="166" t="s">
        <v>69</v>
      </c>
      <c r="R87" s="94">
        <v>41941</v>
      </c>
      <c r="S87" s="94">
        <v>45516</v>
      </c>
      <c r="T87" s="166" t="s">
        <v>69</v>
      </c>
      <c r="U87" s="94">
        <v>41757</v>
      </c>
      <c r="V87" s="94">
        <v>42149</v>
      </c>
      <c r="W87" s="94">
        <v>43284</v>
      </c>
      <c r="X87" s="94">
        <v>41890</v>
      </c>
      <c r="Y87" s="94">
        <v>41088</v>
      </c>
      <c r="Z87" s="166" t="s">
        <v>69</v>
      </c>
      <c r="AA87" s="168">
        <v>46293</v>
      </c>
      <c r="AB87" s="94">
        <v>41088</v>
      </c>
      <c r="AC87" s="166" t="s">
        <v>69</v>
      </c>
      <c r="AD87" s="167" t="s">
        <v>71</v>
      </c>
      <c r="AE87" s="167" t="s">
        <v>71</v>
      </c>
      <c r="AF87" s="112">
        <v>46261</v>
      </c>
      <c r="AG87" s="94">
        <v>40826</v>
      </c>
      <c r="AH87" s="94">
        <v>41456</v>
      </c>
      <c r="AI87" s="167" t="s">
        <v>71</v>
      </c>
      <c r="AJ87" s="167" t="s">
        <v>71</v>
      </c>
      <c r="AK87" s="167" t="s">
        <v>70</v>
      </c>
      <c r="AL87" s="166" t="s">
        <v>69</v>
      </c>
      <c r="AM87" s="166"/>
      <c r="AN87" s="166" t="s">
        <v>69</v>
      </c>
      <c r="AO87" s="167" t="s">
        <v>70</v>
      </c>
      <c r="AP87" s="94">
        <v>41229</v>
      </c>
      <c r="AQ87" s="166" t="s">
        <v>69</v>
      </c>
      <c r="AR87" s="166" t="s">
        <v>69</v>
      </c>
      <c r="AS87" s="166" t="s">
        <v>69</v>
      </c>
      <c r="AT87" s="94">
        <v>43564</v>
      </c>
      <c r="AU87" s="166" t="s">
        <v>69</v>
      </c>
      <c r="AV87" s="166" t="s">
        <v>69</v>
      </c>
      <c r="AW87" s="166" t="s">
        <v>69</v>
      </c>
      <c r="AX87" s="166" t="s">
        <v>69</v>
      </c>
      <c r="AY87" s="94">
        <v>41906</v>
      </c>
      <c r="AZ87" s="94">
        <v>42016</v>
      </c>
      <c r="BA87" s="166" t="s">
        <v>69</v>
      </c>
      <c r="BB87" s="94">
        <v>42317</v>
      </c>
      <c r="BC87" s="166" t="s">
        <v>69</v>
      </c>
      <c r="BD87" s="94">
        <v>41957</v>
      </c>
      <c r="BE87" s="166" t="s">
        <v>69</v>
      </c>
      <c r="BF87" s="94">
        <v>38677</v>
      </c>
      <c r="BG87" s="167" t="s">
        <v>70</v>
      </c>
      <c r="BH87" s="166" t="s">
        <v>69</v>
      </c>
      <c r="BI87" s="94">
        <v>40091</v>
      </c>
      <c r="BJ87" s="167" t="s">
        <v>70</v>
      </c>
      <c r="BK87" s="166" t="s">
        <v>69</v>
      </c>
      <c r="BL87" s="167" t="s">
        <v>70</v>
      </c>
      <c r="BM87" s="167" t="s">
        <v>70</v>
      </c>
      <c r="BN87" s="167" t="s">
        <v>70</v>
      </c>
      <c r="BO87" s="167" t="s">
        <v>70</v>
      </c>
      <c r="BP87" s="94">
        <v>42073</v>
      </c>
      <c r="BQ87" s="151">
        <v>0</v>
      </c>
    </row>
    <row r="88" spans="1:136" s="151" customFormat="1" ht="19.5" customHeight="1" x14ac:dyDescent="0.2">
      <c r="A88" s="117">
        <v>85</v>
      </c>
      <c r="B88" s="117" t="s">
        <v>76</v>
      </c>
      <c r="C88" s="192">
        <v>83075489</v>
      </c>
      <c r="D88" s="117" t="s">
        <v>73</v>
      </c>
      <c r="E88" s="146" t="s">
        <v>68</v>
      </c>
      <c r="F88" s="146" t="s">
        <v>208</v>
      </c>
      <c r="G88" s="162">
        <v>40975</v>
      </c>
      <c r="H88" s="162">
        <v>40973</v>
      </c>
      <c r="I88" s="162">
        <v>45201</v>
      </c>
      <c r="J88" s="162">
        <f>IF(I88="", "", DATE(YEAR(I88)+2, MONTH(I88), DAY(I88)))</f>
        <v>45932</v>
      </c>
      <c r="K88" s="111">
        <v>40871</v>
      </c>
      <c r="L88" s="111">
        <v>46058</v>
      </c>
      <c r="M88" s="163">
        <f>IF(L88="", "", DATE(YEAR(L88)+2, MONTH(L88), DAY(L88)))</f>
        <v>46788</v>
      </c>
      <c r="N88" s="111">
        <v>40758</v>
      </c>
      <c r="O88" s="111">
        <v>40758</v>
      </c>
      <c r="P88" s="111">
        <v>40758</v>
      </c>
      <c r="Q88" s="166" t="s">
        <v>69</v>
      </c>
      <c r="R88" s="94">
        <v>41985</v>
      </c>
      <c r="S88" s="94">
        <v>45516</v>
      </c>
      <c r="T88" s="166" t="s">
        <v>69</v>
      </c>
      <c r="U88" s="166" t="s">
        <v>69</v>
      </c>
      <c r="V88" s="165" t="s">
        <v>69</v>
      </c>
      <c r="W88" s="166" t="s">
        <v>69</v>
      </c>
      <c r="X88" s="94">
        <v>41730</v>
      </c>
      <c r="Y88" s="94">
        <v>41785</v>
      </c>
      <c r="Z88" s="166" t="s">
        <v>69</v>
      </c>
      <c r="AA88" s="166" t="s">
        <v>69</v>
      </c>
      <c r="AB88" s="94">
        <v>41093</v>
      </c>
      <c r="AC88" s="166" t="s">
        <v>69</v>
      </c>
      <c r="AD88" s="167" t="s">
        <v>71</v>
      </c>
      <c r="AE88" s="167" t="s">
        <v>71</v>
      </c>
      <c r="AF88" s="112" t="s">
        <v>69</v>
      </c>
      <c r="AG88" s="112" t="s">
        <v>69</v>
      </c>
      <c r="AH88" s="94">
        <v>41526</v>
      </c>
      <c r="AI88" s="167" t="s">
        <v>71</v>
      </c>
      <c r="AJ88" s="167" t="s">
        <v>71</v>
      </c>
      <c r="AK88" s="167" t="s">
        <v>70</v>
      </c>
      <c r="AL88" s="166" t="s">
        <v>69</v>
      </c>
      <c r="AM88" s="166"/>
      <c r="AN88" s="166" t="s">
        <v>69</v>
      </c>
      <c r="AO88" s="167" t="s">
        <v>70</v>
      </c>
      <c r="AP88" s="166" t="s">
        <v>69</v>
      </c>
      <c r="AQ88" s="166" t="s">
        <v>69</v>
      </c>
      <c r="AR88" s="166" t="s">
        <v>69</v>
      </c>
      <c r="AS88" s="166" t="s">
        <v>69</v>
      </c>
      <c r="AT88" s="94">
        <v>43607</v>
      </c>
      <c r="AU88" s="94">
        <v>41862</v>
      </c>
      <c r="AV88" s="166" t="s">
        <v>69</v>
      </c>
      <c r="AW88" s="166" t="s">
        <v>69</v>
      </c>
      <c r="AX88" s="166" t="s">
        <v>69</v>
      </c>
      <c r="AY88" s="94">
        <v>42292</v>
      </c>
      <c r="AZ88" s="166" t="s">
        <v>69</v>
      </c>
      <c r="BA88" s="166" t="s">
        <v>69</v>
      </c>
      <c r="BB88" s="166" t="s">
        <v>69</v>
      </c>
      <c r="BC88" s="166" t="s">
        <v>69</v>
      </c>
      <c r="BD88" s="166" t="s">
        <v>69</v>
      </c>
      <c r="BE88" s="166" t="s">
        <v>69</v>
      </c>
      <c r="BF88" s="166" t="s">
        <v>69</v>
      </c>
      <c r="BG88" s="167" t="s">
        <v>70</v>
      </c>
      <c r="BH88" s="166" t="s">
        <v>69</v>
      </c>
      <c r="BI88" s="166" t="s">
        <v>69</v>
      </c>
      <c r="BJ88" s="167" t="s">
        <v>70</v>
      </c>
      <c r="BK88" s="166" t="s">
        <v>69</v>
      </c>
      <c r="BL88" s="167" t="s">
        <v>70</v>
      </c>
      <c r="BM88" s="167" t="s">
        <v>70</v>
      </c>
      <c r="BN88" s="167" t="s">
        <v>70</v>
      </c>
      <c r="BO88" s="167" t="s">
        <v>70</v>
      </c>
      <c r="BP88" s="94">
        <v>42072</v>
      </c>
      <c r="BQ88" s="151">
        <v>0</v>
      </c>
    </row>
    <row r="89" spans="1:136" s="151" customFormat="1" ht="19.5" customHeight="1" x14ac:dyDescent="0.2">
      <c r="A89" s="117">
        <v>86</v>
      </c>
      <c r="B89" s="117" t="s">
        <v>813</v>
      </c>
      <c r="C89" s="193">
        <v>83122942</v>
      </c>
      <c r="D89" s="117" t="s">
        <v>73</v>
      </c>
      <c r="E89" s="117" t="s">
        <v>68</v>
      </c>
      <c r="F89" s="146" t="s">
        <v>208</v>
      </c>
      <c r="G89" s="124">
        <v>41782</v>
      </c>
      <c r="H89" s="119">
        <v>41822</v>
      </c>
      <c r="I89" s="172">
        <v>45874</v>
      </c>
      <c r="J89" s="162">
        <f t="shared" ref="J89" si="7">IF(I89="", "", DATE(YEAR(I89)+2, MONTH(I89), DAY(I89)))</f>
        <v>46604</v>
      </c>
      <c r="K89" s="112">
        <v>41801</v>
      </c>
      <c r="L89" s="111">
        <v>45917</v>
      </c>
      <c r="M89" s="163">
        <f t="shared" ref="M89" si="8">IF(L89="", "", DATE(YEAR(L89)+2, MONTH(L89), DAY(L89)))</f>
        <v>46647</v>
      </c>
      <c r="N89" s="111">
        <v>41864</v>
      </c>
      <c r="O89" s="111">
        <v>41866</v>
      </c>
      <c r="P89" s="111">
        <v>41866</v>
      </c>
      <c r="Q89" s="94">
        <v>42676</v>
      </c>
      <c r="R89" s="164">
        <v>45461</v>
      </c>
      <c r="S89" s="94">
        <v>46191</v>
      </c>
      <c r="T89" s="168">
        <v>42730</v>
      </c>
      <c r="U89" s="166" t="s">
        <v>69</v>
      </c>
      <c r="V89" s="168">
        <v>42146</v>
      </c>
      <c r="W89" s="168">
        <v>43742</v>
      </c>
      <c r="X89" s="168">
        <v>41887</v>
      </c>
      <c r="Y89" s="166" t="s">
        <v>69</v>
      </c>
      <c r="Z89" s="166" t="s">
        <v>69</v>
      </c>
      <c r="AA89" s="166" t="s">
        <v>69</v>
      </c>
      <c r="AB89" s="166" t="s">
        <v>69</v>
      </c>
      <c r="AC89" s="166" t="s">
        <v>69</v>
      </c>
      <c r="AD89" s="167" t="s">
        <v>71</v>
      </c>
      <c r="AE89" s="167" t="s">
        <v>70</v>
      </c>
      <c r="AF89" s="94">
        <v>45790</v>
      </c>
      <c r="AG89" s="112" t="s">
        <v>69</v>
      </c>
      <c r="AH89" s="167" t="s">
        <v>71</v>
      </c>
      <c r="AI89" s="167" t="s">
        <v>70</v>
      </c>
      <c r="AJ89" s="167" t="s">
        <v>70</v>
      </c>
      <c r="AK89" s="167" t="s">
        <v>70</v>
      </c>
      <c r="AL89" s="168"/>
      <c r="AM89" s="168">
        <v>46119</v>
      </c>
      <c r="AN89" s="166" t="s">
        <v>69</v>
      </c>
      <c r="AO89" s="167" t="s">
        <v>70</v>
      </c>
      <c r="AP89" s="166" t="s">
        <v>69</v>
      </c>
      <c r="AQ89" s="166" t="s">
        <v>69</v>
      </c>
      <c r="AR89" s="166" t="s">
        <v>69</v>
      </c>
      <c r="AS89" s="166" t="s">
        <v>69</v>
      </c>
      <c r="AT89" s="111">
        <v>43131</v>
      </c>
      <c r="AU89" s="166" t="s">
        <v>69</v>
      </c>
      <c r="AV89" s="166" t="s">
        <v>69</v>
      </c>
      <c r="AW89" s="166" t="s">
        <v>69</v>
      </c>
      <c r="AX89" s="166" t="s">
        <v>69</v>
      </c>
      <c r="AY89" s="166" t="s">
        <v>69</v>
      </c>
      <c r="AZ89" s="111">
        <v>45574</v>
      </c>
      <c r="BA89" s="111">
        <v>46304</v>
      </c>
      <c r="BB89" s="166" t="s">
        <v>69</v>
      </c>
      <c r="BC89" s="166" t="s">
        <v>69</v>
      </c>
      <c r="BD89" s="166" t="s">
        <v>69</v>
      </c>
      <c r="BE89" s="166" t="s">
        <v>69</v>
      </c>
      <c r="BF89" s="166" t="s">
        <v>69</v>
      </c>
      <c r="BG89" s="167" t="s">
        <v>70</v>
      </c>
      <c r="BH89" s="166" t="s">
        <v>69</v>
      </c>
      <c r="BI89" s="166" t="s">
        <v>69</v>
      </c>
      <c r="BJ89" s="167" t="s">
        <v>70</v>
      </c>
      <c r="BK89" s="166" t="s">
        <v>69</v>
      </c>
      <c r="BL89" s="167" t="s">
        <v>70</v>
      </c>
      <c r="BM89" s="167" t="s">
        <v>70</v>
      </c>
      <c r="BN89" s="167" t="s">
        <v>70</v>
      </c>
      <c r="BO89" s="167" t="s">
        <v>70</v>
      </c>
      <c r="BP89" s="167" t="s">
        <v>70</v>
      </c>
      <c r="BQ89" s="151">
        <v>0</v>
      </c>
    </row>
    <row r="90" spans="1:136" s="151" customFormat="1" ht="19.5" customHeight="1" x14ac:dyDescent="0.2">
      <c r="A90" s="117">
        <v>87</v>
      </c>
      <c r="B90" s="144" t="s">
        <v>88</v>
      </c>
      <c r="C90" s="144">
        <v>83122886</v>
      </c>
      <c r="D90" s="117" t="s">
        <v>73</v>
      </c>
      <c r="E90" s="146" t="s">
        <v>68</v>
      </c>
      <c r="F90" s="146" t="s">
        <v>208</v>
      </c>
      <c r="G90" s="162">
        <v>41129</v>
      </c>
      <c r="H90" s="162">
        <v>41134</v>
      </c>
      <c r="I90" s="162">
        <v>46076</v>
      </c>
      <c r="J90" s="162">
        <f t="shared" ref="J90:J121" si="9">IF(I90="", "", DATE(YEAR(I90)+2, MONTH(I90), DAY(I90)))</f>
        <v>46806</v>
      </c>
      <c r="K90" s="111">
        <v>41127</v>
      </c>
      <c r="L90" s="111">
        <v>46058</v>
      </c>
      <c r="M90" s="163">
        <f t="shared" ref="M90:M121" si="10">IF(L90="", "", DATE(YEAR(L90)+2, MONTH(L90), DAY(L90)))</f>
        <v>46788</v>
      </c>
      <c r="N90" s="111">
        <v>42320</v>
      </c>
      <c r="O90" s="111">
        <v>42320</v>
      </c>
      <c r="P90" s="111">
        <v>42320</v>
      </c>
      <c r="Q90" s="166" t="s">
        <v>69</v>
      </c>
      <c r="R90" s="166" t="s">
        <v>69</v>
      </c>
      <c r="S90" s="166" t="s">
        <v>69</v>
      </c>
      <c r="T90" s="94">
        <v>43857</v>
      </c>
      <c r="U90" s="166" t="s">
        <v>69</v>
      </c>
      <c r="V90" s="94">
        <v>44144</v>
      </c>
      <c r="W90" s="166" t="s">
        <v>69</v>
      </c>
      <c r="X90" s="94">
        <v>42268</v>
      </c>
      <c r="Y90" s="94">
        <v>42639</v>
      </c>
      <c r="Z90" s="94">
        <v>44732</v>
      </c>
      <c r="AA90" s="166" t="s">
        <v>69</v>
      </c>
      <c r="AB90" s="166" t="s">
        <v>69</v>
      </c>
      <c r="AC90" s="166" t="s">
        <v>69</v>
      </c>
      <c r="AD90" s="167" t="s">
        <v>71</v>
      </c>
      <c r="AE90" s="167" t="s">
        <v>71</v>
      </c>
      <c r="AF90" s="112">
        <v>46261</v>
      </c>
      <c r="AG90" s="112" t="s">
        <v>69</v>
      </c>
      <c r="AH90" s="167" t="s">
        <v>71</v>
      </c>
      <c r="AI90" s="167" t="s">
        <v>71</v>
      </c>
      <c r="AJ90" s="167" t="s">
        <v>71</v>
      </c>
      <c r="AK90" s="167" t="s">
        <v>70</v>
      </c>
      <c r="AL90" s="166" t="s">
        <v>69</v>
      </c>
      <c r="AM90" s="166"/>
      <c r="AN90" s="166" t="s">
        <v>69</v>
      </c>
      <c r="AO90" s="167" t="s">
        <v>70</v>
      </c>
      <c r="AP90" s="166" t="s">
        <v>69</v>
      </c>
      <c r="AQ90" s="166" t="s">
        <v>69</v>
      </c>
      <c r="AR90" s="166" t="s">
        <v>69</v>
      </c>
      <c r="AS90" s="166" t="s">
        <v>69</v>
      </c>
      <c r="AT90" s="166" t="s">
        <v>69</v>
      </c>
      <c r="AU90" s="166" t="s">
        <v>69</v>
      </c>
      <c r="AV90" s="166" t="s">
        <v>69</v>
      </c>
      <c r="AW90" s="94">
        <v>41913</v>
      </c>
      <c r="AX90" s="94">
        <v>42597</v>
      </c>
      <c r="AY90" s="94">
        <v>42598</v>
      </c>
      <c r="AZ90" s="166" t="s">
        <v>69</v>
      </c>
      <c r="BA90" s="166" t="s">
        <v>69</v>
      </c>
      <c r="BB90" s="166" t="s">
        <v>69</v>
      </c>
      <c r="BC90" s="166" t="s">
        <v>69</v>
      </c>
      <c r="BD90" s="166" t="s">
        <v>69</v>
      </c>
      <c r="BE90" s="166" t="s">
        <v>69</v>
      </c>
      <c r="BF90" s="166" t="s">
        <v>69</v>
      </c>
      <c r="BG90" s="167" t="s">
        <v>70</v>
      </c>
      <c r="BH90" s="166" t="s">
        <v>69</v>
      </c>
      <c r="BI90" s="166" t="s">
        <v>69</v>
      </c>
      <c r="BJ90" s="167" t="s">
        <v>70</v>
      </c>
      <c r="BK90" s="166" t="s">
        <v>69</v>
      </c>
      <c r="BL90" s="167" t="s">
        <v>70</v>
      </c>
      <c r="BM90" s="167" t="s">
        <v>70</v>
      </c>
      <c r="BN90" s="167" t="s">
        <v>70</v>
      </c>
      <c r="BO90" s="167" t="s">
        <v>70</v>
      </c>
      <c r="BP90" s="173"/>
      <c r="BQ90" s="151">
        <v>0</v>
      </c>
    </row>
    <row r="91" spans="1:136" s="151" customFormat="1" ht="19.5" customHeight="1" x14ac:dyDescent="0.2">
      <c r="A91" s="117">
        <v>88</v>
      </c>
      <c r="B91" s="194" t="s">
        <v>100</v>
      </c>
      <c r="C91" s="194">
        <v>145550</v>
      </c>
      <c r="D91" s="117" t="s">
        <v>73</v>
      </c>
      <c r="E91" s="146" t="s">
        <v>68</v>
      </c>
      <c r="F91" s="146" t="s">
        <v>208</v>
      </c>
      <c r="G91" s="162">
        <v>42219</v>
      </c>
      <c r="H91" s="162">
        <v>43237</v>
      </c>
      <c r="I91" s="162">
        <v>46126</v>
      </c>
      <c r="J91" s="162">
        <f t="shared" si="9"/>
        <v>46857</v>
      </c>
      <c r="K91" s="111">
        <v>42191</v>
      </c>
      <c r="L91" s="111">
        <v>46140</v>
      </c>
      <c r="M91" s="163">
        <f t="shared" si="10"/>
        <v>46871</v>
      </c>
      <c r="N91" s="111">
        <v>42713</v>
      </c>
      <c r="O91" s="111">
        <v>42713</v>
      </c>
      <c r="P91" s="111">
        <v>42713</v>
      </c>
      <c r="Q91" s="166" t="s">
        <v>69</v>
      </c>
      <c r="R91" s="166" t="s">
        <v>69</v>
      </c>
      <c r="S91" s="166" t="s">
        <v>69</v>
      </c>
      <c r="T91" s="94">
        <v>43479</v>
      </c>
      <c r="U91" s="166" t="s">
        <v>69</v>
      </c>
      <c r="V91" s="94">
        <v>45275</v>
      </c>
      <c r="W91" s="166" t="s">
        <v>69</v>
      </c>
      <c r="X91" s="195">
        <v>43717</v>
      </c>
      <c r="Y91" s="166" t="s">
        <v>69</v>
      </c>
      <c r="Z91" s="168">
        <v>45408</v>
      </c>
      <c r="AA91" s="166" t="s">
        <v>69</v>
      </c>
      <c r="AB91" s="166" t="s">
        <v>69</v>
      </c>
      <c r="AC91" s="166" t="s">
        <v>69</v>
      </c>
      <c r="AD91" s="167" t="s">
        <v>71</v>
      </c>
      <c r="AE91" s="167" t="s">
        <v>71</v>
      </c>
      <c r="AF91" s="112">
        <v>46217</v>
      </c>
      <c r="AG91" s="112" t="s">
        <v>69</v>
      </c>
      <c r="AH91" s="167" t="s">
        <v>71</v>
      </c>
      <c r="AI91" s="167" t="s">
        <v>71</v>
      </c>
      <c r="AJ91" s="167" t="s">
        <v>71</v>
      </c>
      <c r="AK91" s="167" t="s">
        <v>70</v>
      </c>
      <c r="AL91" s="111">
        <v>46083</v>
      </c>
      <c r="AM91" s="111"/>
      <c r="AN91" s="166" t="s">
        <v>69</v>
      </c>
      <c r="AO91" s="167" t="s">
        <v>70</v>
      </c>
      <c r="AP91" s="166" t="s">
        <v>69</v>
      </c>
      <c r="AQ91" s="166" t="s">
        <v>69</v>
      </c>
      <c r="AR91" s="166" t="s">
        <v>69</v>
      </c>
      <c r="AS91" s="166" t="s">
        <v>69</v>
      </c>
      <c r="AT91" s="166" t="s">
        <v>69</v>
      </c>
      <c r="AU91" s="166" t="s">
        <v>69</v>
      </c>
      <c r="AV91" s="166" t="s">
        <v>69</v>
      </c>
      <c r="AW91" s="166" t="s">
        <v>69</v>
      </c>
      <c r="AX91" s="166" t="s">
        <v>69</v>
      </c>
      <c r="AY91" s="166" t="s">
        <v>69</v>
      </c>
      <c r="AZ91" s="166" t="s">
        <v>69</v>
      </c>
      <c r="BA91" s="166" t="s">
        <v>69</v>
      </c>
      <c r="BB91" s="166" t="s">
        <v>69</v>
      </c>
      <c r="BC91" s="166" t="s">
        <v>69</v>
      </c>
      <c r="BD91" s="166" t="s">
        <v>69</v>
      </c>
      <c r="BE91" s="166" t="s">
        <v>69</v>
      </c>
      <c r="BF91" s="166" t="s">
        <v>69</v>
      </c>
      <c r="BG91" s="167" t="s">
        <v>70</v>
      </c>
      <c r="BH91" s="166" t="s">
        <v>69</v>
      </c>
      <c r="BI91" s="166" t="s">
        <v>69</v>
      </c>
      <c r="BJ91" s="167" t="s">
        <v>70</v>
      </c>
      <c r="BK91" s="166" t="s">
        <v>69</v>
      </c>
      <c r="BL91" s="167" t="s">
        <v>70</v>
      </c>
      <c r="BM91" s="167" t="s">
        <v>70</v>
      </c>
      <c r="BN91" s="167" t="s">
        <v>70</v>
      </c>
      <c r="BO91" s="167" t="s">
        <v>70</v>
      </c>
      <c r="BP91" s="173"/>
      <c r="BQ91" s="151">
        <v>0</v>
      </c>
    </row>
    <row r="92" spans="1:136" s="151" customFormat="1" ht="19.5" customHeight="1" x14ac:dyDescent="0.2">
      <c r="A92" s="117">
        <v>89</v>
      </c>
      <c r="B92" s="196" t="s">
        <v>121</v>
      </c>
      <c r="C92" s="178">
        <v>83102220</v>
      </c>
      <c r="D92" s="117" t="s">
        <v>73</v>
      </c>
      <c r="E92" s="146" t="s">
        <v>68</v>
      </c>
      <c r="F92" s="146" t="s">
        <v>208</v>
      </c>
      <c r="G92" s="162">
        <v>40948</v>
      </c>
      <c r="H92" s="162">
        <v>40984</v>
      </c>
      <c r="I92" s="162">
        <v>46030</v>
      </c>
      <c r="J92" s="162">
        <f t="shared" si="9"/>
        <v>46760</v>
      </c>
      <c r="K92" s="111">
        <v>40907</v>
      </c>
      <c r="L92" s="111">
        <v>46043</v>
      </c>
      <c r="M92" s="163">
        <f t="shared" si="10"/>
        <v>46773</v>
      </c>
      <c r="N92" s="111">
        <v>40898</v>
      </c>
      <c r="O92" s="111">
        <v>40898</v>
      </c>
      <c r="P92" s="111">
        <v>40898</v>
      </c>
      <c r="Q92" s="166" t="s">
        <v>69</v>
      </c>
      <c r="R92" s="166" t="s">
        <v>69</v>
      </c>
      <c r="S92" s="166" t="s">
        <v>69</v>
      </c>
      <c r="T92" s="94">
        <v>43738</v>
      </c>
      <c r="U92" s="166" t="s">
        <v>69</v>
      </c>
      <c r="V92" s="166" t="s">
        <v>69</v>
      </c>
      <c r="W92" s="166" t="s">
        <v>69</v>
      </c>
      <c r="X92" s="94">
        <v>42268</v>
      </c>
      <c r="Y92" s="166" t="s">
        <v>69</v>
      </c>
      <c r="Z92" s="94">
        <v>44116</v>
      </c>
      <c r="AA92" s="166" t="s">
        <v>69</v>
      </c>
      <c r="AB92" s="166" t="s">
        <v>69</v>
      </c>
      <c r="AC92" s="166" t="s">
        <v>69</v>
      </c>
      <c r="AD92" s="167" t="s">
        <v>71</v>
      </c>
      <c r="AE92" s="167" t="s">
        <v>71</v>
      </c>
      <c r="AF92" s="112">
        <v>46261</v>
      </c>
      <c r="AG92" s="112" t="s">
        <v>69</v>
      </c>
      <c r="AH92" s="167" t="s">
        <v>71</v>
      </c>
      <c r="AI92" s="167" t="s">
        <v>71</v>
      </c>
      <c r="AJ92" s="167" t="s">
        <v>71</v>
      </c>
      <c r="AK92" s="167" t="s">
        <v>70</v>
      </c>
      <c r="AL92" s="166" t="s">
        <v>69</v>
      </c>
      <c r="AM92" s="168">
        <v>46161</v>
      </c>
      <c r="AN92" s="166" t="s">
        <v>69</v>
      </c>
      <c r="AO92" s="167" t="s">
        <v>70</v>
      </c>
      <c r="AP92" s="166" t="s">
        <v>69</v>
      </c>
      <c r="AQ92" s="166" t="s">
        <v>69</v>
      </c>
      <c r="AR92" s="166" t="s">
        <v>69</v>
      </c>
      <c r="AS92" s="166" t="s">
        <v>69</v>
      </c>
      <c r="AT92" s="166" t="s">
        <v>69</v>
      </c>
      <c r="AU92" s="166" t="s">
        <v>69</v>
      </c>
      <c r="AV92" s="166" t="s">
        <v>69</v>
      </c>
      <c r="AW92" s="94">
        <v>41904</v>
      </c>
      <c r="AX92" s="166" t="s">
        <v>69</v>
      </c>
      <c r="AY92" s="94">
        <v>42158</v>
      </c>
      <c r="AZ92" s="94">
        <v>42487</v>
      </c>
      <c r="BA92" s="166" t="s">
        <v>69</v>
      </c>
      <c r="BB92" s="166" t="s">
        <v>69</v>
      </c>
      <c r="BC92" s="166" t="s">
        <v>69</v>
      </c>
      <c r="BD92" s="166" t="s">
        <v>69</v>
      </c>
      <c r="BE92" s="166" t="s">
        <v>69</v>
      </c>
      <c r="BF92" s="166" t="s">
        <v>69</v>
      </c>
      <c r="BG92" s="167" t="s">
        <v>70</v>
      </c>
      <c r="BH92" s="166" t="s">
        <v>69</v>
      </c>
      <c r="BI92" s="166" t="s">
        <v>69</v>
      </c>
      <c r="BJ92" s="167" t="s">
        <v>70</v>
      </c>
      <c r="BK92" s="166" t="s">
        <v>69</v>
      </c>
      <c r="BL92" s="167" t="s">
        <v>70</v>
      </c>
      <c r="BM92" s="167" t="s">
        <v>70</v>
      </c>
      <c r="BN92" s="167" t="s">
        <v>70</v>
      </c>
      <c r="BO92" s="167" t="s">
        <v>70</v>
      </c>
      <c r="BP92" s="173"/>
      <c r="BQ92" s="151">
        <v>0</v>
      </c>
      <c r="BR92" s="142"/>
      <c r="BS92" s="142"/>
      <c r="BT92" s="142"/>
      <c r="BU92" s="142"/>
      <c r="BV92" s="142"/>
      <c r="BW92" s="142"/>
      <c r="BX92" s="142"/>
      <c r="BY92" s="142"/>
      <c r="BZ92" s="142"/>
      <c r="CA92" s="142"/>
      <c r="CB92" s="142"/>
      <c r="CC92" s="142"/>
      <c r="CD92" s="142"/>
      <c r="CE92" s="142"/>
      <c r="CF92" s="142"/>
      <c r="CG92" s="142"/>
      <c r="CH92" s="142"/>
      <c r="CI92" s="142"/>
      <c r="CJ92" s="142"/>
      <c r="CK92" s="142"/>
      <c r="CL92" s="142"/>
      <c r="CM92" s="142"/>
      <c r="CN92" s="142"/>
      <c r="CO92" s="142"/>
      <c r="CP92" s="142"/>
      <c r="CQ92" s="142"/>
      <c r="CR92" s="142"/>
      <c r="CS92" s="142"/>
      <c r="CT92" s="142"/>
      <c r="CU92" s="142"/>
      <c r="CV92" s="142"/>
      <c r="CW92" s="142"/>
      <c r="CX92" s="142"/>
      <c r="CY92" s="142"/>
      <c r="CZ92" s="142"/>
      <c r="DA92" s="142"/>
      <c r="DB92" s="142"/>
      <c r="DC92" s="142"/>
      <c r="DD92" s="142"/>
      <c r="DE92" s="142"/>
      <c r="DF92" s="142"/>
      <c r="DG92" s="142"/>
      <c r="DH92" s="142"/>
      <c r="DI92" s="142"/>
      <c r="DJ92" s="142"/>
      <c r="DK92" s="142"/>
      <c r="DL92" s="142"/>
      <c r="DM92" s="142"/>
      <c r="DN92" s="142"/>
      <c r="DO92" s="142"/>
      <c r="DP92" s="142"/>
      <c r="DQ92" s="142"/>
      <c r="DR92" s="142"/>
      <c r="DS92" s="142"/>
      <c r="DT92" s="142"/>
      <c r="DU92" s="142"/>
      <c r="DV92" s="142"/>
      <c r="DW92" s="142"/>
      <c r="DX92" s="142"/>
      <c r="DY92" s="142"/>
      <c r="DZ92" s="142"/>
      <c r="EA92" s="142"/>
      <c r="EB92" s="142"/>
      <c r="EC92" s="142"/>
      <c r="ED92" s="142"/>
      <c r="EE92" s="142"/>
      <c r="EF92" s="142"/>
    </row>
    <row r="93" spans="1:136" s="151" customFormat="1" ht="19.5" customHeight="1" x14ac:dyDescent="0.2">
      <c r="A93" s="117">
        <v>90</v>
      </c>
      <c r="B93" s="159" t="s">
        <v>185</v>
      </c>
      <c r="C93" s="159">
        <v>152469</v>
      </c>
      <c r="D93" s="171" t="s">
        <v>186</v>
      </c>
      <c r="E93" s="117" t="s">
        <v>68</v>
      </c>
      <c r="F93" s="146" t="s">
        <v>208</v>
      </c>
      <c r="G93" s="172">
        <v>42629</v>
      </c>
      <c r="H93" s="172">
        <v>43749</v>
      </c>
      <c r="I93" s="172">
        <v>46017</v>
      </c>
      <c r="J93" s="162">
        <f t="shared" si="9"/>
        <v>46747</v>
      </c>
      <c r="K93" s="111">
        <v>42339</v>
      </c>
      <c r="L93" s="111">
        <v>46205</v>
      </c>
      <c r="M93" s="163">
        <f t="shared" si="10"/>
        <v>46936</v>
      </c>
      <c r="N93" s="111">
        <v>42837</v>
      </c>
      <c r="O93" s="111">
        <v>42836</v>
      </c>
      <c r="P93" s="111">
        <v>42838</v>
      </c>
      <c r="Q93" s="165" t="s">
        <v>69</v>
      </c>
      <c r="R93" s="165" t="s">
        <v>69</v>
      </c>
      <c r="S93" s="165" t="s">
        <v>69</v>
      </c>
      <c r="T93" s="94">
        <v>43059</v>
      </c>
      <c r="U93" s="165" t="s">
        <v>69</v>
      </c>
      <c r="V93" s="94">
        <v>43773</v>
      </c>
      <c r="W93" s="165" t="s">
        <v>69</v>
      </c>
      <c r="X93" s="94">
        <v>42947</v>
      </c>
      <c r="Y93" s="165" t="s">
        <v>69</v>
      </c>
      <c r="Z93" s="94">
        <v>45408</v>
      </c>
      <c r="AA93" s="112">
        <v>45674</v>
      </c>
      <c r="AB93" s="166" t="s">
        <v>69</v>
      </c>
      <c r="AC93" s="166" t="s">
        <v>69</v>
      </c>
      <c r="AD93" s="167" t="s">
        <v>70</v>
      </c>
      <c r="AE93" s="167" t="s">
        <v>70</v>
      </c>
      <c r="AF93" s="112">
        <v>45645</v>
      </c>
      <c r="AG93" s="111">
        <v>45982</v>
      </c>
      <c r="AH93" s="167" t="s">
        <v>71</v>
      </c>
      <c r="AI93" s="167" t="s">
        <v>70</v>
      </c>
      <c r="AJ93" s="167" t="s">
        <v>70</v>
      </c>
      <c r="AK93" s="167" t="s">
        <v>70</v>
      </c>
      <c r="AL93" s="166" t="s">
        <v>69</v>
      </c>
      <c r="AM93" s="166"/>
      <c r="AN93" s="168" t="s">
        <v>69</v>
      </c>
      <c r="AO93" s="167" t="s">
        <v>70</v>
      </c>
      <c r="AP93" s="166" t="s">
        <v>69</v>
      </c>
      <c r="AQ93" s="166" t="s">
        <v>69</v>
      </c>
      <c r="AR93" s="166" t="s">
        <v>69</v>
      </c>
      <c r="AS93" s="166" t="s">
        <v>69</v>
      </c>
      <c r="AT93" s="166" t="s">
        <v>69</v>
      </c>
      <c r="AU93" s="166" t="s">
        <v>69</v>
      </c>
      <c r="AV93" s="166" t="s">
        <v>69</v>
      </c>
      <c r="AW93" s="167" t="s">
        <v>70</v>
      </c>
      <c r="AX93" s="167" t="s">
        <v>70</v>
      </c>
      <c r="AY93" s="166" t="s">
        <v>69</v>
      </c>
      <c r="AZ93" s="166" t="s">
        <v>69</v>
      </c>
      <c r="BA93" s="166" t="s">
        <v>69</v>
      </c>
      <c r="BB93" s="167" t="s">
        <v>70</v>
      </c>
      <c r="BC93" s="167" t="s">
        <v>70</v>
      </c>
      <c r="BD93" s="167" t="s">
        <v>70</v>
      </c>
      <c r="BE93" s="167" t="s">
        <v>70</v>
      </c>
      <c r="BF93" s="167" t="s">
        <v>70</v>
      </c>
      <c r="BG93" s="169" t="s">
        <v>70</v>
      </c>
      <c r="BH93" s="169" t="s">
        <v>70</v>
      </c>
      <c r="BI93" s="169" t="s">
        <v>70</v>
      </c>
      <c r="BJ93" s="167" t="s">
        <v>70</v>
      </c>
      <c r="BK93" s="167" t="s">
        <v>70</v>
      </c>
      <c r="BL93" s="167" t="s">
        <v>70</v>
      </c>
      <c r="BM93" s="167" t="s">
        <v>70</v>
      </c>
      <c r="BN93" s="167" t="s">
        <v>70</v>
      </c>
      <c r="BO93" s="167" t="s">
        <v>70</v>
      </c>
      <c r="BP93" s="167" t="s">
        <v>70</v>
      </c>
      <c r="BQ93" s="151">
        <v>0</v>
      </c>
      <c r="BR93" s="142"/>
      <c r="BS93" s="142"/>
      <c r="BT93" s="142"/>
      <c r="BU93" s="142"/>
      <c r="BV93" s="142"/>
      <c r="BW93" s="142"/>
      <c r="BX93" s="142"/>
      <c r="BY93" s="142"/>
      <c r="BZ93" s="142"/>
      <c r="CA93" s="142"/>
      <c r="CB93" s="142"/>
      <c r="CC93" s="142"/>
      <c r="CD93" s="142"/>
      <c r="CE93" s="142"/>
      <c r="CF93" s="142"/>
      <c r="CG93" s="142"/>
      <c r="CH93" s="142"/>
      <c r="CI93" s="142"/>
      <c r="CJ93" s="142"/>
      <c r="CK93" s="142"/>
      <c r="CL93" s="142"/>
      <c r="CM93" s="142"/>
      <c r="CN93" s="142"/>
      <c r="CO93" s="142"/>
      <c r="CP93" s="142"/>
      <c r="CQ93" s="142"/>
      <c r="CR93" s="142"/>
      <c r="CS93" s="142"/>
      <c r="CT93" s="142"/>
      <c r="CU93" s="142"/>
      <c r="CV93" s="142"/>
      <c r="CW93" s="142"/>
      <c r="CX93" s="142"/>
      <c r="CY93" s="142"/>
      <c r="CZ93" s="142"/>
      <c r="DA93" s="142"/>
      <c r="DB93" s="142"/>
      <c r="DC93" s="142"/>
      <c r="DD93" s="142"/>
      <c r="DE93" s="142"/>
      <c r="DF93" s="142"/>
      <c r="DG93" s="142"/>
      <c r="DH93" s="142"/>
      <c r="DI93" s="142"/>
      <c r="DJ93" s="142"/>
      <c r="DK93" s="142"/>
      <c r="DL93" s="142"/>
      <c r="DM93" s="142"/>
      <c r="DN93" s="142"/>
      <c r="DO93" s="142"/>
      <c r="DP93" s="142"/>
      <c r="DQ93" s="142"/>
      <c r="DR93" s="142"/>
      <c r="DS93" s="142"/>
      <c r="DT93" s="142"/>
      <c r="DU93" s="142"/>
      <c r="DV93" s="142"/>
      <c r="DW93" s="142"/>
      <c r="DX93" s="142"/>
      <c r="DY93" s="142"/>
      <c r="DZ93" s="142"/>
      <c r="EA93" s="142"/>
      <c r="EB93" s="142"/>
      <c r="EC93" s="142"/>
      <c r="ED93" s="142"/>
      <c r="EE93" s="142"/>
      <c r="EF93" s="142"/>
    </row>
    <row r="94" spans="1:136" s="151" customFormat="1" ht="19.5" customHeight="1" x14ac:dyDescent="0.2">
      <c r="A94" s="117">
        <v>91</v>
      </c>
      <c r="B94" s="161" t="s">
        <v>127</v>
      </c>
      <c r="C94" s="197">
        <v>83040026</v>
      </c>
      <c r="D94" s="171" t="s">
        <v>128</v>
      </c>
      <c r="E94" s="117" t="s">
        <v>83</v>
      </c>
      <c r="F94" s="146" t="s">
        <v>208</v>
      </c>
      <c r="G94" s="172">
        <v>40961</v>
      </c>
      <c r="H94" s="172">
        <v>40770</v>
      </c>
      <c r="I94" s="172">
        <v>45679</v>
      </c>
      <c r="J94" s="162">
        <f t="shared" si="9"/>
        <v>46409</v>
      </c>
      <c r="K94" s="111">
        <v>40847</v>
      </c>
      <c r="L94" s="111">
        <v>46168</v>
      </c>
      <c r="M94" s="163">
        <f t="shared" si="10"/>
        <v>46899</v>
      </c>
      <c r="N94" s="111">
        <v>40812</v>
      </c>
      <c r="O94" s="111">
        <v>40812</v>
      </c>
      <c r="P94" s="111">
        <v>40812</v>
      </c>
      <c r="Q94" s="94">
        <v>42032</v>
      </c>
      <c r="R94" s="94">
        <v>42013</v>
      </c>
      <c r="S94" s="94">
        <v>45527</v>
      </c>
      <c r="T94" s="94">
        <v>43353</v>
      </c>
      <c r="U94" s="94">
        <v>41757</v>
      </c>
      <c r="V94" s="94">
        <v>43801</v>
      </c>
      <c r="W94" s="94">
        <v>43724</v>
      </c>
      <c r="X94" s="94">
        <v>42076</v>
      </c>
      <c r="Y94" s="94">
        <v>42307</v>
      </c>
      <c r="Z94" s="94">
        <v>42314</v>
      </c>
      <c r="AA94" s="94">
        <v>45695</v>
      </c>
      <c r="AB94" s="166" t="s">
        <v>69</v>
      </c>
      <c r="AC94" s="166" t="s">
        <v>69</v>
      </c>
      <c r="AD94" s="167" t="s">
        <v>70</v>
      </c>
      <c r="AE94" s="167" t="s">
        <v>70</v>
      </c>
      <c r="AF94" s="112">
        <v>45646</v>
      </c>
      <c r="AG94" s="167" t="s">
        <v>70</v>
      </c>
      <c r="AH94" s="167" t="s">
        <v>71</v>
      </c>
      <c r="AI94" s="167" t="s">
        <v>70</v>
      </c>
      <c r="AJ94" s="167" t="s">
        <v>70</v>
      </c>
      <c r="AK94" s="167" t="s">
        <v>70</v>
      </c>
      <c r="AL94" s="166" t="s">
        <v>69</v>
      </c>
      <c r="AM94" s="166"/>
      <c r="AN94" s="94">
        <v>43690</v>
      </c>
      <c r="AO94" s="167" t="s">
        <v>70</v>
      </c>
      <c r="AP94" s="94">
        <v>41803</v>
      </c>
      <c r="AQ94" s="166" t="s">
        <v>69</v>
      </c>
      <c r="AR94" s="94">
        <v>45967</v>
      </c>
      <c r="AS94" s="166" t="s">
        <v>69</v>
      </c>
      <c r="AT94" s="94">
        <v>43788</v>
      </c>
      <c r="AU94" s="166" t="s">
        <v>69</v>
      </c>
      <c r="AV94" s="166" t="s">
        <v>69</v>
      </c>
      <c r="AW94" s="94">
        <v>41907</v>
      </c>
      <c r="AX94" s="167" t="s">
        <v>70</v>
      </c>
      <c r="AY94" s="94">
        <v>41918</v>
      </c>
      <c r="AZ94" s="166" t="s">
        <v>69</v>
      </c>
      <c r="BA94" s="166" t="s">
        <v>69</v>
      </c>
      <c r="BB94" s="167" t="s">
        <v>70</v>
      </c>
      <c r="BC94" s="167" t="s">
        <v>70</v>
      </c>
      <c r="BD94" s="167" t="s">
        <v>70</v>
      </c>
      <c r="BE94" s="167" t="s">
        <v>70</v>
      </c>
      <c r="BF94" s="167" t="s">
        <v>70</v>
      </c>
      <c r="BG94" s="169" t="s">
        <v>70</v>
      </c>
      <c r="BH94" s="169" t="s">
        <v>70</v>
      </c>
      <c r="BI94" s="169" t="s">
        <v>70</v>
      </c>
      <c r="BJ94" s="169" t="s">
        <v>71</v>
      </c>
      <c r="BK94" s="167" t="s">
        <v>70</v>
      </c>
      <c r="BL94" s="167" t="s">
        <v>70</v>
      </c>
      <c r="BM94" s="167" t="s">
        <v>70</v>
      </c>
      <c r="BN94" s="167" t="s">
        <v>70</v>
      </c>
      <c r="BO94" s="167" t="s">
        <v>70</v>
      </c>
      <c r="BP94" s="167" t="s">
        <v>70</v>
      </c>
      <c r="BQ94" s="151">
        <v>0</v>
      </c>
      <c r="BR94" s="142"/>
      <c r="BS94" s="142"/>
      <c r="BT94" s="142"/>
      <c r="BU94" s="142"/>
      <c r="BV94" s="142"/>
      <c r="BW94" s="142"/>
      <c r="BX94" s="142"/>
      <c r="BY94" s="142"/>
      <c r="BZ94" s="142"/>
      <c r="CA94" s="142"/>
      <c r="CB94" s="142"/>
      <c r="CC94" s="142"/>
      <c r="CD94" s="142"/>
      <c r="CE94" s="142"/>
      <c r="CF94" s="142"/>
      <c r="CG94" s="142"/>
      <c r="CH94" s="142"/>
      <c r="CI94" s="142"/>
      <c r="CJ94" s="142"/>
      <c r="CK94" s="142"/>
      <c r="CL94" s="142"/>
      <c r="CM94" s="142"/>
      <c r="CN94" s="142"/>
      <c r="CO94" s="142"/>
      <c r="CP94" s="142"/>
      <c r="CQ94" s="142"/>
      <c r="CR94" s="142"/>
      <c r="CS94" s="142"/>
      <c r="CT94" s="142"/>
      <c r="CU94" s="142"/>
      <c r="CV94" s="142"/>
      <c r="CW94" s="142"/>
      <c r="CX94" s="142"/>
      <c r="CY94" s="142"/>
      <c r="CZ94" s="142"/>
      <c r="DA94" s="142"/>
      <c r="DB94" s="142"/>
      <c r="DC94" s="142"/>
      <c r="DD94" s="142"/>
      <c r="DE94" s="142"/>
      <c r="DF94" s="142"/>
      <c r="DG94" s="142"/>
      <c r="DH94" s="142"/>
      <c r="DI94" s="142"/>
      <c r="DJ94" s="142"/>
      <c r="DK94" s="142"/>
      <c r="DL94" s="142"/>
      <c r="DM94" s="142"/>
      <c r="DN94" s="142"/>
      <c r="DO94" s="142"/>
      <c r="DP94" s="142"/>
      <c r="DQ94" s="142"/>
      <c r="DR94" s="142"/>
      <c r="DS94" s="142"/>
      <c r="DT94" s="142"/>
      <c r="DU94" s="142"/>
      <c r="DV94" s="142"/>
      <c r="DW94" s="142"/>
      <c r="DX94" s="142"/>
      <c r="DY94" s="142"/>
      <c r="DZ94" s="142"/>
      <c r="EA94" s="142"/>
      <c r="EB94" s="142"/>
      <c r="EC94" s="142"/>
      <c r="ED94" s="142"/>
      <c r="EE94" s="142"/>
      <c r="EF94" s="141"/>
    </row>
    <row r="95" spans="1:136" s="151" customFormat="1" ht="19.5" customHeight="1" x14ac:dyDescent="0.2">
      <c r="A95" s="117">
        <v>92</v>
      </c>
      <c r="B95" s="161" t="s">
        <v>144</v>
      </c>
      <c r="C95" s="170">
        <v>83040029</v>
      </c>
      <c r="D95" s="161" t="s">
        <v>145</v>
      </c>
      <c r="E95" s="117" t="s">
        <v>83</v>
      </c>
      <c r="F95" s="146" t="s">
        <v>208</v>
      </c>
      <c r="G95" s="172">
        <v>40934</v>
      </c>
      <c r="H95" s="172">
        <v>40952</v>
      </c>
      <c r="I95" s="172">
        <v>45679</v>
      </c>
      <c r="J95" s="162">
        <f t="shared" si="9"/>
        <v>46409</v>
      </c>
      <c r="K95" s="111">
        <v>40840</v>
      </c>
      <c r="L95" s="111">
        <v>46120</v>
      </c>
      <c r="M95" s="163">
        <f t="shared" si="10"/>
        <v>46851</v>
      </c>
      <c r="N95" s="111">
        <v>40889</v>
      </c>
      <c r="O95" s="111">
        <v>40890</v>
      </c>
      <c r="P95" s="111">
        <v>40891</v>
      </c>
      <c r="Q95" s="165" t="s">
        <v>69</v>
      </c>
      <c r="R95" s="165" t="s">
        <v>69</v>
      </c>
      <c r="S95" s="165" t="s">
        <v>69</v>
      </c>
      <c r="T95" s="94">
        <v>41753</v>
      </c>
      <c r="U95" s="94">
        <v>41761</v>
      </c>
      <c r="V95" s="94">
        <v>42717</v>
      </c>
      <c r="W95" s="94">
        <v>43493</v>
      </c>
      <c r="X95" s="94">
        <v>45744</v>
      </c>
      <c r="Y95" s="94">
        <v>42153</v>
      </c>
      <c r="Z95" s="94">
        <v>42314</v>
      </c>
      <c r="AA95" s="94">
        <v>45723</v>
      </c>
      <c r="AB95" s="94">
        <v>41093</v>
      </c>
      <c r="AC95" s="166" t="s">
        <v>69</v>
      </c>
      <c r="AD95" s="167" t="s">
        <v>70</v>
      </c>
      <c r="AE95" s="167" t="s">
        <v>70</v>
      </c>
      <c r="AF95" s="112">
        <v>45642</v>
      </c>
      <c r="AG95" s="94">
        <v>44515</v>
      </c>
      <c r="AH95" s="167" t="s">
        <v>71</v>
      </c>
      <c r="AI95" s="167" t="s">
        <v>70</v>
      </c>
      <c r="AJ95" s="167" t="s">
        <v>70</v>
      </c>
      <c r="AK95" s="167" t="s">
        <v>70</v>
      </c>
      <c r="AL95" s="166" t="s">
        <v>69</v>
      </c>
      <c r="AM95" s="166"/>
      <c r="AN95" s="94">
        <v>43690</v>
      </c>
      <c r="AO95" s="167" t="s">
        <v>70</v>
      </c>
      <c r="AP95" s="166" t="s">
        <v>69</v>
      </c>
      <c r="AQ95" s="166" t="s">
        <v>69</v>
      </c>
      <c r="AR95" s="94">
        <v>45967</v>
      </c>
      <c r="AS95" s="166" t="s">
        <v>69</v>
      </c>
      <c r="AT95" s="94">
        <v>43776</v>
      </c>
      <c r="AU95" s="166" t="s">
        <v>69</v>
      </c>
      <c r="AV95" s="166" t="s">
        <v>69</v>
      </c>
      <c r="AW95" s="94">
        <v>41907</v>
      </c>
      <c r="AX95" s="167" t="s">
        <v>70</v>
      </c>
      <c r="AY95" s="94">
        <v>42292</v>
      </c>
      <c r="AZ95" s="166" t="s">
        <v>69</v>
      </c>
      <c r="BA95" s="166" t="s">
        <v>69</v>
      </c>
      <c r="BB95" s="167" t="s">
        <v>70</v>
      </c>
      <c r="BC95" s="167" t="s">
        <v>70</v>
      </c>
      <c r="BD95" s="167" t="s">
        <v>70</v>
      </c>
      <c r="BE95" s="167" t="s">
        <v>70</v>
      </c>
      <c r="BF95" s="167" t="s">
        <v>70</v>
      </c>
      <c r="BG95" s="169" t="s">
        <v>70</v>
      </c>
      <c r="BH95" s="169" t="s">
        <v>70</v>
      </c>
      <c r="BI95" s="169" t="s">
        <v>70</v>
      </c>
      <c r="BJ95" s="169" t="s">
        <v>71</v>
      </c>
      <c r="BK95" s="167" t="s">
        <v>70</v>
      </c>
      <c r="BL95" s="167" t="s">
        <v>70</v>
      </c>
      <c r="BM95" s="167" t="s">
        <v>70</v>
      </c>
      <c r="BN95" s="167" t="s">
        <v>70</v>
      </c>
      <c r="BO95" s="167" t="s">
        <v>70</v>
      </c>
      <c r="BP95" s="94">
        <v>41835</v>
      </c>
      <c r="BQ95" s="151">
        <v>0</v>
      </c>
      <c r="BR95" s="142"/>
      <c r="BS95" s="142"/>
      <c r="BT95" s="142"/>
      <c r="BU95" s="142"/>
      <c r="BV95" s="142"/>
      <c r="BW95" s="142"/>
      <c r="BX95" s="142"/>
      <c r="BY95" s="142"/>
      <c r="BZ95" s="142"/>
      <c r="CA95" s="142"/>
      <c r="CB95" s="142"/>
      <c r="CC95" s="142"/>
      <c r="CD95" s="142"/>
      <c r="CE95" s="142"/>
      <c r="CF95" s="142"/>
      <c r="CG95" s="142"/>
      <c r="CH95" s="142"/>
      <c r="CI95" s="142"/>
      <c r="CJ95" s="142"/>
      <c r="CK95" s="142"/>
      <c r="CL95" s="142"/>
      <c r="CM95" s="142"/>
      <c r="CN95" s="142"/>
      <c r="CO95" s="142"/>
      <c r="CP95" s="142"/>
      <c r="CQ95" s="142"/>
      <c r="CR95" s="142"/>
      <c r="CS95" s="142"/>
      <c r="CT95" s="142"/>
      <c r="CU95" s="142"/>
      <c r="CV95" s="142"/>
      <c r="CW95" s="142"/>
      <c r="CX95" s="142"/>
      <c r="CY95" s="142"/>
      <c r="CZ95" s="142"/>
      <c r="DA95" s="142"/>
      <c r="DB95" s="142"/>
      <c r="DC95" s="142"/>
      <c r="DD95" s="142"/>
      <c r="DE95" s="142"/>
      <c r="DF95" s="142"/>
      <c r="DG95" s="142"/>
      <c r="DH95" s="142"/>
      <c r="DI95" s="142"/>
      <c r="DJ95" s="142"/>
      <c r="DK95" s="142"/>
      <c r="DL95" s="142"/>
      <c r="DM95" s="142"/>
      <c r="DN95" s="142"/>
      <c r="DO95" s="142"/>
      <c r="DP95" s="142"/>
      <c r="DQ95" s="142"/>
      <c r="DR95" s="142"/>
      <c r="DS95" s="142"/>
      <c r="DT95" s="142"/>
      <c r="DU95" s="142"/>
      <c r="DV95" s="142"/>
      <c r="DW95" s="142"/>
      <c r="DX95" s="142"/>
      <c r="DY95" s="142"/>
      <c r="DZ95" s="142"/>
      <c r="EA95" s="142"/>
      <c r="EB95" s="142"/>
      <c r="EC95" s="142"/>
      <c r="ED95" s="142"/>
      <c r="EE95" s="142"/>
      <c r="EF95" s="141"/>
    </row>
    <row r="96" spans="1:136" s="151" customFormat="1" ht="19.5" customHeight="1" x14ac:dyDescent="0.2">
      <c r="A96" s="117">
        <v>93</v>
      </c>
      <c r="B96" s="161" t="s">
        <v>124</v>
      </c>
      <c r="C96" s="170">
        <v>83088479</v>
      </c>
      <c r="D96" s="161" t="s">
        <v>830</v>
      </c>
      <c r="E96" s="117" t="s">
        <v>83</v>
      </c>
      <c r="F96" s="146" t="s">
        <v>208</v>
      </c>
      <c r="G96" s="172">
        <v>40994</v>
      </c>
      <c r="H96" s="172">
        <v>40973</v>
      </c>
      <c r="I96" s="172">
        <v>46083</v>
      </c>
      <c r="J96" s="162">
        <f t="shared" si="9"/>
        <v>46814</v>
      </c>
      <c r="K96" s="111">
        <v>40882</v>
      </c>
      <c r="L96" s="111">
        <v>46071</v>
      </c>
      <c r="M96" s="163">
        <f t="shared" si="10"/>
        <v>46801</v>
      </c>
      <c r="N96" s="111">
        <v>40904</v>
      </c>
      <c r="O96" s="111">
        <v>40904</v>
      </c>
      <c r="P96" s="111">
        <v>40904</v>
      </c>
      <c r="Q96" s="166" t="s">
        <v>69</v>
      </c>
      <c r="R96" s="94">
        <v>41893</v>
      </c>
      <c r="S96" s="94">
        <v>45516</v>
      </c>
      <c r="T96" s="94">
        <v>43794</v>
      </c>
      <c r="U96" s="166" t="s">
        <v>69</v>
      </c>
      <c r="V96" s="94">
        <v>42289</v>
      </c>
      <c r="W96" s="94">
        <v>43248</v>
      </c>
      <c r="X96" s="94">
        <v>41730</v>
      </c>
      <c r="Y96" s="94">
        <v>41785</v>
      </c>
      <c r="Z96" s="94">
        <v>43913</v>
      </c>
      <c r="AA96" s="94">
        <v>45772</v>
      </c>
      <c r="AB96" s="94">
        <v>41088</v>
      </c>
      <c r="AC96" s="94">
        <v>42069</v>
      </c>
      <c r="AD96" s="167" t="s">
        <v>71</v>
      </c>
      <c r="AE96" s="167" t="s">
        <v>71</v>
      </c>
      <c r="AF96" s="112">
        <v>45642</v>
      </c>
      <c r="AG96" s="167" t="s">
        <v>70</v>
      </c>
      <c r="AH96" s="167" t="s">
        <v>71</v>
      </c>
      <c r="AI96" s="167" t="s">
        <v>71</v>
      </c>
      <c r="AJ96" s="167" t="s">
        <v>71</v>
      </c>
      <c r="AK96" s="167" t="s">
        <v>70</v>
      </c>
      <c r="AL96" s="166" t="s">
        <v>69</v>
      </c>
      <c r="AM96" s="166"/>
      <c r="AN96" s="94">
        <v>43116</v>
      </c>
      <c r="AO96" s="167" t="s">
        <v>70</v>
      </c>
      <c r="AP96" s="94">
        <v>41803</v>
      </c>
      <c r="AQ96" s="166" t="s">
        <v>69</v>
      </c>
      <c r="AR96" s="166" t="s">
        <v>69</v>
      </c>
      <c r="AS96" s="166" t="s">
        <v>69</v>
      </c>
      <c r="AT96" s="94">
        <v>43370</v>
      </c>
      <c r="AU96" s="166" t="s">
        <v>69</v>
      </c>
      <c r="AV96" s="166" t="s">
        <v>69</v>
      </c>
      <c r="AW96" s="94">
        <v>41901</v>
      </c>
      <c r="AX96" s="167" t="s">
        <v>70</v>
      </c>
      <c r="AY96" s="94">
        <v>41970</v>
      </c>
      <c r="AZ96" s="166" t="s">
        <v>69</v>
      </c>
      <c r="BA96" s="166" t="s">
        <v>69</v>
      </c>
      <c r="BB96" s="94">
        <v>42314</v>
      </c>
      <c r="BC96" s="167" t="s">
        <v>70</v>
      </c>
      <c r="BD96" s="167" t="s">
        <v>70</v>
      </c>
      <c r="BE96" s="167" t="s">
        <v>70</v>
      </c>
      <c r="BF96" s="167" t="s">
        <v>70</v>
      </c>
      <c r="BG96" s="169" t="s">
        <v>70</v>
      </c>
      <c r="BH96" s="169" t="s">
        <v>70</v>
      </c>
      <c r="BI96" s="169" t="s">
        <v>70</v>
      </c>
      <c r="BJ96" s="167" t="s">
        <v>70</v>
      </c>
      <c r="BK96" s="167" t="s">
        <v>70</v>
      </c>
      <c r="BL96" s="167" t="s">
        <v>70</v>
      </c>
      <c r="BM96" s="167" t="s">
        <v>70</v>
      </c>
      <c r="BN96" s="167" t="s">
        <v>70</v>
      </c>
      <c r="BO96" s="167" t="s">
        <v>70</v>
      </c>
      <c r="BP96" s="94">
        <v>42086</v>
      </c>
      <c r="BQ96" s="151">
        <v>0</v>
      </c>
      <c r="BR96" s="142"/>
      <c r="BS96" s="142"/>
      <c r="BT96" s="142"/>
      <c r="BU96" s="142"/>
      <c r="BV96" s="142"/>
      <c r="BW96" s="142"/>
      <c r="BX96" s="142"/>
      <c r="BY96" s="142"/>
      <c r="BZ96" s="142"/>
      <c r="CA96" s="142"/>
      <c r="CB96" s="142"/>
      <c r="CC96" s="142"/>
      <c r="CD96" s="142"/>
      <c r="CE96" s="142"/>
      <c r="CF96" s="142"/>
      <c r="CG96" s="142"/>
      <c r="CH96" s="142"/>
      <c r="CI96" s="142"/>
      <c r="CJ96" s="142"/>
      <c r="CK96" s="142"/>
      <c r="CL96" s="142"/>
      <c r="CM96" s="142"/>
      <c r="CN96" s="142"/>
      <c r="CO96" s="142"/>
      <c r="CP96" s="142"/>
      <c r="CQ96" s="142"/>
      <c r="CR96" s="142"/>
      <c r="CS96" s="142"/>
      <c r="CT96" s="142"/>
      <c r="CU96" s="142"/>
      <c r="CV96" s="142"/>
      <c r="CW96" s="142"/>
      <c r="CX96" s="142"/>
      <c r="CY96" s="142"/>
      <c r="CZ96" s="142"/>
      <c r="DA96" s="142"/>
      <c r="DB96" s="142"/>
      <c r="DC96" s="142"/>
      <c r="DD96" s="142"/>
      <c r="DE96" s="142"/>
      <c r="DF96" s="142"/>
      <c r="DG96" s="142"/>
      <c r="DH96" s="142"/>
      <c r="DI96" s="142"/>
      <c r="DJ96" s="142"/>
      <c r="DK96" s="142"/>
      <c r="DL96" s="142"/>
      <c r="DM96" s="142"/>
      <c r="DN96" s="142"/>
      <c r="DO96" s="142"/>
      <c r="DP96" s="142"/>
      <c r="DQ96" s="142"/>
      <c r="DR96" s="142"/>
      <c r="DS96" s="142"/>
      <c r="DT96" s="142"/>
      <c r="DU96" s="142"/>
      <c r="DV96" s="142"/>
      <c r="DW96" s="142"/>
      <c r="DX96" s="142"/>
      <c r="DY96" s="142"/>
      <c r="DZ96" s="142"/>
      <c r="EA96" s="142"/>
      <c r="EB96" s="142"/>
      <c r="EC96" s="142"/>
      <c r="ED96" s="142"/>
      <c r="EE96" s="142"/>
      <c r="EF96" s="141"/>
    </row>
    <row r="97" spans="1:136" s="151" customFormat="1" ht="19.5" customHeight="1" x14ac:dyDescent="0.2">
      <c r="A97" s="117">
        <v>94</v>
      </c>
      <c r="B97" s="117" t="s">
        <v>87</v>
      </c>
      <c r="C97" s="146">
        <v>145556</v>
      </c>
      <c r="D97" s="117" t="s">
        <v>73</v>
      </c>
      <c r="E97" s="146" t="s">
        <v>68</v>
      </c>
      <c r="F97" s="146" t="s">
        <v>208</v>
      </c>
      <c r="G97" s="162">
        <v>42123</v>
      </c>
      <c r="H97" s="162">
        <v>42163</v>
      </c>
      <c r="I97" s="162">
        <v>46002</v>
      </c>
      <c r="J97" s="162">
        <f t="shared" si="9"/>
        <v>46732</v>
      </c>
      <c r="K97" s="111">
        <v>42226</v>
      </c>
      <c r="L97" s="111">
        <v>46154</v>
      </c>
      <c r="M97" s="163">
        <f t="shared" si="10"/>
        <v>46885</v>
      </c>
      <c r="N97" s="111">
        <v>42303</v>
      </c>
      <c r="O97" s="111">
        <v>42304</v>
      </c>
      <c r="P97" s="111">
        <v>42304</v>
      </c>
      <c r="Q97" s="166" t="s">
        <v>69</v>
      </c>
      <c r="R97" s="94">
        <v>42479</v>
      </c>
      <c r="S97" s="94">
        <v>43209</v>
      </c>
      <c r="T97" s="94">
        <v>43179</v>
      </c>
      <c r="U97" s="166" t="s">
        <v>69</v>
      </c>
      <c r="V97" s="94">
        <v>43528</v>
      </c>
      <c r="W97" s="166" t="s">
        <v>69</v>
      </c>
      <c r="X97" s="94">
        <v>40461</v>
      </c>
      <c r="Y97" s="166" t="s">
        <v>69</v>
      </c>
      <c r="Z97" s="166" t="s">
        <v>69</v>
      </c>
      <c r="AA97" s="166" t="s">
        <v>69</v>
      </c>
      <c r="AB97" s="166" t="s">
        <v>69</v>
      </c>
      <c r="AC97" s="166" t="s">
        <v>69</v>
      </c>
      <c r="AD97" s="167" t="s">
        <v>71</v>
      </c>
      <c r="AE97" s="167" t="s">
        <v>71</v>
      </c>
      <c r="AF97" s="112">
        <v>46217</v>
      </c>
      <c r="AG97" s="112" t="s">
        <v>69</v>
      </c>
      <c r="AH97" s="167" t="s">
        <v>71</v>
      </c>
      <c r="AI97" s="167" t="s">
        <v>71</v>
      </c>
      <c r="AJ97" s="167" t="s">
        <v>71</v>
      </c>
      <c r="AK97" s="167" t="s">
        <v>70</v>
      </c>
      <c r="AL97" s="166" t="s">
        <v>69</v>
      </c>
      <c r="AM97" s="166"/>
      <c r="AN97" s="166" t="s">
        <v>69</v>
      </c>
      <c r="AO97" s="167" t="s">
        <v>70</v>
      </c>
      <c r="AP97" s="168" t="s">
        <v>69</v>
      </c>
      <c r="AQ97" s="166" t="s">
        <v>69</v>
      </c>
      <c r="AR97" s="166" t="s">
        <v>69</v>
      </c>
      <c r="AS97" s="166" t="s">
        <v>69</v>
      </c>
      <c r="AT97" s="166" t="s">
        <v>69</v>
      </c>
      <c r="AU97" s="166" t="s">
        <v>69</v>
      </c>
      <c r="AV97" s="166" t="s">
        <v>69</v>
      </c>
      <c r="AW97" s="166" t="s">
        <v>69</v>
      </c>
      <c r="AX97" s="166" t="s">
        <v>69</v>
      </c>
      <c r="AY97" s="94">
        <v>42388</v>
      </c>
      <c r="AZ97" s="166" t="s">
        <v>69</v>
      </c>
      <c r="BA97" s="166" t="s">
        <v>69</v>
      </c>
      <c r="BB97" s="166" t="s">
        <v>69</v>
      </c>
      <c r="BC97" s="166" t="s">
        <v>69</v>
      </c>
      <c r="BD97" s="166" t="s">
        <v>69</v>
      </c>
      <c r="BE97" s="166" t="s">
        <v>69</v>
      </c>
      <c r="BF97" s="166" t="s">
        <v>69</v>
      </c>
      <c r="BG97" s="167" t="s">
        <v>70</v>
      </c>
      <c r="BH97" s="166" t="s">
        <v>69</v>
      </c>
      <c r="BI97" s="166" t="s">
        <v>69</v>
      </c>
      <c r="BJ97" s="167" t="s">
        <v>70</v>
      </c>
      <c r="BK97" s="166" t="s">
        <v>69</v>
      </c>
      <c r="BL97" s="167" t="s">
        <v>70</v>
      </c>
      <c r="BM97" s="167" t="s">
        <v>70</v>
      </c>
      <c r="BN97" s="167" t="s">
        <v>70</v>
      </c>
      <c r="BO97" s="167" t="s">
        <v>70</v>
      </c>
      <c r="BP97" s="173"/>
      <c r="BQ97" s="151">
        <v>0</v>
      </c>
    </row>
    <row r="98" spans="1:136" s="151" customFormat="1" ht="19.5" customHeight="1" x14ac:dyDescent="0.2">
      <c r="A98" s="117">
        <v>95</v>
      </c>
      <c r="B98" s="117" t="s">
        <v>122</v>
      </c>
      <c r="C98" s="192">
        <v>53031170</v>
      </c>
      <c r="D98" s="117" t="s">
        <v>73</v>
      </c>
      <c r="E98" s="117" t="s">
        <v>83</v>
      </c>
      <c r="F98" s="146" t="s">
        <v>208</v>
      </c>
      <c r="G98" s="172">
        <v>40953</v>
      </c>
      <c r="H98" s="172">
        <v>40927</v>
      </c>
      <c r="I98" s="172">
        <v>46084</v>
      </c>
      <c r="J98" s="162">
        <f t="shared" si="9"/>
        <v>46815</v>
      </c>
      <c r="K98" s="111">
        <v>40833</v>
      </c>
      <c r="L98" s="111">
        <v>46071</v>
      </c>
      <c r="M98" s="163">
        <f t="shared" si="10"/>
        <v>46801</v>
      </c>
      <c r="N98" s="111">
        <v>42317</v>
      </c>
      <c r="O98" s="111">
        <v>42318</v>
      </c>
      <c r="P98" s="111">
        <v>42092</v>
      </c>
      <c r="Q98" s="166" t="s">
        <v>69</v>
      </c>
      <c r="R98" s="94">
        <v>42023</v>
      </c>
      <c r="S98" s="94">
        <v>45516</v>
      </c>
      <c r="T98" s="94">
        <v>41752</v>
      </c>
      <c r="U98" s="166" t="s">
        <v>69</v>
      </c>
      <c r="V98" s="94">
        <v>43542</v>
      </c>
      <c r="W98" s="94">
        <v>43493</v>
      </c>
      <c r="X98" s="94">
        <v>41887</v>
      </c>
      <c r="Y98" s="94">
        <v>41088</v>
      </c>
      <c r="Z98" s="94">
        <v>42314</v>
      </c>
      <c r="AA98" s="166" t="s">
        <v>69</v>
      </c>
      <c r="AB98" s="94">
        <v>41088</v>
      </c>
      <c r="AC98" s="166" t="s">
        <v>69</v>
      </c>
      <c r="AD98" s="167" t="s">
        <v>71</v>
      </c>
      <c r="AE98" s="167" t="s">
        <v>71</v>
      </c>
      <c r="AF98" s="112">
        <v>45645</v>
      </c>
      <c r="AG98" s="94">
        <v>42104</v>
      </c>
      <c r="AH98" s="94">
        <v>41820</v>
      </c>
      <c r="AI98" s="167" t="s">
        <v>71</v>
      </c>
      <c r="AJ98" s="167" t="s">
        <v>71</v>
      </c>
      <c r="AK98" s="167" t="s">
        <v>70</v>
      </c>
      <c r="AL98" s="166" t="s">
        <v>69</v>
      </c>
      <c r="AM98" s="166"/>
      <c r="AN98" s="166" t="s">
        <v>69</v>
      </c>
      <c r="AO98" s="167" t="s">
        <v>70</v>
      </c>
      <c r="AP98" s="94">
        <v>46078</v>
      </c>
      <c r="AQ98" s="166" t="s">
        <v>69</v>
      </c>
      <c r="AR98" s="166" t="s">
        <v>69</v>
      </c>
      <c r="AS98" s="166" t="s">
        <v>69</v>
      </c>
      <c r="AT98" s="94">
        <v>43370</v>
      </c>
      <c r="AU98" s="166" t="s">
        <v>69</v>
      </c>
      <c r="AV98" s="166" t="s">
        <v>69</v>
      </c>
      <c r="AW98" s="94">
        <v>41907</v>
      </c>
      <c r="AX98" s="166" t="s">
        <v>69</v>
      </c>
      <c r="AY98" s="94">
        <v>42270</v>
      </c>
      <c r="AZ98" s="94">
        <v>42030</v>
      </c>
      <c r="BA98" s="166" t="s">
        <v>69</v>
      </c>
      <c r="BB98" s="94">
        <v>41458</v>
      </c>
      <c r="BC98" s="166" t="s">
        <v>69</v>
      </c>
      <c r="BD98" s="94">
        <v>41954</v>
      </c>
      <c r="BE98" s="166" t="s">
        <v>69</v>
      </c>
      <c r="BF98" s="94">
        <v>38677</v>
      </c>
      <c r="BG98" s="167" t="s">
        <v>70</v>
      </c>
      <c r="BH98" s="94">
        <v>38677</v>
      </c>
      <c r="BI98" s="166" t="s">
        <v>69</v>
      </c>
      <c r="BJ98" s="167" t="s">
        <v>70</v>
      </c>
      <c r="BK98" s="166" t="s">
        <v>69</v>
      </c>
      <c r="BL98" s="167" t="s">
        <v>70</v>
      </c>
      <c r="BM98" s="167" t="s">
        <v>70</v>
      </c>
      <c r="BN98" s="167" t="s">
        <v>70</v>
      </c>
      <c r="BO98" s="167" t="s">
        <v>70</v>
      </c>
      <c r="BP98" s="94">
        <v>42072</v>
      </c>
      <c r="BQ98" s="151">
        <v>0</v>
      </c>
      <c r="BR98" s="142"/>
      <c r="BS98" s="142"/>
      <c r="BT98" s="142"/>
      <c r="BU98" s="142"/>
      <c r="BV98" s="142"/>
      <c r="BW98" s="142"/>
      <c r="BX98" s="142"/>
      <c r="BY98" s="142"/>
      <c r="BZ98" s="142"/>
      <c r="CA98" s="142"/>
      <c r="CB98" s="142"/>
      <c r="CC98" s="142"/>
      <c r="CD98" s="142"/>
      <c r="CE98" s="142"/>
      <c r="CF98" s="142"/>
      <c r="CG98" s="142"/>
      <c r="CH98" s="142"/>
      <c r="CI98" s="142"/>
      <c r="CJ98" s="142"/>
      <c r="CK98" s="142"/>
      <c r="CL98" s="142"/>
      <c r="CM98" s="142"/>
      <c r="CN98" s="142"/>
      <c r="CO98" s="142"/>
      <c r="CP98" s="142"/>
      <c r="CQ98" s="142"/>
      <c r="CR98" s="142"/>
      <c r="CS98" s="142"/>
      <c r="CT98" s="142"/>
      <c r="CU98" s="142"/>
      <c r="CV98" s="142"/>
      <c r="CW98" s="142"/>
      <c r="CX98" s="142"/>
      <c r="CY98" s="142"/>
      <c r="CZ98" s="142"/>
      <c r="DA98" s="142"/>
      <c r="DB98" s="142"/>
      <c r="DC98" s="142"/>
      <c r="DD98" s="142"/>
      <c r="DE98" s="142"/>
      <c r="DF98" s="142"/>
      <c r="DG98" s="142"/>
      <c r="DH98" s="142"/>
      <c r="DI98" s="142"/>
      <c r="DJ98" s="142"/>
      <c r="DK98" s="142"/>
      <c r="DL98" s="142"/>
      <c r="DM98" s="142"/>
      <c r="DN98" s="142"/>
      <c r="DO98" s="142"/>
      <c r="DP98" s="142"/>
      <c r="DQ98" s="142"/>
      <c r="DR98" s="142"/>
      <c r="DS98" s="142"/>
      <c r="DT98" s="142"/>
      <c r="DU98" s="142"/>
      <c r="DV98" s="142"/>
      <c r="DW98" s="142"/>
      <c r="DX98" s="142"/>
      <c r="DY98" s="142"/>
      <c r="DZ98" s="142"/>
      <c r="EA98" s="142"/>
      <c r="EB98" s="142"/>
      <c r="EC98" s="142"/>
      <c r="ED98" s="142"/>
      <c r="EE98" s="142"/>
      <c r="EF98" s="141"/>
    </row>
    <row r="99" spans="1:136" s="151" customFormat="1" ht="19.5" customHeight="1" x14ac:dyDescent="0.2">
      <c r="A99" s="117">
        <v>96</v>
      </c>
      <c r="B99" s="117" t="s">
        <v>123</v>
      </c>
      <c r="C99" s="192">
        <v>53030976</v>
      </c>
      <c r="D99" s="117" t="s">
        <v>73</v>
      </c>
      <c r="E99" s="117" t="s">
        <v>83</v>
      </c>
      <c r="F99" s="146" t="s">
        <v>208</v>
      </c>
      <c r="G99" s="172">
        <v>38194</v>
      </c>
      <c r="H99" s="172">
        <v>42499</v>
      </c>
      <c r="I99" s="172">
        <v>46065</v>
      </c>
      <c r="J99" s="162">
        <f t="shared" si="9"/>
        <v>46795</v>
      </c>
      <c r="K99" s="111">
        <v>40829</v>
      </c>
      <c r="L99" s="111">
        <v>46064</v>
      </c>
      <c r="M99" s="163">
        <f t="shared" si="10"/>
        <v>46794</v>
      </c>
      <c r="N99" s="111">
        <v>42026</v>
      </c>
      <c r="O99" s="111">
        <v>42030</v>
      </c>
      <c r="P99" s="111">
        <v>42030</v>
      </c>
      <c r="Q99" s="166" t="s">
        <v>69</v>
      </c>
      <c r="R99" s="94">
        <v>42782</v>
      </c>
      <c r="S99" s="94">
        <v>45516</v>
      </c>
      <c r="T99" s="166" t="s">
        <v>69</v>
      </c>
      <c r="U99" s="168">
        <v>41088</v>
      </c>
      <c r="V99" s="94">
        <v>43525</v>
      </c>
      <c r="W99" s="94">
        <v>43374</v>
      </c>
      <c r="X99" s="94">
        <v>41730</v>
      </c>
      <c r="Y99" s="94">
        <v>41785</v>
      </c>
      <c r="Z99" s="94">
        <v>42314</v>
      </c>
      <c r="AA99" s="166" t="s">
        <v>69</v>
      </c>
      <c r="AB99" s="94">
        <v>41093</v>
      </c>
      <c r="AC99" s="166" t="s">
        <v>69</v>
      </c>
      <c r="AD99" s="167" t="s">
        <v>71</v>
      </c>
      <c r="AE99" s="167" t="s">
        <v>71</v>
      </c>
      <c r="AF99" s="112" t="s">
        <v>69</v>
      </c>
      <c r="AG99" s="94">
        <v>40837</v>
      </c>
      <c r="AH99" s="167" t="s">
        <v>71</v>
      </c>
      <c r="AI99" s="167" t="s">
        <v>71</v>
      </c>
      <c r="AJ99" s="167" t="s">
        <v>71</v>
      </c>
      <c r="AK99" s="167" t="s">
        <v>70</v>
      </c>
      <c r="AL99" s="166" t="s">
        <v>69</v>
      </c>
      <c r="AM99" s="166"/>
      <c r="AN99" s="166" t="s">
        <v>69</v>
      </c>
      <c r="AO99" s="167" t="s">
        <v>70</v>
      </c>
      <c r="AP99" s="94">
        <v>41257</v>
      </c>
      <c r="AQ99" s="94">
        <v>42482</v>
      </c>
      <c r="AR99" s="166" t="s">
        <v>69</v>
      </c>
      <c r="AS99" s="166" t="s">
        <v>69</v>
      </c>
      <c r="AT99" s="166" t="s">
        <v>69</v>
      </c>
      <c r="AU99" s="94">
        <v>42807</v>
      </c>
      <c r="AV99" s="94">
        <v>42935</v>
      </c>
      <c r="AW99" s="166" t="s">
        <v>69</v>
      </c>
      <c r="AX99" s="166" t="s">
        <v>69</v>
      </c>
      <c r="AY99" s="94">
        <v>41977</v>
      </c>
      <c r="AZ99" s="94">
        <v>42013</v>
      </c>
      <c r="BA99" s="94">
        <v>42838</v>
      </c>
      <c r="BB99" s="166" t="s">
        <v>69</v>
      </c>
      <c r="BC99" s="166" t="s">
        <v>69</v>
      </c>
      <c r="BD99" s="166" t="s">
        <v>69</v>
      </c>
      <c r="BE99" s="166" t="s">
        <v>69</v>
      </c>
      <c r="BF99" s="166" t="s">
        <v>69</v>
      </c>
      <c r="BG99" s="167" t="s">
        <v>70</v>
      </c>
      <c r="BH99" s="166" t="s">
        <v>69</v>
      </c>
      <c r="BI99" s="166" t="s">
        <v>69</v>
      </c>
      <c r="BJ99" s="167" t="s">
        <v>70</v>
      </c>
      <c r="BK99" s="166" t="s">
        <v>69</v>
      </c>
      <c r="BL99" s="167" t="s">
        <v>70</v>
      </c>
      <c r="BM99" s="167" t="s">
        <v>70</v>
      </c>
      <c r="BN99" s="167" t="s">
        <v>70</v>
      </c>
      <c r="BO99" s="167" t="s">
        <v>70</v>
      </c>
      <c r="BP99" s="94">
        <v>41746</v>
      </c>
      <c r="BQ99" s="151">
        <v>0</v>
      </c>
      <c r="BR99" s="142"/>
      <c r="BS99" s="142"/>
      <c r="BT99" s="142"/>
      <c r="BU99" s="142"/>
      <c r="BV99" s="142"/>
      <c r="BW99" s="142"/>
      <c r="BX99" s="142"/>
      <c r="BY99" s="142"/>
      <c r="BZ99" s="142"/>
      <c r="CA99" s="142"/>
      <c r="CB99" s="142"/>
      <c r="CC99" s="142"/>
      <c r="CD99" s="142"/>
      <c r="CE99" s="142"/>
      <c r="CF99" s="142"/>
      <c r="CG99" s="142"/>
      <c r="CH99" s="142"/>
      <c r="CI99" s="142"/>
      <c r="CJ99" s="142"/>
      <c r="CK99" s="142"/>
      <c r="CL99" s="142"/>
      <c r="CM99" s="142"/>
      <c r="CN99" s="142"/>
      <c r="CO99" s="142"/>
      <c r="CP99" s="142"/>
      <c r="CQ99" s="142"/>
      <c r="CR99" s="142"/>
      <c r="CS99" s="142"/>
      <c r="CT99" s="142"/>
      <c r="CU99" s="142"/>
      <c r="CV99" s="142"/>
      <c r="CW99" s="142"/>
      <c r="CX99" s="142"/>
      <c r="CY99" s="142"/>
      <c r="CZ99" s="142"/>
      <c r="DA99" s="142"/>
      <c r="DB99" s="142"/>
      <c r="DC99" s="142"/>
      <c r="DD99" s="142"/>
      <c r="DE99" s="142"/>
      <c r="DF99" s="142"/>
      <c r="DG99" s="142"/>
      <c r="DH99" s="142"/>
      <c r="DI99" s="142"/>
      <c r="DJ99" s="142"/>
      <c r="DK99" s="142"/>
      <c r="DL99" s="142"/>
      <c r="DM99" s="142"/>
      <c r="DN99" s="142"/>
      <c r="DO99" s="142"/>
      <c r="DP99" s="142"/>
      <c r="DQ99" s="142"/>
      <c r="DR99" s="142"/>
      <c r="DS99" s="142"/>
      <c r="DT99" s="142"/>
      <c r="DU99" s="142"/>
      <c r="DV99" s="142"/>
      <c r="DW99" s="142"/>
      <c r="DX99" s="142"/>
      <c r="DY99" s="142"/>
      <c r="DZ99" s="142"/>
      <c r="EA99" s="142"/>
      <c r="EB99" s="142"/>
      <c r="EC99" s="142"/>
      <c r="ED99" s="142"/>
      <c r="EE99" s="142"/>
      <c r="EF99" s="141"/>
    </row>
    <row r="100" spans="1:136" s="151" customFormat="1" ht="19.5" customHeight="1" x14ac:dyDescent="0.2">
      <c r="A100" s="117">
        <v>97</v>
      </c>
      <c r="B100" s="198" t="s">
        <v>189</v>
      </c>
      <c r="C100" s="198">
        <v>83074889</v>
      </c>
      <c r="D100" s="117" t="s">
        <v>73</v>
      </c>
      <c r="E100" s="117" t="s">
        <v>68</v>
      </c>
      <c r="F100" s="146" t="s">
        <v>208</v>
      </c>
      <c r="G100" s="92">
        <v>41506</v>
      </c>
      <c r="H100" s="92">
        <v>40984</v>
      </c>
      <c r="I100" s="140">
        <v>46027</v>
      </c>
      <c r="J100" s="162">
        <f t="shared" si="9"/>
        <v>46757</v>
      </c>
      <c r="K100" s="140">
        <v>40907</v>
      </c>
      <c r="L100" s="140">
        <v>46083</v>
      </c>
      <c r="M100" s="163">
        <f t="shared" si="10"/>
        <v>46814</v>
      </c>
      <c r="N100" s="92">
        <v>40894</v>
      </c>
      <c r="O100" s="92">
        <v>40894</v>
      </c>
      <c r="P100" s="92">
        <v>40894</v>
      </c>
      <c r="Q100" s="199">
        <v>42675</v>
      </c>
      <c r="R100" s="94">
        <v>44796</v>
      </c>
      <c r="S100" s="94">
        <v>45527</v>
      </c>
      <c r="T100" s="200">
        <v>42727</v>
      </c>
      <c r="U100" s="166" t="s">
        <v>69</v>
      </c>
      <c r="V100" s="94">
        <v>43881</v>
      </c>
      <c r="W100" s="94">
        <v>44141</v>
      </c>
      <c r="X100" s="94">
        <v>42023</v>
      </c>
      <c r="Y100" s="94">
        <v>43279</v>
      </c>
      <c r="Z100" s="166" t="s">
        <v>69</v>
      </c>
      <c r="AA100" s="166" t="s">
        <v>69</v>
      </c>
      <c r="AB100" s="200">
        <v>41088</v>
      </c>
      <c r="AC100" s="200">
        <v>42055</v>
      </c>
      <c r="AD100" s="167" t="s">
        <v>71</v>
      </c>
      <c r="AE100" s="167" t="s">
        <v>70</v>
      </c>
      <c r="AF100" s="112">
        <v>46064</v>
      </c>
      <c r="AG100" s="112" t="s">
        <v>69</v>
      </c>
      <c r="AH100" s="167" t="s">
        <v>71</v>
      </c>
      <c r="AI100" s="167" t="s">
        <v>70</v>
      </c>
      <c r="AJ100" s="167" t="s">
        <v>70</v>
      </c>
      <c r="AK100" s="167" t="s">
        <v>70</v>
      </c>
      <c r="AL100" s="166" t="s">
        <v>69</v>
      </c>
      <c r="AM100" s="166"/>
      <c r="AN100" s="166" t="s">
        <v>69</v>
      </c>
      <c r="AO100" s="167" t="s">
        <v>70</v>
      </c>
      <c r="AP100" s="166" t="s">
        <v>69</v>
      </c>
      <c r="AQ100" s="200">
        <v>42341</v>
      </c>
      <c r="AR100" s="166" t="s">
        <v>69</v>
      </c>
      <c r="AS100" s="168">
        <v>46171</v>
      </c>
      <c r="AT100" s="166" t="s">
        <v>69</v>
      </c>
      <c r="AU100" s="166" t="s">
        <v>69</v>
      </c>
      <c r="AV100" s="166" t="s">
        <v>69</v>
      </c>
      <c r="AW100" s="166" t="s">
        <v>69</v>
      </c>
      <c r="AX100" s="166" t="s">
        <v>69</v>
      </c>
      <c r="AY100" s="166" t="s">
        <v>69</v>
      </c>
      <c r="AZ100" s="94">
        <v>43878</v>
      </c>
      <c r="BA100" s="94">
        <v>42688</v>
      </c>
      <c r="BB100" s="94">
        <v>43724</v>
      </c>
      <c r="BC100" s="166" t="s">
        <v>69</v>
      </c>
      <c r="BD100" s="94">
        <v>44162</v>
      </c>
      <c r="BE100" s="166" t="s">
        <v>69</v>
      </c>
      <c r="BF100" s="166" t="s">
        <v>69</v>
      </c>
      <c r="BG100" s="167" t="s">
        <v>70</v>
      </c>
      <c r="BH100" s="166" t="s">
        <v>69</v>
      </c>
      <c r="BI100" s="166" t="s">
        <v>69</v>
      </c>
      <c r="BJ100" s="167" t="s">
        <v>70</v>
      </c>
      <c r="BK100" s="166" t="s">
        <v>69</v>
      </c>
      <c r="BL100" s="167" t="s">
        <v>70</v>
      </c>
      <c r="BM100" s="167" t="s">
        <v>70</v>
      </c>
      <c r="BN100" s="167" t="s">
        <v>70</v>
      </c>
      <c r="BO100" s="167" t="s">
        <v>70</v>
      </c>
      <c r="BP100" s="167" t="s">
        <v>70</v>
      </c>
      <c r="BQ100" s="151">
        <v>0</v>
      </c>
      <c r="BR100" s="142"/>
      <c r="BS100" s="142"/>
      <c r="BT100" s="142"/>
      <c r="BU100" s="142"/>
      <c r="BV100" s="142"/>
      <c r="BW100" s="142"/>
      <c r="BX100" s="142"/>
      <c r="BY100" s="142"/>
      <c r="BZ100" s="142"/>
      <c r="CA100" s="142"/>
      <c r="CB100" s="142"/>
      <c r="CC100" s="142"/>
      <c r="CD100" s="142"/>
      <c r="CE100" s="142"/>
      <c r="CF100" s="142"/>
      <c r="CG100" s="142"/>
      <c r="CH100" s="142"/>
      <c r="CI100" s="142"/>
      <c r="CJ100" s="142"/>
      <c r="CK100" s="142"/>
      <c r="CL100" s="142"/>
      <c r="CM100" s="142"/>
      <c r="CN100" s="142"/>
      <c r="CO100" s="142"/>
      <c r="CP100" s="142"/>
      <c r="CQ100" s="142"/>
      <c r="CR100" s="142"/>
      <c r="CS100" s="142"/>
      <c r="CT100" s="142"/>
      <c r="CU100" s="142"/>
      <c r="CV100" s="142"/>
      <c r="CW100" s="142"/>
      <c r="CX100" s="142"/>
      <c r="CY100" s="142"/>
      <c r="CZ100" s="142"/>
      <c r="DA100" s="142"/>
      <c r="DB100" s="142"/>
      <c r="DC100" s="142"/>
      <c r="DD100" s="142"/>
      <c r="DE100" s="142"/>
      <c r="DF100" s="142"/>
      <c r="DG100" s="142"/>
      <c r="DH100" s="142"/>
      <c r="DI100" s="142"/>
      <c r="DJ100" s="142"/>
      <c r="DK100" s="142"/>
      <c r="DL100" s="142"/>
      <c r="DM100" s="142"/>
      <c r="DN100" s="142"/>
      <c r="DO100" s="142"/>
      <c r="DP100" s="142"/>
      <c r="DQ100" s="142"/>
      <c r="DR100" s="142"/>
      <c r="DS100" s="142"/>
      <c r="DT100" s="142"/>
      <c r="DU100" s="142"/>
      <c r="DV100" s="142"/>
      <c r="DW100" s="142"/>
      <c r="DX100" s="142"/>
      <c r="DY100" s="142"/>
      <c r="DZ100" s="142"/>
      <c r="EA100" s="142"/>
      <c r="EB100" s="142"/>
      <c r="EC100" s="142"/>
      <c r="ED100" s="142"/>
      <c r="EE100" s="142"/>
      <c r="EF100" s="142"/>
    </row>
    <row r="101" spans="1:136" s="151" customFormat="1" ht="19.5" customHeight="1" x14ac:dyDescent="0.2">
      <c r="A101" s="117">
        <v>98</v>
      </c>
      <c r="B101" s="161" t="s">
        <v>158</v>
      </c>
      <c r="C101" s="161">
        <v>83040093</v>
      </c>
      <c r="D101" s="161" t="s">
        <v>831</v>
      </c>
      <c r="E101" s="183" t="s">
        <v>83</v>
      </c>
      <c r="F101" s="146" t="s">
        <v>208</v>
      </c>
      <c r="G101" s="172">
        <v>42020</v>
      </c>
      <c r="H101" s="172">
        <v>40968</v>
      </c>
      <c r="I101" s="172">
        <v>46027</v>
      </c>
      <c r="J101" s="162">
        <f t="shared" si="9"/>
        <v>46757</v>
      </c>
      <c r="K101" s="111">
        <v>40891</v>
      </c>
      <c r="L101" s="111">
        <v>46083</v>
      </c>
      <c r="M101" s="163">
        <f t="shared" si="10"/>
        <v>46814</v>
      </c>
      <c r="N101" s="111">
        <v>40808</v>
      </c>
      <c r="O101" s="111">
        <v>40893</v>
      </c>
      <c r="P101" s="111">
        <v>40808</v>
      </c>
      <c r="Q101" s="166" t="s">
        <v>69</v>
      </c>
      <c r="R101" s="94">
        <v>42199</v>
      </c>
      <c r="S101" s="94">
        <v>45527</v>
      </c>
      <c r="T101" s="94">
        <v>42730</v>
      </c>
      <c r="U101" s="166" t="s">
        <v>69</v>
      </c>
      <c r="V101" s="94">
        <v>43787</v>
      </c>
      <c r="W101" s="94">
        <v>43248</v>
      </c>
      <c r="X101" s="94">
        <v>42020</v>
      </c>
      <c r="Y101" s="94">
        <v>41093</v>
      </c>
      <c r="Z101" s="94">
        <v>43437</v>
      </c>
      <c r="AA101" s="166" t="s">
        <v>69</v>
      </c>
      <c r="AB101" s="94">
        <v>41093</v>
      </c>
      <c r="AC101" s="94">
        <v>42069</v>
      </c>
      <c r="AD101" s="167" t="s">
        <v>71</v>
      </c>
      <c r="AE101" s="167" t="s">
        <v>70</v>
      </c>
      <c r="AF101" s="112">
        <v>45642</v>
      </c>
      <c r="AG101" s="167" t="s">
        <v>70</v>
      </c>
      <c r="AH101" s="167" t="s">
        <v>71</v>
      </c>
      <c r="AI101" s="167" t="s">
        <v>71</v>
      </c>
      <c r="AJ101" s="167" t="s">
        <v>71</v>
      </c>
      <c r="AK101" s="167" t="s">
        <v>70</v>
      </c>
      <c r="AL101" s="166" t="s">
        <v>69</v>
      </c>
      <c r="AM101" s="166"/>
      <c r="AN101" s="94">
        <v>43116</v>
      </c>
      <c r="AO101" s="167" t="s">
        <v>70</v>
      </c>
      <c r="AP101" s="166" t="s">
        <v>69</v>
      </c>
      <c r="AQ101" s="166" t="s">
        <v>69</v>
      </c>
      <c r="AR101" s="166" t="s">
        <v>69</v>
      </c>
      <c r="AS101" s="166" t="s">
        <v>69</v>
      </c>
      <c r="AT101" s="94">
        <v>43503</v>
      </c>
      <c r="AU101" s="166" t="s">
        <v>69</v>
      </c>
      <c r="AV101" s="166" t="s">
        <v>69</v>
      </c>
      <c r="AW101" s="167" t="s">
        <v>70</v>
      </c>
      <c r="AX101" s="167" t="s">
        <v>70</v>
      </c>
      <c r="AY101" s="94">
        <v>41970</v>
      </c>
      <c r="AZ101" s="166" t="s">
        <v>69</v>
      </c>
      <c r="BA101" s="166" t="s">
        <v>69</v>
      </c>
      <c r="BB101" s="167" t="s">
        <v>70</v>
      </c>
      <c r="BC101" s="167" t="s">
        <v>70</v>
      </c>
      <c r="BD101" s="167" t="s">
        <v>70</v>
      </c>
      <c r="BE101" s="167" t="s">
        <v>70</v>
      </c>
      <c r="BF101" s="167" t="s">
        <v>70</v>
      </c>
      <c r="BG101" s="169" t="s">
        <v>70</v>
      </c>
      <c r="BH101" s="169" t="s">
        <v>70</v>
      </c>
      <c r="BI101" s="169" t="s">
        <v>70</v>
      </c>
      <c r="BJ101" s="169" t="s">
        <v>71</v>
      </c>
      <c r="BK101" s="94">
        <v>40885</v>
      </c>
      <c r="BL101" s="167" t="s">
        <v>70</v>
      </c>
      <c r="BM101" s="167" t="s">
        <v>70</v>
      </c>
      <c r="BN101" s="167" t="s">
        <v>70</v>
      </c>
      <c r="BO101" s="167" t="s">
        <v>70</v>
      </c>
      <c r="BP101" s="94">
        <v>42086</v>
      </c>
      <c r="BQ101" s="151">
        <v>0</v>
      </c>
      <c r="BR101" s="142"/>
      <c r="BS101" s="142"/>
      <c r="BT101" s="142"/>
      <c r="BU101" s="142"/>
      <c r="BV101" s="142"/>
      <c r="BW101" s="142"/>
      <c r="BX101" s="142"/>
      <c r="BY101" s="142"/>
      <c r="BZ101" s="142"/>
      <c r="CA101" s="142"/>
      <c r="CB101" s="142"/>
      <c r="CC101" s="142"/>
      <c r="CD101" s="142"/>
      <c r="CE101" s="142"/>
      <c r="CF101" s="142"/>
      <c r="CG101" s="142"/>
      <c r="CH101" s="142"/>
      <c r="CI101" s="142"/>
      <c r="CJ101" s="142"/>
      <c r="CK101" s="142"/>
      <c r="CL101" s="142"/>
      <c r="CM101" s="142"/>
      <c r="CN101" s="142"/>
      <c r="CO101" s="142"/>
      <c r="CP101" s="142"/>
      <c r="CQ101" s="142"/>
      <c r="CR101" s="142"/>
      <c r="CS101" s="142"/>
      <c r="CT101" s="142"/>
      <c r="CU101" s="142"/>
      <c r="CV101" s="142"/>
      <c r="CW101" s="142"/>
      <c r="CX101" s="142"/>
      <c r="CY101" s="142"/>
      <c r="CZ101" s="142"/>
      <c r="DA101" s="142"/>
      <c r="DB101" s="142"/>
      <c r="DC101" s="142"/>
      <c r="DD101" s="142"/>
      <c r="DE101" s="142"/>
      <c r="DF101" s="142"/>
      <c r="DG101" s="142"/>
      <c r="DH101" s="142"/>
      <c r="DI101" s="142"/>
      <c r="DJ101" s="142"/>
      <c r="DK101" s="142"/>
      <c r="DL101" s="142"/>
      <c r="DM101" s="142"/>
      <c r="DN101" s="142"/>
      <c r="DO101" s="142"/>
      <c r="DP101" s="142"/>
      <c r="DQ101" s="142"/>
      <c r="DR101" s="142"/>
      <c r="DS101" s="142"/>
      <c r="DT101" s="142"/>
      <c r="DU101" s="142"/>
      <c r="DV101" s="142"/>
      <c r="DW101" s="142"/>
      <c r="DX101" s="142"/>
      <c r="DY101" s="142"/>
      <c r="DZ101" s="142"/>
      <c r="EA101" s="142"/>
      <c r="EB101" s="142"/>
      <c r="EC101" s="142"/>
      <c r="ED101" s="142"/>
      <c r="EE101" s="142"/>
      <c r="EF101" s="142"/>
    </row>
    <row r="102" spans="1:136" s="151" customFormat="1" ht="19.5" customHeight="1" x14ac:dyDescent="0.2">
      <c r="A102" s="117">
        <v>99</v>
      </c>
      <c r="B102" s="201" t="s">
        <v>177</v>
      </c>
      <c r="C102" s="201">
        <v>135044</v>
      </c>
      <c r="D102" s="117" t="s">
        <v>73</v>
      </c>
      <c r="E102" s="117" t="s">
        <v>68</v>
      </c>
      <c r="F102" s="146" t="s">
        <v>208</v>
      </c>
      <c r="G102" s="140">
        <v>40743</v>
      </c>
      <c r="H102" s="140">
        <v>43545</v>
      </c>
      <c r="I102" s="140">
        <v>46002</v>
      </c>
      <c r="J102" s="162">
        <f t="shared" si="9"/>
        <v>46732</v>
      </c>
      <c r="K102" s="92">
        <v>41803</v>
      </c>
      <c r="L102" s="92">
        <v>46064</v>
      </c>
      <c r="M102" s="163">
        <f t="shared" si="10"/>
        <v>46794</v>
      </c>
      <c r="N102" s="140">
        <v>42142</v>
      </c>
      <c r="O102" s="140">
        <v>42144</v>
      </c>
      <c r="P102" s="140">
        <v>42144</v>
      </c>
      <c r="Q102" s="200">
        <v>42646</v>
      </c>
      <c r="R102" s="166" t="s">
        <v>69</v>
      </c>
      <c r="S102" s="166" t="s">
        <v>69</v>
      </c>
      <c r="T102" s="200">
        <v>42664</v>
      </c>
      <c r="U102" s="166" t="s">
        <v>69</v>
      </c>
      <c r="V102" s="200">
        <v>42027</v>
      </c>
      <c r="W102" s="94">
        <v>43815</v>
      </c>
      <c r="X102" s="94">
        <v>42023</v>
      </c>
      <c r="Y102" s="166" t="s">
        <v>69</v>
      </c>
      <c r="Z102" s="199">
        <v>44557</v>
      </c>
      <c r="AA102" s="166" t="s">
        <v>69</v>
      </c>
      <c r="AB102" s="166" t="s">
        <v>69</v>
      </c>
      <c r="AC102" s="200">
        <v>42055</v>
      </c>
      <c r="AD102" s="167" t="s">
        <v>71</v>
      </c>
      <c r="AE102" s="167" t="s">
        <v>70</v>
      </c>
      <c r="AF102" s="202">
        <v>46091</v>
      </c>
      <c r="AG102" s="112" t="s">
        <v>69</v>
      </c>
      <c r="AH102" s="167" t="s">
        <v>71</v>
      </c>
      <c r="AI102" s="167" t="s">
        <v>71</v>
      </c>
      <c r="AJ102" s="167" t="s">
        <v>71</v>
      </c>
      <c r="AK102" s="167" t="s">
        <v>70</v>
      </c>
      <c r="AL102" s="166" t="s">
        <v>69</v>
      </c>
      <c r="AM102" s="166"/>
      <c r="AN102" s="166" t="s">
        <v>69</v>
      </c>
      <c r="AO102" s="167" t="s">
        <v>70</v>
      </c>
      <c r="AP102" s="168">
        <v>46293</v>
      </c>
      <c r="AQ102" s="166" t="s">
        <v>69</v>
      </c>
      <c r="AR102" s="168">
        <v>46119</v>
      </c>
      <c r="AS102" s="166" t="s">
        <v>69</v>
      </c>
      <c r="AT102" s="166" t="s">
        <v>69</v>
      </c>
      <c r="AU102" s="166" t="s">
        <v>69</v>
      </c>
      <c r="AV102" s="166" t="s">
        <v>69</v>
      </c>
      <c r="AW102" s="166" t="s">
        <v>69</v>
      </c>
      <c r="AX102" s="166" t="s">
        <v>69</v>
      </c>
      <c r="AY102" s="166" t="s">
        <v>69</v>
      </c>
      <c r="AZ102" s="94">
        <v>42628</v>
      </c>
      <c r="BA102" s="166" t="s">
        <v>69</v>
      </c>
      <c r="BB102" s="166" t="s">
        <v>69</v>
      </c>
      <c r="BC102" s="166" t="s">
        <v>69</v>
      </c>
      <c r="BD102" s="166" t="s">
        <v>69</v>
      </c>
      <c r="BE102" s="166" t="s">
        <v>69</v>
      </c>
      <c r="BF102" s="166" t="s">
        <v>69</v>
      </c>
      <c r="BG102" s="167" t="s">
        <v>70</v>
      </c>
      <c r="BH102" s="166" t="s">
        <v>69</v>
      </c>
      <c r="BI102" s="166" t="s">
        <v>69</v>
      </c>
      <c r="BJ102" s="167" t="s">
        <v>70</v>
      </c>
      <c r="BK102" s="166" t="s">
        <v>69</v>
      </c>
      <c r="BL102" s="167" t="s">
        <v>70</v>
      </c>
      <c r="BM102" s="167" t="s">
        <v>70</v>
      </c>
      <c r="BN102" s="167" t="s">
        <v>70</v>
      </c>
      <c r="BO102" s="167" t="s">
        <v>70</v>
      </c>
      <c r="BP102" s="167" t="s">
        <v>70</v>
      </c>
      <c r="BQ102" s="151">
        <v>0</v>
      </c>
      <c r="BR102" s="142"/>
      <c r="BS102" s="142"/>
      <c r="BT102" s="142"/>
      <c r="BU102" s="142"/>
      <c r="BV102" s="142"/>
      <c r="BW102" s="142"/>
      <c r="BX102" s="142"/>
      <c r="BY102" s="142"/>
      <c r="BZ102" s="142"/>
      <c r="CA102" s="142"/>
      <c r="CB102" s="142"/>
      <c r="CC102" s="142"/>
      <c r="CD102" s="142"/>
      <c r="CE102" s="142"/>
      <c r="CF102" s="142"/>
      <c r="CG102" s="142"/>
      <c r="CH102" s="142"/>
      <c r="CI102" s="142"/>
      <c r="CJ102" s="142"/>
      <c r="CK102" s="142"/>
      <c r="CL102" s="142"/>
      <c r="CM102" s="142"/>
      <c r="CN102" s="142"/>
      <c r="CO102" s="142"/>
      <c r="CP102" s="142"/>
      <c r="CQ102" s="142"/>
      <c r="CR102" s="142"/>
      <c r="CS102" s="142"/>
      <c r="CT102" s="142"/>
      <c r="CU102" s="142"/>
      <c r="CV102" s="142"/>
      <c r="CW102" s="142"/>
      <c r="CX102" s="142"/>
      <c r="CY102" s="142"/>
      <c r="CZ102" s="142"/>
      <c r="DA102" s="142"/>
      <c r="DB102" s="142"/>
      <c r="DC102" s="142"/>
      <c r="DD102" s="142"/>
      <c r="DE102" s="142"/>
      <c r="DF102" s="142"/>
      <c r="DG102" s="142"/>
      <c r="DH102" s="142"/>
      <c r="DI102" s="142"/>
      <c r="DJ102" s="142"/>
      <c r="DK102" s="142"/>
      <c r="DL102" s="142"/>
      <c r="DM102" s="142"/>
      <c r="DN102" s="142"/>
      <c r="DO102" s="142"/>
      <c r="DP102" s="142"/>
      <c r="DQ102" s="142"/>
      <c r="DR102" s="142"/>
      <c r="DS102" s="142"/>
      <c r="DT102" s="142"/>
      <c r="DU102" s="142"/>
      <c r="DV102" s="142"/>
      <c r="DW102" s="142"/>
      <c r="DX102" s="142"/>
      <c r="DY102" s="142"/>
      <c r="DZ102" s="142"/>
      <c r="EA102" s="142"/>
      <c r="EB102" s="142"/>
      <c r="EC102" s="142"/>
      <c r="ED102" s="142"/>
      <c r="EE102" s="142"/>
      <c r="EF102" s="142"/>
    </row>
    <row r="103" spans="1:136" s="151" customFormat="1" ht="19.5" customHeight="1" x14ac:dyDescent="0.2">
      <c r="A103" s="117">
        <v>100</v>
      </c>
      <c r="B103" s="196" t="s">
        <v>79</v>
      </c>
      <c r="C103" s="203">
        <v>83040049</v>
      </c>
      <c r="D103" s="117" t="s">
        <v>73</v>
      </c>
      <c r="E103" s="146" t="s">
        <v>68</v>
      </c>
      <c r="F103" s="146" t="s">
        <v>208</v>
      </c>
      <c r="G103" s="162">
        <v>38135</v>
      </c>
      <c r="H103" s="162">
        <v>40770</v>
      </c>
      <c r="I103" s="162">
        <v>46077</v>
      </c>
      <c r="J103" s="162">
        <f t="shared" si="9"/>
        <v>46807</v>
      </c>
      <c r="K103" s="111">
        <v>40868</v>
      </c>
      <c r="L103" s="111">
        <v>46036</v>
      </c>
      <c r="M103" s="163">
        <f t="shared" si="10"/>
        <v>46766</v>
      </c>
      <c r="N103" s="111">
        <v>40820</v>
      </c>
      <c r="O103" s="111">
        <v>42030</v>
      </c>
      <c r="P103" s="111">
        <v>42030</v>
      </c>
      <c r="Q103" s="94">
        <v>42499</v>
      </c>
      <c r="R103" s="94">
        <v>42258</v>
      </c>
      <c r="S103" s="94">
        <v>45516</v>
      </c>
      <c r="T103" s="94">
        <v>42418</v>
      </c>
      <c r="U103" s="94">
        <v>41799</v>
      </c>
      <c r="V103" s="94">
        <v>42646</v>
      </c>
      <c r="W103" s="94">
        <v>43374</v>
      </c>
      <c r="X103" s="94">
        <v>41890</v>
      </c>
      <c r="Y103" s="166" t="s">
        <v>69</v>
      </c>
      <c r="Z103" s="94">
        <v>42317</v>
      </c>
      <c r="AA103" s="166" t="s">
        <v>69</v>
      </c>
      <c r="AB103" s="166" t="s">
        <v>69</v>
      </c>
      <c r="AC103" s="166" t="s">
        <v>69</v>
      </c>
      <c r="AD103" s="167" t="s">
        <v>71</v>
      </c>
      <c r="AE103" s="167" t="s">
        <v>71</v>
      </c>
      <c r="AF103" s="94">
        <v>45637</v>
      </c>
      <c r="AG103" s="112" t="s">
        <v>69</v>
      </c>
      <c r="AH103" s="94">
        <v>41526</v>
      </c>
      <c r="AI103" s="167" t="s">
        <v>71</v>
      </c>
      <c r="AJ103" s="167" t="s">
        <v>71</v>
      </c>
      <c r="AK103" s="167" t="s">
        <v>70</v>
      </c>
      <c r="AL103" s="166" t="s">
        <v>69</v>
      </c>
      <c r="AM103" s="166"/>
      <c r="AN103" s="166" t="s">
        <v>69</v>
      </c>
      <c r="AO103" s="167" t="s">
        <v>70</v>
      </c>
      <c r="AP103" s="94">
        <v>42086</v>
      </c>
      <c r="AQ103" s="166" t="s">
        <v>69</v>
      </c>
      <c r="AR103" s="166" t="s">
        <v>69</v>
      </c>
      <c r="AS103" s="166" t="s">
        <v>69</v>
      </c>
      <c r="AT103" s="94">
        <v>43564</v>
      </c>
      <c r="AU103" s="166" t="s">
        <v>69</v>
      </c>
      <c r="AV103" s="166" t="s">
        <v>69</v>
      </c>
      <c r="AW103" s="166" t="s">
        <v>69</v>
      </c>
      <c r="AX103" s="166" t="s">
        <v>69</v>
      </c>
      <c r="AY103" s="94">
        <v>42510</v>
      </c>
      <c r="AZ103" s="94">
        <v>42487</v>
      </c>
      <c r="BA103" s="166" t="s">
        <v>69</v>
      </c>
      <c r="BB103" s="166" t="s">
        <v>69</v>
      </c>
      <c r="BC103" s="166" t="s">
        <v>69</v>
      </c>
      <c r="BD103" s="166" t="s">
        <v>69</v>
      </c>
      <c r="BE103" s="166" t="s">
        <v>69</v>
      </c>
      <c r="BF103" s="166" t="s">
        <v>69</v>
      </c>
      <c r="BG103" s="167" t="s">
        <v>70</v>
      </c>
      <c r="BH103" s="166" t="s">
        <v>69</v>
      </c>
      <c r="BI103" s="166" t="s">
        <v>69</v>
      </c>
      <c r="BJ103" s="167" t="s">
        <v>70</v>
      </c>
      <c r="BK103" s="94">
        <v>40885</v>
      </c>
      <c r="BL103" s="167" t="s">
        <v>70</v>
      </c>
      <c r="BM103" s="167" t="s">
        <v>70</v>
      </c>
      <c r="BN103" s="167" t="s">
        <v>70</v>
      </c>
      <c r="BO103" s="167" t="s">
        <v>70</v>
      </c>
      <c r="BP103" s="173"/>
      <c r="BQ103" s="151">
        <v>0</v>
      </c>
    </row>
    <row r="104" spans="1:136" s="151" customFormat="1" ht="19.5" customHeight="1" x14ac:dyDescent="0.2">
      <c r="A104" s="117">
        <v>101</v>
      </c>
      <c r="B104" s="117" t="s">
        <v>97</v>
      </c>
      <c r="C104" s="117">
        <v>142264</v>
      </c>
      <c r="D104" s="117" t="s">
        <v>73</v>
      </c>
      <c r="E104" s="146" t="s">
        <v>68</v>
      </c>
      <c r="F104" s="146" t="s">
        <v>208</v>
      </c>
      <c r="G104" s="162">
        <v>42156</v>
      </c>
      <c r="H104" s="162">
        <v>42425</v>
      </c>
      <c r="I104" s="111">
        <v>45986</v>
      </c>
      <c r="J104" s="162">
        <f t="shared" si="9"/>
        <v>46716</v>
      </c>
      <c r="K104" s="111">
        <v>42340</v>
      </c>
      <c r="L104" s="111">
        <v>46064</v>
      </c>
      <c r="M104" s="163">
        <f t="shared" si="10"/>
        <v>46794</v>
      </c>
      <c r="N104" s="111">
        <v>42514</v>
      </c>
      <c r="O104" s="111">
        <v>42515</v>
      </c>
      <c r="P104" s="111">
        <v>42516</v>
      </c>
      <c r="Q104" s="94">
        <v>42586</v>
      </c>
      <c r="R104" s="166" t="s">
        <v>69</v>
      </c>
      <c r="S104" s="166" t="s">
        <v>69</v>
      </c>
      <c r="T104" s="94">
        <v>43752</v>
      </c>
      <c r="U104" s="166" t="s">
        <v>69</v>
      </c>
      <c r="V104" s="94">
        <v>43451</v>
      </c>
      <c r="W104" s="166" t="s">
        <v>69</v>
      </c>
      <c r="X104" s="94">
        <v>40461</v>
      </c>
      <c r="Y104" s="94">
        <v>44428</v>
      </c>
      <c r="Z104" s="94">
        <v>44116</v>
      </c>
      <c r="AA104" s="94">
        <v>45723</v>
      </c>
      <c r="AB104" s="166" t="s">
        <v>69</v>
      </c>
      <c r="AC104" s="166" t="s">
        <v>69</v>
      </c>
      <c r="AD104" s="167" t="s">
        <v>71</v>
      </c>
      <c r="AE104" s="167" t="s">
        <v>71</v>
      </c>
      <c r="AF104" s="112">
        <v>45643</v>
      </c>
      <c r="AG104" s="112" t="s">
        <v>69</v>
      </c>
      <c r="AH104" s="167" t="s">
        <v>71</v>
      </c>
      <c r="AI104" s="167" t="s">
        <v>71</v>
      </c>
      <c r="AJ104" s="167" t="s">
        <v>71</v>
      </c>
      <c r="AK104" s="167" t="s">
        <v>70</v>
      </c>
      <c r="AL104" s="166" t="s">
        <v>69</v>
      </c>
      <c r="AM104" s="166"/>
      <c r="AN104" s="166" t="s">
        <v>69</v>
      </c>
      <c r="AO104" s="167" t="s">
        <v>70</v>
      </c>
      <c r="AP104" s="166" t="s">
        <v>69</v>
      </c>
      <c r="AQ104" s="166" t="s">
        <v>69</v>
      </c>
      <c r="AR104" s="168">
        <v>46034</v>
      </c>
      <c r="AS104" s="166" t="s">
        <v>69</v>
      </c>
      <c r="AT104" s="166" t="s">
        <v>69</v>
      </c>
      <c r="AU104" s="166" t="s">
        <v>69</v>
      </c>
      <c r="AV104" s="166" t="s">
        <v>69</v>
      </c>
      <c r="AW104" s="166" t="s">
        <v>69</v>
      </c>
      <c r="AX104" s="166" t="s">
        <v>69</v>
      </c>
      <c r="AY104" s="166" t="s">
        <v>69</v>
      </c>
      <c r="AZ104" s="166" t="s">
        <v>69</v>
      </c>
      <c r="BA104" s="166" t="s">
        <v>69</v>
      </c>
      <c r="BB104" s="166" t="s">
        <v>69</v>
      </c>
      <c r="BC104" s="166" t="s">
        <v>69</v>
      </c>
      <c r="BD104" s="166" t="s">
        <v>69</v>
      </c>
      <c r="BE104" s="166" t="s">
        <v>69</v>
      </c>
      <c r="BF104" s="166" t="s">
        <v>69</v>
      </c>
      <c r="BG104" s="167" t="s">
        <v>70</v>
      </c>
      <c r="BH104" s="166" t="s">
        <v>69</v>
      </c>
      <c r="BI104" s="166" t="s">
        <v>69</v>
      </c>
      <c r="BJ104" s="167" t="s">
        <v>70</v>
      </c>
      <c r="BK104" s="166" t="s">
        <v>69</v>
      </c>
      <c r="BL104" s="167" t="s">
        <v>70</v>
      </c>
      <c r="BM104" s="167" t="s">
        <v>70</v>
      </c>
      <c r="BN104" s="167" t="s">
        <v>70</v>
      </c>
      <c r="BO104" s="167" t="s">
        <v>70</v>
      </c>
      <c r="BP104" s="173"/>
      <c r="BQ104" s="151">
        <v>0</v>
      </c>
    </row>
    <row r="105" spans="1:136" s="151" customFormat="1" ht="19.5" customHeight="1" x14ac:dyDescent="0.2">
      <c r="A105" s="117">
        <v>102</v>
      </c>
      <c r="B105" s="194" t="s">
        <v>103</v>
      </c>
      <c r="C105" s="194">
        <v>145568</v>
      </c>
      <c r="D105" s="117" t="s">
        <v>73</v>
      </c>
      <c r="E105" s="146" t="s">
        <v>68</v>
      </c>
      <c r="F105" s="146" t="s">
        <v>208</v>
      </c>
      <c r="G105" s="162">
        <v>42439</v>
      </c>
      <c r="H105" s="162">
        <v>44629</v>
      </c>
      <c r="I105" s="162">
        <v>46132</v>
      </c>
      <c r="J105" s="162">
        <f t="shared" si="9"/>
        <v>46863</v>
      </c>
      <c r="K105" s="111">
        <v>42324</v>
      </c>
      <c r="L105" s="111">
        <v>46140</v>
      </c>
      <c r="M105" s="163">
        <f t="shared" si="10"/>
        <v>46871</v>
      </c>
      <c r="N105" s="111">
        <v>42710</v>
      </c>
      <c r="O105" s="111">
        <v>42711</v>
      </c>
      <c r="P105" s="111">
        <v>42713</v>
      </c>
      <c r="Q105" s="166" t="s">
        <v>69</v>
      </c>
      <c r="R105" s="166" t="s">
        <v>69</v>
      </c>
      <c r="S105" s="166" t="s">
        <v>69</v>
      </c>
      <c r="T105" s="94">
        <v>44011</v>
      </c>
      <c r="U105" s="166" t="s">
        <v>69</v>
      </c>
      <c r="V105" s="94">
        <v>44172</v>
      </c>
      <c r="W105" s="166" t="s">
        <v>69</v>
      </c>
      <c r="X105" s="94">
        <v>43801</v>
      </c>
      <c r="Y105" s="94">
        <v>44421</v>
      </c>
      <c r="Z105" s="168" t="s">
        <v>69</v>
      </c>
      <c r="AA105" s="166" t="s">
        <v>69</v>
      </c>
      <c r="AB105" s="166" t="s">
        <v>69</v>
      </c>
      <c r="AC105" s="166" t="s">
        <v>69</v>
      </c>
      <c r="AD105" s="167" t="s">
        <v>71</v>
      </c>
      <c r="AE105" s="167" t="s">
        <v>71</v>
      </c>
      <c r="AF105" s="94">
        <v>45691</v>
      </c>
      <c r="AG105" s="112" t="s">
        <v>69</v>
      </c>
      <c r="AH105" s="167" t="s">
        <v>71</v>
      </c>
      <c r="AI105" s="167" t="s">
        <v>71</v>
      </c>
      <c r="AJ105" s="167" t="s">
        <v>71</v>
      </c>
      <c r="AK105" s="167" t="s">
        <v>70</v>
      </c>
      <c r="AL105" s="166" t="s">
        <v>69</v>
      </c>
      <c r="AM105" s="166"/>
      <c r="AN105" s="166" t="s">
        <v>69</v>
      </c>
      <c r="AO105" s="167" t="s">
        <v>70</v>
      </c>
      <c r="AP105" s="168">
        <v>46078</v>
      </c>
      <c r="AQ105" s="166" t="s">
        <v>69</v>
      </c>
      <c r="AR105" s="168">
        <v>46119</v>
      </c>
      <c r="AS105" s="166" t="s">
        <v>69</v>
      </c>
      <c r="AT105" s="166" t="s">
        <v>69</v>
      </c>
      <c r="AU105" s="166" t="s">
        <v>69</v>
      </c>
      <c r="AV105" s="166" t="s">
        <v>69</v>
      </c>
      <c r="AW105" s="166" t="s">
        <v>69</v>
      </c>
      <c r="AX105" s="166" t="s">
        <v>69</v>
      </c>
      <c r="AY105" s="166" t="s">
        <v>69</v>
      </c>
      <c r="AZ105" s="166" t="s">
        <v>69</v>
      </c>
      <c r="BA105" s="166" t="s">
        <v>69</v>
      </c>
      <c r="BB105" s="166" t="s">
        <v>69</v>
      </c>
      <c r="BC105" s="166" t="s">
        <v>69</v>
      </c>
      <c r="BD105" s="166" t="s">
        <v>69</v>
      </c>
      <c r="BE105" s="166" t="s">
        <v>69</v>
      </c>
      <c r="BF105" s="166" t="s">
        <v>69</v>
      </c>
      <c r="BG105" s="167" t="s">
        <v>70</v>
      </c>
      <c r="BH105" s="166" t="s">
        <v>69</v>
      </c>
      <c r="BI105" s="166" t="s">
        <v>69</v>
      </c>
      <c r="BJ105" s="167" t="s">
        <v>70</v>
      </c>
      <c r="BK105" s="166" t="s">
        <v>69</v>
      </c>
      <c r="BL105" s="167" t="s">
        <v>70</v>
      </c>
      <c r="BM105" s="167" t="s">
        <v>70</v>
      </c>
      <c r="BN105" s="167" t="s">
        <v>70</v>
      </c>
      <c r="BO105" s="167" t="s">
        <v>70</v>
      </c>
      <c r="BP105" s="173"/>
      <c r="BQ105" s="151">
        <v>0</v>
      </c>
    </row>
    <row r="106" spans="1:136" s="151" customFormat="1" ht="19.5" customHeight="1" x14ac:dyDescent="0.2">
      <c r="A106" s="117">
        <v>103</v>
      </c>
      <c r="B106" s="117" t="s">
        <v>159</v>
      </c>
      <c r="C106" s="117">
        <v>83040098</v>
      </c>
      <c r="D106" s="117" t="s">
        <v>73</v>
      </c>
      <c r="E106" s="183" t="s">
        <v>83</v>
      </c>
      <c r="F106" s="146" t="s">
        <v>208</v>
      </c>
      <c r="G106" s="172">
        <v>38104</v>
      </c>
      <c r="H106" s="172">
        <v>40952</v>
      </c>
      <c r="I106" s="172">
        <v>46105</v>
      </c>
      <c r="J106" s="162">
        <f t="shared" si="9"/>
        <v>46836</v>
      </c>
      <c r="K106" s="111">
        <v>40968</v>
      </c>
      <c r="L106" s="111">
        <v>46083</v>
      </c>
      <c r="M106" s="163">
        <f t="shared" si="10"/>
        <v>46814</v>
      </c>
      <c r="N106" s="111">
        <v>40805</v>
      </c>
      <c r="O106" s="111">
        <v>40806</v>
      </c>
      <c r="P106" s="111">
        <v>40806</v>
      </c>
      <c r="Q106" s="166" t="s">
        <v>69</v>
      </c>
      <c r="R106" s="166" t="s">
        <v>69</v>
      </c>
      <c r="S106" s="166" t="s">
        <v>69</v>
      </c>
      <c r="T106" s="94">
        <v>43514</v>
      </c>
      <c r="U106" s="166" t="s">
        <v>69</v>
      </c>
      <c r="V106" s="94">
        <v>43787</v>
      </c>
      <c r="W106" s="94">
        <v>43298</v>
      </c>
      <c r="X106" s="94">
        <v>42076</v>
      </c>
      <c r="Y106" s="94">
        <v>41092</v>
      </c>
      <c r="Z106" s="94">
        <v>43437</v>
      </c>
      <c r="AA106" s="166" t="s">
        <v>69</v>
      </c>
      <c r="AB106" s="94">
        <v>41093</v>
      </c>
      <c r="AC106" s="166" t="s">
        <v>69</v>
      </c>
      <c r="AD106" s="167" t="s">
        <v>71</v>
      </c>
      <c r="AE106" s="167" t="s">
        <v>70</v>
      </c>
      <c r="AF106" s="112">
        <v>45639</v>
      </c>
      <c r="AG106" s="112" t="s">
        <v>69</v>
      </c>
      <c r="AH106" s="167" t="s">
        <v>71</v>
      </c>
      <c r="AI106" s="167" t="s">
        <v>71</v>
      </c>
      <c r="AJ106" s="167" t="s">
        <v>71</v>
      </c>
      <c r="AK106" s="167" t="s">
        <v>70</v>
      </c>
      <c r="AL106" s="166" t="s">
        <v>69</v>
      </c>
      <c r="AM106" s="168">
        <v>46280</v>
      </c>
      <c r="AN106" s="94">
        <v>43116</v>
      </c>
      <c r="AO106" s="167" t="s">
        <v>70</v>
      </c>
      <c r="AP106" s="94">
        <v>42037</v>
      </c>
      <c r="AQ106" s="166" t="s">
        <v>69</v>
      </c>
      <c r="AR106" s="166" t="s">
        <v>69</v>
      </c>
      <c r="AS106" s="166" t="s">
        <v>69</v>
      </c>
      <c r="AT106" s="94">
        <v>43592</v>
      </c>
      <c r="AU106" s="166" t="s">
        <v>69</v>
      </c>
      <c r="AV106" s="166" t="s">
        <v>69</v>
      </c>
      <c r="AW106" s="166" t="s">
        <v>69</v>
      </c>
      <c r="AX106" s="166" t="s">
        <v>69</v>
      </c>
      <c r="AY106" s="94">
        <v>42253</v>
      </c>
      <c r="AZ106" s="166" t="s">
        <v>69</v>
      </c>
      <c r="BA106" s="166" t="s">
        <v>69</v>
      </c>
      <c r="BB106" s="166" t="s">
        <v>69</v>
      </c>
      <c r="BC106" s="166" t="s">
        <v>69</v>
      </c>
      <c r="BD106" s="166" t="s">
        <v>69</v>
      </c>
      <c r="BE106" s="166" t="s">
        <v>69</v>
      </c>
      <c r="BF106" s="166" t="s">
        <v>69</v>
      </c>
      <c r="BG106" s="167" t="s">
        <v>70</v>
      </c>
      <c r="BH106" s="166" t="s">
        <v>69</v>
      </c>
      <c r="BI106" s="166" t="s">
        <v>69</v>
      </c>
      <c r="BJ106" s="167" t="s">
        <v>70</v>
      </c>
      <c r="BK106" s="94">
        <v>40885</v>
      </c>
      <c r="BL106" s="167" t="s">
        <v>70</v>
      </c>
      <c r="BM106" s="167" t="s">
        <v>70</v>
      </c>
      <c r="BN106" s="167" t="s">
        <v>70</v>
      </c>
      <c r="BO106" s="167" t="s">
        <v>70</v>
      </c>
      <c r="BP106" s="167" t="s">
        <v>70</v>
      </c>
      <c r="BQ106" s="151">
        <v>0</v>
      </c>
      <c r="BR106" s="142"/>
      <c r="BS106" s="142"/>
      <c r="BT106" s="142"/>
      <c r="BU106" s="142"/>
      <c r="BV106" s="142"/>
      <c r="BW106" s="142"/>
      <c r="BX106" s="142"/>
      <c r="BY106" s="142"/>
      <c r="BZ106" s="142"/>
      <c r="CA106" s="142"/>
      <c r="CB106" s="142"/>
      <c r="CC106" s="142"/>
      <c r="CD106" s="142"/>
      <c r="CE106" s="142"/>
      <c r="CF106" s="142"/>
      <c r="CG106" s="142"/>
      <c r="CH106" s="142"/>
      <c r="CI106" s="142"/>
      <c r="CJ106" s="142"/>
      <c r="CK106" s="142"/>
      <c r="CL106" s="142"/>
      <c r="CM106" s="142"/>
      <c r="CN106" s="142"/>
      <c r="CO106" s="142"/>
      <c r="CP106" s="142"/>
      <c r="CQ106" s="142"/>
      <c r="CR106" s="142"/>
      <c r="CS106" s="142"/>
      <c r="CT106" s="142"/>
      <c r="CU106" s="142"/>
      <c r="CV106" s="142"/>
      <c r="CW106" s="142"/>
      <c r="CX106" s="142"/>
      <c r="CY106" s="142"/>
      <c r="CZ106" s="142"/>
      <c r="DA106" s="142"/>
      <c r="DB106" s="142"/>
      <c r="DC106" s="142"/>
      <c r="DD106" s="142"/>
      <c r="DE106" s="142"/>
      <c r="DF106" s="142"/>
      <c r="DG106" s="142"/>
      <c r="DH106" s="142"/>
      <c r="DI106" s="142"/>
      <c r="DJ106" s="142"/>
      <c r="DK106" s="142"/>
      <c r="DL106" s="142"/>
      <c r="DM106" s="142"/>
      <c r="DN106" s="142"/>
      <c r="DO106" s="142"/>
      <c r="DP106" s="142"/>
      <c r="DQ106" s="142"/>
      <c r="DR106" s="142"/>
      <c r="DS106" s="142"/>
      <c r="DT106" s="142"/>
      <c r="DU106" s="142"/>
      <c r="DV106" s="142"/>
      <c r="DW106" s="142"/>
      <c r="DX106" s="142"/>
      <c r="DY106" s="142"/>
      <c r="DZ106" s="142"/>
      <c r="EA106" s="142"/>
      <c r="EB106" s="142"/>
      <c r="EC106" s="142"/>
      <c r="ED106" s="142"/>
      <c r="EE106" s="142"/>
      <c r="EF106" s="142"/>
    </row>
    <row r="107" spans="1:136" s="151" customFormat="1" ht="19.5" customHeight="1" x14ac:dyDescent="0.2">
      <c r="A107" s="117">
        <v>104</v>
      </c>
      <c r="B107" s="161" t="s">
        <v>169</v>
      </c>
      <c r="C107" s="161">
        <v>145318</v>
      </c>
      <c r="D107" s="161" t="s">
        <v>832</v>
      </c>
      <c r="E107" s="183" t="s">
        <v>83</v>
      </c>
      <c r="F107" s="146" t="s">
        <v>208</v>
      </c>
      <c r="G107" s="172">
        <v>42057</v>
      </c>
      <c r="H107" s="162">
        <v>44413</v>
      </c>
      <c r="I107" s="172">
        <v>46041</v>
      </c>
      <c r="J107" s="162">
        <f t="shared" si="9"/>
        <v>46771</v>
      </c>
      <c r="K107" s="111">
        <v>42296</v>
      </c>
      <c r="L107" s="111">
        <v>46036</v>
      </c>
      <c r="M107" s="163">
        <f t="shared" si="10"/>
        <v>46766</v>
      </c>
      <c r="N107" s="111">
        <v>42668</v>
      </c>
      <c r="O107" s="111">
        <v>42669</v>
      </c>
      <c r="P107" s="111">
        <v>42670</v>
      </c>
      <c r="Q107" s="166" t="s">
        <v>69</v>
      </c>
      <c r="R107" s="166" t="s">
        <v>69</v>
      </c>
      <c r="S107" s="166" t="s">
        <v>69</v>
      </c>
      <c r="T107" s="94">
        <v>42751</v>
      </c>
      <c r="U107" s="94">
        <v>42832</v>
      </c>
      <c r="V107" s="94">
        <v>44396</v>
      </c>
      <c r="W107" s="111">
        <v>43861</v>
      </c>
      <c r="X107" s="94">
        <v>43773</v>
      </c>
      <c r="Y107" s="166" t="s">
        <v>69</v>
      </c>
      <c r="Z107" s="94">
        <v>44281</v>
      </c>
      <c r="AA107" s="94">
        <v>45695</v>
      </c>
      <c r="AB107" s="166" t="s">
        <v>69</v>
      </c>
      <c r="AC107" s="166" t="s">
        <v>69</v>
      </c>
      <c r="AD107" s="167" t="s">
        <v>71</v>
      </c>
      <c r="AE107" s="167" t="s">
        <v>70</v>
      </c>
      <c r="AF107" s="112">
        <v>46211</v>
      </c>
      <c r="AG107" s="111">
        <v>45982</v>
      </c>
      <c r="AH107" s="167" t="s">
        <v>71</v>
      </c>
      <c r="AI107" s="167" t="s">
        <v>71</v>
      </c>
      <c r="AJ107" s="167" t="s">
        <v>71</v>
      </c>
      <c r="AK107" s="167" t="s">
        <v>70</v>
      </c>
      <c r="AL107" s="166" t="s">
        <v>69</v>
      </c>
      <c r="AM107" s="166"/>
      <c r="AN107" s="166" t="s">
        <v>69</v>
      </c>
      <c r="AO107" s="167" t="s">
        <v>70</v>
      </c>
      <c r="AP107" s="166" t="s">
        <v>69</v>
      </c>
      <c r="AQ107" s="166" t="s">
        <v>69</v>
      </c>
      <c r="AR107" s="168">
        <v>43664</v>
      </c>
      <c r="AS107" s="166" t="s">
        <v>69</v>
      </c>
      <c r="AT107" s="94">
        <v>43684</v>
      </c>
      <c r="AU107" s="166" t="s">
        <v>69</v>
      </c>
      <c r="AV107" s="166" t="s">
        <v>69</v>
      </c>
      <c r="AW107" s="167" t="s">
        <v>70</v>
      </c>
      <c r="AX107" s="167" t="s">
        <v>70</v>
      </c>
      <c r="AY107" s="166" t="s">
        <v>69</v>
      </c>
      <c r="AZ107" s="166" t="s">
        <v>69</v>
      </c>
      <c r="BA107" s="166" t="s">
        <v>69</v>
      </c>
      <c r="BB107" s="167" t="s">
        <v>70</v>
      </c>
      <c r="BC107" s="167" t="s">
        <v>70</v>
      </c>
      <c r="BD107" s="167" t="s">
        <v>70</v>
      </c>
      <c r="BE107" s="167" t="s">
        <v>70</v>
      </c>
      <c r="BF107" s="167" t="s">
        <v>70</v>
      </c>
      <c r="BG107" s="169" t="s">
        <v>70</v>
      </c>
      <c r="BH107" s="169" t="s">
        <v>70</v>
      </c>
      <c r="BI107" s="169" t="s">
        <v>70</v>
      </c>
      <c r="BJ107" s="167" t="s">
        <v>70</v>
      </c>
      <c r="BK107" s="167" t="s">
        <v>70</v>
      </c>
      <c r="BL107" s="167" t="s">
        <v>70</v>
      </c>
      <c r="BM107" s="167" t="s">
        <v>70</v>
      </c>
      <c r="BN107" s="167" t="s">
        <v>70</v>
      </c>
      <c r="BO107" s="167" t="s">
        <v>70</v>
      </c>
      <c r="BP107" s="167" t="s">
        <v>70</v>
      </c>
      <c r="BQ107" s="151">
        <v>0</v>
      </c>
      <c r="BR107" s="142"/>
      <c r="BS107" s="142"/>
      <c r="BT107" s="142"/>
      <c r="BU107" s="142"/>
      <c r="BV107" s="142"/>
      <c r="BW107" s="142"/>
      <c r="BX107" s="142"/>
      <c r="BY107" s="142"/>
      <c r="BZ107" s="142"/>
      <c r="CA107" s="142"/>
      <c r="CB107" s="142"/>
      <c r="CC107" s="142"/>
      <c r="CD107" s="142"/>
      <c r="CE107" s="142"/>
      <c r="CF107" s="142"/>
      <c r="CG107" s="142"/>
      <c r="CH107" s="142"/>
      <c r="CI107" s="142"/>
      <c r="CJ107" s="142"/>
      <c r="CK107" s="142"/>
      <c r="CL107" s="142"/>
      <c r="CM107" s="142"/>
      <c r="CN107" s="142"/>
      <c r="CO107" s="142"/>
      <c r="CP107" s="142"/>
      <c r="CQ107" s="142"/>
      <c r="CR107" s="142"/>
      <c r="CS107" s="142"/>
      <c r="CT107" s="142"/>
      <c r="CU107" s="142"/>
      <c r="CV107" s="142"/>
      <c r="CW107" s="142"/>
      <c r="CX107" s="142"/>
      <c r="CY107" s="142"/>
      <c r="CZ107" s="142"/>
      <c r="DA107" s="142"/>
      <c r="DB107" s="142"/>
      <c r="DC107" s="142"/>
      <c r="DD107" s="142"/>
      <c r="DE107" s="142"/>
      <c r="DF107" s="142"/>
      <c r="DG107" s="142"/>
      <c r="DH107" s="142"/>
      <c r="DI107" s="142"/>
      <c r="DJ107" s="142"/>
      <c r="DK107" s="142"/>
      <c r="DL107" s="142"/>
      <c r="DM107" s="142"/>
      <c r="DN107" s="142"/>
      <c r="DO107" s="142"/>
      <c r="DP107" s="142"/>
      <c r="DQ107" s="142"/>
      <c r="DR107" s="142"/>
      <c r="DS107" s="142"/>
      <c r="DT107" s="142"/>
      <c r="DU107" s="142"/>
      <c r="DV107" s="142"/>
      <c r="DW107" s="142"/>
      <c r="DX107" s="142"/>
      <c r="DY107" s="142"/>
      <c r="DZ107" s="142"/>
      <c r="EA107" s="142"/>
      <c r="EB107" s="142"/>
      <c r="EC107" s="142"/>
      <c r="ED107" s="142"/>
      <c r="EE107" s="142"/>
      <c r="EF107" s="142"/>
    </row>
    <row r="108" spans="1:136" s="151" customFormat="1" ht="19.5" customHeight="1" x14ac:dyDescent="0.2">
      <c r="A108" s="117">
        <v>105</v>
      </c>
      <c r="B108" s="204" t="s">
        <v>191</v>
      </c>
      <c r="C108" s="198">
        <v>145359</v>
      </c>
      <c r="D108" s="117" t="s">
        <v>73</v>
      </c>
      <c r="E108" s="117" t="s">
        <v>68</v>
      </c>
      <c r="F108" s="146" t="s">
        <v>208</v>
      </c>
      <c r="G108" s="92">
        <v>40750</v>
      </c>
      <c r="H108" s="140">
        <v>42453</v>
      </c>
      <c r="I108" s="140">
        <v>46079</v>
      </c>
      <c r="J108" s="162">
        <f t="shared" si="9"/>
        <v>46809</v>
      </c>
      <c r="K108" s="140">
        <v>42355</v>
      </c>
      <c r="L108" s="140">
        <v>46076</v>
      </c>
      <c r="M108" s="163">
        <f t="shared" si="10"/>
        <v>46806</v>
      </c>
      <c r="N108" s="92">
        <v>42402</v>
      </c>
      <c r="O108" s="92">
        <v>42403</v>
      </c>
      <c r="P108" s="92">
        <v>42404</v>
      </c>
      <c r="Q108" s="205">
        <v>42660</v>
      </c>
      <c r="R108" s="166" t="s">
        <v>69</v>
      </c>
      <c r="S108" s="166" t="s">
        <v>69</v>
      </c>
      <c r="T108" s="199">
        <v>42814</v>
      </c>
      <c r="U108" s="168">
        <v>46199</v>
      </c>
      <c r="V108" s="200">
        <v>42692</v>
      </c>
      <c r="W108" s="166" t="s">
        <v>69</v>
      </c>
      <c r="X108" s="166" t="s">
        <v>69</v>
      </c>
      <c r="Y108" s="166" t="s">
        <v>69</v>
      </c>
      <c r="Z108" s="199">
        <v>44673</v>
      </c>
      <c r="AA108" s="166" t="s">
        <v>69</v>
      </c>
      <c r="AB108" s="166" t="s">
        <v>69</v>
      </c>
      <c r="AC108" s="166" t="s">
        <v>69</v>
      </c>
      <c r="AD108" s="167" t="s">
        <v>71</v>
      </c>
      <c r="AE108" s="167" t="s">
        <v>70</v>
      </c>
      <c r="AF108" s="112">
        <v>45642</v>
      </c>
      <c r="AG108" s="112" t="s">
        <v>69</v>
      </c>
      <c r="AH108" s="167" t="s">
        <v>71</v>
      </c>
      <c r="AI108" s="167" t="s">
        <v>70</v>
      </c>
      <c r="AJ108" s="167" t="s">
        <v>70</v>
      </c>
      <c r="AK108" s="167" t="s">
        <v>70</v>
      </c>
      <c r="AL108" s="166" t="s">
        <v>69</v>
      </c>
      <c r="AM108" s="166"/>
      <c r="AN108" s="166" t="s">
        <v>69</v>
      </c>
      <c r="AO108" s="167" t="s">
        <v>70</v>
      </c>
      <c r="AP108" s="166" t="s">
        <v>69</v>
      </c>
      <c r="AQ108" s="166" t="s">
        <v>69</v>
      </c>
      <c r="AR108" s="166" t="s">
        <v>69</v>
      </c>
      <c r="AS108" s="166" t="s">
        <v>69</v>
      </c>
      <c r="AT108" s="166" t="s">
        <v>69</v>
      </c>
      <c r="AU108" s="166" t="s">
        <v>69</v>
      </c>
      <c r="AV108" s="166" t="s">
        <v>69</v>
      </c>
      <c r="AW108" s="166" t="s">
        <v>69</v>
      </c>
      <c r="AX108" s="166" t="s">
        <v>69</v>
      </c>
      <c r="AY108" s="166" t="s">
        <v>69</v>
      </c>
      <c r="AZ108" s="166" t="s">
        <v>69</v>
      </c>
      <c r="BA108" s="94">
        <v>42709</v>
      </c>
      <c r="BB108" s="166" t="s">
        <v>69</v>
      </c>
      <c r="BC108" s="166" t="s">
        <v>69</v>
      </c>
      <c r="BD108" s="166" t="s">
        <v>69</v>
      </c>
      <c r="BE108" s="166" t="s">
        <v>69</v>
      </c>
      <c r="BF108" s="166" t="s">
        <v>69</v>
      </c>
      <c r="BG108" s="167" t="s">
        <v>70</v>
      </c>
      <c r="BH108" s="166" t="s">
        <v>69</v>
      </c>
      <c r="BI108" s="166" t="s">
        <v>69</v>
      </c>
      <c r="BJ108" s="167" t="s">
        <v>70</v>
      </c>
      <c r="BK108" s="166" t="s">
        <v>69</v>
      </c>
      <c r="BL108" s="167" t="s">
        <v>70</v>
      </c>
      <c r="BM108" s="167" t="s">
        <v>70</v>
      </c>
      <c r="BN108" s="167" t="s">
        <v>70</v>
      </c>
      <c r="BO108" s="167" t="s">
        <v>70</v>
      </c>
      <c r="BP108" s="167" t="s">
        <v>70</v>
      </c>
      <c r="BQ108" s="151">
        <v>0</v>
      </c>
      <c r="BR108" s="142"/>
      <c r="BS108" s="142"/>
      <c r="BT108" s="142"/>
      <c r="BU108" s="142"/>
      <c r="BV108" s="142"/>
      <c r="BW108" s="142"/>
      <c r="BX108" s="142"/>
      <c r="BY108" s="142"/>
      <c r="BZ108" s="142"/>
      <c r="CA108" s="142"/>
      <c r="CB108" s="142"/>
      <c r="CC108" s="142"/>
      <c r="CD108" s="142"/>
      <c r="CE108" s="142"/>
      <c r="CF108" s="142"/>
      <c r="CG108" s="142"/>
      <c r="CH108" s="142"/>
      <c r="CI108" s="142"/>
      <c r="CJ108" s="142"/>
      <c r="CK108" s="142"/>
      <c r="CL108" s="142"/>
      <c r="CM108" s="142"/>
      <c r="CN108" s="142"/>
      <c r="CO108" s="142"/>
      <c r="CP108" s="142"/>
      <c r="CQ108" s="142"/>
      <c r="CR108" s="142"/>
      <c r="CS108" s="142"/>
      <c r="CT108" s="142"/>
      <c r="CU108" s="142"/>
      <c r="CV108" s="142"/>
      <c r="CW108" s="142"/>
      <c r="CX108" s="142"/>
      <c r="CY108" s="142"/>
      <c r="CZ108" s="142"/>
      <c r="DA108" s="142"/>
      <c r="DB108" s="142"/>
      <c r="DC108" s="142"/>
      <c r="DD108" s="142"/>
      <c r="DE108" s="142"/>
      <c r="DF108" s="142"/>
      <c r="DG108" s="142"/>
      <c r="DH108" s="142"/>
      <c r="DI108" s="142"/>
      <c r="DJ108" s="142"/>
      <c r="DK108" s="142"/>
      <c r="DL108" s="142"/>
      <c r="DM108" s="142"/>
      <c r="DN108" s="142"/>
      <c r="DO108" s="142"/>
      <c r="DP108" s="142"/>
      <c r="DQ108" s="142"/>
      <c r="DR108" s="142"/>
      <c r="DS108" s="142"/>
      <c r="DT108" s="142"/>
      <c r="DU108" s="142"/>
      <c r="DV108" s="142"/>
      <c r="DW108" s="142"/>
      <c r="DX108" s="142"/>
      <c r="DY108" s="142"/>
      <c r="DZ108" s="142"/>
      <c r="EA108" s="142"/>
      <c r="EB108" s="142"/>
      <c r="EC108" s="142"/>
      <c r="ED108" s="142"/>
      <c r="EE108" s="142"/>
      <c r="EF108" s="142"/>
    </row>
    <row r="109" spans="1:136" s="151" customFormat="1" ht="19.5" customHeight="1" x14ac:dyDescent="0.2">
      <c r="A109" s="117">
        <v>106</v>
      </c>
      <c r="B109" s="117" t="s">
        <v>96</v>
      </c>
      <c r="C109" s="117">
        <v>142243</v>
      </c>
      <c r="D109" s="117" t="s">
        <v>73</v>
      </c>
      <c r="E109" s="146" t="s">
        <v>68</v>
      </c>
      <c r="F109" s="146" t="s">
        <v>208</v>
      </c>
      <c r="G109" s="162">
        <v>42425</v>
      </c>
      <c r="H109" s="162">
        <v>42520</v>
      </c>
      <c r="I109" s="162">
        <v>46301</v>
      </c>
      <c r="J109" s="162">
        <f t="shared" si="9"/>
        <v>47032</v>
      </c>
      <c r="K109" s="111">
        <v>42072</v>
      </c>
      <c r="L109" s="111">
        <v>46071</v>
      </c>
      <c r="M109" s="163">
        <f t="shared" si="10"/>
        <v>46801</v>
      </c>
      <c r="N109" s="111">
        <v>41864</v>
      </c>
      <c r="O109" s="111">
        <v>41869</v>
      </c>
      <c r="P109" s="111">
        <v>41869</v>
      </c>
      <c r="Q109" s="166" t="s">
        <v>69</v>
      </c>
      <c r="R109" s="166" t="s">
        <v>69</v>
      </c>
      <c r="S109" s="166" t="s">
        <v>69</v>
      </c>
      <c r="T109" s="94">
        <v>43871</v>
      </c>
      <c r="U109" s="166" t="s">
        <v>69</v>
      </c>
      <c r="V109" s="94">
        <v>43801</v>
      </c>
      <c r="W109" s="166" t="s">
        <v>69</v>
      </c>
      <c r="X109" s="94">
        <v>42947</v>
      </c>
      <c r="Y109" s="94">
        <v>42458</v>
      </c>
      <c r="Z109" s="168" t="s">
        <v>69</v>
      </c>
      <c r="AA109" s="166" t="s">
        <v>69</v>
      </c>
      <c r="AB109" s="166" t="s">
        <v>69</v>
      </c>
      <c r="AC109" s="166" t="s">
        <v>69</v>
      </c>
      <c r="AD109" s="167" t="s">
        <v>71</v>
      </c>
      <c r="AE109" s="167" t="s">
        <v>71</v>
      </c>
      <c r="AF109" s="112">
        <v>46287</v>
      </c>
      <c r="AG109" s="112" t="s">
        <v>69</v>
      </c>
      <c r="AH109" s="167" t="s">
        <v>71</v>
      </c>
      <c r="AI109" s="167" t="s">
        <v>71</v>
      </c>
      <c r="AJ109" s="167" t="s">
        <v>71</v>
      </c>
      <c r="AK109" s="167" t="s">
        <v>70</v>
      </c>
      <c r="AL109" s="166" t="s">
        <v>69</v>
      </c>
      <c r="AM109" s="166"/>
      <c r="AN109" s="166" t="s">
        <v>69</v>
      </c>
      <c r="AO109" s="167" t="s">
        <v>70</v>
      </c>
      <c r="AP109" s="166" t="s">
        <v>69</v>
      </c>
      <c r="AQ109" s="166" t="s">
        <v>69</v>
      </c>
      <c r="AR109" s="168">
        <v>46276</v>
      </c>
      <c r="AS109" s="166" t="s">
        <v>69</v>
      </c>
      <c r="AT109" s="166" t="s">
        <v>69</v>
      </c>
      <c r="AU109" s="166" t="s">
        <v>69</v>
      </c>
      <c r="AV109" s="166" t="s">
        <v>69</v>
      </c>
      <c r="AW109" s="166" t="s">
        <v>69</v>
      </c>
      <c r="AX109" s="166" t="s">
        <v>69</v>
      </c>
      <c r="AY109" s="166" t="s">
        <v>69</v>
      </c>
      <c r="AZ109" s="166" t="s">
        <v>69</v>
      </c>
      <c r="BA109" s="166" t="s">
        <v>69</v>
      </c>
      <c r="BB109" s="166" t="s">
        <v>69</v>
      </c>
      <c r="BC109" s="166" t="s">
        <v>69</v>
      </c>
      <c r="BD109" s="166" t="s">
        <v>69</v>
      </c>
      <c r="BE109" s="166" t="s">
        <v>69</v>
      </c>
      <c r="BF109" s="166" t="s">
        <v>69</v>
      </c>
      <c r="BG109" s="167" t="s">
        <v>70</v>
      </c>
      <c r="BH109" s="166" t="s">
        <v>69</v>
      </c>
      <c r="BI109" s="166" t="s">
        <v>69</v>
      </c>
      <c r="BJ109" s="167" t="s">
        <v>70</v>
      </c>
      <c r="BK109" s="166" t="s">
        <v>69</v>
      </c>
      <c r="BL109" s="167" t="s">
        <v>70</v>
      </c>
      <c r="BM109" s="167" t="s">
        <v>70</v>
      </c>
      <c r="BN109" s="167" t="s">
        <v>70</v>
      </c>
      <c r="BO109" s="167" t="s">
        <v>70</v>
      </c>
      <c r="BP109" s="173"/>
      <c r="BQ109" s="151">
        <v>0</v>
      </c>
    </row>
    <row r="110" spans="1:136" s="151" customFormat="1" ht="19.5" customHeight="1" x14ac:dyDescent="0.2">
      <c r="A110" s="117">
        <v>107</v>
      </c>
      <c r="B110" s="117" t="s">
        <v>203</v>
      </c>
      <c r="C110" s="117">
        <v>83122888</v>
      </c>
      <c r="D110" s="117" t="s">
        <v>73</v>
      </c>
      <c r="E110" s="117" t="s">
        <v>68</v>
      </c>
      <c r="F110" s="146" t="s">
        <v>208</v>
      </c>
      <c r="G110" s="124" t="s">
        <v>69</v>
      </c>
      <c r="H110" s="172">
        <v>45222</v>
      </c>
      <c r="I110" s="172">
        <v>46034</v>
      </c>
      <c r="J110" s="162">
        <f t="shared" si="9"/>
        <v>46764</v>
      </c>
      <c r="K110" s="111">
        <v>41124</v>
      </c>
      <c r="L110" s="111">
        <v>46036</v>
      </c>
      <c r="M110" s="163">
        <f t="shared" si="10"/>
        <v>46766</v>
      </c>
      <c r="N110" s="111">
        <v>43481</v>
      </c>
      <c r="O110" s="111">
        <v>43482</v>
      </c>
      <c r="P110" s="111">
        <v>43480</v>
      </c>
      <c r="Q110" s="166" t="s">
        <v>69</v>
      </c>
      <c r="R110" s="166" t="s">
        <v>69</v>
      </c>
      <c r="S110" s="166" t="s">
        <v>69</v>
      </c>
      <c r="T110" s="94">
        <v>44386</v>
      </c>
      <c r="U110" s="166" t="s">
        <v>69</v>
      </c>
      <c r="V110" s="94">
        <v>43728</v>
      </c>
      <c r="W110" s="94">
        <v>43595</v>
      </c>
      <c r="X110" s="94">
        <v>42020</v>
      </c>
      <c r="Y110" s="94">
        <v>43854</v>
      </c>
      <c r="Z110" s="166" t="s">
        <v>69</v>
      </c>
      <c r="AA110" s="166" t="s">
        <v>69</v>
      </c>
      <c r="AB110" s="166" t="s">
        <v>69</v>
      </c>
      <c r="AC110" s="166" t="s">
        <v>69</v>
      </c>
      <c r="AD110" s="167" t="s">
        <v>71</v>
      </c>
      <c r="AE110" s="167" t="s">
        <v>70</v>
      </c>
      <c r="AF110" s="112">
        <v>45639</v>
      </c>
      <c r="AG110" s="112" t="s">
        <v>69</v>
      </c>
      <c r="AH110" s="167" t="s">
        <v>71</v>
      </c>
      <c r="AI110" s="167" t="s">
        <v>70</v>
      </c>
      <c r="AJ110" s="167" t="s">
        <v>70</v>
      </c>
      <c r="AK110" s="167" t="s">
        <v>70</v>
      </c>
      <c r="AL110" s="166" t="s">
        <v>69</v>
      </c>
      <c r="AM110" s="168">
        <v>46161</v>
      </c>
      <c r="AN110" s="166" t="s">
        <v>69</v>
      </c>
      <c r="AO110" s="167" t="s">
        <v>70</v>
      </c>
      <c r="AP110" s="166" t="s">
        <v>69</v>
      </c>
      <c r="AQ110" s="166" t="s">
        <v>69</v>
      </c>
      <c r="AR110" s="166" t="s">
        <v>69</v>
      </c>
      <c r="AS110" s="166" t="s">
        <v>69</v>
      </c>
      <c r="AT110" s="166" t="s">
        <v>69</v>
      </c>
      <c r="AU110" s="166" t="s">
        <v>69</v>
      </c>
      <c r="AV110" s="166" t="s">
        <v>69</v>
      </c>
      <c r="AW110" s="166" t="s">
        <v>69</v>
      </c>
      <c r="AX110" s="166" t="s">
        <v>69</v>
      </c>
      <c r="AY110" s="94">
        <v>42033</v>
      </c>
      <c r="AZ110" s="166" t="s">
        <v>69</v>
      </c>
      <c r="BA110" s="166" t="s">
        <v>69</v>
      </c>
      <c r="BB110" s="166" t="s">
        <v>69</v>
      </c>
      <c r="BC110" s="166" t="s">
        <v>69</v>
      </c>
      <c r="BD110" s="166" t="s">
        <v>69</v>
      </c>
      <c r="BE110" s="166" t="s">
        <v>69</v>
      </c>
      <c r="BF110" s="166" t="s">
        <v>69</v>
      </c>
      <c r="BG110" s="167" t="s">
        <v>70</v>
      </c>
      <c r="BH110" s="166" t="s">
        <v>69</v>
      </c>
      <c r="BI110" s="166" t="s">
        <v>69</v>
      </c>
      <c r="BJ110" s="167" t="s">
        <v>70</v>
      </c>
      <c r="BK110" s="166" t="s">
        <v>69</v>
      </c>
      <c r="BL110" s="167" t="s">
        <v>70</v>
      </c>
      <c r="BM110" s="167" t="s">
        <v>70</v>
      </c>
      <c r="BN110" s="167" t="s">
        <v>70</v>
      </c>
      <c r="BO110" s="167" t="s">
        <v>70</v>
      </c>
      <c r="BP110" s="167" t="s">
        <v>70</v>
      </c>
      <c r="BQ110" s="151">
        <v>0</v>
      </c>
      <c r="BR110" s="142"/>
      <c r="BS110" s="142"/>
      <c r="BT110" s="142"/>
      <c r="BU110" s="142"/>
      <c r="BV110" s="142"/>
      <c r="BW110" s="142"/>
      <c r="BX110" s="142"/>
      <c r="BY110" s="142"/>
      <c r="BZ110" s="142"/>
      <c r="CA110" s="142"/>
      <c r="CB110" s="142"/>
      <c r="CC110" s="142"/>
      <c r="CD110" s="142"/>
      <c r="CE110" s="142"/>
      <c r="CF110" s="142"/>
      <c r="CG110" s="142"/>
      <c r="CH110" s="142"/>
      <c r="CI110" s="142"/>
      <c r="CJ110" s="142"/>
      <c r="CK110" s="142"/>
      <c r="CL110" s="142"/>
      <c r="CM110" s="142"/>
      <c r="CN110" s="142"/>
      <c r="CO110" s="142"/>
      <c r="CP110" s="142"/>
      <c r="CQ110" s="142"/>
      <c r="CR110" s="142"/>
      <c r="CS110" s="142"/>
      <c r="CT110" s="142"/>
      <c r="CU110" s="142"/>
      <c r="CV110" s="142"/>
      <c r="CW110" s="142"/>
      <c r="CX110" s="142"/>
      <c r="CY110" s="142"/>
      <c r="CZ110" s="142"/>
      <c r="DA110" s="142"/>
      <c r="DB110" s="142"/>
      <c r="DC110" s="142"/>
      <c r="DD110" s="142"/>
      <c r="DE110" s="142"/>
      <c r="DF110" s="142"/>
      <c r="DG110" s="142"/>
      <c r="DH110" s="142"/>
      <c r="DI110" s="142"/>
      <c r="DJ110" s="142"/>
      <c r="DK110" s="142"/>
      <c r="DL110" s="142"/>
      <c r="DM110" s="142"/>
      <c r="DN110" s="142"/>
      <c r="DO110" s="142"/>
      <c r="DP110" s="142"/>
      <c r="DQ110" s="142"/>
      <c r="DR110" s="142"/>
      <c r="DS110" s="142"/>
      <c r="DT110" s="142"/>
      <c r="DU110" s="142"/>
      <c r="DV110" s="142"/>
      <c r="DW110" s="142"/>
      <c r="DX110" s="142"/>
      <c r="DY110" s="142"/>
      <c r="DZ110" s="142"/>
      <c r="EA110" s="142"/>
      <c r="EB110" s="142"/>
      <c r="EC110" s="142"/>
      <c r="ED110" s="142"/>
      <c r="EE110" s="142"/>
      <c r="EF110" s="142"/>
    </row>
    <row r="111" spans="1:136" s="151" customFormat="1" ht="19.5" customHeight="1" x14ac:dyDescent="0.2">
      <c r="A111" s="117">
        <v>108</v>
      </c>
      <c r="B111" s="206" t="s">
        <v>91</v>
      </c>
      <c r="C111" s="206">
        <v>135015</v>
      </c>
      <c r="D111" s="117" t="s">
        <v>73</v>
      </c>
      <c r="E111" s="146" t="s">
        <v>68</v>
      </c>
      <c r="F111" s="146" t="s">
        <v>208</v>
      </c>
      <c r="G111" s="162">
        <v>42039</v>
      </c>
      <c r="H111" s="172">
        <v>43726</v>
      </c>
      <c r="I111" s="162">
        <v>46107</v>
      </c>
      <c r="J111" s="162">
        <f t="shared" si="9"/>
        <v>46838</v>
      </c>
      <c r="K111" s="111">
        <v>42715</v>
      </c>
      <c r="L111" s="111">
        <v>46028</v>
      </c>
      <c r="M111" s="163">
        <f t="shared" si="10"/>
        <v>46758</v>
      </c>
      <c r="N111" s="111">
        <v>42395</v>
      </c>
      <c r="O111" s="111">
        <v>42396</v>
      </c>
      <c r="P111" s="111">
        <v>42397</v>
      </c>
      <c r="Q111" s="166" t="s">
        <v>69</v>
      </c>
      <c r="R111" s="94">
        <v>42492</v>
      </c>
      <c r="S111" s="94">
        <v>43222</v>
      </c>
      <c r="T111" s="94">
        <v>42867</v>
      </c>
      <c r="U111" s="166" t="s">
        <v>69</v>
      </c>
      <c r="V111" s="94">
        <v>43822</v>
      </c>
      <c r="W111" s="94">
        <v>45359</v>
      </c>
      <c r="X111" s="94">
        <v>42409</v>
      </c>
      <c r="Y111" s="166" t="s">
        <v>69</v>
      </c>
      <c r="Z111" s="94">
        <v>44732</v>
      </c>
      <c r="AA111" s="166" t="s">
        <v>69</v>
      </c>
      <c r="AB111" s="166" t="s">
        <v>69</v>
      </c>
      <c r="AC111" s="166" t="s">
        <v>69</v>
      </c>
      <c r="AD111" s="167" t="s">
        <v>71</v>
      </c>
      <c r="AE111" s="167" t="s">
        <v>71</v>
      </c>
      <c r="AF111" s="94">
        <v>45637</v>
      </c>
      <c r="AG111" s="112" t="s">
        <v>69</v>
      </c>
      <c r="AH111" s="167" t="s">
        <v>71</v>
      </c>
      <c r="AI111" s="167" t="s">
        <v>71</v>
      </c>
      <c r="AJ111" s="167" t="s">
        <v>71</v>
      </c>
      <c r="AK111" s="167" t="s">
        <v>70</v>
      </c>
      <c r="AL111" s="166" t="s">
        <v>69</v>
      </c>
      <c r="AM111" s="166"/>
      <c r="AN111" s="199">
        <v>44460</v>
      </c>
      <c r="AO111" s="167" t="s">
        <v>70</v>
      </c>
      <c r="AP111" s="166" t="s">
        <v>69</v>
      </c>
      <c r="AQ111" s="166" t="s">
        <v>69</v>
      </c>
      <c r="AR111" s="166" t="s">
        <v>69</v>
      </c>
      <c r="AS111" s="166" t="s">
        <v>69</v>
      </c>
      <c r="AT111" s="166" t="s">
        <v>69</v>
      </c>
      <c r="AU111" s="166" t="s">
        <v>69</v>
      </c>
      <c r="AV111" s="166" t="s">
        <v>69</v>
      </c>
      <c r="AW111" s="166" t="s">
        <v>69</v>
      </c>
      <c r="AX111" s="166" t="s">
        <v>69</v>
      </c>
      <c r="AY111" s="166" t="s">
        <v>69</v>
      </c>
      <c r="AZ111" s="166" t="s">
        <v>69</v>
      </c>
      <c r="BA111" s="166" t="s">
        <v>69</v>
      </c>
      <c r="BB111" s="166" t="s">
        <v>69</v>
      </c>
      <c r="BC111" s="166" t="s">
        <v>69</v>
      </c>
      <c r="BD111" s="166" t="s">
        <v>69</v>
      </c>
      <c r="BE111" s="166" t="s">
        <v>69</v>
      </c>
      <c r="BF111" s="166" t="s">
        <v>69</v>
      </c>
      <c r="BG111" s="167" t="s">
        <v>70</v>
      </c>
      <c r="BH111" s="166" t="s">
        <v>69</v>
      </c>
      <c r="BI111" s="166" t="s">
        <v>69</v>
      </c>
      <c r="BJ111" s="167" t="s">
        <v>70</v>
      </c>
      <c r="BK111" s="166" t="s">
        <v>69</v>
      </c>
      <c r="BL111" s="167" t="s">
        <v>70</v>
      </c>
      <c r="BM111" s="167" t="s">
        <v>70</v>
      </c>
      <c r="BN111" s="167" t="s">
        <v>70</v>
      </c>
      <c r="BO111" s="167" t="s">
        <v>70</v>
      </c>
      <c r="BP111" s="173"/>
      <c r="BQ111" s="151">
        <v>0</v>
      </c>
    </row>
    <row r="112" spans="1:136" s="151" customFormat="1" ht="19.5" customHeight="1" x14ac:dyDescent="0.2">
      <c r="A112" s="117">
        <v>109</v>
      </c>
      <c r="B112" s="194" t="s">
        <v>104</v>
      </c>
      <c r="C112" s="194">
        <v>145569</v>
      </c>
      <c r="D112" s="117" t="s">
        <v>73</v>
      </c>
      <c r="E112" s="146" t="s">
        <v>68</v>
      </c>
      <c r="F112" s="146" t="s">
        <v>208</v>
      </c>
      <c r="G112" s="162">
        <v>42306</v>
      </c>
      <c r="H112" s="162">
        <v>44720</v>
      </c>
      <c r="I112" s="162">
        <v>45986</v>
      </c>
      <c r="J112" s="162">
        <f t="shared" si="9"/>
        <v>46716</v>
      </c>
      <c r="K112" s="111">
        <v>42324</v>
      </c>
      <c r="L112" s="111">
        <v>46168</v>
      </c>
      <c r="M112" s="163">
        <f t="shared" si="10"/>
        <v>46899</v>
      </c>
      <c r="N112" s="111">
        <v>42423</v>
      </c>
      <c r="O112" s="111">
        <v>42424</v>
      </c>
      <c r="P112" s="111">
        <v>42425</v>
      </c>
      <c r="Q112" s="166" t="s">
        <v>69</v>
      </c>
      <c r="R112" s="166" t="s">
        <v>69</v>
      </c>
      <c r="S112" s="166" t="s">
        <v>69</v>
      </c>
      <c r="T112" s="168">
        <v>44050</v>
      </c>
      <c r="U112" s="166" t="s">
        <v>69</v>
      </c>
      <c r="V112" s="94">
        <v>44463</v>
      </c>
      <c r="W112" s="166" t="s">
        <v>69</v>
      </c>
      <c r="X112" s="94">
        <v>42947</v>
      </c>
      <c r="Y112" s="166" t="s">
        <v>69</v>
      </c>
      <c r="Z112" s="94">
        <v>44319</v>
      </c>
      <c r="AA112" s="168">
        <v>46293</v>
      </c>
      <c r="AB112" s="166" t="s">
        <v>69</v>
      </c>
      <c r="AC112" s="166" t="s">
        <v>69</v>
      </c>
      <c r="AD112" s="167" t="s">
        <v>71</v>
      </c>
      <c r="AE112" s="167" t="s">
        <v>71</v>
      </c>
      <c r="AF112" s="112">
        <v>45639</v>
      </c>
      <c r="AG112" s="112" t="s">
        <v>69</v>
      </c>
      <c r="AH112" s="167" t="s">
        <v>71</v>
      </c>
      <c r="AI112" s="167" t="s">
        <v>71</v>
      </c>
      <c r="AJ112" s="167" t="s">
        <v>71</v>
      </c>
      <c r="AK112" s="167" t="s">
        <v>70</v>
      </c>
      <c r="AL112" s="166" t="s">
        <v>69</v>
      </c>
      <c r="AM112" s="166"/>
      <c r="AN112" s="166" t="s">
        <v>69</v>
      </c>
      <c r="AO112" s="167" t="s">
        <v>70</v>
      </c>
      <c r="AP112" s="166" t="s">
        <v>69</v>
      </c>
      <c r="AQ112" s="166" t="s">
        <v>69</v>
      </c>
      <c r="AR112" s="168">
        <v>46119</v>
      </c>
      <c r="AS112" s="166" t="s">
        <v>69</v>
      </c>
      <c r="AT112" s="166" t="s">
        <v>69</v>
      </c>
      <c r="AU112" s="166" t="s">
        <v>69</v>
      </c>
      <c r="AV112" s="166" t="s">
        <v>69</v>
      </c>
      <c r="AW112" s="166" t="s">
        <v>69</v>
      </c>
      <c r="AX112" s="166" t="s">
        <v>69</v>
      </c>
      <c r="AY112" s="166" t="s">
        <v>69</v>
      </c>
      <c r="AZ112" s="166" t="s">
        <v>69</v>
      </c>
      <c r="BA112" s="166" t="s">
        <v>69</v>
      </c>
      <c r="BB112" s="166" t="s">
        <v>69</v>
      </c>
      <c r="BC112" s="166" t="s">
        <v>69</v>
      </c>
      <c r="BD112" s="166" t="s">
        <v>69</v>
      </c>
      <c r="BE112" s="166" t="s">
        <v>69</v>
      </c>
      <c r="BF112" s="166" t="s">
        <v>69</v>
      </c>
      <c r="BG112" s="167" t="s">
        <v>70</v>
      </c>
      <c r="BH112" s="166" t="s">
        <v>69</v>
      </c>
      <c r="BI112" s="166" t="s">
        <v>69</v>
      </c>
      <c r="BJ112" s="167" t="s">
        <v>70</v>
      </c>
      <c r="BK112" s="166" t="s">
        <v>69</v>
      </c>
      <c r="BL112" s="167" t="s">
        <v>70</v>
      </c>
      <c r="BM112" s="167" t="s">
        <v>70</v>
      </c>
      <c r="BN112" s="167" t="s">
        <v>70</v>
      </c>
      <c r="BO112" s="167" t="s">
        <v>70</v>
      </c>
      <c r="BP112" s="173"/>
      <c r="BQ112" s="151">
        <v>0</v>
      </c>
    </row>
    <row r="113" spans="1:136" s="151" customFormat="1" ht="19.5" customHeight="1" x14ac:dyDescent="0.2">
      <c r="A113" s="117">
        <v>110</v>
      </c>
      <c r="B113" s="161" t="s">
        <v>166</v>
      </c>
      <c r="C113" s="161">
        <v>135047</v>
      </c>
      <c r="D113" s="171" t="s">
        <v>167</v>
      </c>
      <c r="E113" s="183" t="s">
        <v>83</v>
      </c>
      <c r="F113" s="146" t="s">
        <v>208</v>
      </c>
      <c r="G113" s="172">
        <v>42046</v>
      </c>
      <c r="H113" s="172">
        <v>42033</v>
      </c>
      <c r="I113" s="172">
        <v>45953</v>
      </c>
      <c r="J113" s="162">
        <f t="shared" si="9"/>
        <v>46683</v>
      </c>
      <c r="K113" s="111">
        <v>42166</v>
      </c>
      <c r="L113" s="111">
        <v>46001</v>
      </c>
      <c r="M113" s="163">
        <f t="shared" si="10"/>
        <v>46731</v>
      </c>
      <c r="N113" s="111">
        <v>43544</v>
      </c>
      <c r="O113" s="111">
        <v>43545</v>
      </c>
      <c r="P113" s="111">
        <v>43543</v>
      </c>
      <c r="Q113" s="165" t="s">
        <v>69</v>
      </c>
      <c r="R113" s="165" t="s">
        <v>69</v>
      </c>
      <c r="S113" s="165" t="s">
        <v>69</v>
      </c>
      <c r="T113" s="168" t="s">
        <v>69</v>
      </c>
      <c r="U113" s="165" t="s">
        <v>69</v>
      </c>
      <c r="V113" s="94">
        <v>44396</v>
      </c>
      <c r="W113" s="94">
        <v>43885</v>
      </c>
      <c r="X113" s="94">
        <v>42079</v>
      </c>
      <c r="Y113" s="94">
        <v>42338</v>
      </c>
      <c r="Z113" s="94">
        <v>44522</v>
      </c>
      <c r="AA113" s="165" t="s">
        <v>69</v>
      </c>
      <c r="AB113" s="166" t="s">
        <v>69</v>
      </c>
      <c r="AC113" s="166" t="s">
        <v>69</v>
      </c>
      <c r="AD113" s="167" t="s">
        <v>70</v>
      </c>
      <c r="AE113" s="167" t="s">
        <v>70</v>
      </c>
      <c r="AF113" s="112">
        <v>45637</v>
      </c>
      <c r="AG113" s="167" t="s">
        <v>70</v>
      </c>
      <c r="AH113" s="167" t="s">
        <v>71</v>
      </c>
      <c r="AI113" s="167" t="s">
        <v>70</v>
      </c>
      <c r="AJ113" s="167" t="s">
        <v>70</v>
      </c>
      <c r="AK113" s="167" t="s">
        <v>70</v>
      </c>
      <c r="AL113" s="166" t="s">
        <v>69</v>
      </c>
      <c r="AM113" s="166"/>
      <c r="AN113" s="168" t="s">
        <v>69</v>
      </c>
      <c r="AO113" s="167" t="s">
        <v>70</v>
      </c>
      <c r="AP113" s="166" t="s">
        <v>69</v>
      </c>
      <c r="AQ113" s="166" t="s">
        <v>69</v>
      </c>
      <c r="AR113" s="166" t="s">
        <v>69</v>
      </c>
      <c r="AS113" s="166" t="s">
        <v>69</v>
      </c>
      <c r="AT113" s="166" t="s">
        <v>69</v>
      </c>
      <c r="AU113" s="166" t="s">
        <v>69</v>
      </c>
      <c r="AV113" s="166" t="s">
        <v>69</v>
      </c>
      <c r="AW113" s="94">
        <v>41914</v>
      </c>
      <c r="AX113" s="167" t="s">
        <v>70</v>
      </c>
      <c r="AY113" s="166" t="s">
        <v>69</v>
      </c>
      <c r="AZ113" s="166" t="s">
        <v>69</v>
      </c>
      <c r="BA113" s="166" t="s">
        <v>69</v>
      </c>
      <c r="BB113" s="167" t="s">
        <v>70</v>
      </c>
      <c r="BC113" s="167" t="s">
        <v>70</v>
      </c>
      <c r="BD113" s="167" t="s">
        <v>70</v>
      </c>
      <c r="BE113" s="167" t="s">
        <v>70</v>
      </c>
      <c r="BF113" s="167" t="s">
        <v>70</v>
      </c>
      <c r="BG113" s="169" t="s">
        <v>70</v>
      </c>
      <c r="BH113" s="169" t="s">
        <v>70</v>
      </c>
      <c r="BI113" s="169" t="s">
        <v>70</v>
      </c>
      <c r="BJ113" s="169" t="s">
        <v>71</v>
      </c>
      <c r="BK113" s="167" t="s">
        <v>70</v>
      </c>
      <c r="BL113" s="167" t="s">
        <v>70</v>
      </c>
      <c r="BM113" s="167" t="s">
        <v>70</v>
      </c>
      <c r="BN113" s="167" t="s">
        <v>70</v>
      </c>
      <c r="BO113" s="167" t="s">
        <v>70</v>
      </c>
      <c r="BP113" s="167" t="s">
        <v>70</v>
      </c>
      <c r="BQ113" s="151">
        <v>0</v>
      </c>
      <c r="BR113" s="142"/>
      <c r="BS113" s="142"/>
      <c r="BT113" s="142"/>
      <c r="BU113" s="142"/>
      <c r="BV113" s="142"/>
      <c r="BW113" s="142"/>
      <c r="BX113" s="142"/>
      <c r="BY113" s="142"/>
      <c r="BZ113" s="142"/>
      <c r="CA113" s="142"/>
      <c r="CB113" s="142"/>
      <c r="CC113" s="142"/>
      <c r="CD113" s="142"/>
      <c r="CE113" s="142"/>
      <c r="CF113" s="142"/>
      <c r="CG113" s="142"/>
      <c r="CH113" s="142"/>
      <c r="CI113" s="142"/>
      <c r="CJ113" s="142"/>
      <c r="CK113" s="142"/>
      <c r="CL113" s="142"/>
      <c r="CM113" s="142"/>
      <c r="CN113" s="142"/>
      <c r="CO113" s="142"/>
      <c r="CP113" s="142"/>
      <c r="CQ113" s="142"/>
      <c r="CR113" s="142"/>
      <c r="CS113" s="142"/>
      <c r="CT113" s="142"/>
      <c r="CU113" s="142"/>
      <c r="CV113" s="142"/>
      <c r="CW113" s="142"/>
      <c r="CX113" s="142"/>
      <c r="CY113" s="142"/>
      <c r="CZ113" s="142"/>
      <c r="DA113" s="142"/>
      <c r="DB113" s="142"/>
      <c r="DC113" s="142"/>
      <c r="DD113" s="142"/>
      <c r="DE113" s="142"/>
      <c r="DF113" s="142"/>
      <c r="DG113" s="142"/>
      <c r="DH113" s="142"/>
      <c r="DI113" s="142"/>
      <c r="DJ113" s="142"/>
      <c r="DK113" s="142"/>
      <c r="DL113" s="142"/>
      <c r="DM113" s="142"/>
      <c r="DN113" s="142"/>
      <c r="DO113" s="142"/>
      <c r="DP113" s="142"/>
      <c r="DQ113" s="142"/>
      <c r="DR113" s="142"/>
      <c r="DS113" s="142"/>
      <c r="DT113" s="142"/>
      <c r="DU113" s="142"/>
      <c r="DV113" s="142"/>
      <c r="DW113" s="142"/>
      <c r="DX113" s="142"/>
      <c r="DY113" s="142"/>
      <c r="DZ113" s="142"/>
      <c r="EA113" s="142"/>
      <c r="EB113" s="142"/>
      <c r="EC113" s="142"/>
      <c r="ED113" s="142"/>
      <c r="EE113" s="142"/>
      <c r="EF113" s="142"/>
    </row>
    <row r="114" spans="1:136" s="151" customFormat="1" ht="19.5" customHeight="1" x14ac:dyDescent="0.2">
      <c r="A114" s="117">
        <v>111</v>
      </c>
      <c r="B114" s="196" t="s">
        <v>77</v>
      </c>
      <c r="C114" s="178">
        <v>83040239</v>
      </c>
      <c r="D114" s="117" t="s">
        <v>73</v>
      </c>
      <c r="E114" s="146" t="s">
        <v>68</v>
      </c>
      <c r="F114" s="146" t="s">
        <v>208</v>
      </c>
      <c r="G114" s="162">
        <v>40961</v>
      </c>
      <c r="H114" s="162">
        <v>40770</v>
      </c>
      <c r="I114" s="111">
        <v>46017</v>
      </c>
      <c r="J114" s="162">
        <f t="shared" si="9"/>
        <v>46747</v>
      </c>
      <c r="K114" s="111">
        <v>40882</v>
      </c>
      <c r="L114" s="111">
        <v>46140</v>
      </c>
      <c r="M114" s="163">
        <f t="shared" si="10"/>
        <v>46871</v>
      </c>
      <c r="N114" s="111">
        <v>40815</v>
      </c>
      <c r="O114" s="111">
        <v>40815</v>
      </c>
      <c r="P114" s="111">
        <v>40815</v>
      </c>
      <c r="Q114" s="166" t="s">
        <v>69</v>
      </c>
      <c r="R114" s="94">
        <v>42466</v>
      </c>
      <c r="S114" s="94">
        <v>45516</v>
      </c>
      <c r="T114" s="94">
        <v>41753</v>
      </c>
      <c r="U114" s="94">
        <v>41761</v>
      </c>
      <c r="V114" s="94">
        <v>43542</v>
      </c>
      <c r="W114" s="94">
        <v>43248</v>
      </c>
      <c r="X114" s="168">
        <v>42702</v>
      </c>
      <c r="Y114" s="166" t="s">
        <v>69</v>
      </c>
      <c r="Z114" s="94">
        <v>42702</v>
      </c>
      <c r="AA114" s="166" t="s">
        <v>69</v>
      </c>
      <c r="AB114" s="166" t="s">
        <v>69</v>
      </c>
      <c r="AC114" s="166" t="s">
        <v>69</v>
      </c>
      <c r="AD114" s="167" t="s">
        <v>71</v>
      </c>
      <c r="AE114" s="167" t="s">
        <v>71</v>
      </c>
      <c r="AF114" s="111">
        <v>45637</v>
      </c>
      <c r="AG114" s="112" t="s">
        <v>69</v>
      </c>
      <c r="AH114" s="94">
        <v>41456</v>
      </c>
      <c r="AI114" s="167" t="s">
        <v>71</v>
      </c>
      <c r="AJ114" s="167" t="s">
        <v>71</v>
      </c>
      <c r="AK114" s="167" t="s">
        <v>70</v>
      </c>
      <c r="AL114" s="166" t="s">
        <v>69</v>
      </c>
      <c r="AM114" s="166"/>
      <c r="AN114" s="166" t="s">
        <v>69</v>
      </c>
      <c r="AO114" s="167" t="s">
        <v>70</v>
      </c>
      <c r="AP114" s="94">
        <v>42037</v>
      </c>
      <c r="AQ114" s="166" t="s">
        <v>69</v>
      </c>
      <c r="AR114" s="166" t="s">
        <v>69</v>
      </c>
      <c r="AS114" s="168">
        <v>46233</v>
      </c>
      <c r="AT114" s="94">
        <v>43564</v>
      </c>
      <c r="AU114" s="166" t="s">
        <v>69</v>
      </c>
      <c r="AV114" s="166" t="s">
        <v>69</v>
      </c>
      <c r="AW114" s="166" t="s">
        <v>69</v>
      </c>
      <c r="AX114" s="166" t="s">
        <v>69</v>
      </c>
      <c r="AY114" s="166" t="s">
        <v>69</v>
      </c>
      <c r="AZ114" s="166" t="s">
        <v>69</v>
      </c>
      <c r="BA114" s="166" t="s">
        <v>69</v>
      </c>
      <c r="BB114" s="166" t="s">
        <v>69</v>
      </c>
      <c r="BC114" s="166" t="s">
        <v>69</v>
      </c>
      <c r="BD114" s="166" t="s">
        <v>69</v>
      </c>
      <c r="BE114" s="166" t="s">
        <v>69</v>
      </c>
      <c r="BF114" s="166" t="s">
        <v>69</v>
      </c>
      <c r="BG114" s="167" t="s">
        <v>70</v>
      </c>
      <c r="BH114" s="166" t="s">
        <v>69</v>
      </c>
      <c r="BI114" s="166" t="s">
        <v>69</v>
      </c>
      <c r="BJ114" s="167" t="s">
        <v>70</v>
      </c>
      <c r="BK114" s="166" t="s">
        <v>69</v>
      </c>
      <c r="BL114" s="167" t="s">
        <v>70</v>
      </c>
      <c r="BM114" s="167" t="s">
        <v>70</v>
      </c>
      <c r="BN114" s="167" t="s">
        <v>70</v>
      </c>
      <c r="BO114" s="167" t="s">
        <v>70</v>
      </c>
      <c r="BP114" s="94">
        <v>41746</v>
      </c>
      <c r="BQ114" s="151">
        <v>0</v>
      </c>
    </row>
    <row r="115" spans="1:136" s="151" customFormat="1" ht="19.5" customHeight="1" x14ac:dyDescent="0.2">
      <c r="A115" s="117">
        <v>112</v>
      </c>
      <c r="B115" s="117" t="s">
        <v>160</v>
      </c>
      <c r="C115" s="144">
        <v>83122944</v>
      </c>
      <c r="D115" s="117" t="s">
        <v>73</v>
      </c>
      <c r="E115" s="183" t="s">
        <v>83</v>
      </c>
      <c r="F115" s="146" t="s">
        <v>208</v>
      </c>
      <c r="G115" s="172">
        <v>41702</v>
      </c>
      <c r="H115" s="172">
        <v>41404</v>
      </c>
      <c r="I115" s="172">
        <v>45936</v>
      </c>
      <c r="J115" s="162">
        <f t="shared" si="9"/>
        <v>46666</v>
      </c>
      <c r="K115" s="111">
        <v>41394</v>
      </c>
      <c r="L115" s="111">
        <v>46168</v>
      </c>
      <c r="M115" s="163">
        <f t="shared" si="10"/>
        <v>46899</v>
      </c>
      <c r="N115" s="111">
        <v>43347</v>
      </c>
      <c r="O115" s="111">
        <v>43348</v>
      </c>
      <c r="P115" s="111">
        <v>43349</v>
      </c>
      <c r="Q115" s="166" t="s">
        <v>69</v>
      </c>
      <c r="R115" s="166" t="s">
        <v>69</v>
      </c>
      <c r="S115" s="166" t="s">
        <v>69</v>
      </c>
      <c r="T115" s="94">
        <v>42975</v>
      </c>
      <c r="U115" s="166" t="s">
        <v>69</v>
      </c>
      <c r="V115" s="94">
        <v>43787</v>
      </c>
      <c r="W115" s="94">
        <v>43284</v>
      </c>
      <c r="X115" s="94">
        <v>42345</v>
      </c>
      <c r="Y115" s="94">
        <v>42338</v>
      </c>
      <c r="Z115" s="94">
        <v>43850</v>
      </c>
      <c r="AA115" s="168">
        <v>45674</v>
      </c>
      <c r="AB115" s="166" t="s">
        <v>69</v>
      </c>
      <c r="AC115" s="166" t="s">
        <v>69</v>
      </c>
      <c r="AD115" s="167" t="s">
        <v>71</v>
      </c>
      <c r="AE115" s="167" t="s">
        <v>70</v>
      </c>
      <c r="AF115" s="94">
        <v>45881</v>
      </c>
      <c r="AG115" s="112" t="s">
        <v>69</v>
      </c>
      <c r="AH115" s="167" t="s">
        <v>71</v>
      </c>
      <c r="AI115" s="167" t="s">
        <v>71</v>
      </c>
      <c r="AJ115" s="167" t="s">
        <v>71</v>
      </c>
      <c r="AK115" s="167" t="s">
        <v>70</v>
      </c>
      <c r="AL115" s="166" t="s">
        <v>69</v>
      </c>
      <c r="AM115" s="166"/>
      <c r="AN115" s="166" t="s">
        <v>69</v>
      </c>
      <c r="AO115" s="167" t="s">
        <v>70</v>
      </c>
      <c r="AP115" s="166" t="s">
        <v>69</v>
      </c>
      <c r="AQ115" s="166" t="s">
        <v>69</v>
      </c>
      <c r="AR115" s="185">
        <v>43655</v>
      </c>
      <c r="AS115" s="166" t="s">
        <v>69</v>
      </c>
      <c r="AT115" s="94">
        <v>43635</v>
      </c>
      <c r="AU115" s="166" t="s">
        <v>69</v>
      </c>
      <c r="AV115" s="166" t="s">
        <v>69</v>
      </c>
      <c r="AW115" s="94">
        <v>41904</v>
      </c>
      <c r="AX115" s="166" t="s">
        <v>69</v>
      </c>
      <c r="AY115" s="166" t="s">
        <v>69</v>
      </c>
      <c r="AZ115" s="166" t="s">
        <v>69</v>
      </c>
      <c r="BA115" s="166" t="s">
        <v>69</v>
      </c>
      <c r="BB115" s="166" t="s">
        <v>69</v>
      </c>
      <c r="BC115" s="166" t="s">
        <v>69</v>
      </c>
      <c r="BD115" s="166" t="s">
        <v>69</v>
      </c>
      <c r="BE115" s="166" t="s">
        <v>69</v>
      </c>
      <c r="BF115" s="166" t="s">
        <v>69</v>
      </c>
      <c r="BG115" s="167" t="s">
        <v>70</v>
      </c>
      <c r="BH115" s="166" t="s">
        <v>69</v>
      </c>
      <c r="BI115" s="166" t="s">
        <v>69</v>
      </c>
      <c r="BJ115" s="167" t="s">
        <v>70</v>
      </c>
      <c r="BK115" s="166" t="s">
        <v>69</v>
      </c>
      <c r="BL115" s="167" t="s">
        <v>70</v>
      </c>
      <c r="BM115" s="167" t="s">
        <v>70</v>
      </c>
      <c r="BN115" s="167" t="s">
        <v>70</v>
      </c>
      <c r="BO115" s="167" t="s">
        <v>70</v>
      </c>
      <c r="BP115" s="167" t="s">
        <v>70</v>
      </c>
      <c r="BQ115" s="151">
        <v>0</v>
      </c>
      <c r="BR115" s="142"/>
      <c r="BS115" s="142"/>
      <c r="BT115" s="142"/>
      <c r="BU115" s="142"/>
      <c r="BV115" s="142"/>
      <c r="BW115" s="142"/>
      <c r="BX115" s="142"/>
      <c r="BY115" s="142"/>
      <c r="BZ115" s="142"/>
      <c r="CA115" s="142"/>
      <c r="CB115" s="142"/>
      <c r="CC115" s="142"/>
      <c r="CD115" s="142"/>
      <c r="CE115" s="142"/>
      <c r="CF115" s="142"/>
      <c r="CG115" s="142"/>
      <c r="CH115" s="142"/>
      <c r="CI115" s="142"/>
      <c r="CJ115" s="142"/>
      <c r="CK115" s="142"/>
      <c r="CL115" s="142"/>
      <c r="CM115" s="142"/>
      <c r="CN115" s="142"/>
      <c r="CO115" s="142"/>
      <c r="CP115" s="142"/>
      <c r="CQ115" s="142"/>
      <c r="CR115" s="142"/>
      <c r="CS115" s="142"/>
      <c r="CT115" s="142"/>
      <c r="CU115" s="142"/>
      <c r="CV115" s="142"/>
      <c r="CW115" s="142"/>
      <c r="CX115" s="142"/>
      <c r="CY115" s="142"/>
      <c r="CZ115" s="142"/>
      <c r="DA115" s="142"/>
      <c r="DB115" s="142"/>
      <c r="DC115" s="142"/>
      <c r="DD115" s="142"/>
      <c r="DE115" s="142"/>
      <c r="DF115" s="142"/>
      <c r="DG115" s="142"/>
      <c r="DH115" s="142"/>
      <c r="DI115" s="142"/>
      <c r="DJ115" s="142"/>
      <c r="DK115" s="142"/>
      <c r="DL115" s="142"/>
      <c r="DM115" s="142"/>
      <c r="DN115" s="142"/>
      <c r="DO115" s="142"/>
      <c r="DP115" s="142"/>
      <c r="DQ115" s="142"/>
      <c r="DR115" s="142"/>
      <c r="DS115" s="142"/>
      <c r="DT115" s="142"/>
      <c r="DU115" s="142"/>
      <c r="DV115" s="142"/>
      <c r="DW115" s="142"/>
      <c r="DX115" s="142"/>
      <c r="DY115" s="142"/>
      <c r="DZ115" s="142"/>
      <c r="EA115" s="142"/>
      <c r="EB115" s="142"/>
      <c r="EC115" s="142"/>
      <c r="ED115" s="142"/>
      <c r="EE115" s="142"/>
      <c r="EF115" s="142"/>
    </row>
    <row r="116" spans="1:136" s="151" customFormat="1" ht="19.5" customHeight="1" x14ac:dyDescent="0.2">
      <c r="A116" s="117">
        <v>113</v>
      </c>
      <c r="B116" s="117" t="s">
        <v>171</v>
      </c>
      <c r="C116" s="117">
        <v>145350</v>
      </c>
      <c r="D116" s="117" t="s">
        <v>73</v>
      </c>
      <c r="E116" s="183" t="s">
        <v>83</v>
      </c>
      <c r="F116" s="146" t="s">
        <v>208</v>
      </c>
      <c r="G116" s="172">
        <v>42287</v>
      </c>
      <c r="H116" s="172">
        <v>43749</v>
      </c>
      <c r="I116" s="172">
        <v>46125</v>
      </c>
      <c r="J116" s="162">
        <f t="shared" si="9"/>
        <v>46856</v>
      </c>
      <c r="K116" s="111">
        <v>42069</v>
      </c>
      <c r="L116" s="111">
        <v>46120</v>
      </c>
      <c r="M116" s="163">
        <f t="shared" si="10"/>
        <v>46851</v>
      </c>
      <c r="N116" s="89">
        <v>42851</v>
      </c>
      <c r="O116" s="89">
        <v>42850</v>
      </c>
      <c r="P116" s="111">
        <v>42852</v>
      </c>
      <c r="Q116" s="166" t="s">
        <v>69</v>
      </c>
      <c r="R116" s="166" t="s">
        <v>69</v>
      </c>
      <c r="S116" s="166" t="s">
        <v>69</v>
      </c>
      <c r="T116" s="94">
        <v>42814</v>
      </c>
      <c r="U116" s="166" t="s">
        <v>69</v>
      </c>
      <c r="V116" s="94">
        <v>45429</v>
      </c>
      <c r="W116" s="94">
        <v>44890</v>
      </c>
      <c r="X116" s="94">
        <v>42541</v>
      </c>
      <c r="Y116" s="166" t="s">
        <v>69</v>
      </c>
      <c r="Z116" s="199">
        <v>44557</v>
      </c>
      <c r="AA116" s="168">
        <v>46293</v>
      </c>
      <c r="AB116" s="166" t="s">
        <v>69</v>
      </c>
      <c r="AC116" s="166" t="s">
        <v>69</v>
      </c>
      <c r="AD116" s="167" t="s">
        <v>71</v>
      </c>
      <c r="AE116" s="167" t="s">
        <v>70</v>
      </c>
      <c r="AF116" s="94">
        <v>45916</v>
      </c>
      <c r="AG116" s="112" t="s">
        <v>69</v>
      </c>
      <c r="AH116" s="167" t="s">
        <v>71</v>
      </c>
      <c r="AI116" s="167" t="s">
        <v>71</v>
      </c>
      <c r="AJ116" s="167" t="s">
        <v>71</v>
      </c>
      <c r="AK116" s="167" t="s">
        <v>70</v>
      </c>
      <c r="AL116" s="166" t="s">
        <v>69</v>
      </c>
      <c r="AM116" s="166"/>
      <c r="AN116" s="94">
        <v>44349</v>
      </c>
      <c r="AO116" s="167" t="s">
        <v>70</v>
      </c>
      <c r="AP116" s="166" t="s">
        <v>69</v>
      </c>
      <c r="AQ116" s="166" t="s">
        <v>69</v>
      </c>
      <c r="AR116" s="166" t="s">
        <v>69</v>
      </c>
      <c r="AS116" s="168">
        <v>45833</v>
      </c>
      <c r="AT116" s="166" t="s">
        <v>69</v>
      </c>
      <c r="AU116" s="166" t="s">
        <v>69</v>
      </c>
      <c r="AV116" s="166" t="s">
        <v>69</v>
      </c>
      <c r="AW116" s="166" t="s">
        <v>69</v>
      </c>
      <c r="AX116" s="166" t="s">
        <v>69</v>
      </c>
      <c r="AY116" s="166" t="s">
        <v>69</v>
      </c>
      <c r="AZ116" s="166" t="s">
        <v>69</v>
      </c>
      <c r="BA116" s="166" t="s">
        <v>69</v>
      </c>
      <c r="BB116" s="166" t="s">
        <v>69</v>
      </c>
      <c r="BC116" s="166" t="s">
        <v>69</v>
      </c>
      <c r="BD116" s="166" t="s">
        <v>69</v>
      </c>
      <c r="BE116" s="166" t="s">
        <v>69</v>
      </c>
      <c r="BF116" s="166" t="s">
        <v>69</v>
      </c>
      <c r="BG116" s="167" t="s">
        <v>70</v>
      </c>
      <c r="BH116" s="166" t="s">
        <v>69</v>
      </c>
      <c r="BI116" s="166" t="s">
        <v>69</v>
      </c>
      <c r="BJ116" s="167" t="s">
        <v>70</v>
      </c>
      <c r="BK116" s="166" t="s">
        <v>69</v>
      </c>
      <c r="BL116" s="167" t="s">
        <v>70</v>
      </c>
      <c r="BM116" s="167" t="s">
        <v>70</v>
      </c>
      <c r="BN116" s="167" t="s">
        <v>70</v>
      </c>
      <c r="BO116" s="167" t="s">
        <v>70</v>
      </c>
      <c r="BP116" s="167" t="s">
        <v>70</v>
      </c>
      <c r="BQ116" s="151">
        <v>0</v>
      </c>
      <c r="BR116" s="142"/>
      <c r="BS116" s="142"/>
      <c r="BT116" s="142"/>
      <c r="BU116" s="142"/>
      <c r="BV116" s="142"/>
      <c r="BW116" s="142"/>
      <c r="BX116" s="142"/>
      <c r="BY116" s="142"/>
      <c r="BZ116" s="142"/>
      <c r="CA116" s="142"/>
      <c r="CB116" s="142"/>
      <c r="CC116" s="142"/>
      <c r="CD116" s="142"/>
      <c r="CE116" s="142"/>
      <c r="CF116" s="142"/>
      <c r="CG116" s="142"/>
      <c r="CH116" s="142"/>
      <c r="CI116" s="142"/>
      <c r="CJ116" s="142"/>
      <c r="CK116" s="142"/>
      <c r="CL116" s="142"/>
      <c r="CM116" s="142"/>
      <c r="CN116" s="142"/>
      <c r="CO116" s="142"/>
      <c r="CP116" s="142"/>
      <c r="CQ116" s="142"/>
      <c r="CR116" s="142"/>
      <c r="CS116" s="142"/>
      <c r="CT116" s="142"/>
      <c r="CU116" s="142"/>
      <c r="CV116" s="142"/>
      <c r="CW116" s="142"/>
      <c r="CX116" s="142"/>
      <c r="CY116" s="142"/>
      <c r="CZ116" s="142"/>
      <c r="DA116" s="142"/>
      <c r="DB116" s="142"/>
      <c r="DC116" s="142"/>
      <c r="DD116" s="142"/>
      <c r="DE116" s="142"/>
      <c r="DF116" s="142"/>
      <c r="DG116" s="142"/>
      <c r="DH116" s="142"/>
      <c r="DI116" s="142"/>
      <c r="DJ116" s="142"/>
      <c r="DK116" s="142"/>
      <c r="DL116" s="142"/>
      <c r="DM116" s="142"/>
      <c r="DN116" s="142"/>
      <c r="DO116" s="142"/>
      <c r="DP116" s="142"/>
      <c r="DQ116" s="142"/>
      <c r="DR116" s="142"/>
      <c r="DS116" s="142"/>
      <c r="DT116" s="142"/>
      <c r="DU116" s="142"/>
      <c r="DV116" s="142"/>
      <c r="DW116" s="142"/>
      <c r="DX116" s="142"/>
      <c r="DY116" s="142"/>
      <c r="DZ116" s="142"/>
      <c r="EA116" s="142"/>
      <c r="EB116" s="142"/>
      <c r="EC116" s="142"/>
      <c r="ED116" s="142"/>
      <c r="EE116" s="142"/>
      <c r="EF116" s="142"/>
    </row>
    <row r="117" spans="1:136" s="151" customFormat="1" ht="19.5" customHeight="1" x14ac:dyDescent="0.2">
      <c r="A117" s="117">
        <v>114</v>
      </c>
      <c r="B117" s="207" t="s">
        <v>192</v>
      </c>
      <c r="C117" s="207">
        <v>83122902</v>
      </c>
      <c r="D117" s="161" t="s">
        <v>835</v>
      </c>
      <c r="E117" s="117" t="s">
        <v>68</v>
      </c>
      <c r="F117" s="146" t="s">
        <v>208</v>
      </c>
      <c r="G117" s="140">
        <v>42829</v>
      </c>
      <c r="H117" s="140">
        <v>41794</v>
      </c>
      <c r="I117" s="140">
        <v>45953</v>
      </c>
      <c r="J117" s="162">
        <f t="shared" si="9"/>
        <v>46683</v>
      </c>
      <c r="K117" s="92">
        <v>42166</v>
      </c>
      <c r="L117" s="92">
        <v>46013</v>
      </c>
      <c r="M117" s="163">
        <f t="shared" si="10"/>
        <v>46743</v>
      </c>
      <c r="N117" s="92">
        <v>41913</v>
      </c>
      <c r="O117" s="140">
        <v>41915</v>
      </c>
      <c r="P117" s="140">
        <v>41915</v>
      </c>
      <c r="Q117" s="200">
        <v>42618</v>
      </c>
      <c r="R117" s="200">
        <v>42661</v>
      </c>
      <c r="S117" s="200">
        <v>43391</v>
      </c>
      <c r="T117" s="166" t="s">
        <v>69</v>
      </c>
      <c r="U117" s="166" t="s">
        <v>69</v>
      </c>
      <c r="V117" s="94">
        <v>43881</v>
      </c>
      <c r="W117" s="168">
        <v>43742</v>
      </c>
      <c r="X117" s="94">
        <v>42300</v>
      </c>
      <c r="Y117" s="166" t="s">
        <v>69</v>
      </c>
      <c r="Z117" s="166" t="s">
        <v>69</v>
      </c>
      <c r="AA117" s="166" t="s">
        <v>69</v>
      </c>
      <c r="AB117" s="166" t="s">
        <v>69</v>
      </c>
      <c r="AC117" s="200">
        <v>41842</v>
      </c>
      <c r="AD117" s="167" t="s">
        <v>71</v>
      </c>
      <c r="AE117" s="167" t="s">
        <v>70</v>
      </c>
      <c r="AF117" s="112">
        <v>45637</v>
      </c>
      <c r="AG117" s="167" t="s">
        <v>70</v>
      </c>
      <c r="AH117" s="167" t="s">
        <v>71</v>
      </c>
      <c r="AI117" s="167" t="s">
        <v>70</v>
      </c>
      <c r="AJ117" s="167" t="s">
        <v>70</v>
      </c>
      <c r="AK117" s="167" t="s">
        <v>70</v>
      </c>
      <c r="AL117" s="166" t="s">
        <v>69</v>
      </c>
      <c r="AM117" s="166"/>
      <c r="AN117" s="166" t="s">
        <v>69</v>
      </c>
      <c r="AO117" s="167" t="s">
        <v>70</v>
      </c>
      <c r="AP117" s="166" t="s">
        <v>69</v>
      </c>
      <c r="AQ117" s="200">
        <v>42852</v>
      </c>
      <c r="AR117" s="166" t="s">
        <v>69</v>
      </c>
      <c r="AS117" s="166" t="s">
        <v>69</v>
      </c>
      <c r="AT117" s="94">
        <v>42852</v>
      </c>
      <c r="AU117" s="166" t="s">
        <v>69</v>
      </c>
      <c r="AV117" s="166" t="s">
        <v>69</v>
      </c>
      <c r="AW117" s="167" t="s">
        <v>70</v>
      </c>
      <c r="AX117" s="167" t="s">
        <v>70</v>
      </c>
      <c r="AY117" s="200">
        <v>42132</v>
      </c>
      <c r="AZ117" s="94">
        <v>44727</v>
      </c>
      <c r="BA117" s="94">
        <v>42403</v>
      </c>
      <c r="BB117" s="94">
        <v>43745</v>
      </c>
      <c r="BC117" s="167" t="s">
        <v>70</v>
      </c>
      <c r="BD117" s="94">
        <v>44162</v>
      </c>
      <c r="BE117" s="167" t="s">
        <v>70</v>
      </c>
      <c r="BF117" s="167" t="s">
        <v>70</v>
      </c>
      <c r="BG117" s="169" t="s">
        <v>70</v>
      </c>
      <c r="BH117" s="169" t="s">
        <v>70</v>
      </c>
      <c r="BI117" s="169" t="s">
        <v>70</v>
      </c>
      <c r="BJ117" s="167" t="s">
        <v>70</v>
      </c>
      <c r="BK117" s="167" t="s">
        <v>70</v>
      </c>
      <c r="BL117" s="167" t="s">
        <v>70</v>
      </c>
      <c r="BM117" s="167" t="s">
        <v>70</v>
      </c>
      <c r="BN117" s="167" t="s">
        <v>70</v>
      </c>
      <c r="BO117" s="167" t="s">
        <v>70</v>
      </c>
      <c r="BP117" s="167" t="s">
        <v>70</v>
      </c>
      <c r="BQ117" s="151">
        <v>0</v>
      </c>
      <c r="BR117" s="142"/>
      <c r="BS117" s="142"/>
      <c r="BT117" s="142"/>
      <c r="BU117" s="142"/>
      <c r="BV117" s="142"/>
      <c r="BW117" s="142"/>
      <c r="BX117" s="142"/>
      <c r="BY117" s="142"/>
      <c r="BZ117" s="142"/>
      <c r="CA117" s="142"/>
      <c r="CB117" s="142"/>
      <c r="CC117" s="142"/>
      <c r="CD117" s="142"/>
      <c r="CE117" s="142"/>
      <c r="CF117" s="142"/>
      <c r="CG117" s="142"/>
      <c r="CH117" s="142"/>
      <c r="CI117" s="142"/>
      <c r="CJ117" s="142"/>
      <c r="CK117" s="142"/>
      <c r="CL117" s="142"/>
      <c r="CM117" s="142"/>
      <c r="CN117" s="142"/>
      <c r="CO117" s="142"/>
      <c r="CP117" s="142"/>
      <c r="CQ117" s="142"/>
      <c r="CR117" s="142"/>
      <c r="CS117" s="142"/>
      <c r="CT117" s="142"/>
      <c r="CU117" s="142"/>
      <c r="CV117" s="142"/>
      <c r="CW117" s="142"/>
      <c r="CX117" s="142"/>
      <c r="CY117" s="142"/>
      <c r="CZ117" s="142"/>
      <c r="DA117" s="142"/>
      <c r="DB117" s="142"/>
      <c r="DC117" s="142"/>
      <c r="DD117" s="142"/>
      <c r="DE117" s="142"/>
      <c r="DF117" s="142"/>
      <c r="DG117" s="142"/>
      <c r="DH117" s="142"/>
      <c r="DI117" s="142"/>
      <c r="DJ117" s="142"/>
      <c r="DK117" s="142"/>
      <c r="DL117" s="142"/>
      <c r="DM117" s="142"/>
      <c r="DN117" s="142"/>
      <c r="DO117" s="142"/>
      <c r="DP117" s="142"/>
      <c r="DQ117" s="142"/>
      <c r="DR117" s="142"/>
      <c r="DS117" s="142"/>
      <c r="DT117" s="142"/>
      <c r="DU117" s="142"/>
      <c r="DV117" s="142"/>
      <c r="DW117" s="142"/>
      <c r="DX117" s="142"/>
      <c r="DY117" s="142"/>
      <c r="DZ117" s="142"/>
      <c r="EA117" s="142"/>
      <c r="EB117" s="142"/>
      <c r="EC117" s="142"/>
      <c r="ED117" s="142"/>
      <c r="EE117" s="142"/>
      <c r="EF117" s="142"/>
    </row>
    <row r="118" spans="1:136" s="151" customFormat="1" ht="19.5" customHeight="1" x14ac:dyDescent="0.2">
      <c r="A118" s="117">
        <v>115</v>
      </c>
      <c r="B118" s="117" t="s">
        <v>742</v>
      </c>
      <c r="C118" s="117">
        <v>133429</v>
      </c>
      <c r="D118" s="117" t="s">
        <v>73</v>
      </c>
      <c r="E118" s="117" t="s">
        <v>68</v>
      </c>
      <c r="F118" s="146" t="s">
        <v>208</v>
      </c>
      <c r="G118" s="172">
        <v>42052</v>
      </c>
      <c r="H118" s="111">
        <v>45106</v>
      </c>
      <c r="I118" s="111">
        <v>46128</v>
      </c>
      <c r="J118" s="162">
        <f t="shared" si="9"/>
        <v>46859</v>
      </c>
      <c r="K118" s="111">
        <v>44936</v>
      </c>
      <c r="L118" s="111">
        <v>45980</v>
      </c>
      <c r="M118" s="163">
        <f t="shared" si="10"/>
        <v>46710</v>
      </c>
      <c r="N118" s="111">
        <v>41936</v>
      </c>
      <c r="O118" s="111">
        <v>45203</v>
      </c>
      <c r="P118" s="111">
        <v>43403</v>
      </c>
      <c r="Q118" s="166" t="s">
        <v>69</v>
      </c>
      <c r="R118" s="166" t="s">
        <v>69</v>
      </c>
      <c r="S118" s="166" t="s">
        <v>69</v>
      </c>
      <c r="T118" s="166" t="s">
        <v>69</v>
      </c>
      <c r="U118" s="166" t="s">
        <v>69</v>
      </c>
      <c r="V118" s="166" t="s">
        <v>69</v>
      </c>
      <c r="W118" s="166" t="s">
        <v>69</v>
      </c>
      <c r="X118" s="166" t="s">
        <v>69</v>
      </c>
      <c r="Y118" s="166" t="s">
        <v>69</v>
      </c>
      <c r="Z118" s="166" t="s">
        <v>69</v>
      </c>
      <c r="AA118" s="166" t="s">
        <v>69</v>
      </c>
      <c r="AB118" s="166" t="s">
        <v>69</v>
      </c>
      <c r="AC118" s="166" t="s">
        <v>69</v>
      </c>
      <c r="AD118" s="167" t="s">
        <v>71</v>
      </c>
      <c r="AE118" s="167" t="s">
        <v>70</v>
      </c>
      <c r="AF118" s="112">
        <v>46287</v>
      </c>
      <c r="AG118" s="112" t="s">
        <v>69</v>
      </c>
      <c r="AH118" s="167" t="s">
        <v>71</v>
      </c>
      <c r="AI118" s="167" t="s">
        <v>70</v>
      </c>
      <c r="AJ118" s="167" t="s">
        <v>70</v>
      </c>
      <c r="AK118" s="167" t="s">
        <v>70</v>
      </c>
      <c r="AL118" s="166" t="s">
        <v>69</v>
      </c>
      <c r="AM118" s="166"/>
      <c r="AN118" s="166" t="s">
        <v>69</v>
      </c>
      <c r="AO118" s="167" t="s">
        <v>70</v>
      </c>
      <c r="AP118" s="166" t="s">
        <v>69</v>
      </c>
      <c r="AQ118" s="166" t="s">
        <v>69</v>
      </c>
      <c r="AR118" s="166" t="s">
        <v>69</v>
      </c>
      <c r="AS118" s="166" t="s">
        <v>69</v>
      </c>
      <c r="AT118" s="166" t="s">
        <v>69</v>
      </c>
      <c r="AU118" s="166" t="s">
        <v>69</v>
      </c>
      <c r="AV118" s="166" t="s">
        <v>69</v>
      </c>
      <c r="AW118" s="166" t="s">
        <v>69</v>
      </c>
      <c r="AX118" s="166" t="s">
        <v>69</v>
      </c>
      <c r="AY118" s="166" t="s">
        <v>69</v>
      </c>
      <c r="AZ118" s="166" t="s">
        <v>69</v>
      </c>
      <c r="BA118" s="166" t="s">
        <v>69</v>
      </c>
      <c r="BB118" s="166" t="s">
        <v>69</v>
      </c>
      <c r="BC118" s="166" t="s">
        <v>69</v>
      </c>
      <c r="BD118" s="166" t="s">
        <v>69</v>
      </c>
      <c r="BE118" s="166" t="s">
        <v>69</v>
      </c>
      <c r="BF118" s="166" t="s">
        <v>69</v>
      </c>
      <c r="BG118" s="167" t="s">
        <v>70</v>
      </c>
      <c r="BH118" s="166" t="s">
        <v>69</v>
      </c>
      <c r="BI118" s="166" t="s">
        <v>69</v>
      </c>
      <c r="BJ118" s="167" t="s">
        <v>70</v>
      </c>
      <c r="BK118" s="166" t="s">
        <v>69</v>
      </c>
      <c r="BL118" s="167" t="s">
        <v>70</v>
      </c>
      <c r="BM118" s="167" t="s">
        <v>70</v>
      </c>
      <c r="BN118" s="167" t="s">
        <v>70</v>
      </c>
      <c r="BO118" s="167" t="s">
        <v>70</v>
      </c>
      <c r="BP118" s="167" t="s">
        <v>70</v>
      </c>
      <c r="BQ118" s="151">
        <v>0</v>
      </c>
      <c r="BR118" s="142"/>
      <c r="BS118" s="142"/>
      <c r="BT118" s="142"/>
      <c r="BU118" s="142"/>
      <c r="BV118" s="142"/>
      <c r="BW118" s="142"/>
      <c r="BX118" s="142"/>
      <c r="BY118" s="142"/>
      <c r="BZ118" s="142"/>
      <c r="CA118" s="142"/>
      <c r="CB118" s="142"/>
      <c r="CC118" s="142"/>
      <c r="CD118" s="142"/>
      <c r="CE118" s="142"/>
      <c r="CF118" s="142"/>
      <c r="CG118" s="142"/>
      <c r="CH118" s="142"/>
      <c r="CI118" s="142"/>
      <c r="CJ118" s="142"/>
      <c r="CK118" s="142"/>
      <c r="CL118" s="142"/>
      <c r="CM118" s="142"/>
      <c r="CN118" s="142"/>
      <c r="CO118" s="142"/>
      <c r="CP118" s="142"/>
      <c r="CQ118" s="142"/>
      <c r="CR118" s="142"/>
      <c r="CS118" s="142"/>
      <c r="CT118" s="142"/>
      <c r="CU118" s="142"/>
      <c r="CV118" s="142"/>
      <c r="CW118" s="142"/>
      <c r="CX118" s="142"/>
      <c r="CY118" s="142"/>
      <c r="CZ118" s="142"/>
      <c r="DA118" s="142"/>
      <c r="DB118" s="142"/>
      <c r="DC118" s="142"/>
      <c r="DD118" s="142"/>
      <c r="DE118" s="142"/>
      <c r="DF118" s="142"/>
      <c r="DG118" s="142"/>
      <c r="DH118" s="142"/>
      <c r="DI118" s="142"/>
      <c r="DJ118" s="142"/>
      <c r="DK118" s="142"/>
      <c r="DL118" s="142"/>
      <c r="DM118" s="142"/>
      <c r="DN118" s="142"/>
      <c r="DO118" s="142"/>
      <c r="DP118" s="142"/>
      <c r="DQ118" s="142"/>
      <c r="DR118" s="142"/>
      <c r="DS118" s="142"/>
      <c r="DT118" s="142"/>
      <c r="DU118" s="142"/>
      <c r="DV118" s="142"/>
      <c r="DW118" s="142"/>
      <c r="DX118" s="142"/>
      <c r="DY118" s="142"/>
      <c r="DZ118" s="142"/>
      <c r="EA118" s="142"/>
      <c r="EB118" s="142"/>
      <c r="EC118" s="142"/>
      <c r="ED118" s="142"/>
      <c r="EE118" s="142"/>
    </row>
    <row r="119" spans="1:136" s="151" customFormat="1" ht="19.5" customHeight="1" x14ac:dyDescent="0.2">
      <c r="A119" s="117">
        <v>116</v>
      </c>
      <c r="B119" s="196" t="s">
        <v>78</v>
      </c>
      <c r="C119" s="203">
        <v>83040096</v>
      </c>
      <c r="D119" s="117" t="s">
        <v>73</v>
      </c>
      <c r="E119" s="146" t="s">
        <v>68</v>
      </c>
      <c r="F119" s="146" t="s">
        <v>208</v>
      </c>
      <c r="G119" s="162">
        <v>38103</v>
      </c>
      <c r="H119" s="162">
        <v>40770</v>
      </c>
      <c r="I119" s="111">
        <v>45932</v>
      </c>
      <c r="J119" s="162">
        <f t="shared" si="9"/>
        <v>46662</v>
      </c>
      <c r="K119" s="111">
        <v>40821</v>
      </c>
      <c r="L119" s="111">
        <v>45722</v>
      </c>
      <c r="M119" s="163">
        <f t="shared" si="10"/>
        <v>46452</v>
      </c>
      <c r="N119" s="111">
        <v>42767</v>
      </c>
      <c r="O119" s="111">
        <v>42026</v>
      </c>
      <c r="P119" s="111">
        <v>42027</v>
      </c>
      <c r="Q119" s="94">
        <v>42139</v>
      </c>
      <c r="R119" s="94">
        <v>42466</v>
      </c>
      <c r="S119" s="94">
        <v>45516</v>
      </c>
      <c r="T119" s="94">
        <v>42418</v>
      </c>
      <c r="U119" s="166" t="s">
        <v>69</v>
      </c>
      <c r="V119" s="94">
        <v>42646</v>
      </c>
      <c r="W119" s="94">
        <v>43374</v>
      </c>
      <c r="X119" s="94">
        <v>41730</v>
      </c>
      <c r="Y119" s="94">
        <v>41785</v>
      </c>
      <c r="Z119" s="94">
        <v>42317</v>
      </c>
      <c r="AA119" s="166" t="s">
        <v>69</v>
      </c>
      <c r="AB119" s="166" t="s">
        <v>69</v>
      </c>
      <c r="AC119" s="166" t="s">
        <v>69</v>
      </c>
      <c r="AD119" s="167" t="s">
        <v>71</v>
      </c>
      <c r="AE119" s="167" t="s">
        <v>71</v>
      </c>
      <c r="AF119" s="112">
        <v>45881</v>
      </c>
      <c r="AG119" s="112" t="s">
        <v>69</v>
      </c>
      <c r="AH119" s="94">
        <v>41526</v>
      </c>
      <c r="AI119" s="167" t="s">
        <v>71</v>
      </c>
      <c r="AJ119" s="167" t="s">
        <v>71</v>
      </c>
      <c r="AK119" s="167" t="s">
        <v>70</v>
      </c>
      <c r="AL119" s="166" t="s">
        <v>69</v>
      </c>
      <c r="AM119" s="166"/>
      <c r="AN119" s="166" t="s">
        <v>69</v>
      </c>
      <c r="AO119" s="167" t="s">
        <v>70</v>
      </c>
      <c r="AP119" s="94">
        <v>42086</v>
      </c>
      <c r="AQ119" s="166" t="s">
        <v>69</v>
      </c>
      <c r="AR119" s="166" t="s">
        <v>69</v>
      </c>
      <c r="AS119" s="94">
        <v>45940</v>
      </c>
      <c r="AT119" s="94">
        <v>43562</v>
      </c>
      <c r="AU119" s="166" t="s">
        <v>69</v>
      </c>
      <c r="AV119" s="166" t="s">
        <v>69</v>
      </c>
      <c r="AW119" s="94">
        <v>41912</v>
      </c>
      <c r="AX119" s="94">
        <v>42499</v>
      </c>
      <c r="AY119" s="94">
        <v>42292</v>
      </c>
      <c r="AZ119" s="94">
        <v>42403</v>
      </c>
      <c r="BA119" s="166" t="s">
        <v>69</v>
      </c>
      <c r="BB119" s="166" t="s">
        <v>69</v>
      </c>
      <c r="BC119" s="166" t="s">
        <v>69</v>
      </c>
      <c r="BD119" s="166" t="s">
        <v>69</v>
      </c>
      <c r="BE119" s="166" t="s">
        <v>69</v>
      </c>
      <c r="BF119" s="166" t="s">
        <v>69</v>
      </c>
      <c r="BG119" s="167" t="s">
        <v>70</v>
      </c>
      <c r="BH119" s="166" t="s">
        <v>69</v>
      </c>
      <c r="BI119" s="166" t="s">
        <v>69</v>
      </c>
      <c r="BJ119" s="167" t="s">
        <v>70</v>
      </c>
      <c r="BK119" s="94">
        <v>40885</v>
      </c>
      <c r="BL119" s="167" t="s">
        <v>70</v>
      </c>
      <c r="BM119" s="167" t="s">
        <v>70</v>
      </c>
      <c r="BN119" s="167" t="s">
        <v>70</v>
      </c>
      <c r="BO119" s="167" t="s">
        <v>70</v>
      </c>
      <c r="BP119" s="94">
        <v>42094</v>
      </c>
      <c r="BQ119" s="151">
        <v>0</v>
      </c>
    </row>
    <row r="120" spans="1:136" s="151" customFormat="1" ht="19.5" customHeight="1" x14ac:dyDescent="0.2">
      <c r="A120" s="117">
        <v>117</v>
      </c>
      <c r="B120" s="194" t="s">
        <v>99</v>
      </c>
      <c r="C120" s="194">
        <v>145540</v>
      </c>
      <c r="D120" s="117" t="s">
        <v>73</v>
      </c>
      <c r="E120" s="146" t="s">
        <v>68</v>
      </c>
      <c r="F120" s="146" t="s">
        <v>208</v>
      </c>
      <c r="G120" s="162">
        <v>42467</v>
      </c>
      <c r="H120" s="162">
        <v>44546</v>
      </c>
      <c r="I120" s="111">
        <v>45995</v>
      </c>
      <c r="J120" s="162">
        <f t="shared" si="9"/>
        <v>46725</v>
      </c>
      <c r="K120" s="111">
        <v>42328</v>
      </c>
      <c r="L120" s="111">
        <v>45996</v>
      </c>
      <c r="M120" s="163">
        <f t="shared" si="10"/>
        <v>46726</v>
      </c>
      <c r="N120" s="111">
        <v>43873</v>
      </c>
      <c r="O120" s="111">
        <v>43874</v>
      </c>
      <c r="P120" s="111">
        <v>43872</v>
      </c>
      <c r="Q120" s="166" t="s">
        <v>69</v>
      </c>
      <c r="R120" s="166" t="s">
        <v>69</v>
      </c>
      <c r="S120" s="166" t="s">
        <v>69</v>
      </c>
      <c r="T120" s="94">
        <v>43179</v>
      </c>
      <c r="U120" s="166" t="s">
        <v>69</v>
      </c>
      <c r="V120" s="94">
        <v>43871</v>
      </c>
      <c r="W120" s="166" t="s">
        <v>69</v>
      </c>
      <c r="X120" s="94">
        <v>40461</v>
      </c>
      <c r="Y120" s="94">
        <v>44665</v>
      </c>
      <c r="Z120" s="94">
        <v>44522</v>
      </c>
      <c r="AA120" s="94">
        <v>45919</v>
      </c>
      <c r="AB120" s="166" t="s">
        <v>69</v>
      </c>
      <c r="AC120" s="166" t="s">
        <v>69</v>
      </c>
      <c r="AD120" s="167" t="s">
        <v>71</v>
      </c>
      <c r="AE120" s="167" t="s">
        <v>71</v>
      </c>
      <c r="AF120" s="112">
        <v>45672</v>
      </c>
      <c r="AG120" s="112" t="s">
        <v>69</v>
      </c>
      <c r="AH120" s="167" t="s">
        <v>71</v>
      </c>
      <c r="AI120" s="167" t="s">
        <v>71</v>
      </c>
      <c r="AJ120" s="167" t="s">
        <v>71</v>
      </c>
      <c r="AK120" s="167" t="s">
        <v>70</v>
      </c>
      <c r="AL120" s="166" t="s">
        <v>69</v>
      </c>
      <c r="AM120" s="166"/>
      <c r="AN120" s="166" t="s">
        <v>69</v>
      </c>
      <c r="AO120" s="167" t="s">
        <v>70</v>
      </c>
      <c r="AP120" s="166" t="s">
        <v>69</v>
      </c>
      <c r="AQ120" s="166" t="s">
        <v>69</v>
      </c>
      <c r="AR120" s="166" t="s">
        <v>69</v>
      </c>
      <c r="AS120" s="94">
        <v>45904</v>
      </c>
      <c r="AT120" s="166" t="s">
        <v>69</v>
      </c>
      <c r="AU120" s="166" t="s">
        <v>69</v>
      </c>
      <c r="AV120" s="166" t="s">
        <v>69</v>
      </c>
      <c r="AW120" s="166" t="s">
        <v>69</v>
      </c>
      <c r="AX120" s="166" t="s">
        <v>69</v>
      </c>
      <c r="AY120" s="94">
        <v>42598</v>
      </c>
      <c r="AZ120" s="166" t="s">
        <v>69</v>
      </c>
      <c r="BA120" s="166" t="s">
        <v>69</v>
      </c>
      <c r="BB120" s="166" t="s">
        <v>69</v>
      </c>
      <c r="BC120" s="166" t="s">
        <v>69</v>
      </c>
      <c r="BD120" s="166" t="s">
        <v>69</v>
      </c>
      <c r="BE120" s="166" t="s">
        <v>69</v>
      </c>
      <c r="BF120" s="166" t="s">
        <v>69</v>
      </c>
      <c r="BG120" s="167" t="s">
        <v>70</v>
      </c>
      <c r="BH120" s="166" t="s">
        <v>69</v>
      </c>
      <c r="BI120" s="166" t="s">
        <v>69</v>
      </c>
      <c r="BJ120" s="167" t="s">
        <v>70</v>
      </c>
      <c r="BK120" s="166" t="s">
        <v>69</v>
      </c>
      <c r="BL120" s="167" t="s">
        <v>70</v>
      </c>
      <c r="BM120" s="167" t="s">
        <v>70</v>
      </c>
      <c r="BN120" s="167" t="s">
        <v>70</v>
      </c>
      <c r="BO120" s="167" t="s">
        <v>70</v>
      </c>
      <c r="BP120" s="173"/>
      <c r="BQ120" s="151">
        <v>0</v>
      </c>
    </row>
    <row r="121" spans="1:136" s="151" customFormat="1" ht="19.5" customHeight="1" x14ac:dyDescent="0.2">
      <c r="A121" s="117">
        <v>118</v>
      </c>
      <c r="B121" s="194" t="s">
        <v>102</v>
      </c>
      <c r="C121" s="194">
        <v>145560</v>
      </c>
      <c r="D121" s="117" t="s">
        <v>73</v>
      </c>
      <c r="E121" s="146" t="s">
        <v>68</v>
      </c>
      <c r="F121" s="146" t="s">
        <v>208</v>
      </c>
      <c r="G121" s="162">
        <v>42222</v>
      </c>
      <c r="H121" s="162">
        <v>42481</v>
      </c>
      <c r="I121" s="162">
        <v>46125</v>
      </c>
      <c r="J121" s="162">
        <f t="shared" si="9"/>
        <v>46856</v>
      </c>
      <c r="K121" s="111">
        <v>42324</v>
      </c>
      <c r="L121" s="111">
        <v>46140</v>
      </c>
      <c r="M121" s="163">
        <f t="shared" si="10"/>
        <v>46871</v>
      </c>
      <c r="N121" s="111">
        <v>42514</v>
      </c>
      <c r="O121" s="111">
        <v>42515</v>
      </c>
      <c r="P121" s="111">
        <v>42516</v>
      </c>
      <c r="Q121" s="166" t="s">
        <v>69</v>
      </c>
      <c r="R121" s="166" t="s">
        <v>69</v>
      </c>
      <c r="S121" s="166" t="s">
        <v>69</v>
      </c>
      <c r="T121" s="94">
        <v>43179</v>
      </c>
      <c r="U121" s="166" t="s">
        <v>69</v>
      </c>
      <c r="V121" s="94">
        <v>44515</v>
      </c>
      <c r="W121" s="94">
        <v>45492</v>
      </c>
      <c r="X121" s="94">
        <v>42646</v>
      </c>
      <c r="Y121" s="94">
        <v>44431</v>
      </c>
      <c r="Z121" s="199">
        <v>44557</v>
      </c>
      <c r="AA121" s="166" t="s">
        <v>69</v>
      </c>
      <c r="AB121" s="166" t="s">
        <v>69</v>
      </c>
      <c r="AC121" s="166" t="s">
        <v>69</v>
      </c>
      <c r="AD121" s="167" t="s">
        <v>71</v>
      </c>
      <c r="AE121" s="167" t="s">
        <v>71</v>
      </c>
      <c r="AF121" s="94">
        <v>45909</v>
      </c>
      <c r="AG121" s="112" t="s">
        <v>69</v>
      </c>
      <c r="AH121" s="167" t="s">
        <v>71</v>
      </c>
      <c r="AI121" s="167" t="s">
        <v>71</v>
      </c>
      <c r="AJ121" s="167" t="s">
        <v>71</v>
      </c>
      <c r="AK121" s="167" t="s">
        <v>70</v>
      </c>
      <c r="AL121" s="166" t="s">
        <v>69</v>
      </c>
      <c r="AM121" s="166"/>
      <c r="AN121" s="166" t="s">
        <v>69</v>
      </c>
      <c r="AO121" s="167" t="s">
        <v>70</v>
      </c>
      <c r="AP121" s="166" t="s">
        <v>69</v>
      </c>
      <c r="AQ121" s="166" t="s">
        <v>69</v>
      </c>
      <c r="AR121" s="166" t="s">
        <v>69</v>
      </c>
      <c r="AS121" s="94">
        <v>45940</v>
      </c>
      <c r="AT121" s="166" t="s">
        <v>69</v>
      </c>
      <c r="AU121" s="166" t="s">
        <v>69</v>
      </c>
      <c r="AV121" s="166" t="s">
        <v>69</v>
      </c>
      <c r="AW121" s="166" t="s">
        <v>69</v>
      </c>
      <c r="AX121" s="166" t="s">
        <v>69</v>
      </c>
      <c r="AY121" s="166" t="s">
        <v>69</v>
      </c>
      <c r="AZ121" s="166" t="s">
        <v>69</v>
      </c>
      <c r="BA121" s="166" t="s">
        <v>69</v>
      </c>
      <c r="BB121" s="166" t="s">
        <v>69</v>
      </c>
      <c r="BC121" s="166" t="s">
        <v>69</v>
      </c>
      <c r="BD121" s="166" t="s">
        <v>69</v>
      </c>
      <c r="BE121" s="166" t="s">
        <v>69</v>
      </c>
      <c r="BF121" s="166" t="s">
        <v>69</v>
      </c>
      <c r="BG121" s="167" t="s">
        <v>70</v>
      </c>
      <c r="BH121" s="166" t="s">
        <v>69</v>
      </c>
      <c r="BI121" s="166" t="s">
        <v>69</v>
      </c>
      <c r="BJ121" s="167" t="s">
        <v>70</v>
      </c>
      <c r="BK121" s="166" t="s">
        <v>69</v>
      </c>
      <c r="BL121" s="167" t="s">
        <v>70</v>
      </c>
      <c r="BM121" s="167" t="s">
        <v>70</v>
      </c>
      <c r="BN121" s="167" t="s">
        <v>70</v>
      </c>
      <c r="BO121" s="167" t="s">
        <v>70</v>
      </c>
      <c r="BP121" s="173"/>
      <c r="BQ121" s="151">
        <v>0</v>
      </c>
    </row>
    <row r="122" spans="1:136" s="151" customFormat="1" ht="19.5" customHeight="1" x14ac:dyDescent="0.2">
      <c r="A122" s="117">
        <v>119</v>
      </c>
      <c r="B122" s="117" t="s">
        <v>148</v>
      </c>
      <c r="C122" s="208">
        <v>152473</v>
      </c>
      <c r="D122" s="117" t="s">
        <v>73</v>
      </c>
      <c r="E122" s="117" t="s">
        <v>83</v>
      </c>
      <c r="F122" s="146" t="s">
        <v>208</v>
      </c>
      <c r="G122" s="172">
        <v>42657</v>
      </c>
      <c r="H122" s="172">
        <v>42667</v>
      </c>
      <c r="I122" s="172">
        <v>45951</v>
      </c>
      <c r="J122" s="162">
        <f t="shared" ref="J122:J153" si="11">IF(I122="", "", DATE(YEAR(I122)+2, MONTH(I122), DAY(I122)))</f>
        <v>46681</v>
      </c>
      <c r="K122" s="111">
        <v>42961</v>
      </c>
      <c r="L122" s="111">
        <v>45957</v>
      </c>
      <c r="M122" s="163">
        <f t="shared" ref="M122:M153" si="12">IF(L122="", "", DATE(YEAR(L122)+2, MONTH(L122), DAY(L122)))</f>
        <v>46687</v>
      </c>
      <c r="N122" s="111">
        <v>42395</v>
      </c>
      <c r="O122" s="111">
        <v>42396</v>
      </c>
      <c r="P122" s="111">
        <v>42397</v>
      </c>
      <c r="Q122" s="166" t="s">
        <v>69</v>
      </c>
      <c r="R122" s="166" t="s">
        <v>69</v>
      </c>
      <c r="S122" s="166" t="s">
        <v>69</v>
      </c>
      <c r="T122" s="94">
        <v>42898</v>
      </c>
      <c r="U122" s="166" t="s">
        <v>69</v>
      </c>
      <c r="V122" s="94">
        <v>44515</v>
      </c>
      <c r="W122" s="166" t="s">
        <v>69</v>
      </c>
      <c r="X122" s="94">
        <v>43773</v>
      </c>
      <c r="Y122" s="166" t="s">
        <v>69</v>
      </c>
      <c r="Z122" s="94">
        <v>43521</v>
      </c>
      <c r="AA122" s="166" t="s">
        <v>69</v>
      </c>
      <c r="AB122" s="166" t="s">
        <v>69</v>
      </c>
      <c r="AC122" s="166" t="s">
        <v>69</v>
      </c>
      <c r="AD122" s="167" t="s">
        <v>71</v>
      </c>
      <c r="AE122" s="167" t="s">
        <v>70</v>
      </c>
      <c r="AF122" s="112">
        <v>46077</v>
      </c>
      <c r="AG122" s="112" t="s">
        <v>69</v>
      </c>
      <c r="AH122" s="167" t="s">
        <v>71</v>
      </c>
      <c r="AI122" s="167" t="s">
        <v>71</v>
      </c>
      <c r="AJ122" s="167" t="s">
        <v>71</v>
      </c>
      <c r="AK122" s="167" t="s">
        <v>70</v>
      </c>
      <c r="AL122" s="166" t="s">
        <v>69</v>
      </c>
      <c r="AM122" s="166"/>
      <c r="AN122" s="166" t="s">
        <v>69</v>
      </c>
      <c r="AO122" s="167" t="s">
        <v>70</v>
      </c>
      <c r="AP122" s="166" t="s">
        <v>69</v>
      </c>
      <c r="AQ122" s="166" t="s">
        <v>69</v>
      </c>
      <c r="AR122" s="166" t="s">
        <v>69</v>
      </c>
      <c r="AS122" s="166" t="s">
        <v>69</v>
      </c>
      <c r="AT122" s="166" t="s">
        <v>69</v>
      </c>
      <c r="AU122" s="166" t="s">
        <v>69</v>
      </c>
      <c r="AV122" s="166" t="s">
        <v>69</v>
      </c>
      <c r="AW122" s="166" t="s">
        <v>69</v>
      </c>
      <c r="AX122" s="166" t="s">
        <v>69</v>
      </c>
      <c r="AY122" s="166" t="s">
        <v>69</v>
      </c>
      <c r="AZ122" s="166" t="s">
        <v>69</v>
      </c>
      <c r="BA122" s="166" t="s">
        <v>69</v>
      </c>
      <c r="BB122" s="166" t="s">
        <v>69</v>
      </c>
      <c r="BC122" s="166" t="s">
        <v>69</v>
      </c>
      <c r="BD122" s="166" t="s">
        <v>69</v>
      </c>
      <c r="BE122" s="166" t="s">
        <v>69</v>
      </c>
      <c r="BF122" s="166" t="s">
        <v>69</v>
      </c>
      <c r="BG122" s="167" t="s">
        <v>70</v>
      </c>
      <c r="BH122" s="166" t="s">
        <v>69</v>
      </c>
      <c r="BI122" s="166" t="s">
        <v>69</v>
      </c>
      <c r="BJ122" s="167" t="s">
        <v>70</v>
      </c>
      <c r="BK122" s="166" t="s">
        <v>69</v>
      </c>
      <c r="BL122" s="167" t="s">
        <v>70</v>
      </c>
      <c r="BM122" s="167" t="s">
        <v>70</v>
      </c>
      <c r="BN122" s="167" t="s">
        <v>70</v>
      </c>
      <c r="BO122" s="167" t="s">
        <v>70</v>
      </c>
      <c r="BP122" s="167" t="s">
        <v>70</v>
      </c>
      <c r="BQ122" s="151">
        <v>0</v>
      </c>
      <c r="BR122" s="142"/>
      <c r="BS122" s="142"/>
      <c r="BT122" s="142"/>
      <c r="BU122" s="142"/>
      <c r="BV122" s="142"/>
      <c r="BW122" s="142"/>
      <c r="BX122" s="142"/>
      <c r="BY122" s="142"/>
      <c r="BZ122" s="142"/>
      <c r="CA122" s="142"/>
      <c r="CB122" s="142"/>
      <c r="CC122" s="142"/>
      <c r="CD122" s="142"/>
      <c r="CE122" s="142"/>
      <c r="CF122" s="142"/>
      <c r="CG122" s="142"/>
      <c r="CH122" s="142"/>
      <c r="CI122" s="142"/>
      <c r="CJ122" s="142"/>
      <c r="CK122" s="142"/>
      <c r="CL122" s="142"/>
      <c r="CM122" s="142"/>
      <c r="CN122" s="142"/>
      <c r="CO122" s="142"/>
      <c r="CP122" s="142"/>
      <c r="CQ122" s="142"/>
      <c r="CR122" s="142"/>
      <c r="CS122" s="142"/>
      <c r="CT122" s="142"/>
      <c r="CU122" s="142"/>
      <c r="CV122" s="142"/>
      <c r="CW122" s="142"/>
      <c r="CX122" s="142"/>
      <c r="CY122" s="142"/>
      <c r="CZ122" s="142"/>
      <c r="DA122" s="142"/>
      <c r="DB122" s="142"/>
      <c r="DC122" s="142"/>
      <c r="DD122" s="142"/>
      <c r="DE122" s="142"/>
      <c r="DF122" s="142"/>
      <c r="DG122" s="142"/>
      <c r="DH122" s="142"/>
      <c r="DI122" s="142"/>
      <c r="DJ122" s="142"/>
      <c r="DK122" s="142"/>
      <c r="DL122" s="142"/>
      <c r="DM122" s="142"/>
      <c r="DN122" s="142"/>
      <c r="DO122" s="142"/>
      <c r="DP122" s="142"/>
      <c r="DQ122" s="142"/>
      <c r="DR122" s="142"/>
      <c r="DS122" s="142"/>
      <c r="DT122" s="142"/>
      <c r="DU122" s="142"/>
      <c r="DV122" s="142"/>
      <c r="DW122" s="142"/>
      <c r="DX122" s="142"/>
      <c r="DY122" s="142"/>
      <c r="DZ122" s="142"/>
      <c r="EA122" s="142"/>
      <c r="EB122" s="142"/>
      <c r="EC122" s="142"/>
      <c r="ED122" s="142"/>
      <c r="EE122" s="142"/>
      <c r="EF122" s="142"/>
    </row>
    <row r="123" spans="1:136" s="151" customFormat="1" ht="19.5" customHeight="1" x14ac:dyDescent="0.2">
      <c r="A123" s="117">
        <v>120</v>
      </c>
      <c r="B123" s="117" t="s">
        <v>149</v>
      </c>
      <c r="C123" s="208">
        <v>152476</v>
      </c>
      <c r="D123" s="117" t="s">
        <v>73</v>
      </c>
      <c r="E123" s="117" t="s">
        <v>83</v>
      </c>
      <c r="F123" s="146" t="s">
        <v>208</v>
      </c>
      <c r="G123" s="172">
        <v>42629</v>
      </c>
      <c r="H123" s="172">
        <v>43703</v>
      </c>
      <c r="I123" s="172">
        <v>45932</v>
      </c>
      <c r="J123" s="162">
        <f t="shared" si="11"/>
        <v>46662</v>
      </c>
      <c r="K123" s="111">
        <v>42739</v>
      </c>
      <c r="L123" s="111">
        <v>46001</v>
      </c>
      <c r="M123" s="163">
        <f t="shared" si="12"/>
        <v>46731</v>
      </c>
      <c r="N123" s="111">
        <v>43481</v>
      </c>
      <c r="O123" s="111">
        <v>43482</v>
      </c>
      <c r="P123" s="111">
        <v>43480</v>
      </c>
      <c r="Q123" s="166" t="s">
        <v>69</v>
      </c>
      <c r="R123" s="166" t="s">
        <v>69</v>
      </c>
      <c r="S123" s="166" t="s">
        <v>69</v>
      </c>
      <c r="T123" s="94">
        <v>42996</v>
      </c>
      <c r="U123" s="166" t="s">
        <v>69</v>
      </c>
      <c r="V123" s="94">
        <v>44501</v>
      </c>
      <c r="W123" s="94">
        <v>44550</v>
      </c>
      <c r="X123" s="94">
        <v>42464</v>
      </c>
      <c r="Y123" s="168" t="s">
        <v>69</v>
      </c>
      <c r="Z123" s="94">
        <v>45408</v>
      </c>
      <c r="AA123" s="94">
        <v>45919</v>
      </c>
      <c r="AB123" s="166" t="s">
        <v>69</v>
      </c>
      <c r="AC123" s="166" t="s">
        <v>69</v>
      </c>
      <c r="AD123" s="167" t="s">
        <v>71</v>
      </c>
      <c r="AE123" s="167" t="s">
        <v>70</v>
      </c>
      <c r="AF123" s="112">
        <v>45637</v>
      </c>
      <c r="AG123" s="112" t="s">
        <v>69</v>
      </c>
      <c r="AH123" s="167" t="s">
        <v>71</v>
      </c>
      <c r="AI123" s="167" t="s">
        <v>71</v>
      </c>
      <c r="AJ123" s="167" t="s">
        <v>71</v>
      </c>
      <c r="AK123" s="167" t="s">
        <v>70</v>
      </c>
      <c r="AL123" s="166" t="s">
        <v>69</v>
      </c>
      <c r="AM123" s="166"/>
      <c r="AN123" s="166" t="s">
        <v>69</v>
      </c>
      <c r="AO123" s="167" t="s">
        <v>70</v>
      </c>
      <c r="AP123" s="166" t="s">
        <v>69</v>
      </c>
      <c r="AQ123" s="166" t="s">
        <v>69</v>
      </c>
      <c r="AR123" s="168">
        <v>46276</v>
      </c>
      <c r="AS123" s="166" t="s">
        <v>69</v>
      </c>
      <c r="AT123" s="166" t="s">
        <v>69</v>
      </c>
      <c r="AU123" s="166" t="s">
        <v>69</v>
      </c>
      <c r="AV123" s="166" t="s">
        <v>69</v>
      </c>
      <c r="AW123" s="166" t="s">
        <v>69</v>
      </c>
      <c r="AX123" s="166" t="s">
        <v>69</v>
      </c>
      <c r="AY123" s="166" t="s">
        <v>69</v>
      </c>
      <c r="AZ123" s="166" t="s">
        <v>69</v>
      </c>
      <c r="BA123" s="166" t="s">
        <v>69</v>
      </c>
      <c r="BB123" s="166" t="s">
        <v>69</v>
      </c>
      <c r="BC123" s="166" t="s">
        <v>69</v>
      </c>
      <c r="BD123" s="166" t="s">
        <v>69</v>
      </c>
      <c r="BE123" s="166" t="s">
        <v>69</v>
      </c>
      <c r="BF123" s="166" t="s">
        <v>69</v>
      </c>
      <c r="BG123" s="167" t="s">
        <v>70</v>
      </c>
      <c r="BH123" s="166" t="s">
        <v>69</v>
      </c>
      <c r="BI123" s="166" t="s">
        <v>69</v>
      </c>
      <c r="BJ123" s="167" t="s">
        <v>70</v>
      </c>
      <c r="BK123" s="166" t="s">
        <v>69</v>
      </c>
      <c r="BL123" s="167" t="s">
        <v>70</v>
      </c>
      <c r="BM123" s="167" t="s">
        <v>70</v>
      </c>
      <c r="BN123" s="167" t="s">
        <v>70</v>
      </c>
      <c r="BO123" s="167" t="s">
        <v>70</v>
      </c>
      <c r="BP123" s="167" t="s">
        <v>70</v>
      </c>
      <c r="BQ123" s="151">
        <v>0</v>
      </c>
      <c r="BR123" s="142"/>
      <c r="BS123" s="142"/>
      <c r="BT123" s="142"/>
      <c r="BU123" s="142"/>
      <c r="BV123" s="142"/>
      <c r="BW123" s="142"/>
      <c r="BX123" s="142"/>
      <c r="BY123" s="142"/>
      <c r="BZ123" s="142"/>
      <c r="CA123" s="142"/>
      <c r="CB123" s="142"/>
      <c r="CC123" s="142"/>
      <c r="CD123" s="142"/>
      <c r="CE123" s="142"/>
      <c r="CF123" s="142"/>
      <c r="CG123" s="142"/>
      <c r="CH123" s="142"/>
      <c r="CI123" s="142"/>
      <c r="CJ123" s="142"/>
      <c r="CK123" s="142"/>
      <c r="CL123" s="142"/>
      <c r="CM123" s="142"/>
      <c r="CN123" s="142"/>
      <c r="CO123" s="142"/>
      <c r="CP123" s="142"/>
      <c r="CQ123" s="142"/>
      <c r="CR123" s="142"/>
      <c r="CS123" s="142"/>
      <c r="CT123" s="142"/>
      <c r="CU123" s="142"/>
      <c r="CV123" s="142"/>
      <c r="CW123" s="142"/>
      <c r="CX123" s="142"/>
      <c r="CY123" s="142"/>
      <c r="CZ123" s="142"/>
      <c r="DA123" s="142"/>
      <c r="DB123" s="142"/>
      <c r="DC123" s="142"/>
      <c r="DD123" s="142"/>
      <c r="DE123" s="142"/>
      <c r="DF123" s="142"/>
      <c r="DG123" s="142"/>
      <c r="DH123" s="142"/>
      <c r="DI123" s="142"/>
      <c r="DJ123" s="142"/>
      <c r="DK123" s="142"/>
      <c r="DL123" s="142"/>
      <c r="DM123" s="142"/>
      <c r="DN123" s="142"/>
      <c r="DO123" s="142"/>
      <c r="DP123" s="142"/>
      <c r="DQ123" s="142"/>
      <c r="DR123" s="142"/>
      <c r="DS123" s="142"/>
      <c r="DT123" s="142"/>
      <c r="DU123" s="142"/>
      <c r="DV123" s="142"/>
      <c r="DW123" s="142"/>
      <c r="DX123" s="142"/>
      <c r="DY123" s="142"/>
      <c r="DZ123" s="142"/>
      <c r="EA123" s="142"/>
      <c r="EB123" s="142"/>
      <c r="EC123" s="142"/>
      <c r="ED123" s="142"/>
      <c r="EE123" s="142"/>
      <c r="EF123" s="142"/>
    </row>
    <row r="124" spans="1:136" s="151" customFormat="1" ht="19.5" customHeight="1" x14ac:dyDescent="0.2">
      <c r="A124" s="117">
        <v>121</v>
      </c>
      <c r="B124" s="117" t="s">
        <v>154</v>
      </c>
      <c r="C124" s="117">
        <v>83122104</v>
      </c>
      <c r="D124" s="117" t="s">
        <v>73</v>
      </c>
      <c r="E124" s="183" t="s">
        <v>83</v>
      </c>
      <c r="F124" s="146" t="s">
        <v>208</v>
      </c>
      <c r="G124" s="172">
        <v>41848</v>
      </c>
      <c r="H124" s="172">
        <v>42471</v>
      </c>
      <c r="I124" s="172">
        <v>46041</v>
      </c>
      <c r="J124" s="162">
        <f t="shared" si="11"/>
        <v>46771</v>
      </c>
      <c r="K124" s="111">
        <v>42471</v>
      </c>
      <c r="L124" s="111">
        <v>46049</v>
      </c>
      <c r="M124" s="163">
        <f t="shared" si="12"/>
        <v>46779</v>
      </c>
      <c r="N124" s="111">
        <v>42471</v>
      </c>
      <c r="O124" s="111">
        <v>42471</v>
      </c>
      <c r="P124" s="111">
        <v>42471</v>
      </c>
      <c r="Q124" s="166" t="s">
        <v>69</v>
      </c>
      <c r="R124" s="166" t="s">
        <v>69</v>
      </c>
      <c r="S124" s="166" t="s">
        <v>69</v>
      </c>
      <c r="T124" s="111">
        <v>43857</v>
      </c>
      <c r="U124" s="166" t="s">
        <v>69</v>
      </c>
      <c r="V124" s="94">
        <v>44144</v>
      </c>
      <c r="W124" s="94">
        <v>45359</v>
      </c>
      <c r="X124" s="94">
        <v>43668</v>
      </c>
      <c r="Y124" s="166" t="s">
        <v>69</v>
      </c>
      <c r="Z124" s="94">
        <v>44417</v>
      </c>
      <c r="AA124" s="166" t="s">
        <v>69</v>
      </c>
      <c r="AB124" s="166" t="s">
        <v>69</v>
      </c>
      <c r="AC124" s="166" t="s">
        <v>69</v>
      </c>
      <c r="AD124" s="167" t="s">
        <v>71</v>
      </c>
      <c r="AE124" s="167" t="s">
        <v>70</v>
      </c>
      <c r="AF124" s="112">
        <v>46261</v>
      </c>
      <c r="AG124" s="112" t="s">
        <v>69</v>
      </c>
      <c r="AH124" s="167" t="s">
        <v>71</v>
      </c>
      <c r="AI124" s="167" t="s">
        <v>71</v>
      </c>
      <c r="AJ124" s="167" t="s">
        <v>71</v>
      </c>
      <c r="AK124" s="167" t="s">
        <v>70</v>
      </c>
      <c r="AL124" s="166" t="s">
        <v>69</v>
      </c>
      <c r="AM124" s="166"/>
      <c r="AN124" s="166" t="s">
        <v>69</v>
      </c>
      <c r="AO124" s="167" t="s">
        <v>70</v>
      </c>
      <c r="AP124" s="166" t="s">
        <v>69</v>
      </c>
      <c r="AQ124" s="166" t="s">
        <v>69</v>
      </c>
      <c r="AR124" s="166" t="s">
        <v>69</v>
      </c>
      <c r="AS124" s="166" t="s">
        <v>69</v>
      </c>
      <c r="AT124" s="94">
        <v>43774</v>
      </c>
      <c r="AU124" s="166" t="s">
        <v>69</v>
      </c>
      <c r="AV124" s="166" t="s">
        <v>69</v>
      </c>
      <c r="AW124" s="166" t="s">
        <v>69</v>
      </c>
      <c r="AX124" s="166" t="s">
        <v>69</v>
      </c>
      <c r="AY124" s="166" t="s">
        <v>69</v>
      </c>
      <c r="AZ124" s="166" t="s">
        <v>69</v>
      </c>
      <c r="BA124" s="166" t="s">
        <v>69</v>
      </c>
      <c r="BB124" s="166" t="s">
        <v>69</v>
      </c>
      <c r="BC124" s="166" t="s">
        <v>69</v>
      </c>
      <c r="BD124" s="166" t="s">
        <v>69</v>
      </c>
      <c r="BE124" s="166" t="s">
        <v>69</v>
      </c>
      <c r="BF124" s="166" t="s">
        <v>69</v>
      </c>
      <c r="BG124" s="167" t="s">
        <v>70</v>
      </c>
      <c r="BH124" s="166" t="s">
        <v>69</v>
      </c>
      <c r="BI124" s="166" t="s">
        <v>69</v>
      </c>
      <c r="BJ124" s="167" t="s">
        <v>70</v>
      </c>
      <c r="BK124" s="166" t="s">
        <v>69</v>
      </c>
      <c r="BL124" s="167" t="s">
        <v>70</v>
      </c>
      <c r="BM124" s="167" t="s">
        <v>70</v>
      </c>
      <c r="BN124" s="167" t="s">
        <v>70</v>
      </c>
      <c r="BO124" s="167" t="s">
        <v>70</v>
      </c>
      <c r="BP124" s="167" t="s">
        <v>70</v>
      </c>
      <c r="BQ124" s="151">
        <v>0</v>
      </c>
      <c r="BR124" s="142"/>
      <c r="BS124" s="142"/>
      <c r="BT124" s="142"/>
      <c r="BU124" s="142"/>
      <c r="BV124" s="142"/>
      <c r="BW124" s="142"/>
      <c r="BX124" s="142"/>
      <c r="BY124" s="142"/>
      <c r="BZ124" s="142"/>
      <c r="CA124" s="142"/>
      <c r="CB124" s="142"/>
      <c r="CC124" s="142"/>
      <c r="CD124" s="142"/>
      <c r="CE124" s="142"/>
      <c r="CF124" s="142"/>
      <c r="CG124" s="142"/>
      <c r="CH124" s="142"/>
      <c r="CI124" s="142"/>
      <c r="CJ124" s="142"/>
      <c r="CK124" s="142"/>
      <c r="CL124" s="142"/>
      <c r="CM124" s="142"/>
      <c r="CN124" s="142"/>
      <c r="CO124" s="142"/>
      <c r="CP124" s="142"/>
      <c r="CQ124" s="142"/>
      <c r="CR124" s="142"/>
      <c r="CS124" s="142"/>
      <c r="CT124" s="142"/>
      <c r="CU124" s="142"/>
      <c r="CV124" s="142"/>
      <c r="CW124" s="142"/>
      <c r="CX124" s="142"/>
      <c r="CY124" s="142"/>
      <c r="CZ124" s="142"/>
      <c r="DA124" s="142"/>
      <c r="DB124" s="142"/>
      <c r="DC124" s="142"/>
      <c r="DD124" s="142"/>
      <c r="DE124" s="142"/>
      <c r="DF124" s="142"/>
      <c r="DG124" s="142"/>
      <c r="DH124" s="142"/>
      <c r="DI124" s="142"/>
      <c r="DJ124" s="142"/>
      <c r="DK124" s="142"/>
      <c r="DL124" s="142"/>
      <c r="DM124" s="142"/>
      <c r="DN124" s="142"/>
      <c r="DO124" s="142"/>
      <c r="DP124" s="142"/>
      <c r="DQ124" s="142"/>
      <c r="DR124" s="142"/>
      <c r="DS124" s="142"/>
      <c r="DT124" s="142"/>
      <c r="DU124" s="142"/>
      <c r="DV124" s="142"/>
      <c r="DW124" s="142"/>
      <c r="DX124" s="142"/>
      <c r="DY124" s="142"/>
      <c r="DZ124" s="142"/>
      <c r="EA124" s="142"/>
      <c r="EB124" s="142"/>
      <c r="EC124" s="142"/>
      <c r="ED124" s="142"/>
      <c r="EE124" s="142"/>
      <c r="EF124" s="142"/>
    </row>
    <row r="125" spans="1:136" s="151" customFormat="1" ht="19.5" customHeight="1" x14ac:dyDescent="0.2">
      <c r="A125" s="117">
        <v>122</v>
      </c>
      <c r="B125" s="117" t="s">
        <v>165</v>
      </c>
      <c r="C125" s="117">
        <v>135031</v>
      </c>
      <c r="D125" s="117" t="s">
        <v>73</v>
      </c>
      <c r="E125" s="183" t="s">
        <v>83</v>
      </c>
      <c r="F125" s="146" t="s">
        <v>208</v>
      </c>
      <c r="G125" s="172">
        <v>42024</v>
      </c>
      <c r="H125" s="172">
        <v>45679</v>
      </c>
      <c r="I125" s="172">
        <v>45355</v>
      </c>
      <c r="J125" s="300">
        <f t="shared" si="11"/>
        <v>46085</v>
      </c>
      <c r="K125" s="111">
        <v>42310</v>
      </c>
      <c r="L125" s="111">
        <v>45938</v>
      </c>
      <c r="M125" s="163">
        <f t="shared" si="12"/>
        <v>46668</v>
      </c>
      <c r="N125" s="111">
        <v>42668</v>
      </c>
      <c r="O125" s="111">
        <v>42669</v>
      </c>
      <c r="P125" s="111">
        <v>42670</v>
      </c>
      <c r="Q125" s="166" t="s">
        <v>69</v>
      </c>
      <c r="R125" s="166" t="s">
        <v>69</v>
      </c>
      <c r="S125" s="166" t="s">
        <v>69</v>
      </c>
      <c r="T125" s="94">
        <v>42877</v>
      </c>
      <c r="U125" s="166" t="s">
        <v>69</v>
      </c>
      <c r="V125" s="94">
        <v>43528</v>
      </c>
      <c r="W125" s="94">
        <v>44404</v>
      </c>
      <c r="X125" s="94">
        <v>42195</v>
      </c>
      <c r="Y125" s="94">
        <v>44431</v>
      </c>
      <c r="Z125" s="94">
        <v>44487</v>
      </c>
      <c r="AA125" s="94">
        <v>45695</v>
      </c>
      <c r="AB125" s="166" t="s">
        <v>69</v>
      </c>
      <c r="AC125" s="166" t="s">
        <v>69</v>
      </c>
      <c r="AD125" s="167" t="s">
        <v>71</v>
      </c>
      <c r="AE125" s="167" t="s">
        <v>70</v>
      </c>
      <c r="AF125" s="94">
        <v>45944</v>
      </c>
      <c r="AG125" s="112" t="s">
        <v>69</v>
      </c>
      <c r="AH125" s="167" t="s">
        <v>71</v>
      </c>
      <c r="AI125" s="167" t="s">
        <v>71</v>
      </c>
      <c r="AJ125" s="167" t="s">
        <v>71</v>
      </c>
      <c r="AK125" s="167" t="s">
        <v>70</v>
      </c>
      <c r="AL125" s="166" t="s">
        <v>69</v>
      </c>
      <c r="AM125" s="166"/>
      <c r="AN125" s="166" t="s">
        <v>69</v>
      </c>
      <c r="AO125" s="167" t="s">
        <v>70</v>
      </c>
      <c r="AP125" s="94">
        <v>42328</v>
      </c>
      <c r="AQ125" s="166" t="s">
        <v>69</v>
      </c>
      <c r="AR125" s="168">
        <v>46276</v>
      </c>
      <c r="AS125" s="166" t="s">
        <v>69</v>
      </c>
      <c r="AT125" s="94">
        <v>43636</v>
      </c>
      <c r="AU125" s="166" t="s">
        <v>69</v>
      </c>
      <c r="AV125" s="166" t="s">
        <v>69</v>
      </c>
      <c r="AW125" s="94">
        <v>41901</v>
      </c>
      <c r="AX125" s="166" t="s">
        <v>69</v>
      </c>
      <c r="AY125" s="166" t="s">
        <v>69</v>
      </c>
      <c r="AZ125" s="166" t="s">
        <v>69</v>
      </c>
      <c r="BA125" s="166" t="s">
        <v>69</v>
      </c>
      <c r="BB125" s="166" t="s">
        <v>69</v>
      </c>
      <c r="BC125" s="166" t="s">
        <v>69</v>
      </c>
      <c r="BD125" s="166" t="s">
        <v>69</v>
      </c>
      <c r="BE125" s="166" t="s">
        <v>69</v>
      </c>
      <c r="BF125" s="166" t="s">
        <v>69</v>
      </c>
      <c r="BG125" s="167" t="s">
        <v>70</v>
      </c>
      <c r="BH125" s="166" t="s">
        <v>69</v>
      </c>
      <c r="BI125" s="166" t="s">
        <v>69</v>
      </c>
      <c r="BJ125" s="167" t="s">
        <v>70</v>
      </c>
      <c r="BK125" s="166" t="s">
        <v>69</v>
      </c>
      <c r="BL125" s="167" t="s">
        <v>70</v>
      </c>
      <c r="BM125" s="167" t="s">
        <v>70</v>
      </c>
      <c r="BN125" s="167" t="s">
        <v>70</v>
      </c>
      <c r="BO125" s="167" t="s">
        <v>70</v>
      </c>
      <c r="BP125" s="173"/>
      <c r="BQ125" s="151">
        <v>0</v>
      </c>
      <c r="BR125" s="142"/>
      <c r="BS125" s="142"/>
      <c r="BT125" s="142"/>
      <c r="BU125" s="142"/>
      <c r="BV125" s="142"/>
      <c r="BW125" s="142"/>
      <c r="BX125" s="142"/>
      <c r="BY125" s="142"/>
      <c r="BZ125" s="142"/>
      <c r="CA125" s="142"/>
      <c r="CB125" s="142"/>
      <c r="CC125" s="142"/>
      <c r="CD125" s="142"/>
      <c r="CE125" s="142"/>
      <c r="CF125" s="142"/>
      <c r="CG125" s="142"/>
      <c r="CH125" s="142"/>
      <c r="CI125" s="142"/>
      <c r="CJ125" s="142"/>
      <c r="CK125" s="142"/>
      <c r="CL125" s="142"/>
      <c r="CM125" s="142"/>
      <c r="CN125" s="142"/>
      <c r="CO125" s="142"/>
      <c r="CP125" s="142"/>
      <c r="CQ125" s="142"/>
      <c r="CR125" s="142"/>
      <c r="CS125" s="142"/>
      <c r="CT125" s="142"/>
      <c r="CU125" s="142"/>
      <c r="CV125" s="142"/>
      <c r="CW125" s="142"/>
      <c r="CX125" s="142"/>
      <c r="CY125" s="142"/>
      <c r="CZ125" s="142"/>
      <c r="DA125" s="142"/>
      <c r="DB125" s="142"/>
      <c r="DC125" s="142"/>
      <c r="DD125" s="142"/>
      <c r="DE125" s="142"/>
      <c r="DF125" s="142"/>
      <c r="DG125" s="142"/>
      <c r="DH125" s="142"/>
      <c r="DI125" s="142"/>
      <c r="DJ125" s="142"/>
      <c r="DK125" s="142"/>
      <c r="DL125" s="142"/>
      <c r="DM125" s="142"/>
      <c r="DN125" s="142"/>
      <c r="DO125" s="142"/>
      <c r="DP125" s="142"/>
      <c r="DQ125" s="142"/>
      <c r="DR125" s="142"/>
      <c r="DS125" s="142"/>
      <c r="DT125" s="142"/>
      <c r="DU125" s="142"/>
      <c r="DV125" s="142"/>
      <c r="DW125" s="142"/>
      <c r="DX125" s="142"/>
      <c r="DY125" s="142"/>
      <c r="DZ125" s="142"/>
      <c r="EA125" s="142"/>
      <c r="EB125" s="142"/>
      <c r="EC125" s="142"/>
      <c r="ED125" s="142"/>
      <c r="EE125" s="142"/>
      <c r="EF125" s="142"/>
    </row>
    <row r="126" spans="1:136" s="151" customFormat="1" ht="19.5" customHeight="1" x14ac:dyDescent="0.2">
      <c r="A126" s="117">
        <v>123</v>
      </c>
      <c r="B126" s="117" t="s">
        <v>168</v>
      </c>
      <c r="C126" s="117">
        <v>83102183</v>
      </c>
      <c r="D126" s="117" t="s">
        <v>73</v>
      </c>
      <c r="E126" s="183" t="s">
        <v>83</v>
      </c>
      <c r="F126" s="146" t="s">
        <v>208</v>
      </c>
      <c r="G126" s="172">
        <v>42156</v>
      </c>
      <c r="H126" s="172">
        <v>41134</v>
      </c>
      <c r="I126" s="172">
        <v>45953</v>
      </c>
      <c r="J126" s="162">
        <f t="shared" si="11"/>
        <v>46683</v>
      </c>
      <c r="K126" s="111">
        <v>41127</v>
      </c>
      <c r="L126" s="172">
        <v>46008</v>
      </c>
      <c r="M126" s="163">
        <f t="shared" si="12"/>
        <v>46738</v>
      </c>
      <c r="N126" s="111">
        <v>40921</v>
      </c>
      <c r="O126" s="111">
        <v>40921</v>
      </c>
      <c r="P126" s="111">
        <v>40921</v>
      </c>
      <c r="Q126" s="166" t="s">
        <v>69</v>
      </c>
      <c r="R126" s="166" t="s">
        <v>69</v>
      </c>
      <c r="S126" s="166" t="s">
        <v>69</v>
      </c>
      <c r="T126" s="94">
        <v>43738</v>
      </c>
      <c r="U126" s="166" t="s">
        <v>69</v>
      </c>
      <c r="V126" s="94">
        <v>45429</v>
      </c>
      <c r="W126" s="94">
        <v>43665</v>
      </c>
      <c r="X126" s="94">
        <v>42303</v>
      </c>
      <c r="Y126" s="94">
        <v>42338</v>
      </c>
      <c r="Z126" s="94">
        <v>44459</v>
      </c>
      <c r="AA126" s="166" t="s">
        <v>69</v>
      </c>
      <c r="AB126" s="166" t="s">
        <v>69</v>
      </c>
      <c r="AC126" s="166" t="s">
        <v>69</v>
      </c>
      <c r="AD126" s="167" t="s">
        <v>71</v>
      </c>
      <c r="AE126" s="167" t="s">
        <v>70</v>
      </c>
      <c r="AF126" s="94">
        <v>45993</v>
      </c>
      <c r="AG126" s="112" t="s">
        <v>69</v>
      </c>
      <c r="AH126" s="167" t="s">
        <v>71</v>
      </c>
      <c r="AI126" s="167" t="s">
        <v>71</v>
      </c>
      <c r="AJ126" s="167" t="s">
        <v>71</v>
      </c>
      <c r="AK126" s="167" t="s">
        <v>70</v>
      </c>
      <c r="AL126" s="166" t="s">
        <v>69</v>
      </c>
      <c r="AM126" s="166"/>
      <c r="AN126" s="166" t="s">
        <v>69</v>
      </c>
      <c r="AO126" s="167" t="s">
        <v>70</v>
      </c>
      <c r="AP126" s="166" t="s">
        <v>69</v>
      </c>
      <c r="AQ126" s="166" t="s">
        <v>69</v>
      </c>
      <c r="AR126" s="166" t="s">
        <v>69</v>
      </c>
      <c r="AS126" s="166" t="s">
        <v>69</v>
      </c>
      <c r="AT126" s="166" t="s">
        <v>69</v>
      </c>
      <c r="AU126" s="166" t="s">
        <v>69</v>
      </c>
      <c r="AV126" s="166" t="s">
        <v>69</v>
      </c>
      <c r="AW126" s="166" t="s">
        <v>69</v>
      </c>
      <c r="AX126" s="166" t="s">
        <v>69</v>
      </c>
      <c r="AY126" s="166" t="s">
        <v>69</v>
      </c>
      <c r="AZ126" s="166" t="s">
        <v>69</v>
      </c>
      <c r="BA126" s="166" t="s">
        <v>69</v>
      </c>
      <c r="BB126" s="166" t="s">
        <v>69</v>
      </c>
      <c r="BC126" s="166" t="s">
        <v>69</v>
      </c>
      <c r="BD126" s="166" t="s">
        <v>69</v>
      </c>
      <c r="BE126" s="166" t="s">
        <v>69</v>
      </c>
      <c r="BF126" s="166" t="s">
        <v>69</v>
      </c>
      <c r="BG126" s="167" t="s">
        <v>70</v>
      </c>
      <c r="BH126" s="166" t="s">
        <v>69</v>
      </c>
      <c r="BI126" s="166" t="s">
        <v>69</v>
      </c>
      <c r="BJ126" s="167" t="s">
        <v>70</v>
      </c>
      <c r="BK126" s="166" t="s">
        <v>69</v>
      </c>
      <c r="BL126" s="167" t="s">
        <v>70</v>
      </c>
      <c r="BM126" s="167" t="s">
        <v>70</v>
      </c>
      <c r="BN126" s="167" t="s">
        <v>70</v>
      </c>
      <c r="BO126" s="167" t="s">
        <v>70</v>
      </c>
      <c r="BP126" s="167" t="s">
        <v>70</v>
      </c>
      <c r="BQ126" s="151">
        <v>0</v>
      </c>
      <c r="BR126" s="142"/>
      <c r="BS126" s="142"/>
      <c r="BT126" s="142"/>
      <c r="BU126" s="142"/>
      <c r="BV126" s="142"/>
      <c r="BW126" s="142"/>
      <c r="BX126" s="142"/>
      <c r="BY126" s="142"/>
      <c r="BZ126" s="142"/>
      <c r="CA126" s="142"/>
      <c r="CB126" s="142"/>
      <c r="CC126" s="142"/>
      <c r="CD126" s="142"/>
      <c r="CE126" s="142"/>
      <c r="CF126" s="142"/>
      <c r="CG126" s="142"/>
      <c r="CH126" s="142"/>
      <c r="CI126" s="142"/>
      <c r="CJ126" s="142"/>
      <c r="CK126" s="142"/>
      <c r="CL126" s="142"/>
      <c r="CM126" s="142"/>
      <c r="CN126" s="142"/>
      <c r="CO126" s="142"/>
      <c r="CP126" s="142"/>
      <c r="CQ126" s="142"/>
      <c r="CR126" s="142"/>
      <c r="CS126" s="142"/>
      <c r="CT126" s="142"/>
      <c r="CU126" s="142"/>
      <c r="CV126" s="142"/>
      <c r="CW126" s="142"/>
      <c r="CX126" s="142"/>
      <c r="CY126" s="142"/>
      <c r="CZ126" s="142"/>
      <c r="DA126" s="142"/>
      <c r="DB126" s="142"/>
      <c r="DC126" s="142"/>
      <c r="DD126" s="142"/>
      <c r="DE126" s="142"/>
      <c r="DF126" s="142"/>
      <c r="DG126" s="142"/>
      <c r="DH126" s="142"/>
      <c r="DI126" s="142"/>
      <c r="DJ126" s="142"/>
      <c r="DK126" s="142"/>
      <c r="DL126" s="142"/>
      <c r="DM126" s="142"/>
      <c r="DN126" s="142"/>
      <c r="DO126" s="142"/>
      <c r="DP126" s="142"/>
      <c r="DQ126" s="142"/>
      <c r="DR126" s="142"/>
      <c r="DS126" s="142"/>
      <c r="DT126" s="142"/>
      <c r="DU126" s="142"/>
      <c r="DV126" s="142"/>
      <c r="DW126" s="142"/>
      <c r="DX126" s="142"/>
      <c r="DY126" s="142"/>
      <c r="DZ126" s="142"/>
      <c r="EA126" s="142"/>
      <c r="EB126" s="142"/>
      <c r="EC126" s="142"/>
      <c r="ED126" s="142"/>
      <c r="EE126" s="142"/>
      <c r="EF126" s="142"/>
    </row>
    <row r="127" spans="1:136" s="151" customFormat="1" ht="18.75" customHeight="1" x14ac:dyDescent="0.2">
      <c r="A127" s="117">
        <v>124</v>
      </c>
      <c r="B127" s="117" t="s">
        <v>170</v>
      </c>
      <c r="C127" s="117">
        <v>145346</v>
      </c>
      <c r="D127" s="117" t="s">
        <v>73</v>
      </c>
      <c r="E127" s="183" t="s">
        <v>83</v>
      </c>
      <c r="F127" s="146" t="s">
        <v>208</v>
      </c>
      <c r="G127" s="172">
        <v>42291</v>
      </c>
      <c r="H127" s="172">
        <v>42172</v>
      </c>
      <c r="I127" s="172">
        <v>46188</v>
      </c>
      <c r="J127" s="162">
        <f t="shared" si="11"/>
        <v>46919</v>
      </c>
      <c r="K127" s="111">
        <v>42188</v>
      </c>
      <c r="L127" s="111">
        <v>46083</v>
      </c>
      <c r="M127" s="163">
        <f t="shared" si="12"/>
        <v>46814</v>
      </c>
      <c r="N127" s="111">
        <v>43852</v>
      </c>
      <c r="O127" s="111">
        <v>43853</v>
      </c>
      <c r="P127" s="111">
        <v>43851</v>
      </c>
      <c r="Q127" s="166" t="s">
        <v>69</v>
      </c>
      <c r="R127" s="166" t="s">
        <v>69</v>
      </c>
      <c r="S127" s="166" t="s">
        <v>69</v>
      </c>
      <c r="T127" s="94">
        <v>42800</v>
      </c>
      <c r="U127" s="166" t="s">
        <v>69</v>
      </c>
      <c r="V127" s="166" t="s">
        <v>69</v>
      </c>
      <c r="W127" s="168">
        <v>45723</v>
      </c>
      <c r="X127" s="94">
        <v>43773</v>
      </c>
      <c r="Y127" s="94">
        <v>44424</v>
      </c>
      <c r="Z127" s="94">
        <v>44487</v>
      </c>
      <c r="AA127" s="94">
        <v>45695</v>
      </c>
      <c r="AB127" s="166" t="s">
        <v>69</v>
      </c>
      <c r="AC127" s="166" t="s">
        <v>69</v>
      </c>
      <c r="AD127" s="167" t="s">
        <v>71</v>
      </c>
      <c r="AE127" s="167" t="s">
        <v>70</v>
      </c>
      <c r="AF127" s="112">
        <v>46287</v>
      </c>
      <c r="AG127" s="112" t="s">
        <v>69</v>
      </c>
      <c r="AH127" s="167" t="s">
        <v>71</v>
      </c>
      <c r="AI127" s="167" t="s">
        <v>71</v>
      </c>
      <c r="AJ127" s="167" t="s">
        <v>71</v>
      </c>
      <c r="AK127" s="167" t="s">
        <v>70</v>
      </c>
      <c r="AL127" s="166" t="s">
        <v>69</v>
      </c>
      <c r="AM127" s="166"/>
      <c r="AN127" s="166" t="s">
        <v>69</v>
      </c>
      <c r="AO127" s="167" t="s">
        <v>70</v>
      </c>
      <c r="AP127" s="166" t="s">
        <v>69</v>
      </c>
      <c r="AQ127" s="166" t="s">
        <v>69</v>
      </c>
      <c r="AR127" s="168">
        <v>46184</v>
      </c>
      <c r="AS127" s="166" t="s">
        <v>69</v>
      </c>
      <c r="AT127" s="94">
        <v>43760</v>
      </c>
      <c r="AU127" s="166" t="s">
        <v>69</v>
      </c>
      <c r="AV127" s="166" t="s">
        <v>69</v>
      </c>
      <c r="AW127" s="166" t="s">
        <v>69</v>
      </c>
      <c r="AX127" s="166" t="s">
        <v>69</v>
      </c>
      <c r="AY127" s="166" t="s">
        <v>69</v>
      </c>
      <c r="AZ127" s="166" t="s">
        <v>69</v>
      </c>
      <c r="BA127" s="166" t="s">
        <v>69</v>
      </c>
      <c r="BB127" s="166" t="s">
        <v>69</v>
      </c>
      <c r="BC127" s="166" t="s">
        <v>69</v>
      </c>
      <c r="BD127" s="166" t="s">
        <v>69</v>
      </c>
      <c r="BE127" s="166" t="s">
        <v>69</v>
      </c>
      <c r="BF127" s="166" t="s">
        <v>69</v>
      </c>
      <c r="BG127" s="167" t="s">
        <v>70</v>
      </c>
      <c r="BH127" s="166" t="s">
        <v>69</v>
      </c>
      <c r="BI127" s="166" t="s">
        <v>69</v>
      </c>
      <c r="BJ127" s="167" t="s">
        <v>70</v>
      </c>
      <c r="BK127" s="166" t="s">
        <v>69</v>
      </c>
      <c r="BL127" s="167" t="s">
        <v>70</v>
      </c>
      <c r="BM127" s="167" t="s">
        <v>70</v>
      </c>
      <c r="BN127" s="167" t="s">
        <v>70</v>
      </c>
      <c r="BO127" s="167" t="s">
        <v>70</v>
      </c>
      <c r="BP127" s="167" t="s">
        <v>70</v>
      </c>
      <c r="BQ127" s="151">
        <v>0</v>
      </c>
      <c r="BR127" s="142"/>
      <c r="BS127" s="142"/>
      <c r="BT127" s="142"/>
      <c r="BU127" s="142"/>
      <c r="BV127" s="142"/>
      <c r="BW127" s="142"/>
      <c r="BX127" s="142"/>
      <c r="BY127" s="142"/>
      <c r="BZ127" s="142"/>
      <c r="CA127" s="142"/>
      <c r="CB127" s="142"/>
      <c r="CC127" s="142"/>
      <c r="CD127" s="142"/>
      <c r="CE127" s="142"/>
      <c r="CF127" s="142"/>
      <c r="CG127" s="142"/>
      <c r="CH127" s="142"/>
      <c r="CI127" s="142"/>
      <c r="CJ127" s="142"/>
      <c r="CK127" s="142"/>
      <c r="CL127" s="142"/>
      <c r="CM127" s="142"/>
      <c r="CN127" s="142"/>
      <c r="CO127" s="142"/>
      <c r="CP127" s="142"/>
      <c r="CQ127" s="142"/>
      <c r="CR127" s="142"/>
      <c r="CS127" s="142"/>
      <c r="CT127" s="142"/>
      <c r="CU127" s="142"/>
      <c r="CV127" s="142"/>
      <c r="CW127" s="142"/>
      <c r="CX127" s="142"/>
      <c r="CY127" s="142"/>
      <c r="CZ127" s="142"/>
      <c r="DA127" s="142"/>
      <c r="DB127" s="142"/>
      <c r="DC127" s="142"/>
      <c r="DD127" s="142"/>
      <c r="DE127" s="142"/>
      <c r="DF127" s="142"/>
      <c r="DG127" s="142"/>
      <c r="DH127" s="142"/>
      <c r="DI127" s="142"/>
      <c r="DJ127" s="142"/>
      <c r="DK127" s="142"/>
      <c r="DL127" s="142"/>
      <c r="DM127" s="142"/>
      <c r="DN127" s="142"/>
      <c r="DO127" s="142"/>
      <c r="DP127" s="142"/>
      <c r="DQ127" s="142"/>
      <c r="DR127" s="142"/>
      <c r="DS127" s="142"/>
      <c r="DT127" s="142"/>
      <c r="DU127" s="142"/>
      <c r="DV127" s="142"/>
      <c r="DW127" s="142"/>
      <c r="DX127" s="142"/>
      <c r="DY127" s="142"/>
      <c r="DZ127" s="142"/>
      <c r="EA127" s="142"/>
      <c r="EB127" s="142"/>
      <c r="EC127" s="142"/>
      <c r="ED127" s="142"/>
      <c r="EE127" s="142"/>
      <c r="EF127" s="142"/>
    </row>
    <row r="128" spans="1:136" s="151" customFormat="1" ht="19.5" customHeight="1" x14ac:dyDescent="0.2">
      <c r="A128" s="117">
        <v>125</v>
      </c>
      <c r="B128" s="144" t="s">
        <v>174</v>
      </c>
      <c r="C128" s="144">
        <v>83123906</v>
      </c>
      <c r="D128" s="117" t="s">
        <v>73</v>
      </c>
      <c r="E128" s="144" t="s">
        <v>83</v>
      </c>
      <c r="F128" s="146" t="s">
        <v>208</v>
      </c>
      <c r="G128" s="172">
        <v>42053</v>
      </c>
      <c r="H128" s="172">
        <v>41449</v>
      </c>
      <c r="I128" s="172">
        <v>46065</v>
      </c>
      <c r="J128" s="162">
        <f t="shared" si="11"/>
        <v>46795</v>
      </c>
      <c r="K128" s="111">
        <v>43325</v>
      </c>
      <c r="L128" s="111">
        <v>46076</v>
      </c>
      <c r="M128" s="163">
        <f t="shared" si="12"/>
        <v>46806</v>
      </c>
      <c r="N128" s="111">
        <v>43481</v>
      </c>
      <c r="O128" s="111">
        <v>43482</v>
      </c>
      <c r="P128" s="111">
        <v>43480</v>
      </c>
      <c r="Q128" s="166" t="s">
        <v>69</v>
      </c>
      <c r="R128" s="166" t="s">
        <v>69</v>
      </c>
      <c r="S128" s="166" t="s">
        <v>69</v>
      </c>
      <c r="T128" s="94">
        <v>43822</v>
      </c>
      <c r="U128" s="166" t="s">
        <v>69</v>
      </c>
      <c r="V128" s="94">
        <v>45121</v>
      </c>
      <c r="W128" s="94">
        <v>43598</v>
      </c>
      <c r="X128" s="94">
        <v>42079</v>
      </c>
      <c r="Y128" s="94">
        <v>42338</v>
      </c>
      <c r="Z128" s="94">
        <v>44417</v>
      </c>
      <c r="AA128" s="166" t="s">
        <v>69</v>
      </c>
      <c r="AB128" s="166" t="s">
        <v>69</v>
      </c>
      <c r="AC128" s="166" t="s">
        <v>69</v>
      </c>
      <c r="AD128" s="167" t="s">
        <v>71</v>
      </c>
      <c r="AE128" s="167" t="s">
        <v>70</v>
      </c>
      <c r="AF128" s="94">
        <v>45881</v>
      </c>
      <c r="AG128" s="112" t="s">
        <v>69</v>
      </c>
      <c r="AH128" s="167" t="s">
        <v>71</v>
      </c>
      <c r="AI128" s="167" t="s">
        <v>71</v>
      </c>
      <c r="AJ128" s="167" t="s">
        <v>71</v>
      </c>
      <c r="AK128" s="167" t="s">
        <v>70</v>
      </c>
      <c r="AL128" s="166" t="s">
        <v>69</v>
      </c>
      <c r="AM128" s="166"/>
      <c r="AN128" s="166" t="s">
        <v>69</v>
      </c>
      <c r="AO128" s="167" t="s">
        <v>70</v>
      </c>
      <c r="AP128" s="166" t="s">
        <v>69</v>
      </c>
      <c r="AQ128" s="166" t="s">
        <v>69</v>
      </c>
      <c r="AR128" s="166" t="s">
        <v>69</v>
      </c>
      <c r="AS128" s="168">
        <v>46171</v>
      </c>
      <c r="AT128" s="94">
        <v>43636</v>
      </c>
      <c r="AU128" s="166" t="s">
        <v>69</v>
      </c>
      <c r="AV128" s="166" t="s">
        <v>69</v>
      </c>
      <c r="AW128" s="166" t="s">
        <v>69</v>
      </c>
      <c r="AX128" s="166" t="s">
        <v>69</v>
      </c>
      <c r="AY128" s="94">
        <v>42230</v>
      </c>
      <c r="AZ128" s="166" t="s">
        <v>69</v>
      </c>
      <c r="BA128" s="166" t="s">
        <v>69</v>
      </c>
      <c r="BB128" s="166" t="s">
        <v>69</v>
      </c>
      <c r="BC128" s="166" t="s">
        <v>69</v>
      </c>
      <c r="BD128" s="166" t="s">
        <v>69</v>
      </c>
      <c r="BE128" s="166" t="s">
        <v>69</v>
      </c>
      <c r="BF128" s="166" t="s">
        <v>69</v>
      </c>
      <c r="BG128" s="167" t="s">
        <v>70</v>
      </c>
      <c r="BH128" s="166" t="s">
        <v>69</v>
      </c>
      <c r="BI128" s="166" t="s">
        <v>69</v>
      </c>
      <c r="BJ128" s="167" t="s">
        <v>70</v>
      </c>
      <c r="BK128" s="166" t="s">
        <v>69</v>
      </c>
      <c r="BL128" s="167" t="s">
        <v>70</v>
      </c>
      <c r="BM128" s="167" t="s">
        <v>70</v>
      </c>
      <c r="BN128" s="167" t="s">
        <v>70</v>
      </c>
      <c r="BO128" s="167" t="s">
        <v>70</v>
      </c>
      <c r="BP128" s="167" t="s">
        <v>70</v>
      </c>
      <c r="BQ128" s="151">
        <v>0</v>
      </c>
      <c r="BR128" s="142"/>
      <c r="BS128" s="142"/>
      <c r="BT128" s="142"/>
      <c r="BU128" s="142"/>
      <c r="BV128" s="142"/>
      <c r="BW128" s="142"/>
      <c r="BX128" s="142"/>
      <c r="BY128" s="142"/>
      <c r="BZ128" s="142"/>
      <c r="CA128" s="142"/>
      <c r="CB128" s="142"/>
      <c r="CC128" s="142"/>
      <c r="CD128" s="142"/>
      <c r="CE128" s="142"/>
      <c r="CF128" s="142"/>
      <c r="CG128" s="142"/>
      <c r="CH128" s="142"/>
      <c r="CI128" s="142"/>
      <c r="CJ128" s="142"/>
      <c r="CK128" s="142"/>
      <c r="CL128" s="142"/>
      <c r="CM128" s="142"/>
      <c r="CN128" s="142"/>
      <c r="CO128" s="142"/>
      <c r="CP128" s="142"/>
      <c r="CQ128" s="142"/>
      <c r="CR128" s="142"/>
      <c r="CS128" s="142"/>
      <c r="CT128" s="142"/>
      <c r="CU128" s="142"/>
      <c r="CV128" s="142"/>
      <c r="CW128" s="142"/>
      <c r="CX128" s="142"/>
      <c r="CY128" s="142"/>
      <c r="CZ128" s="142"/>
      <c r="DA128" s="142"/>
      <c r="DB128" s="142"/>
      <c r="DC128" s="142"/>
      <c r="DD128" s="142"/>
      <c r="DE128" s="142"/>
      <c r="DF128" s="142"/>
      <c r="DG128" s="142"/>
      <c r="DH128" s="142"/>
      <c r="DI128" s="142"/>
      <c r="DJ128" s="142"/>
      <c r="DK128" s="142"/>
      <c r="DL128" s="142"/>
      <c r="DM128" s="142"/>
      <c r="DN128" s="142"/>
      <c r="DO128" s="142"/>
      <c r="DP128" s="142"/>
      <c r="DQ128" s="142"/>
      <c r="DR128" s="142"/>
      <c r="DS128" s="142"/>
      <c r="DT128" s="142"/>
      <c r="DU128" s="142"/>
      <c r="DV128" s="142"/>
      <c r="DW128" s="142"/>
      <c r="DX128" s="142"/>
      <c r="DY128" s="142"/>
      <c r="DZ128" s="142"/>
      <c r="EA128" s="142"/>
      <c r="EB128" s="142"/>
      <c r="EC128" s="142"/>
      <c r="ED128" s="142"/>
      <c r="EE128" s="142"/>
      <c r="EF128" s="142"/>
    </row>
    <row r="129" spans="1:136" s="151" customFormat="1" ht="19.5" customHeight="1" x14ac:dyDescent="0.2">
      <c r="A129" s="117">
        <v>126</v>
      </c>
      <c r="B129" s="209" t="s">
        <v>190</v>
      </c>
      <c r="C129" s="209">
        <v>83122893</v>
      </c>
      <c r="D129" s="117" t="s">
        <v>73</v>
      </c>
      <c r="E129" s="117" t="s">
        <v>68</v>
      </c>
      <c r="F129" s="146" t="s">
        <v>208</v>
      </c>
      <c r="G129" s="92">
        <v>41129</v>
      </c>
      <c r="H129" s="92">
        <v>41127</v>
      </c>
      <c r="I129" s="92">
        <v>46079</v>
      </c>
      <c r="J129" s="162">
        <f t="shared" si="11"/>
        <v>46809</v>
      </c>
      <c r="K129" s="140">
        <v>41782</v>
      </c>
      <c r="L129" s="140">
        <v>46071</v>
      </c>
      <c r="M129" s="163">
        <f t="shared" si="12"/>
        <v>46801</v>
      </c>
      <c r="N129" s="92">
        <v>42430</v>
      </c>
      <c r="O129" s="92">
        <v>42431</v>
      </c>
      <c r="P129" s="92">
        <v>42432</v>
      </c>
      <c r="Q129" s="166" t="s">
        <v>69</v>
      </c>
      <c r="R129" s="166" t="s">
        <v>69</v>
      </c>
      <c r="S129" s="166" t="s">
        <v>69</v>
      </c>
      <c r="T129" s="199">
        <v>42800</v>
      </c>
      <c r="U129" s="166" t="s">
        <v>69</v>
      </c>
      <c r="V129" s="200">
        <v>42027</v>
      </c>
      <c r="W129" s="166" t="s">
        <v>69</v>
      </c>
      <c r="X129" s="94">
        <v>42464</v>
      </c>
      <c r="Y129" s="166" t="s">
        <v>69</v>
      </c>
      <c r="Z129" s="210">
        <v>43913</v>
      </c>
      <c r="AA129" s="166" t="s">
        <v>69</v>
      </c>
      <c r="AB129" s="166" t="s">
        <v>69</v>
      </c>
      <c r="AC129" s="200">
        <v>42055</v>
      </c>
      <c r="AD129" s="167" t="s">
        <v>71</v>
      </c>
      <c r="AE129" s="167" t="s">
        <v>70</v>
      </c>
      <c r="AF129" s="112">
        <v>45645</v>
      </c>
      <c r="AG129" s="112" t="s">
        <v>69</v>
      </c>
      <c r="AH129" s="167" t="s">
        <v>71</v>
      </c>
      <c r="AI129" s="167" t="s">
        <v>70</v>
      </c>
      <c r="AJ129" s="167" t="s">
        <v>70</v>
      </c>
      <c r="AK129" s="167" t="s">
        <v>70</v>
      </c>
      <c r="AL129" s="168"/>
      <c r="AM129" s="168">
        <v>46119</v>
      </c>
      <c r="AN129" s="166" t="s">
        <v>69</v>
      </c>
      <c r="AO129" s="167" t="s">
        <v>70</v>
      </c>
      <c r="AP129" s="166" t="s">
        <v>69</v>
      </c>
      <c r="AQ129" s="200">
        <v>43130</v>
      </c>
      <c r="AR129" s="166" t="s">
        <v>69</v>
      </c>
      <c r="AS129" s="166" t="s">
        <v>69</v>
      </c>
      <c r="AT129" s="166" t="s">
        <v>69</v>
      </c>
      <c r="AU129" s="166" t="s">
        <v>69</v>
      </c>
      <c r="AV129" s="166" t="s">
        <v>69</v>
      </c>
      <c r="AW129" s="166" t="s">
        <v>69</v>
      </c>
      <c r="AX129" s="166" t="s">
        <v>69</v>
      </c>
      <c r="AY129" s="166" t="s">
        <v>69</v>
      </c>
      <c r="AZ129" s="94">
        <v>43880</v>
      </c>
      <c r="BA129" s="94">
        <v>42628</v>
      </c>
      <c r="BB129" s="94">
        <v>44221</v>
      </c>
      <c r="BC129" s="166" t="s">
        <v>69</v>
      </c>
      <c r="BD129" s="166" t="s">
        <v>69</v>
      </c>
      <c r="BE129" s="166" t="s">
        <v>69</v>
      </c>
      <c r="BF129" s="166" t="s">
        <v>69</v>
      </c>
      <c r="BG129" s="167" t="s">
        <v>70</v>
      </c>
      <c r="BH129" s="166" t="s">
        <v>69</v>
      </c>
      <c r="BI129" s="166" t="s">
        <v>69</v>
      </c>
      <c r="BJ129" s="167" t="s">
        <v>70</v>
      </c>
      <c r="BK129" s="166" t="s">
        <v>69</v>
      </c>
      <c r="BL129" s="167" t="s">
        <v>70</v>
      </c>
      <c r="BM129" s="167" t="s">
        <v>70</v>
      </c>
      <c r="BN129" s="167" t="s">
        <v>70</v>
      </c>
      <c r="BO129" s="167" t="s">
        <v>70</v>
      </c>
      <c r="BP129" s="167" t="s">
        <v>70</v>
      </c>
      <c r="BQ129" s="151">
        <v>0</v>
      </c>
      <c r="BR129" s="142"/>
      <c r="BS129" s="142"/>
      <c r="BT129" s="142"/>
      <c r="BU129" s="142"/>
      <c r="BV129" s="142"/>
      <c r="BW129" s="142"/>
      <c r="BX129" s="142"/>
      <c r="BY129" s="142"/>
      <c r="BZ129" s="142"/>
      <c r="CA129" s="142"/>
      <c r="CB129" s="142"/>
      <c r="CC129" s="142"/>
      <c r="CD129" s="142"/>
      <c r="CE129" s="142"/>
      <c r="CF129" s="142"/>
      <c r="CG129" s="142"/>
      <c r="CH129" s="142"/>
      <c r="CI129" s="142"/>
      <c r="CJ129" s="142"/>
      <c r="CK129" s="142"/>
      <c r="CL129" s="142"/>
      <c r="CM129" s="142"/>
      <c r="CN129" s="142"/>
      <c r="CO129" s="142"/>
      <c r="CP129" s="142"/>
      <c r="CQ129" s="142"/>
      <c r="CR129" s="142"/>
      <c r="CS129" s="142"/>
      <c r="CT129" s="142"/>
      <c r="CU129" s="142"/>
      <c r="CV129" s="142"/>
      <c r="CW129" s="142"/>
      <c r="CX129" s="142"/>
      <c r="CY129" s="142"/>
      <c r="CZ129" s="142"/>
      <c r="DA129" s="142"/>
      <c r="DB129" s="142"/>
      <c r="DC129" s="142"/>
      <c r="DD129" s="142"/>
      <c r="DE129" s="142"/>
      <c r="DF129" s="142"/>
      <c r="DG129" s="142"/>
      <c r="DH129" s="142"/>
      <c r="DI129" s="142"/>
      <c r="DJ129" s="142"/>
      <c r="DK129" s="142"/>
      <c r="DL129" s="142"/>
      <c r="DM129" s="142"/>
      <c r="DN129" s="142"/>
      <c r="DO129" s="142"/>
      <c r="DP129" s="142"/>
      <c r="DQ129" s="142"/>
      <c r="DR129" s="142"/>
      <c r="DS129" s="142"/>
      <c r="DT129" s="142"/>
      <c r="DU129" s="142"/>
      <c r="DV129" s="142"/>
      <c r="DW129" s="142"/>
      <c r="DX129" s="142"/>
      <c r="DY129" s="142"/>
      <c r="DZ129" s="142"/>
      <c r="EA129" s="142"/>
      <c r="EB129" s="142"/>
      <c r="EC129" s="142"/>
      <c r="ED129" s="142"/>
      <c r="EE129" s="142"/>
      <c r="EF129" s="142"/>
    </row>
    <row r="130" spans="1:136" s="151" customFormat="1" ht="19.5" customHeight="1" x14ac:dyDescent="0.2">
      <c r="A130" s="117">
        <v>127</v>
      </c>
      <c r="B130" s="144" t="s">
        <v>175</v>
      </c>
      <c r="C130" s="144">
        <v>145571</v>
      </c>
      <c r="D130" s="117" t="s">
        <v>73</v>
      </c>
      <c r="E130" s="144" t="s">
        <v>83</v>
      </c>
      <c r="F130" s="146" t="s">
        <v>208</v>
      </c>
      <c r="G130" s="172">
        <v>42221</v>
      </c>
      <c r="H130" s="172">
        <v>42433</v>
      </c>
      <c r="I130" s="172">
        <v>45947</v>
      </c>
      <c r="J130" s="162">
        <f t="shared" si="11"/>
        <v>46677</v>
      </c>
      <c r="K130" s="172">
        <v>42319</v>
      </c>
      <c r="L130" s="163">
        <v>45955</v>
      </c>
      <c r="M130" s="163">
        <f t="shared" si="12"/>
        <v>46685</v>
      </c>
      <c r="N130" s="172">
        <v>42640</v>
      </c>
      <c r="O130" s="172">
        <v>42641</v>
      </c>
      <c r="P130" s="172">
        <v>42642</v>
      </c>
      <c r="Q130" s="166" t="s">
        <v>69</v>
      </c>
      <c r="R130" s="166" t="s">
        <v>69</v>
      </c>
      <c r="S130" s="166" t="s">
        <v>69</v>
      </c>
      <c r="T130" s="94">
        <v>43822</v>
      </c>
      <c r="U130" s="166" t="s">
        <v>69</v>
      </c>
      <c r="V130" s="111">
        <v>45275</v>
      </c>
      <c r="W130" s="166" t="s">
        <v>69</v>
      </c>
      <c r="X130" s="195">
        <v>43717</v>
      </c>
      <c r="Y130" s="166" t="s">
        <v>69</v>
      </c>
      <c r="Z130" s="94">
        <v>44883</v>
      </c>
      <c r="AA130" s="94">
        <v>45884</v>
      </c>
      <c r="AB130" s="166" t="s">
        <v>69</v>
      </c>
      <c r="AC130" s="166" t="s">
        <v>69</v>
      </c>
      <c r="AD130" s="167" t="s">
        <v>71</v>
      </c>
      <c r="AE130" s="167" t="s">
        <v>70</v>
      </c>
      <c r="AF130" s="195">
        <v>45958</v>
      </c>
      <c r="AG130" s="112" t="s">
        <v>69</v>
      </c>
      <c r="AH130" s="167" t="s">
        <v>71</v>
      </c>
      <c r="AI130" s="167" t="s">
        <v>71</v>
      </c>
      <c r="AJ130" s="167" t="s">
        <v>71</v>
      </c>
      <c r="AK130" s="167" t="s">
        <v>70</v>
      </c>
      <c r="AL130" s="166" t="s">
        <v>69</v>
      </c>
      <c r="AM130" s="166"/>
      <c r="AN130" s="166" t="s">
        <v>69</v>
      </c>
      <c r="AO130" s="167" t="s">
        <v>70</v>
      </c>
      <c r="AP130" s="166" t="s">
        <v>69</v>
      </c>
      <c r="AQ130" s="166" t="s">
        <v>69</v>
      </c>
      <c r="AR130" s="168">
        <v>46244</v>
      </c>
      <c r="AS130" s="166" t="s">
        <v>69</v>
      </c>
      <c r="AT130" s="166" t="s">
        <v>69</v>
      </c>
      <c r="AU130" s="166" t="s">
        <v>69</v>
      </c>
      <c r="AV130" s="166" t="s">
        <v>69</v>
      </c>
      <c r="AW130" s="166" t="s">
        <v>69</v>
      </c>
      <c r="AX130" s="166" t="s">
        <v>69</v>
      </c>
      <c r="AY130" s="166" t="s">
        <v>69</v>
      </c>
      <c r="AZ130" s="166" t="s">
        <v>69</v>
      </c>
      <c r="BA130" s="166" t="s">
        <v>69</v>
      </c>
      <c r="BB130" s="166" t="s">
        <v>69</v>
      </c>
      <c r="BC130" s="166" t="s">
        <v>69</v>
      </c>
      <c r="BD130" s="166" t="s">
        <v>69</v>
      </c>
      <c r="BE130" s="166" t="s">
        <v>69</v>
      </c>
      <c r="BF130" s="166" t="s">
        <v>69</v>
      </c>
      <c r="BG130" s="167" t="s">
        <v>70</v>
      </c>
      <c r="BH130" s="166" t="s">
        <v>69</v>
      </c>
      <c r="BI130" s="166" t="s">
        <v>69</v>
      </c>
      <c r="BJ130" s="167" t="s">
        <v>70</v>
      </c>
      <c r="BK130" s="166" t="s">
        <v>69</v>
      </c>
      <c r="BL130" s="167" t="s">
        <v>70</v>
      </c>
      <c r="BM130" s="167" t="s">
        <v>70</v>
      </c>
      <c r="BN130" s="167" t="s">
        <v>70</v>
      </c>
      <c r="BO130" s="167" t="s">
        <v>70</v>
      </c>
      <c r="BP130" s="167" t="s">
        <v>70</v>
      </c>
      <c r="BQ130" s="151">
        <v>0</v>
      </c>
      <c r="BR130" s="142"/>
      <c r="BS130" s="142"/>
      <c r="BT130" s="142"/>
      <c r="BU130" s="142"/>
      <c r="BV130" s="142"/>
      <c r="BW130" s="142"/>
      <c r="BX130" s="142"/>
      <c r="BY130" s="142"/>
      <c r="BZ130" s="142"/>
      <c r="CA130" s="142"/>
      <c r="CB130" s="142"/>
      <c r="CC130" s="142"/>
      <c r="CD130" s="142"/>
      <c r="CE130" s="142"/>
      <c r="CF130" s="142"/>
      <c r="CG130" s="142"/>
      <c r="CH130" s="142"/>
      <c r="CI130" s="142"/>
      <c r="CJ130" s="142"/>
      <c r="CK130" s="142"/>
      <c r="CL130" s="142"/>
      <c r="CM130" s="142"/>
      <c r="CN130" s="142"/>
      <c r="CO130" s="142"/>
      <c r="CP130" s="142"/>
      <c r="CQ130" s="142"/>
      <c r="CR130" s="142"/>
      <c r="CS130" s="142"/>
      <c r="CT130" s="142"/>
      <c r="CU130" s="142"/>
      <c r="CV130" s="142"/>
      <c r="CW130" s="142"/>
      <c r="CX130" s="142"/>
      <c r="CY130" s="142"/>
      <c r="CZ130" s="142"/>
      <c r="DA130" s="142"/>
      <c r="DB130" s="142"/>
      <c r="DC130" s="142"/>
      <c r="DD130" s="142"/>
      <c r="DE130" s="142"/>
      <c r="DF130" s="142"/>
      <c r="DG130" s="142"/>
      <c r="DH130" s="142"/>
      <c r="DI130" s="142"/>
      <c r="DJ130" s="142"/>
      <c r="DK130" s="142"/>
      <c r="DL130" s="142"/>
      <c r="DM130" s="142"/>
      <c r="DN130" s="142"/>
      <c r="DO130" s="142"/>
      <c r="DP130" s="142"/>
      <c r="DQ130" s="142"/>
      <c r="DR130" s="142"/>
      <c r="DS130" s="142"/>
      <c r="DT130" s="142"/>
      <c r="DU130" s="142"/>
      <c r="DV130" s="142"/>
      <c r="DW130" s="142"/>
      <c r="DX130" s="142"/>
      <c r="DY130" s="142"/>
      <c r="DZ130" s="142"/>
      <c r="EA130" s="142"/>
      <c r="EB130" s="142"/>
      <c r="EC130" s="142"/>
      <c r="ED130" s="142"/>
      <c r="EE130" s="142"/>
      <c r="EF130" s="142"/>
    </row>
    <row r="131" spans="1:136" s="151" customFormat="1" ht="19.5" customHeight="1" x14ac:dyDescent="0.2">
      <c r="A131" s="117">
        <v>128</v>
      </c>
      <c r="B131" s="204" t="s">
        <v>196</v>
      </c>
      <c r="C131" s="198">
        <v>145575</v>
      </c>
      <c r="D131" s="117" t="s">
        <v>73</v>
      </c>
      <c r="E131" s="117" t="s">
        <v>68</v>
      </c>
      <c r="F131" s="146" t="s">
        <v>208</v>
      </c>
      <c r="G131" s="140">
        <v>40743</v>
      </c>
      <c r="H131" s="140">
        <v>42417</v>
      </c>
      <c r="I131" s="140">
        <v>45953</v>
      </c>
      <c r="J131" s="162">
        <f t="shared" si="11"/>
        <v>46683</v>
      </c>
      <c r="K131" s="140">
        <v>42199</v>
      </c>
      <c r="L131" s="140">
        <v>45952</v>
      </c>
      <c r="M131" s="163">
        <f t="shared" si="12"/>
        <v>46682</v>
      </c>
      <c r="N131" s="92">
        <v>42444</v>
      </c>
      <c r="O131" s="92">
        <v>42446</v>
      </c>
      <c r="P131" s="92">
        <v>42445</v>
      </c>
      <c r="Q131" s="166" t="s">
        <v>69</v>
      </c>
      <c r="R131" s="166" t="s">
        <v>69</v>
      </c>
      <c r="S131" s="166" t="s">
        <v>69</v>
      </c>
      <c r="T131" s="199">
        <v>42685</v>
      </c>
      <c r="U131" s="166" t="s">
        <v>69</v>
      </c>
      <c r="V131" s="199">
        <v>42793</v>
      </c>
      <c r="W131" s="166" t="s">
        <v>69</v>
      </c>
      <c r="X131" s="166" t="s">
        <v>69</v>
      </c>
      <c r="Y131" s="166" t="s">
        <v>69</v>
      </c>
      <c r="Z131" s="94">
        <v>44768</v>
      </c>
      <c r="AA131" s="166" t="s">
        <v>69</v>
      </c>
      <c r="AB131" s="166" t="s">
        <v>69</v>
      </c>
      <c r="AC131" s="166" t="s">
        <v>69</v>
      </c>
      <c r="AD131" s="167" t="s">
        <v>71</v>
      </c>
      <c r="AE131" s="167" t="s">
        <v>70</v>
      </c>
      <c r="AF131" s="112">
        <v>45645</v>
      </c>
      <c r="AG131" s="112" t="s">
        <v>69</v>
      </c>
      <c r="AH131" s="167" t="s">
        <v>71</v>
      </c>
      <c r="AI131" s="167" t="s">
        <v>70</v>
      </c>
      <c r="AJ131" s="167" t="s">
        <v>70</v>
      </c>
      <c r="AK131" s="167" t="s">
        <v>70</v>
      </c>
      <c r="AL131" s="166" t="s">
        <v>69</v>
      </c>
      <c r="AM131" s="168">
        <v>46280</v>
      </c>
      <c r="AN131" s="166" t="s">
        <v>69</v>
      </c>
      <c r="AO131" s="167" t="s">
        <v>70</v>
      </c>
      <c r="AP131" s="168">
        <v>46252</v>
      </c>
      <c r="AQ131" s="166" t="s">
        <v>69</v>
      </c>
      <c r="AR131" s="168">
        <v>46153</v>
      </c>
      <c r="AS131" s="168">
        <v>46198</v>
      </c>
      <c r="AT131" s="166" t="s">
        <v>69</v>
      </c>
      <c r="AU131" s="166" t="s">
        <v>69</v>
      </c>
      <c r="AV131" s="166" t="s">
        <v>69</v>
      </c>
      <c r="AW131" s="166" t="s">
        <v>69</v>
      </c>
      <c r="AX131" s="166" t="s">
        <v>69</v>
      </c>
      <c r="AY131" s="166" t="s">
        <v>69</v>
      </c>
      <c r="AZ131" s="166" t="s">
        <v>69</v>
      </c>
      <c r="BA131" s="94">
        <v>43591</v>
      </c>
      <c r="BB131" s="211">
        <v>44074</v>
      </c>
      <c r="BC131" s="166" t="s">
        <v>69</v>
      </c>
      <c r="BD131" s="166" t="s">
        <v>69</v>
      </c>
      <c r="BE131" s="166" t="s">
        <v>69</v>
      </c>
      <c r="BF131" s="166" t="s">
        <v>69</v>
      </c>
      <c r="BG131" s="167" t="s">
        <v>70</v>
      </c>
      <c r="BH131" s="166" t="s">
        <v>69</v>
      </c>
      <c r="BI131" s="166" t="s">
        <v>69</v>
      </c>
      <c r="BJ131" s="167" t="s">
        <v>70</v>
      </c>
      <c r="BK131" s="166" t="s">
        <v>69</v>
      </c>
      <c r="BL131" s="167" t="s">
        <v>70</v>
      </c>
      <c r="BM131" s="167" t="s">
        <v>70</v>
      </c>
      <c r="BN131" s="167" t="s">
        <v>70</v>
      </c>
      <c r="BO131" s="167" t="s">
        <v>70</v>
      </c>
      <c r="BP131" s="167" t="s">
        <v>70</v>
      </c>
      <c r="BQ131" s="151">
        <v>0</v>
      </c>
      <c r="BR131" s="142"/>
      <c r="BS131" s="142"/>
      <c r="BT131" s="142"/>
      <c r="BU131" s="142"/>
      <c r="BV131" s="142"/>
      <c r="BW131" s="142"/>
      <c r="BX131" s="142"/>
      <c r="BY131" s="142"/>
      <c r="BZ131" s="142"/>
      <c r="CA131" s="142"/>
      <c r="CB131" s="142"/>
      <c r="CC131" s="142"/>
      <c r="CD131" s="142"/>
      <c r="CE131" s="142"/>
      <c r="CF131" s="142"/>
      <c r="CG131" s="142"/>
      <c r="CH131" s="142"/>
      <c r="CI131" s="142"/>
      <c r="CJ131" s="142"/>
      <c r="CK131" s="142"/>
      <c r="CL131" s="142"/>
      <c r="CM131" s="142"/>
      <c r="CN131" s="142"/>
      <c r="CO131" s="142"/>
      <c r="CP131" s="142"/>
      <c r="CQ131" s="142"/>
      <c r="CR131" s="142"/>
      <c r="CS131" s="142"/>
      <c r="CT131" s="142"/>
      <c r="CU131" s="142"/>
      <c r="CV131" s="142"/>
      <c r="CW131" s="142"/>
      <c r="CX131" s="142"/>
      <c r="CY131" s="142"/>
      <c r="CZ131" s="142"/>
      <c r="DA131" s="142"/>
      <c r="DB131" s="142"/>
      <c r="DC131" s="142"/>
      <c r="DD131" s="142"/>
      <c r="DE131" s="142"/>
      <c r="DF131" s="142"/>
      <c r="DG131" s="142"/>
      <c r="DH131" s="142"/>
      <c r="DI131" s="142"/>
      <c r="DJ131" s="142"/>
      <c r="DK131" s="142"/>
      <c r="DL131" s="142"/>
      <c r="DM131" s="142"/>
      <c r="DN131" s="142"/>
      <c r="DO131" s="142"/>
      <c r="DP131" s="142"/>
      <c r="DQ131" s="142"/>
      <c r="DR131" s="142"/>
      <c r="DS131" s="142"/>
      <c r="DT131" s="142"/>
      <c r="DU131" s="142"/>
      <c r="DV131" s="142"/>
      <c r="DW131" s="142"/>
      <c r="DX131" s="142"/>
      <c r="DY131" s="142"/>
      <c r="DZ131" s="142"/>
      <c r="EA131" s="142"/>
      <c r="EB131" s="142"/>
      <c r="EC131" s="142"/>
      <c r="ED131" s="142"/>
      <c r="EE131" s="142"/>
      <c r="EF131" s="142"/>
    </row>
    <row r="132" spans="1:136" s="151" customFormat="1" ht="19.5" customHeight="1" x14ac:dyDescent="0.2">
      <c r="A132" s="117">
        <v>129</v>
      </c>
      <c r="B132" s="117" t="s">
        <v>204</v>
      </c>
      <c r="C132" s="117">
        <v>83051931</v>
      </c>
      <c r="D132" s="117" t="s">
        <v>73</v>
      </c>
      <c r="E132" s="117" t="s">
        <v>68</v>
      </c>
      <c r="F132" s="146" t="s">
        <v>208</v>
      </c>
      <c r="G132" s="172">
        <v>40980</v>
      </c>
      <c r="H132" s="172">
        <v>40980</v>
      </c>
      <c r="I132" s="172">
        <v>46105</v>
      </c>
      <c r="J132" s="162">
        <f t="shared" si="11"/>
        <v>46836</v>
      </c>
      <c r="K132" s="111">
        <v>40948</v>
      </c>
      <c r="L132" s="111">
        <v>46205</v>
      </c>
      <c r="M132" s="163">
        <f t="shared" si="12"/>
        <v>46936</v>
      </c>
      <c r="N132" s="111">
        <v>40614</v>
      </c>
      <c r="O132" s="111">
        <v>45267</v>
      </c>
      <c r="P132" s="111">
        <v>40710</v>
      </c>
      <c r="Q132" s="166" t="s">
        <v>69</v>
      </c>
      <c r="R132" s="166" t="s">
        <v>69</v>
      </c>
      <c r="S132" s="166" t="s">
        <v>69</v>
      </c>
      <c r="T132" s="166" t="s">
        <v>69</v>
      </c>
      <c r="U132" s="94">
        <v>43602</v>
      </c>
      <c r="V132" s="166" t="s">
        <v>69</v>
      </c>
      <c r="W132" s="166" t="s">
        <v>69</v>
      </c>
      <c r="X132" s="94">
        <v>42300</v>
      </c>
      <c r="Y132" s="94">
        <v>42143</v>
      </c>
      <c r="Z132" s="94">
        <v>44841</v>
      </c>
      <c r="AA132" s="166" t="s">
        <v>69</v>
      </c>
      <c r="AB132" s="94">
        <v>41092</v>
      </c>
      <c r="AC132" s="166" t="s">
        <v>69</v>
      </c>
      <c r="AD132" s="167" t="s">
        <v>71</v>
      </c>
      <c r="AE132" s="167" t="s">
        <v>70</v>
      </c>
      <c r="AF132" s="112">
        <v>46162</v>
      </c>
      <c r="AG132" s="112" t="s">
        <v>69</v>
      </c>
      <c r="AH132" s="167" t="s">
        <v>71</v>
      </c>
      <c r="AI132" s="167" t="s">
        <v>70</v>
      </c>
      <c r="AJ132" s="167" t="s">
        <v>70</v>
      </c>
      <c r="AK132" s="167" t="s">
        <v>70</v>
      </c>
      <c r="AL132" s="166" t="s">
        <v>69</v>
      </c>
      <c r="AM132" s="166"/>
      <c r="AN132" s="166" t="s">
        <v>69</v>
      </c>
      <c r="AO132" s="167" t="s">
        <v>70</v>
      </c>
      <c r="AP132" s="94">
        <v>41899</v>
      </c>
      <c r="AQ132" s="166" t="s">
        <v>69</v>
      </c>
      <c r="AR132" s="168">
        <v>46276</v>
      </c>
      <c r="AS132" s="166" t="s">
        <v>69</v>
      </c>
      <c r="AT132" s="94">
        <v>44131</v>
      </c>
      <c r="AU132" s="166" t="s">
        <v>69</v>
      </c>
      <c r="AV132" s="166" t="s">
        <v>69</v>
      </c>
      <c r="AW132" s="166" t="s">
        <v>69</v>
      </c>
      <c r="AX132" s="166" t="s">
        <v>69</v>
      </c>
      <c r="AY132" s="166" t="s">
        <v>69</v>
      </c>
      <c r="AZ132" s="166" t="s">
        <v>69</v>
      </c>
      <c r="BA132" s="166" t="s">
        <v>69</v>
      </c>
      <c r="BB132" s="166" t="s">
        <v>69</v>
      </c>
      <c r="BC132" s="166" t="s">
        <v>69</v>
      </c>
      <c r="BD132" s="166" t="s">
        <v>69</v>
      </c>
      <c r="BE132" s="166" t="s">
        <v>69</v>
      </c>
      <c r="BF132" s="166" t="s">
        <v>69</v>
      </c>
      <c r="BG132" s="167" t="s">
        <v>70</v>
      </c>
      <c r="BH132" s="166" t="s">
        <v>69</v>
      </c>
      <c r="BI132" s="166" t="s">
        <v>69</v>
      </c>
      <c r="BJ132" s="167" t="s">
        <v>70</v>
      </c>
      <c r="BK132" s="173"/>
      <c r="BL132" s="167" t="s">
        <v>70</v>
      </c>
      <c r="BM132" s="167" t="s">
        <v>70</v>
      </c>
      <c r="BN132" s="167" t="s">
        <v>70</v>
      </c>
      <c r="BO132" s="167" t="s">
        <v>70</v>
      </c>
      <c r="BP132" s="167" t="s">
        <v>70</v>
      </c>
      <c r="BQ132" s="151">
        <v>0</v>
      </c>
      <c r="BR132" s="142"/>
      <c r="BS132" s="142"/>
      <c r="BT132" s="142"/>
      <c r="BU132" s="142"/>
      <c r="BV132" s="142"/>
      <c r="BW132" s="142"/>
      <c r="BX132" s="142"/>
      <c r="BY132" s="142"/>
      <c r="BZ132" s="142"/>
      <c r="CA132" s="142"/>
      <c r="CB132" s="142"/>
      <c r="CC132" s="142"/>
      <c r="CD132" s="142"/>
      <c r="CE132" s="142"/>
      <c r="CF132" s="142"/>
      <c r="CG132" s="142"/>
      <c r="CH132" s="142"/>
      <c r="CI132" s="142"/>
      <c r="CJ132" s="142"/>
      <c r="CK132" s="142"/>
      <c r="CL132" s="142"/>
      <c r="CM132" s="142"/>
      <c r="CN132" s="142"/>
      <c r="CO132" s="142"/>
      <c r="CP132" s="142"/>
      <c r="CQ132" s="142"/>
      <c r="CR132" s="142"/>
      <c r="CS132" s="142"/>
      <c r="CT132" s="142"/>
      <c r="CU132" s="142"/>
      <c r="CV132" s="142"/>
      <c r="CW132" s="142"/>
      <c r="CX132" s="142"/>
      <c r="CY132" s="142"/>
      <c r="CZ132" s="142"/>
      <c r="DA132" s="142"/>
      <c r="DB132" s="142"/>
      <c r="DC132" s="142"/>
      <c r="DD132" s="142"/>
      <c r="DE132" s="142"/>
      <c r="DF132" s="142"/>
      <c r="DG132" s="142"/>
      <c r="DH132" s="142"/>
      <c r="DI132" s="142"/>
      <c r="DJ132" s="142"/>
      <c r="DK132" s="142"/>
      <c r="DL132" s="142"/>
      <c r="DM132" s="142"/>
      <c r="DN132" s="142"/>
      <c r="DO132" s="142"/>
      <c r="DP132" s="142"/>
      <c r="DQ132" s="142"/>
      <c r="DR132" s="142"/>
      <c r="DS132" s="142"/>
      <c r="DT132" s="142"/>
      <c r="DU132" s="142"/>
      <c r="DV132" s="142"/>
      <c r="DW132" s="142"/>
      <c r="DX132" s="142"/>
      <c r="DY132" s="142"/>
      <c r="DZ132" s="142"/>
      <c r="EA132" s="142"/>
      <c r="EB132" s="142"/>
      <c r="EC132" s="142"/>
      <c r="ED132" s="142"/>
      <c r="EE132" s="142"/>
      <c r="EF132" s="142"/>
    </row>
    <row r="133" spans="1:136" s="151" customFormat="1" ht="19.5" customHeight="1" x14ac:dyDescent="0.2">
      <c r="A133" s="117">
        <v>130</v>
      </c>
      <c r="B133" s="174" t="s">
        <v>205</v>
      </c>
      <c r="C133" s="144">
        <v>135020</v>
      </c>
      <c r="D133" s="117" t="s">
        <v>73</v>
      </c>
      <c r="E133" s="117" t="s">
        <v>68</v>
      </c>
      <c r="F133" s="146" t="s">
        <v>208</v>
      </c>
      <c r="G133" s="119">
        <v>42684</v>
      </c>
      <c r="H133" s="162">
        <v>42032</v>
      </c>
      <c r="I133" s="111">
        <v>46272</v>
      </c>
      <c r="J133" s="162">
        <f t="shared" si="11"/>
        <v>47003</v>
      </c>
      <c r="K133" s="111">
        <v>45370</v>
      </c>
      <c r="L133" s="111">
        <v>46148</v>
      </c>
      <c r="M133" s="163">
        <f t="shared" si="12"/>
        <v>46879</v>
      </c>
      <c r="N133" s="111">
        <v>42872</v>
      </c>
      <c r="O133" s="111">
        <v>46286</v>
      </c>
      <c r="P133" s="111">
        <v>42873</v>
      </c>
      <c r="Q133" s="166" t="s">
        <v>69</v>
      </c>
      <c r="R133" s="166" t="s">
        <v>69</v>
      </c>
      <c r="S133" s="166" t="s">
        <v>69</v>
      </c>
      <c r="T133" s="166" t="s">
        <v>69</v>
      </c>
      <c r="U133" s="166" t="s">
        <v>69</v>
      </c>
      <c r="V133" s="168">
        <v>43805</v>
      </c>
      <c r="W133" s="168">
        <v>44071</v>
      </c>
      <c r="X133" s="168">
        <v>42195</v>
      </c>
      <c r="Y133" s="168">
        <v>42234</v>
      </c>
      <c r="Z133" s="94">
        <v>45919</v>
      </c>
      <c r="AA133" s="166" t="s">
        <v>69</v>
      </c>
      <c r="AB133" s="166" t="s">
        <v>69</v>
      </c>
      <c r="AC133" s="166" t="s">
        <v>69</v>
      </c>
      <c r="AD133" s="167" t="s">
        <v>71</v>
      </c>
      <c r="AE133" s="167" t="s">
        <v>71</v>
      </c>
      <c r="AF133" s="112">
        <v>46141</v>
      </c>
      <c r="AG133" s="112" t="s">
        <v>69</v>
      </c>
      <c r="AH133" s="167" t="s">
        <v>71</v>
      </c>
      <c r="AI133" s="167" t="s">
        <v>71</v>
      </c>
      <c r="AJ133" s="167" t="s">
        <v>71</v>
      </c>
      <c r="AK133" s="167" t="s">
        <v>70</v>
      </c>
      <c r="AL133" s="166" t="s">
        <v>69</v>
      </c>
      <c r="AM133" s="166"/>
      <c r="AN133" s="166" t="s">
        <v>69</v>
      </c>
      <c r="AO133" s="167" t="s">
        <v>70</v>
      </c>
      <c r="AP133" s="166" t="s">
        <v>69</v>
      </c>
      <c r="AQ133" s="166" t="s">
        <v>69</v>
      </c>
      <c r="AR133" s="168">
        <v>46184</v>
      </c>
      <c r="AS133" s="168">
        <v>46233</v>
      </c>
      <c r="AT133" s="166" t="s">
        <v>69</v>
      </c>
      <c r="AU133" s="166" t="s">
        <v>69</v>
      </c>
      <c r="AV133" s="166" t="s">
        <v>69</v>
      </c>
      <c r="AW133" s="166" t="s">
        <v>69</v>
      </c>
      <c r="AX133" s="166" t="s">
        <v>69</v>
      </c>
      <c r="AY133" s="166" t="s">
        <v>69</v>
      </c>
      <c r="AZ133" s="166" t="s">
        <v>69</v>
      </c>
      <c r="BA133" s="166" t="s">
        <v>69</v>
      </c>
      <c r="BB133" s="166" t="s">
        <v>69</v>
      </c>
      <c r="BC133" s="166" t="s">
        <v>69</v>
      </c>
      <c r="BD133" s="166" t="s">
        <v>69</v>
      </c>
      <c r="BE133" s="166" t="s">
        <v>69</v>
      </c>
      <c r="BF133" s="166" t="s">
        <v>69</v>
      </c>
      <c r="BG133" s="167" t="s">
        <v>70</v>
      </c>
      <c r="BH133" s="166" t="s">
        <v>69</v>
      </c>
      <c r="BI133" s="166" t="s">
        <v>69</v>
      </c>
      <c r="BJ133" s="167" t="s">
        <v>70</v>
      </c>
      <c r="BK133" s="166" t="s">
        <v>69</v>
      </c>
      <c r="BL133" s="167" t="s">
        <v>70</v>
      </c>
      <c r="BM133" s="167" t="s">
        <v>70</v>
      </c>
      <c r="BN133" s="167" t="s">
        <v>70</v>
      </c>
      <c r="BO133" s="167" t="s">
        <v>70</v>
      </c>
      <c r="BP133" s="167" t="s">
        <v>70</v>
      </c>
      <c r="BQ133" s="151">
        <v>0</v>
      </c>
      <c r="BR133" s="142"/>
      <c r="BS133" s="142"/>
      <c r="BT133" s="142"/>
      <c r="BU133" s="142"/>
      <c r="BV133" s="142"/>
      <c r="BW133" s="142"/>
      <c r="BX133" s="142"/>
      <c r="BY133" s="142"/>
      <c r="BZ133" s="142"/>
      <c r="CA133" s="142"/>
      <c r="CB133" s="142"/>
      <c r="CC133" s="142"/>
      <c r="CD133" s="142"/>
      <c r="CE133" s="142"/>
      <c r="CF133" s="142"/>
      <c r="CG133" s="142"/>
      <c r="CH133" s="142"/>
      <c r="CI133" s="142"/>
      <c r="CJ133" s="142"/>
      <c r="CK133" s="142"/>
      <c r="CL133" s="142"/>
      <c r="CM133" s="142"/>
      <c r="CN133" s="142"/>
      <c r="CO133" s="142"/>
      <c r="CP133" s="142"/>
      <c r="CQ133" s="142"/>
      <c r="CR133" s="142"/>
      <c r="CS133" s="142"/>
      <c r="CT133" s="142"/>
      <c r="CU133" s="142"/>
      <c r="CV133" s="142"/>
      <c r="CW133" s="142"/>
      <c r="CX133" s="142"/>
      <c r="CY133" s="142"/>
      <c r="CZ133" s="142"/>
      <c r="DA133" s="142"/>
      <c r="DB133" s="142"/>
      <c r="DC133" s="142"/>
      <c r="DD133" s="142"/>
      <c r="DE133" s="142"/>
      <c r="DF133" s="142"/>
      <c r="DG133" s="142"/>
      <c r="DH133" s="142"/>
      <c r="DI133" s="142"/>
      <c r="DJ133" s="142"/>
      <c r="DK133" s="142"/>
      <c r="DL133" s="142"/>
      <c r="DM133" s="142"/>
      <c r="DN133" s="142"/>
      <c r="DO133" s="142"/>
      <c r="DP133" s="142"/>
      <c r="DQ133" s="142"/>
      <c r="DR133" s="142"/>
      <c r="DS133" s="142"/>
      <c r="DT133" s="142"/>
      <c r="DU133" s="142"/>
      <c r="DV133" s="142"/>
      <c r="DW133" s="142"/>
      <c r="DX133" s="142"/>
      <c r="DY133" s="142"/>
      <c r="DZ133" s="142"/>
      <c r="EA133" s="142"/>
      <c r="EB133" s="142"/>
      <c r="EC133" s="142"/>
      <c r="ED133" s="142"/>
      <c r="EE133" s="142"/>
      <c r="EF133" s="142"/>
    </row>
    <row r="134" spans="1:136" s="151" customFormat="1" ht="19.5" customHeight="1" x14ac:dyDescent="0.2">
      <c r="A134" s="117">
        <v>131</v>
      </c>
      <c r="B134" s="117" t="s">
        <v>200</v>
      </c>
      <c r="C134" s="117">
        <v>200386</v>
      </c>
      <c r="D134" s="117" t="s">
        <v>73</v>
      </c>
      <c r="E134" s="117" t="s">
        <v>68</v>
      </c>
      <c r="F134" s="146" t="s">
        <v>208</v>
      </c>
      <c r="G134" s="212">
        <v>44055</v>
      </c>
      <c r="H134" s="92">
        <v>44462</v>
      </c>
      <c r="I134" s="140">
        <v>45994</v>
      </c>
      <c r="J134" s="162">
        <f t="shared" si="11"/>
        <v>46724</v>
      </c>
      <c r="K134" s="92">
        <v>43899</v>
      </c>
      <c r="L134" s="92">
        <v>45996</v>
      </c>
      <c r="M134" s="163">
        <f t="shared" si="12"/>
        <v>46726</v>
      </c>
      <c r="N134" s="92">
        <v>43901</v>
      </c>
      <c r="O134" s="92">
        <v>43902</v>
      </c>
      <c r="P134" s="92">
        <v>43900</v>
      </c>
      <c r="Q134" s="166" t="s">
        <v>69</v>
      </c>
      <c r="R134" s="166" t="s">
        <v>69</v>
      </c>
      <c r="S134" s="166" t="s">
        <v>69</v>
      </c>
      <c r="T134" s="94">
        <v>44172</v>
      </c>
      <c r="U134" s="166" t="s">
        <v>69</v>
      </c>
      <c r="V134" s="94">
        <v>44214</v>
      </c>
      <c r="W134" s="166" t="s">
        <v>69</v>
      </c>
      <c r="X134" s="199">
        <v>44276</v>
      </c>
      <c r="Y134" s="200">
        <v>45716</v>
      </c>
      <c r="Z134" s="94">
        <v>44249</v>
      </c>
      <c r="AA134" s="166" t="s">
        <v>69</v>
      </c>
      <c r="AB134" s="166" t="s">
        <v>69</v>
      </c>
      <c r="AC134" s="166" t="s">
        <v>69</v>
      </c>
      <c r="AD134" s="167" t="s">
        <v>71</v>
      </c>
      <c r="AE134" s="167" t="s">
        <v>70</v>
      </c>
      <c r="AF134" s="94">
        <v>45944</v>
      </c>
      <c r="AG134" s="112" t="s">
        <v>69</v>
      </c>
      <c r="AH134" s="167" t="s">
        <v>71</v>
      </c>
      <c r="AI134" s="167" t="s">
        <v>70</v>
      </c>
      <c r="AJ134" s="167" t="s">
        <v>70</v>
      </c>
      <c r="AK134" s="167" t="s">
        <v>70</v>
      </c>
      <c r="AL134" s="166" t="s">
        <v>69</v>
      </c>
      <c r="AM134" s="166"/>
      <c r="AN134" s="166" t="s">
        <v>69</v>
      </c>
      <c r="AO134" s="167" t="s">
        <v>70</v>
      </c>
      <c r="AP134" s="166" t="s">
        <v>69</v>
      </c>
      <c r="AQ134" s="166" t="s">
        <v>69</v>
      </c>
      <c r="AR134" s="166" t="s">
        <v>69</v>
      </c>
      <c r="AS134" s="187">
        <v>46003</v>
      </c>
      <c r="AT134" s="166" t="s">
        <v>69</v>
      </c>
      <c r="AU134" s="166" t="s">
        <v>69</v>
      </c>
      <c r="AV134" s="166" t="s">
        <v>69</v>
      </c>
      <c r="AW134" s="166" t="s">
        <v>69</v>
      </c>
      <c r="AX134" s="166" t="s">
        <v>69</v>
      </c>
      <c r="AY134" s="166" t="s">
        <v>69</v>
      </c>
      <c r="AZ134" s="166" t="s">
        <v>69</v>
      </c>
      <c r="BA134" s="166" t="s">
        <v>69</v>
      </c>
      <c r="BB134" s="166" t="s">
        <v>69</v>
      </c>
      <c r="BC134" s="166" t="s">
        <v>69</v>
      </c>
      <c r="BD134" s="166" t="s">
        <v>69</v>
      </c>
      <c r="BE134" s="166" t="s">
        <v>69</v>
      </c>
      <c r="BF134" s="166" t="s">
        <v>69</v>
      </c>
      <c r="BG134" s="167" t="s">
        <v>70</v>
      </c>
      <c r="BH134" s="166" t="s">
        <v>69</v>
      </c>
      <c r="BI134" s="166" t="s">
        <v>69</v>
      </c>
      <c r="BJ134" s="167" t="s">
        <v>70</v>
      </c>
      <c r="BK134" s="166" t="s">
        <v>69</v>
      </c>
      <c r="BL134" s="167" t="s">
        <v>70</v>
      </c>
      <c r="BM134" s="167" t="s">
        <v>70</v>
      </c>
      <c r="BN134" s="167" t="s">
        <v>70</v>
      </c>
      <c r="BO134" s="167" t="s">
        <v>70</v>
      </c>
      <c r="BP134" s="167" t="s">
        <v>70</v>
      </c>
      <c r="BQ134" s="151">
        <v>0</v>
      </c>
      <c r="BR134" s="142"/>
      <c r="BS134" s="142"/>
      <c r="BT134" s="142"/>
      <c r="BU134" s="142"/>
      <c r="BV134" s="142"/>
      <c r="BW134" s="142"/>
      <c r="BX134" s="142"/>
      <c r="BY134" s="142"/>
      <c r="BZ134" s="142"/>
      <c r="CA134" s="142"/>
      <c r="CB134" s="142"/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2"/>
      <c r="DL134" s="142"/>
      <c r="DM134" s="142"/>
      <c r="DN134" s="142"/>
      <c r="DO134" s="142"/>
      <c r="DP134" s="142"/>
      <c r="DQ134" s="142"/>
      <c r="DR134" s="142"/>
      <c r="DS134" s="142"/>
      <c r="DT134" s="142"/>
      <c r="DU134" s="142"/>
      <c r="DV134" s="142"/>
      <c r="DW134" s="142"/>
      <c r="DX134" s="142"/>
      <c r="DY134" s="142"/>
      <c r="DZ134" s="142"/>
      <c r="EA134" s="142"/>
      <c r="EB134" s="142"/>
      <c r="EC134" s="142"/>
      <c r="ED134" s="142"/>
      <c r="EE134" s="142"/>
      <c r="EF134" s="142"/>
    </row>
    <row r="135" spans="1:136" s="151" customFormat="1" ht="19.5" customHeight="1" x14ac:dyDescent="0.2">
      <c r="A135" s="117">
        <v>132</v>
      </c>
      <c r="B135" s="161" t="s">
        <v>153</v>
      </c>
      <c r="C135" s="161">
        <v>132166</v>
      </c>
      <c r="D135" s="171" t="s">
        <v>851</v>
      </c>
      <c r="E135" s="117" t="s">
        <v>83</v>
      </c>
      <c r="F135" s="146" t="s">
        <v>208</v>
      </c>
      <c r="G135" s="172">
        <v>41392</v>
      </c>
      <c r="H135" s="172">
        <v>41480</v>
      </c>
      <c r="I135" s="172">
        <v>46065</v>
      </c>
      <c r="J135" s="162">
        <f t="shared" si="11"/>
        <v>46795</v>
      </c>
      <c r="K135" s="111">
        <v>41439</v>
      </c>
      <c r="L135" s="172">
        <v>46083</v>
      </c>
      <c r="M135" s="163">
        <f t="shared" si="12"/>
        <v>46814</v>
      </c>
      <c r="N135" s="111">
        <v>41687</v>
      </c>
      <c r="O135" s="111">
        <v>41688</v>
      </c>
      <c r="P135" s="111">
        <v>41684</v>
      </c>
      <c r="Q135" s="166" t="s">
        <v>69</v>
      </c>
      <c r="R135" s="166" t="s">
        <v>69</v>
      </c>
      <c r="S135" s="166" t="s">
        <v>69</v>
      </c>
      <c r="T135" s="94">
        <v>42996</v>
      </c>
      <c r="U135" s="166" t="s">
        <v>69</v>
      </c>
      <c r="V135" s="94">
        <v>43714</v>
      </c>
      <c r="W135" s="94">
        <v>44130</v>
      </c>
      <c r="X135" s="94">
        <v>42947</v>
      </c>
      <c r="Y135" s="166" t="s">
        <v>69</v>
      </c>
      <c r="Z135" s="94">
        <v>44116</v>
      </c>
      <c r="AA135" s="166" t="s">
        <v>69</v>
      </c>
      <c r="AB135" s="166" t="s">
        <v>69</v>
      </c>
      <c r="AC135" s="166" t="s">
        <v>69</v>
      </c>
      <c r="AD135" s="167" t="s">
        <v>71</v>
      </c>
      <c r="AE135" s="167" t="s">
        <v>70</v>
      </c>
      <c r="AF135" s="112">
        <v>45784</v>
      </c>
      <c r="AG135" s="167" t="s">
        <v>70</v>
      </c>
      <c r="AH135" s="167" t="s">
        <v>71</v>
      </c>
      <c r="AI135" s="167" t="s">
        <v>71</v>
      </c>
      <c r="AJ135" s="167" t="s">
        <v>71</v>
      </c>
      <c r="AK135" s="167" t="s">
        <v>70</v>
      </c>
      <c r="AL135" s="166" t="s">
        <v>69</v>
      </c>
      <c r="AM135" s="166"/>
      <c r="AN135" s="166" t="s">
        <v>69</v>
      </c>
      <c r="AO135" s="167" t="s">
        <v>70</v>
      </c>
      <c r="AP135" s="166" t="s">
        <v>69</v>
      </c>
      <c r="AQ135" s="166" t="s">
        <v>69</v>
      </c>
      <c r="AR135" s="168">
        <v>46153</v>
      </c>
      <c r="AS135" s="166" t="s">
        <v>69</v>
      </c>
      <c r="AT135" s="94">
        <v>43761</v>
      </c>
      <c r="AU135" s="166" t="s">
        <v>69</v>
      </c>
      <c r="AV135" s="166" t="s">
        <v>69</v>
      </c>
      <c r="AW135" s="94">
        <v>41906</v>
      </c>
      <c r="AX135" s="167" t="s">
        <v>70</v>
      </c>
      <c r="AY135" s="94">
        <v>41775</v>
      </c>
      <c r="AZ135" s="166" t="s">
        <v>69</v>
      </c>
      <c r="BA135" s="166" t="s">
        <v>69</v>
      </c>
      <c r="BB135" s="167" t="s">
        <v>70</v>
      </c>
      <c r="BC135" s="167" t="s">
        <v>70</v>
      </c>
      <c r="BD135" s="167" t="s">
        <v>70</v>
      </c>
      <c r="BE135" s="167" t="s">
        <v>70</v>
      </c>
      <c r="BF135" s="167" t="s">
        <v>70</v>
      </c>
      <c r="BG135" s="169" t="s">
        <v>70</v>
      </c>
      <c r="BH135" s="169" t="s">
        <v>70</v>
      </c>
      <c r="BI135" s="169" t="s">
        <v>70</v>
      </c>
      <c r="BJ135" s="169" t="s">
        <v>71</v>
      </c>
      <c r="BK135" s="167" t="s">
        <v>70</v>
      </c>
      <c r="BL135" s="167" t="s">
        <v>70</v>
      </c>
      <c r="BM135" s="167" t="s">
        <v>70</v>
      </c>
      <c r="BN135" s="167" t="s">
        <v>70</v>
      </c>
      <c r="BO135" s="167" t="s">
        <v>70</v>
      </c>
      <c r="BP135" s="94">
        <v>41724</v>
      </c>
      <c r="BQ135" s="151">
        <v>0</v>
      </c>
      <c r="BR135" s="142"/>
      <c r="BS135" s="142"/>
      <c r="BT135" s="142"/>
      <c r="BU135" s="142"/>
      <c r="BV135" s="142"/>
      <c r="BW135" s="142"/>
      <c r="BX135" s="142"/>
      <c r="BY135" s="142"/>
      <c r="BZ135" s="142"/>
      <c r="CA135" s="142"/>
      <c r="CB135" s="142"/>
      <c r="CC135" s="142"/>
      <c r="CD135" s="142"/>
      <c r="CE135" s="142"/>
      <c r="CF135" s="142"/>
      <c r="CG135" s="142"/>
      <c r="CH135" s="142"/>
      <c r="CI135" s="142"/>
      <c r="CJ135" s="142"/>
      <c r="CK135" s="142"/>
      <c r="CL135" s="142"/>
      <c r="CM135" s="142"/>
      <c r="CN135" s="142"/>
      <c r="CO135" s="142"/>
      <c r="CP135" s="142"/>
      <c r="CQ135" s="142"/>
      <c r="CR135" s="142"/>
      <c r="CS135" s="142"/>
      <c r="CT135" s="142"/>
      <c r="CU135" s="142"/>
      <c r="CV135" s="142"/>
      <c r="CW135" s="142"/>
      <c r="CX135" s="142"/>
      <c r="CY135" s="142"/>
      <c r="CZ135" s="142"/>
      <c r="DA135" s="142"/>
      <c r="DB135" s="142"/>
      <c r="DC135" s="142"/>
      <c r="DD135" s="142"/>
      <c r="DE135" s="142"/>
      <c r="DF135" s="142"/>
      <c r="DG135" s="142"/>
      <c r="DH135" s="142"/>
      <c r="DI135" s="142"/>
      <c r="DJ135" s="142"/>
      <c r="DK135" s="142"/>
      <c r="DL135" s="142"/>
      <c r="DM135" s="142"/>
      <c r="DN135" s="142"/>
      <c r="DO135" s="142"/>
      <c r="DP135" s="142"/>
      <c r="DQ135" s="142"/>
      <c r="DR135" s="142"/>
      <c r="DS135" s="142"/>
      <c r="DT135" s="142"/>
      <c r="DU135" s="142"/>
      <c r="DV135" s="142"/>
      <c r="DW135" s="142"/>
      <c r="DX135" s="142"/>
      <c r="DY135" s="142"/>
      <c r="DZ135" s="142"/>
      <c r="EA135" s="142"/>
      <c r="EB135" s="142"/>
      <c r="EC135" s="142"/>
      <c r="ED135" s="142"/>
      <c r="EE135" s="142"/>
      <c r="EF135" s="142"/>
    </row>
    <row r="136" spans="1:136" s="151" customFormat="1" ht="19.5" customHeight="1" x14ac:dyDescent="0.2">
      <c r="A136" s="117">
        <v>133</v>
      </c>
      <c r="B136" s="117" t="s">
        <v>156</v>
      </c>
      <c r="C136" s="117">
        <v>83086308</v>
      </c>
      <c r="D136" s="117" t="s">
        <v>73</v>
      </c>
      <c r="E136" s="183" t="s">
        <v>83</v>
      </c>
      <c r="F136" s="146" t="s">
        <v>208</v>
      </c>
      <c r="G136" s="124">
        <v>42670</v>
      </c>
      <c r="H136" s="172">
        <v>45343</v>
      </c>
      <c r="I136" s="172">
        <v>46147</v>
      </c>
      <c r="J136" s="162">
        <f t="shared" si="11"/>
        <v>46878</v>
      </c>
      <c r="K136" s="111">
        <v>45344</v>
      </c>
      <c r="L136" s="111">
        <v>46083</v>
      </c>
      <c r="M136" s="163">
        <f t="shared" si="12"/>
        <v>46814</v>
      </c>
      <c r="N136" s="165" t="s">
        <v>69</v>
      </c>
      <c r="O136" s="111">
        <v>42325</v>
      </c>
      <c r="P136" s="112" t="s">
        <v>69</v>
      </c>
      <c r="Q136" s="166" t="s">
        <v>69</v>
      </c>
      <c r="R136" s="166" t="s">
        <v>69</v>
      </c>
      <c r="S136" s="166" t="s">
        <v>69</v>
      </c>
      <c r="T136" s="94">
        <v>43738</v>
      </c>
      <c r="U136" s="166" t="s">
        <v>69</v>
      </c>
      <c r="V136" s="94">
        <v>44393</v>
      </c>
      <c r="W136" s="94">
        <v>43885</v>
      </c>
      <c r="X136" s="94">
        <v>43668</v>
      </c>
      <c r="Y136" s="166" t="s">
        <v>69</v>
      </c>
      <c r="Z136" s="94">
        <v>44459</v>
      </c>
      <c r="AA136" s="168">
        <v>46293</v>
      </c>
      <c r="AB136" s="166" t="s">
        <v>69</v>
      </c>
      <c r="AC136" s="166" t="s">
        <v>69</v>
      </c>
      <c r="AD136" s="167" t="s">
        <v>71</v>
      </c>
      <c r="AE136" s="167" t="s">
        <v>70</v>
      </c>
      <c r="AF136" s="213">
        <v>46000</v>
      </c>
      <c r="AG136" s="112" t="s">
        <v>69</v>
      </c>
      <c r="AH136" s="167" t="s">
        <v>71</v>
      </c>
      <c r="AI136" s="167" t="s">
        <v>71</v>
      </c>
      <c r="AJ136" s="167" t="s">
        <v>71</v>
      </c>
      <c r="AK136" s="167" t="s">
        <v>70</v>
      </c>
      <c r="AL136" s="166" t="s">
        <v>69</v>
      </c>
      <c r="AM136" s="166"/>
      <c r="AN136" s="166" t="s">
        <v>69</v>
      </c>
      <c r="AO136" s="167" t="s">
        <v>70</v>
      </c>
      <c r="AP136" s="166" t="s">
        <v>69</v>
      </c>
      <c r="AQ136" s="166" t="s">
        <v>69</v>
      </c>
      <c r="AR136" s="166" t="s">
        <v>69</v>
      </c>
      <c r="AS136" s="166" t="s">
        <v>69</v>
      </c>
      <c r="AT136" s="94">
        <v>43776</v>
      </c>
      <c r="AU136" s="166" t="s">
        <v>69</v>
      </c>
      <c r="AV136" s="166" t="s">
        <v>69</v>
      </c>
      <c r="AW136" s="166" t="s">
        <v>69</v>
      </c>
      <c r="AX136" s="166" t="s">
        <v>69</v>
      </c>
      <c r="AY136" s="166" t="s">
        <v>69</v>
      </c>
      <c r="AZ136" s="166" t="s">
        <v>69</v>
      </c>
      <c r="BA136" s="166" t="s">
        <v>69</v>
      </c>
      <c r="BB136" s="166" t="s">
        <v>69</v>
      </c>
      <c r="BC136" s="166" t="s">
        <v>69</v>
      </c>
      <c r="BD136" s="166" t="s">
        <v>69</v>
      </c>
      <c r="BE136" s="166" t="s">
        <v>69</v>
      </c>
      <c r="BF136" s="166" t="s">
        <v>69</v>
      </c>
      <c r="BG136" s="167" t="s">
        <v>70</v>
      </c>
      <c r="BH136" s="166" t="s">
        <v>69</v>
      </c>
      <c r="BI136" s="166" t="s">
        <v>69</v>
      </c>
      <c r="BJ136" s="167" t="s">
        <v>70</v>
      </c>
      <c r="BK136" s="166" t="s">
        <v>69</v>
      </c>
      <c r="BL136" s="167" t="s">
        <v>70</v>
      </c>
      <c r="BM136" s="167" t="s">
        <v>70</v>
      </c>
      <c r="BN136" s="167" t="s">
        <v>70</v>
      </c>
      <c r="BO136" s="167" t="s">
        <v>70</v>
      </c>
      <c r="BP136" s="167" t="s">
        <v>70</v>
      </c>
      <c r="BQ136" s="151">
        <v>0</v>
      </c>
      <c r="BR136" s="142"/>
      <c r="BS136" s="142"/>
      <c r="BT136" s="142"/>
      <c r="BU136" s="142"/>
      <c r="BV136" s="142"/>
      <c r="BW136" s="142"/>
      <c r="BX136" s="142"/>
      <c r="BY136" s="142"/>
      <c r="BZ136" s="142"/>
      <c r="CA136" s="142"/>
      <c r="CB136" s="142"/>
      <c r="CC136" s="142"/>
      <c r="CD136" s="142"/>
      <c r="CE136" s="142"/>
      <c r="CF136" s="142"/>
      <c r="CG136" s="142"/>
      <c r="CH136" s="142"/>
      <c r="CI136" s="142"/>
      <c r="CJ136" s="142"/>
      <c r="CK136" s="142"/>
      <c r="CL136" s="142"/>
      <c r="CM136" s="142"/>
      <c r="CN136" s="142"/>
      <c r="CO136" s="142"/>
      <c r="CP136" s="142"/>
      <c r="CQ136" s="142"/>
      <c r="CR136" s="142"/>
      <c r="CS136" s="142"/>
      <c r="CT136" s="142"/>
      <c r="CU136" s="142"/>
      <c r="CV136" s="142"/>
      <c r="CW136" s="142"/>
      <c r="CX136" s="142"/>
      <c r="CY136" s="142"/>
      <c r="CZ136" s="142"/>
      <c r="DA136" s="142"/>
      <c r="DB136" s="142"/>
      <c r="DC136" s="142"/>
      <c r="DD136" s="142"/>
      <c r="DE136" s="142"/>
      <c r="DF136" s="142"/>
      <c r="DG136" s="142"/>
      <c r="DH136" s="142"/>
      <c r="DI136" s="142"/>
      <c r="DJ136" s="142"/>
      <c r="DK136" s="142"/>
      <c r="DL136" s="142"/>
      <c r="DM136" s="142"/>
      <c r="DN136" s="142"/>
      <c r="DO136" s="142"/>
      <c r="DP136" s="142"/>
      <c r="DQ136" s="142"/>
      <c r="DR136" s="142"/>
      <c r="DS136" s="142"/>
      <c r="DT136" s="142"/>
      <c r="DU136" s="142"/>
      <c r="DV136" s="142"/>
      <c r="DW136" s="142"/>
      <c r="DX136" s="142"/>
      <c r="DY136" s="142"/>
      <c r="DZ136" s="142"/>
      <c r="EA136" s="142"/>
      <c r="EB136" s="142"/>
      <c r="EC136" s="142"/>
      <c r="ED136" s="142"/>
      <c r="EE136" s="142"/>
      <c r="EF136" s="142"/>
    </row>
    <row r="137" spans="1:136" s="151" customFormat="1" ht="19.5" customHeight="1" x14ac:dyDescent="0.2">
      <c r="A137" s="117">
        <v>134</v>
      </c>
      <c r="B137" s="117" t="s">
        <v>150</v>
      </c>
      <c r="C137" s="208">
        <v>152477</v>
      </c>
      <c r="D137" s="117" t="s">
        <v>73</v>
      </c>
      <c r="E137" s="117" t="s">
        <v>83</v>
      </c>
      <c r="F137" s="146" t="s">
        <v>208</v>
      </c>
      <c r="G137" s="172">
        <v>42629</v>
      </c>
      <c r="H137" s="172">
        <v>42667</v>
      </c>
      <c r="I137" s="172">
        <v>45995</v>
      </c>
      <c r="J137" s="162">
        <f t="shared" si="11"/>
        <v>46725</v>
      </c>
      <c r="K137" s="111">
        <v>42961</v>
      </c>
      <c r="L137" s="111">
        <v>45938</v>
      </c>
      <c r="M137" s="163">
        <f t="shared" si="12"/>
        <v>46668</v>
      </c>
      <c r="N137" s="111">
        <v>42398</v>
      </c>
      <c r="O137" s="111">
        <v>42396</v>
      </c>
      <c r="P137" s="111">
        <v>42397</v>
      </c>
      <c r="Q137" s="166" t="s">
        <v>69</v>
      </c>
      <c r="R137" s="166" t="s">
        <v>69</v>
      </c>
      <c r="S137" s="166" t="s">
        <v>69</v>
      </c>
      <c r="T137" s="94">
        <v>42751</v>
      </c>
      <c r="U137" s="166" t="s">
        <v>69</v>
      </c>
      <c r="V137" s="94">
        <v>44501</v>
      </c>
      <c r="W137" s="94">
        <v>44890</v>
      </c>
      <c r="X137" s="94">
        <v>42464</v>
      </c>
      <c r="Y137" s="166" t="s">
        <v>69</v>
      </c>
      <c r="Z137" s="94">
        <v>44627</v>
      </c>
      <c r="AA137" s="168">
        <v>46293</v>
      </c>
      <c r="AB137" s="166" t="s">
        <v>69</v>
      </c>
      <c r="AC137" s="166" t="s">
        <v>69</v>
      </c>
      <c r="AD137" s="167" t="s">
        <v>71</v>
      </c>
      <c r="AE137" s="167" t="s">
        <v>70</v>
      </c>
      <c r="AF137" s="94">
        <v>45993</v>
      </c>
      <c r="AG137" s="112" t="s">
        <v>69</v>
      </c>
      <c r="AH137" s="167" t="s">
        <v>71</v>
      </c>
      <c r="AI137" s="167" t="s">
        <v>71</v>
      </c>
      <c r="AJ137" s="167" t="s">
        <v>71</v>
      </c>
      <c r="AK137" s="167" t="s">
        <v>70</v>
      </c>
      <c r="AL137" s="166" t="s">
        <v>69</v>
      </c>
      <c r="AM137" s="166"/>
      <c r="AN137" s="166" t="s">
        <v>69</v>
      </c>
      <c r="AO137" s="167" t="s">
        <v>70</v>
      </c>
      <c r="AP137" s="166" t="s">
        <v>69</v>
      </c>
      <c r="AQ137" s="166" t="s">
        <v>69</v>
      </c>
      <c r="AR137" s="168">
        <v>46220</v>
      </c>
      <c r="AS137" s="166" t="s">
        <v>69</v>
      </c>
      <c r="AT137" s="166" t="s">
        <v>69</v>
      </c>
      <c r="AU137" s="166" t="s">
        <v>69</v>
      </c>
      <c r="AV137" s="166" t="s">
        <v>69</v>
      </c>
      <c r="AW137" s="166" t="s">
        <v>69</v>
      </c>
      <c r="AX137" s="166" t="s">
        <v>69</v>
      </c>
      <c r="AY137" s="166" t="s">
        <v>69</v>
      </c>
      <c r="AZ137" s="166" t="s">
        <v>69</v>
      </c>
      <c r="BA137" s="166" t="s">
        <v>69</v>
      </c>
      <c r="BB137" s="166" t="s">
        <v>69</v>
      </c>
      <c r="BC137" s="166" t="s">
        <v>69</v>
      </c>
      <c r="BD137" s="166" t="s">
        <v>69</v>
      </c>
      <c r="BE137" s="166" t="s">
        <v>69</v>
      </c>
      <c r="BF137" s="166" t="s">
        <v>69</v>
      </c>
      <c r="BG137" s="167" t="s">
        <v>70</v>
      </c>
      <c r="BH137" s="166" t="s">
        <v>69</v>
      </c>
      <c r="BI137" s="166" t="s">
        <v>69</v>
      </c>
      <c r="BJ137" s="167" t="s">
        <v>70</v>
      </c>
      <c r="BK137" s="166" t="s">
        <v>69</v>
      </c>
      <c r="BL137" s="167" t="s">
        <v>70</v>
      </c>
      <c r="BM137" s="167" t="s">
        <v>70</v>
      </c>
      <c r="BN137" s="167" t="s">
        <v>70</v>
      </c>
      <c r="BO137" s="167" t="s">
        <v>70</v>
      </c>
      <c r="BP137" s="167" t="s">
        <v>70</v>
      </c>
      <c r="BQ137" s="151">
        <v>0</v>
      </c>
      <c r="BR137" s="142"/>
      <c r="BS137" s="142"/>
      <c r="BT137" s="142"/>
      <c r="BU137" s="142"/>
      <c r="BV137" s="142"/>
      <c r="BW137" s="142"/>
      <c r="BX137" s="142"/>
      <c r="BY137" s="142"/>
      <c r="BZ137" s="142"/>
      <c r="CA137" s="142"/>
      <c r="CB137" s="142"/>
      <c r="CC137" s="142"/>
      <c r="CD137" s="142"/>
      <c r="CE137" s="142"/>
      <c r="CF137" s="142"/>
      <c r="CG137" s="142"/>
      <c r="CH137" s="142"/>
      <c r="CI137" s="142"/>
      <c r="CJ137" s="142"/>
      <c r="CK137" s="142"/>
      <c r="CL137" s="142"/>
      <c r="CM137" s="142"/>
      <c r="CN137" s="142"/>
      <c r="CO137" s="142"/>
      <c r="CP137" s="142"/>
      <c r="CQ137" s="142"/>
      <c r="CR137" s="142"/>
      <c r="CS137" s="142"/>
      <c r="CT137" s="142"/>
      <c r="CU137" s="142"/>
      <c r="CV137" s="142"/>
      <c r="CW137" s="142"/>
      <c r="CX137" s="142"/>
      <c r="CY137" s="142"/>
      <c r="CZ137" s="142"/>
      <c r="DA137" s="142"/>
      <c r="DB137" s="142"/>
      <c r="DC137" s="142"/>
      <c r="DD137" s="142"/>
      <c r="DE137" s="142"/>
      <c r="DF137" s="142"/>
      <c r="DG137" s="142"/>
      <c r="DH137" s="142"/>
      <c r="DI137" s="142"/>
      <c r="DJ137" s="142"/>
      <c r="DK137" s="142"/>
      <c r="DL137" s="142"/>
      <c r="DM137" s="142"/>
      <c r="DN137" s="142"/>
      <c r="DO137" s="142"/>
      <c r="DP137" s="142"/>
      <c r="DQ137" s="142"/>
      <c r="DR137" s="142"/>
      <c r="DS137" s="142"/>
      <c r="DT137" s="142"/>
      <c r="DU137" s="142"/>
      <c r="DV137" s="142"/>
      <c r="DW137" s="142"/>
      <c r="DX137" s="142"/>
      <c r="DY137" s="142"/>
      <c r="DZ137" s="142"/>
      <c r="EA137" s="142"/>
      <c r="EB137" s="142"/>
      <c r="EC137" s="142"/>
      <c r="ED137" s="142"/>
      <c r="EE137" s="142"/>
      <c r="EF137" s="142"/>
    </row>
    <row r="138" spans="1:136" s="151" customFormat="1" ht="19.5" customHeight="1" x14ac:dyDescent="0.2">
      <c r="A138" s="117">
        <v>135</v>
      </c>
      <c r="B138" s="144" t="s">
        <v>180</v>
      </c>
      <c r="C138" s="144">
        <v>83122885</v>
      </c>
      <c r="D138" s="117" t="s">
        <v>73</v>
      </c>
      <c r="E138" s="117" t="s">
        <v>68</v>
      </c>
      <c r="F138" s="146" t="s">
        <v>208</v>
      </c>
      <c r="G138" s="162">
        <v>41129</v>
      </c>
      <c r="H138" s="162">
        <v>41134</v>
      </c>
      <c r="I138" s="162">
        <v>45951</v>
      </c>
      <c r="J138" s="162">
        <f t="shared" si="11"/>
        <v>46681</v>
      </c>
      <c r="K138" s="111">
        <v>41127</v>
      </c>
      <c r="L138" s="163">
        <v>46168</v>
      </c>
      <c r="M138" s="163">
        <f t="shared" si="12"/>
        <v>46899</v>
      </c>
      <c r="N138" s="111">
        <v>42317</v>
      </c>
      <c r="O138" s="111">
        <v>42318</v>
      </c>
      <c r="P138" s="111">
        <v>42319</v>
      </c>
      <c r="Q138" s="166" t="s">
        <v>69</v>
      </c>
      <c r="R138" s="94">
        <v>42492</v>
      </c>
      <c r="S138" s="94">
        <v>45527</v>
      </c>
      <c r="T138" s="94">
        <v>43871</v>
      </c>
      <c r="U138" s="166" t="s">
        <v>69</v>
      </c>
      <c r="V138" s="94">
        <v>44158</v>
      </c>
      <c r="W138" s="166" t="s">
        <v>69</v>
      </c>
      <c r="X138" s="94">
        <v>42198</v>
      </c>
      <c r="Y138" s="94">
        <v>42310</v>
      </c>
      <c r="Z138" s="94">
        <v>42702</v>
      </c>
      <c r="AA138" s="94">
        <v>45723</v>
      </c>
      <c r="AB138" s="166" t="s">
        <v>69</v>
      </c>
      <c r="AC138" s="166" t="s">
        <v>69</v>
      </c>
      <c r="AD138" s="167" t="s">
        <v>71</v>
      </c>
      <c r="AE138" s="167" t="s">
        <v>70</v>
      </c>
      <c r="AF138" s="112">
        <v>46077</v>
      </c>
      <c r="AG138" s="112" t="s">
        <v>69</v>
      </c>
      <c r="AH138" s="167" t="s">
        <v>71</v>
      </c>
      <c r="AI138" s="167" t="s">
        <v>71</v>
      </c>
      <c r="AJ138" s="167" t="s">
        <v>71</v>
      </c>
      <c r="AK138" s="167" t="s">
        <v>70</v>
      </c>
      <c r="AL138" s="166" t="s">
        <v>69</v>
      </c>
      <c r="AM138" s="166"/>
      <c r="AN138" s="166" t="s">
        <v>69</v>
      </c>
      <c r="AO138" s="167" t="s">
        <v>70</v>
      </c>
      <c r="AP138" s="166" t="s">
        <v>69</v>
      </c>
      <c r="AQ138" s="166" t="s">
        <v>69</v>
      </c>
      <c r="AR138" s="168">
        <v>46220</v>
      </c>
      <c r="AS138" s="166" t="s">
        <v>69</v>
      </c>
      <c r="AT138" s="166" t="s">
        <v>69</v>
      </c>
      <c r="AU138" s="166" t="s">
        <v>69</v>
      </c>
      <c r="AV138" s="166" t="s">
        <v>69</v>
      </c>
      <c r="AW138" s="94">
        <v>41913</v>
      </c>
      <c r="AX138" s="166" t="s">
        <v>69</v>
      </c>
      <c r="AY138" s="166" t="s">
        <v>69</v>
      </c>
      <c r="AZ138" s="166" t="s">
        <v>69</v>
      </c>
      <c r="BA138" s="166" t="s">
        <v>69</v>
      </c>
      <c r="BB138" s="166" t="s">
        <v>69</v>
      </c>
      <c r="BC138" s="166" t="s">
        <v>69</v>
      </c>
      <c r="BD138" s="166" t="s">
        <v>69</v>
      </c>
      <c r="BE138" s="166" t="s">
        <v>69</v>
      </c>
      <c r="BF138" s="166" t="s">
        <v>69</v>
      </c>
      <c r="BG138" s="167" t="s">
        <v>70</v>
      </c>
      <c r="BH138" s="166" t="s">
        <v>69</v>
      </c>
      <c r="BI138" s="166" t="s">
        <v>69</v>
      </c>
      <c r="BJ138" s="167" t="s">
        <v>70</v>
      </c>
      <c r="BK138" s="166" t="s">
        <v>69</v>
      </c>
      <c r="BL138" s="167" t="s">
        <v>70</v>
      </c>
      <c r="BM138" s="167" t="s">
        <v>70</v>
      </c>
      <c r="BN138" s="167" t="s">
        <v>70</v>
      </c>
      <c r="BO138" s="167" t="s">
        <v>70</v>
      </c>
      <c r="BP138" s="167" t="s">
        <v>70</v>
      </c>
      <c r="BQ138" s="151">
        <v>0</v>
      </c>
      <c r="BR138" s="142"/>
      <c r="BS138" s="142"/>
      <c r="BT138" s="142"/>
      <c r="BU138" s="142"/>
      <c r="BV138" s="142"/>
      <c r="BW138" s="142"/>
      <c r="BX138" s="142"/>
      <c r="BY138" s="142"/>
      <c r="BZ138" s="142"/>
      <c r="CA138" s="142"/>
      <c r="CB138" s="142"/>
      <c r="CC138" s="142"/>
      <c r="CD138" s="142"/>
      <c r="CE138" s="142"/>
      <c r="CF138" s="142"/>
      <c r="CG138" s="142"/>
      <c r="CH138" s="142"/>
      <c r="CI138" s="142"/>
      <c r="CJ138" s="142"/>
      <c r="CK138" s="142"/>
      <c r="CL138" s="142"/>
      <c r="CM138" s="142"/>
      <c r="CN138" s="142"/>
      <c r="CO138" s="142"/>
      <c r="CP138" s="142"/>
      <c r="CQ138" s="142"/>
      <c r="CR138" s="142"/>
      <c r="CS138" s="142"/>
      <c r="CT138" s="142"/>
      <c r="CU138" s="142"/>
      <c r="CV138" s="142"/>
      <c r="CW138" s="142"/>
      <c r="CX138" s="142"/>
      <c r="CY138" s="142"/>
      <c r="CZ138" s="142"/>
      <c r="DA138" s="142"/>
      <c r="DB138" s="142"/>
      <c r="DC138" s="142"/>
      <c r="DD138" s="142"/>
      <c r="DE138" s="142"/>
      <c r="DF138" s="142"/>
      <c r="DG138" s="142"/>
      <c r="DH138" s="142"/>
      <c r="DI138" s="142"/>
      <c r="DJ138" s="142"/>
      <c r="DK138" s="142"/>
      <c r="DL138" s="142"/>
      <c r="DM138" s="142"/>
      <c r="DN138" s="142"/>
      <c r="DO138" s="142"/>
      <c r="DP138" s="142"/>
      <c r="DQ138" s="142"/>
      <c r="DR138" s="142"/>
      <c r="DS138" s="142"/>
      <c r="DT138" s="142"/>
      <c r="DU138" s="142"/>
      <c r="DV138" s="142"/>
      <c r="DW138" s="142"/>
      <c r="DX138" s="142"/>
      <c r="DY138" s="142"/>
      <c r="DZ138" s="142"/>
      <c r="EA138" s="142"/>
      <c r="EB138" s="142"/>
      <c r="EC138" s="142"/>
      <c r="ED138" s="142"/>
      <c r="EE138" s="142"/>
      <c r="EF138" s="142"/>
    </row>
    <row r="139" spans="1:136" s="151" customFormat="1" ht="19.5" customHeight="1" x14ac:dyDescent="0.2">
      <c r="A139" s="117">
        <v>136</v>
      </c>
      <c r="B139" s="161" t="s">
        <v>125</v>
      </c>
      <c r="C139" s="170">
        <v>83040047</v>
      </c>
      <c r="D139" s="171" t="s">
        <v>126</v>
      </c>
      <c r="E139" s="117" t="s">
        <v>83</v>
      </c>
      <c r="F139" s="146" t="s">
        <v>208</v>
      </c>
      <c r="G139" s="172">
        <v>40934</v>
      </c>
      <c r="H139" s="172">
        <v>41920</v>
      </c>
      <c r="I139" s="172">
        <v>46105</v>
      </c>
      <c r="J139" s="162">
        <f t="shared" si="11"/>
        <v>46836</v>
      </c>
      <c r="K139" s="111">
        <v>40882</v>
      </c>
      <c r="L139" s="111">
        <v>46076</v>
      </c>
      <c r="M139" s="163">
        <f t="shared" si="12"/>
        <v>46806</v>
      </c>
      <c r="N139" s="111">
        <v>40891</v>
      </c>
      <c r="O139" s="111">
        <v>40891</v>
      </c>
      <c r="P139" s="111">
        <v>40891</v>
      </c>
      <c r="Q139" s="165" t="s">
        <v>69</v>
      </c>
      <c r="R139" s="94">
        <v>42199</v>
      </c>
      <c r="S139" s="94">
        <v>45527</v>
      </c>
      <c r="T139" s="94">
        <v>43353</v>
      </c>
      <c r="U139" s="94">
        <v>41757</v>
      </c>
      <c r="V139" s="94">
        <v>42149</v>
      </c>
      <c r="W139" s="94">
        <v>43298</v>
      </c>
      <c r="X139" s="94">
        <v>41890</v>
      </c>
      <c r="Y139" s="94">
        <v>42034</v>
      </c>
      <c r="Z139" s="94">
        <v>44116</v>
      </c>
      <c r="AA139" s="165" t="s">
        <v>69</v>
      </c>
      <c r="AB139" s="94">
        <v>41088</v>
      </c>
      <c r="AC139" s="94">
        <v>42088</v>
      </c>
      <c r="AD139" s="167" t="s">
        <v>70</v>
      </c>
      <c r="AE139" s="167" t="s">
        <v>70</v>
      </c>
      <c r="AF139" s="94">
        <v>45881</v>
      </c>
      <c r="AG139" s="167" t="s">
        <v>70</v>
      </c>
      <c r="AH139" s="167" t="s">
        <v>71</v>
      </c>
      <c r="AI139" s="167" t="s">
        <v>70</v>
      </c>
      <c r="AJ139" s="167" t="s">
        <v>70</v>
      </c>
      <c r="AK139" s="167" t="s">
        <v>70</v>
      </c>
      <c r="AL139" s="166" t="s">
        <v>69</v>
      </c>
      <c r="AM139" s="166"/>
      <c r="AN139" s="94">
        <v>43116</v>
      </c>
      <c r="AO139" s="167" t="s">
        <v>70</v>
      </c>
      <c r="AP139" s="94">
        <v>41803</v>
      </c>
      <c r="AQ139" s="94">
        <v>42482</v>
      </c>
      <c r="AR139" s="166" t="s">
        <v>69</v>
      </c>
      <c r="AS139" s="166" t="s">
        <v>69</v>
      </c>
      <c r="AT139" s="94">
        <v>43543</v>
      </c>
      <c r="AU139" s="166" t="s">
        <v>69</v>
      </c>
      <c r="AV139" s="166" t="s">
        <v>69</v>
      </c>
      <c r="AW139" s="94">
        <v>41914</v>
      </c>
      <c r="AX139" s="167" t="s">
        <v>70</v>
      </c>
      <c r="AY139" s="166" t="s">
        <v>69</v>
      </c>
      <c r="AZ139" s="94">
        <v>42709</v>
      </c>
      <c r="BA139" s="173"/>
      <c r="BB139" s="94">
        <v>42314</v>
      </c>
      <c r="BC139" s="167" t="s">
        <v>70</v>
      </c>
      <c r="BD139" s="167" t="s">
        <v>70</v>
      </c>
      <c r="BE139" s="167" t="s">
        <v>70</v>
      </c>
      <c r="BF139" s="167" t="s">
        <v>70</v>
      </c>
      <c r="BG139" s="169" t="s">
        <v>70</v>
      </c>
      <c r="BH139" s="169" t="s">
        <v>70</v>
      </c>
      <c r="BI139" s="169" t="s">
        <v>70</v>
      </c>
      <c r="BJ139" s="169" t="s">
        <v>71</v>
      </c>
      <c r="BK139" s="167" t="s">
        <v>70</v>
      </c>
      <c r="BL139" s="167" t="s">
        <v>70</v>
      </c>
      <c r="BM139" s="167" t="s">
        <v>70</v>
      </c>
      <c r="BN139" s="167" t="s">
        <v>70</v>
      </c>
      <c r="BO139" s="167" t="s">
        <v>70</v>
      </c>
      <c r="BP139" s="167" t="s">
        <v>70</v>
      </c>
      <c r="BQ139" s="151">
        <v>0</v>
      </c>
      <c r="BR139" s="142"/>
      <c r="BS139" s="142"/>
      <c r="BT139" s="142"/>
      <c r="BU139" s="142"/>
      <c r="BV139" s="142"/>
      <c r="BW139" s="142"/>
      <c r="BX139" s="142"/>
      <c r="BY139" s="142"/>
      <c r="BZ139" s="142"/>
      <c r="CA139" s="142"/>
      <c r="CB139" s="142"/>
      <c r="CC139" s="142"/>
      <c r="CD139" s="142"/>
      <c r="CE139" s="142"/>
      <c r="CF139" s="142"/>
      <c r="CG139" s="142"/>
      <c r="CH139" s="142"/>
      <c r="CI139" s="142"/>
      <c r="CJ139" s="142"/>
      <c r="CK139" s="142"/>
      <c r="CL139" s="142"/>
      <c r="CM139" s="142"/>
      <c r="CN139" s="142"/>
      <c r="CO139" s="142"/>
      <c r="CP139" s="142"/>
      <c r="CQ139" s="142"/>
      <c r="CR139" s="142"/>
      <c r="CS139" s="142"/>
      <c r="CT139" s="142"/>
      <c r="CU139" s="142"/>
      <c r="CV139" s="142"/>
      <c r="CW139" s="142"/>
      <c r="CX139" s="142"/>
      <c r="CY139" s="142"/>
      <c r="CZ139" s="142"/>
      <c r="DA139" s="142"/>
      <c r="DB139" s="142"/>
      <c r="DC139" s="142"/>
      <c r="DD139" s="142"/>
      <c r="DE139" s="142"/>
      <c r="DF139" s="142"/>
      <c r="DG139" s="142"/>
      <c r="DH139" s="142"/>
      <c r="DI139" s="142"/>
      <c r="DJ139" s="142"/>
      <c r="DK139" s="142"/>
      <c r="DL139" s="142"/>
      <c r="DM139" s="142"/>
      <c r="DN139" s="142"/>
      <c r="DO139" s="142"/>
      <c r="DP139" s="142"/>
      <c r="DQ139" s="142"/>
      <c r="DR139" s="142"/>
      <c r="DS139" s="142"/>
      <c r="DT139" s="142"/>
      <c r="DU139" s="142"/>
      <c r="DV139" s="142"/>
      <c r="DW139" s="142"/>
      <c r="DX139" s="142"/>
      <c r="DY139" s="142"/>
      <c r="DZ139" s="142"/>
      <c r="EA139" s="142"/>
      <c r="EB139" s="142"/>
      <c r="EC139" s="142"/>
      <c r="ED139" s="142"/>
      <c r="EE139" s="142"/>
      <c r="EF139" s="141"/>
    </row>
    <row r="140" spans="1:136" s="151" customFormat="1" ht="19.5" customHeight="1" x14ac:dyDescent="0.2">
      <c r="A140" s="117">
        <v>137</v>
      </c>
      <c r="B140" s="174" t="s">
        <v>82</v>
      </c>
      <c r="C140" s="144">
        <v>150930</v>
      </c>
      <c r="D140" s="117" t="s">
        <v>73</v>
      </c>
      <c r="E140" s="146" t="s">
        <v>83</v>
      </c>
      <c r="F140" s="146" t="s">
        <v>208</v>
      </c>
      <c r="G140" s="111">
        <v>42249</v>
      </c>
      <c r="H140" s="111">
        <v>45351</v>
      </c>
      <c r="I140" s="111">
        <v>46188</v>
      </c>
      <c r="J140" s="162">
        <f t="shared" si="11"/>
        <v>46919</v>
      </c>
      <c r="K140" s="111">
        <v>45351</v>
      </c>
      <c r="L140" s="111">
        <v>46191</v>
      </c>
      <c r="M140" s="163">
        <f t="shared" si="12"/>
        <v>46922</v>
      </c>
      <c r="N140" s="111">
        <v>42298</v>
      </c>
      <c r="O140" s="111">
        <v>46273</v>
      </c>
      <c r="P140" s="111">
        <v>42297</v>
      </c>
      <c r="Q140" s="166" t="s">
        <v>69</v>
      </c>
      <c r="R140" s="166" t="s">
        <v>69</v>
      </c>
      <c r="S140" s="166" t="s">
        <v>69</v>
      </c>
      <c r="T140" s="168">
        <v>46059</v>
      </c>
      <c r="U140" s="168">
        <v>46220</v>
      </c>
      <c r="V140" s="112" t="s">
        <v>69</v>
      </c>
      <c r="W140" s="166" t="s">
        <v>69</v>
      </c>
      <c r="X140" s="166" t="s">
        <v>69</v>
      </c>
      <c r="Y140" s="166" t="s">
        <v>69</v>
      </c>
      <c r="Z140" s="166" t="s">
        <v>69</v>
      </c>
      <c r="AA140" s="166" t="s">
        <v>69</v>
      </c>
      <c r="AB140" s="166" t="s">
        <v>69</v>
      </c>
      <c r="AC140" s="166" t="s">
        <v>69</v>
      </c>
      <c r="AD140" s="167" t="s">
        <v>71</v>
      </c>
      <c r="AE140" s="167" t="s">
        <v>71</v>
      </c>
      <c r="AF140" s="111">
        <v>44931</v>
      </c>
      <c r="AG140" s="112" t="s">
        <v>69</v>
      </c>
      <c r="AH140" s="167" t="s">
        <v>71</v>
      </c>
      <c r="AI140" s="167" t="s">
        <v>71</v>
      </c>
      <c r="AJ140" s="167" t="s">
        <v>71</v>
      </c>
      <c r="AK140" s="167" t="s">
        <v>70</v>
      </c>
      <c r="AL140" s="166" t="s">
        <v>69</v>
      </c>
      <c r="AM140" s="166"/>
      <c r="AN140" s="166" t="s">
        <v>69</v>
      </c>
      <c r="AO140" s="167" t="s">
        <v>70</v>
      </c>
      <c r="AP140" s="166" t="s">
        <v>69</v>
      </c>
      <c r="AQ140" s="166" t="s">
        <v>69</v>
      </c>
      <c r="AR140" s="166" t="s">
        <v>69</v>
      </c>
      <c r="AS140" s="166" t="s">
        <v>69</v>
      </c>
      <c r="AT140" s="166" t="s">
        <v>69</v>
      </c>
      <c r="AU140" s="166" t="s">
        <v>69</v>
      </c>
      <c r="AV140" s="166" t="s">
        <v>69</v>
      </c>
      <c r="AW140" s="166" t="s">
        <v>69</v>
      </c>
      <c r="AX140" s="166" t="s">
        <v>69</v>
      </c>
      <c r="AY140" s="166" t="s">
        <v>69</v>
      </c>
      <c r="AZ140" s="166" t="s">
        <v>69</v>
      </c>
      <c r="BA140" s="166" t="s">
        <v>69</v>
      </c>
      <c r="BB140" s="166" t="s">
        <v>69</v>
      </c>
      <c r="BC140" s="166" t="s">
        <v>69</v>
      </c>
      <c r="BD140" s="166" t="s">
        <v>69</v>
      </c>
      <c r="BE140" s="166" t="s">
        <v>69</v>
      </c>
      <c r="BF140" s="166" t="s">
        <v>69</v>
      </c>
      <c r="BG140" s="167" t="s">
        <v>70</v>
      </c>
      <c r="BH140" s="166" t="s">
        <v>69</v>
      </c>
      <c r="BI140" s="166" t="s">
        <v>69</v>
      </c>
      <c r="BJ140" s="167" t="s">
        <v>70</v>
      </c>
      <c r="BK140" s="166" t="s">
        <v>69</v>
      </c>
      <c r="BL140" s="167" t="s">
        <v>70</v>
      </c>
      <c r="BM140" s="167" t="s">
        <v>70</v>
      </c>
      <c r="BN140" s="167" t="s">
        <v>70</v>
      </c>
      <c r="BO140" s="167" t="s">
        <v>70</v>
      </c>
      <c r="BP140" s="94"/>
      <c r="BQ140" s="151">
        <v>0</v>
      </c>
    </row>
    <row r="141" spans="1:136" s="151" customFormat="1" ht="19.5" customHeight="1" x14ac:dyDescent="0.2">
      <c r="A141" s="117">
        <v>138</v>
      </c>
      <c r="B141" s="117" t="s">
        <v>84</v>
      </c>
      <c r="C141" s="214">
        <v>83117964</v>
      </c>
      <c r="D141" s="117" t="s">
        <v>73</v>
      </c>
      <c r="E141" s="146" t="s">
        <v>68</v>
      </c>
      <c r="F141" s="146" t="s">
        <v>208</v>
      </c>
      <c r="G141" s="162">
        <v>40973</v>
      </c>
      <c r="H141" s="162">
        <v>41038</v>
      </c>
      <c r="I141" s="162">
        <v>46133</v>
      </c>
      <c r="J141" s="162">
        <f t="shared" si="11"/>
        <v>46864</v>
      </c>
      <c r="K141" s="111">
        <v>40968</v>
      </c>
      <c r="L141" s="111">
        <v>46049</v>
      </c>
      <c r="M141" s="163">
        <f t="shared" si="12"/>
        <v>46779</v>
      </c>
      <c r="N141" s="111">
        <v>40941</v>
      </c>
      <c r="O141" s="111">
        <v>40941</v>
      </c>
      <c r="P141" s="111">
        <v>40941</v>
      </c>
      <c r="Q141" s="166" t="s">
        <v>69</v>
      </c>
      <c r="R141" s="94">
        <v>45516</v>
      </c>
      <c r="S141" s="94">
        <v>46246</v>
      </c>
      <c r="T141" s="94">
        <v>43479</v>
      </c>
      <c r="U141" s="166" t="s">
        <v>69</v>
      </c>
      <c r="V141" s="111">
        <v>42858</v>
      </c>
      <c r="W141" s="94">
        <v>43542</v>
      </c>
      <c r="X141" s="94">
        <v>42198</v>
      </c>
      <c r="Y141" s="94">
        <v>44217</v>
      </c>
      <c r="Z141" s="94">
        <v>43437</v>
      </c>
      <c r="AA141" s="166" t="s">
        <v>69</v>
      </c>
      <c r="AB141" s="166" t="s">
        <v>69</v>
      </c>
      <c r="AC141" s="166" t="s">
        <v>69</v>
      </c>
      <c r="AD141" s="167" t="s">
        <v>71</v>
      </c>
      <c r="AE141" s="167" t="s">
        <v>71</v>
      </c>
      <c r="AF141" s="112">
        <v>46064</v>
      </c>
      <c r="AG141" s="112" t="s">
        <v>69</v>
      </c>
      <c r="AH141" s="167" t="s">
        <v>71</v>
      </c>
      <c r="AI141" s="167" t="s">
        <v>71</v>
      </c>
      <c r="AJ141" s="167" t="s">
        <v>71</v>
      </c>
      <c r="AK141" s="167" t="s">
        <v>70</v>
      </c>
      <c r="AL141" s="166" t="s">
        <v>69</v>
      </c>
      <c r="AM141" s="166"/>
      <c r="AN141" s="94">
        <v>44349</v>
      </c>
      <c r="AO141" s="167" t="s">
        <v>70</v>
      </c>
      <c r="AP141" s="166" t="s">
        <v>69</v>
      </c>
      <c r="AQ141" s="166" t="s">
        <v>69</v>
      </c>
      <c r="AR141" s="166" t="s">
        <v>69</v>
      </c>
      <c r="AS141" s="168">
        <v>46233</v>
      </c>
      <c r="AT141" s="94">
        <v>43649</v>
      </c>
      <c r="AU141" s="166" t="s">
        <v>69</v>
      </c>
      <c r="AV141" s="166" t="s">
        <v>69</v>
      </c>
      <c r="AW141" s="166" t="s">
        <v>69</v>
      </c>
      <c r="AX141" s="166" t="s">
        <v>69</v>
      </c>
      <c r="AY141" s="94">
        <v>42586</v>
      </c>
      <c r="AZ141" s="166" t="s">
        <v>69</v>
      </c>
      <c r="BA141" s="166" t="s">
        <v>69</v>
      </c>
      <c r="BB141" s="166" t="s">
        <v>69</v>
      </c>
      <c r="BC141" s="166" t="s">
        <v>69</v>
      </c>
      <c r="BD141" s="166" t="s">
        <v>69</v>
      </c>
      <c r="BE141" s="166" t="s">
        <v>69</v>
      </c>
      <c r="BF141" s="166" t="s">
        <v>69</v>
      </c>
      <c r="BG141" s="167" t="s">
        <v>70</v>
      </c>
      <c r="BH141" s="166" t="s">
        <v>69</v>
      </c>
      <c r="BI141" s="166" t="s">
        <v>69</v>
      </c>
      <c r="BJ141" s="167" t="s">
        <v>70</v>
      </c>
      <c r="BK141" s="166" t="s">
        <v>69</v>
      </c>
      <c r="BL141" s="167" t="s">
        <v>70</v>
      </c>
      <c r="BM141" s="167" t="s">
        <v>70</v>
      </c>
      <c r="BN141" s="167" t="s">
        <v>70</v>
      </c>
      <c r="BO141" s="167" t="s">
        <v>70</v>
      </c>
      <c r="BP141" s="173"/>
      <c r="BQ141" s="151">
        <v>0</v>
      </c>
    </row>
    <row r="142" spans="1:136" s="151" customFormat="1" ht="19.5" customHeight="1" x14ac:dyDescent="0.2">
      <c r="A142" s="117">
        <v>139</v>
      </c>
      <c r="B142" s="144" t="s">
        <v>89</v>
      </c>
      <c r="C142" s="144">
        <v>83122880</v>
      </c>
      <c r="D142" s="117" t="s">
        <v>73</v>
      </c>
      <c r="E142" s="146" t="s">
        <v>68</v>
      </c>
      <c r="F142" s="146" t="s">
        <v>208</v>
      </c>
      <c r="G142" s="162">
        <v>41129</v>
      </c>
      <c r="H142" s="162">
        <v>41134</v>
      </c>
      <c r="I142" s="162">
        <v>46133</v>
      </c>
      <c r="J142" s="162">
        <f t="shared" si="11"/>
        <v>46864</v>
      </c>
      <c r="K142" s="111">
        <v>41127</v>
      </c>
      <c r="L142" s="162">
        <v>46140</v>
      </c>
      <c r="M142" s="163">
        <f t="shared" si="12"/>
        <v>46871</v>
      </c>
      <c r="N142" s="111">
        <v>42612</v>
      </c>
      <c r="O142" s="111">
        <v>42613</v>
      </c>
      <c r="P142" s="111">
        <v>42614</v>
      </c>
      <c r="Q142" s="94">
        <v>42479</v>
      </c>
      <c r="R142" s="166" t="s">
        <v>69</v>
      </c>
      <c r="S142" s="166" t="s">
        <v>69</v>
      </c>
      <c r="T142" s="94">
        <v>43612</v>
      </c>
      <c r="U142" s="166" t="s">
        <v>69</v>
      </c>
      <c r="V142" s="94">
        <v>43822</v>
      </c>
      <c r="W142" s="94">
        <v>44127</v>
      </c>
      <c r="X142" s="94">
        <v>41936</v>
      </c>
      <c r="Y142" s="94">
        <v>42310</v>
      </c>
      <c r="Z142" s="94">
        <v>43724</v>
      </c>
      <c r="AA142" s="166" t="s">
        <v>69</v>
      </c>
      <c r="AB142" s="166" t="s">
        <v>69</v>
      </c>
      <c r="AC142" s="166" t="s">
        <v>69</v>
      </c>
      <c r="AD142" s="167" t="s">
        <v>71</v>
      </c>
      <c r="AE142" s="167" t="s">
        <v>71</v>
      </c>
      <c r="AF142" s="112">
        <v>45672</v>
      </c>
      <c r="AG142" s="112" t="s">
        <v>69</v>
      </c>
      <c r="AH142" s="167" t="s">
        <v>71</v>
      </c>
      <c r="AI142" s="167" t="s">
        <v>71</v>
      </c>
      <c r="AJ142" s="167" t="s">
        <v>71</v>
      </c>
      <c r="AK142" s="167" t="s">
        <v>70</v>
      </c>
      <c r="AL142" s="166" t="s">
        <v>69</v>
      </c>
      <c r="AM142" s="166"/>
      <c r="AN142" s="166" t="s">
        <v>69</v>
      </c>
      <c r="AO142" s="167" t="s">
        <v>70</v>
      </c>
      <c r="AP142" s="166" t="s">
        <v>69</v>
      </c>
      <c r="AQ142" s="166" t="s">
        <v>69</v>
      </c>
      <c r="AR142" s="166" t="s">
        <v>69</v>
      </c>
      <c r="AS142" s="166" t="s">
        <v>69</v>
      </c>
      <c r="AT142" s="166" t="s">
        <v>69</v>
      </c>
      <c r="AU142" s="166" t="s">
        <v>69</v>
      </c>
      <c r="AV142" s="166" t="s">
        <v>69</v>
      </c>
      <c r="AW142" s="166" t="s">
        <v>69</v>
      </c>
      <c r="AX142" s="94">
        <v>42499</v>
      </c>
      <c r="AY142" s="94">
        <v>42311</v>
      </c>
      <c r="AZ142" s="166" t="s">
        <v>69</v>
      </c>
      <c r="BA142" s="166" t="s">
        <v>69</v>
      </c>
      <c r="BB142" s="166" t="s">
        <v>69</v>
      </c>
      <c r="BC142" s="166" t="s">
        <v>69</v>
      </c>
      <c r="BD142" s="166" t="s">
        <v>69</v>
      </c>
      <c r="BE142" s="166" t="s">
        <v>69</v>
      </c>
      <c r="BF142" s="166" t="s">
        <v>69</v>
      </c>
      <c r="BG142" s="167" t="s">
        <v>70</v>
      </c>
      <c r="BH142" s="166" t="s">
        <v>69</v>
      </c>
      <c r="BI142" s="166" t="s">
        <v>69</v>
      </c>
      <c r="BJ142" s="167" t="s">
        <v>70</v>
      </c>
      <c r="BK142" s="166" t="s">
        <v>69</v>
      </c>
      <c r="BL142" s="167" t="s">
        <v>70</v>
      </c>
      <c r="BM142" s="167" t="s">
        <v>70</v>
      </c>
      <c r="BN142" s="167" t="s">
        <v>70</v>
      </c>
      <c r="BO142" s="167" t="s">
        <v>70</v>
      </c>
      <c r="BP142" s="173"/>
      <c r="BQ142" s="151">
        <v>0</v>
      </c>
    </row>
    <row r="143" spans="1:136" s="151" customFormat="1" ht="19.5" customHeight="1" x14ac:dyDescent="0.2">
      <c r="A143" s="117">
        <v>140</v>
      </c>
      <c r="B143" s="144" t="s">
        <v>90</v>
      </c>
      <c r="C143" s="144">
        <v>83122881</v>
      </c>
      <c r="D143" s="117" t="s">
        <v>73</v>
      </c>
      <c r="E143" s="146" t="s">
        <v>68</v>
      </c>
      <c r="F143" s="146" t="s">
        <v>208</v>
      </c>
      <c r="G143" s="162">
        <v>41129</v>
      </c>
      <c r="H143" s="162">
        <v>41134</v>
      </c>
      <c r="I143" s="162">
        <v>46017</v>
      </c>
      <c r="J143" s="162">
        <f t="shared" si="11"/>
        <v>46747</v>
      </c>
      <c r="K143" s="111">
        <v>41127</v>
      </c>
      <c r="L143" s="162">
        <v>46049</v>
      </c>
      <c r="M143" s="163">
        <f t="shared" si="12"/>
        <v>46779</v>
      </c>
      <c r="N143" s="111">
        <v>41814</v>
      </c>
      <c r="O143" s="111">
        <v>41451</v>
      </c>
      <c r="P143" s="111">
        <v>42614</v>
      </c>
      <c r="Q143" s="166" t="s">
        <v>69</v>
      </c>
      <c r="R143" s="166" t="s">
        <v>69</v>
      </c>
      <c r="S143" s="166" t="s">
        <v>69</v>
      </c>
      <c r="T143" s="94">
        <v>43752</v>
      </c>
      <c r="U143" s="166" t="s">
        <v>69</v>
      </c>
      <c r="V143" s="94">
        <v>43822</v>
      </c>
      <c r="W143" s="94">
        <v>44130</v>
      </c>
      <c r="X143" s="94">
        <v>42669</v>
      </c>
      <c r="Y143" s="94">
        <v>42458</v>
      </c>
      <c r="Z143" s="94">
        <v>44284</v>
      </c>
      <c r="AA143" s="166" t="s">
        <v>69</v>
      </c>
      <c r="AB143" s="166" t="s">
        <v>69</v>
      </c>
      <c r="AC143" s="166" t="s">
        <v>69</v>
      </c>
      <c r="AD143" s="167" t="s">
        <v>71</v>
      </c>
      <c r="AE143" s="167" t="s">
        <v>71</v>
      </c>
      <c r="AF143" s="112" t="s">
        <v>69</v>
      </c>
      <c r="AG143" s="112" t="s">
        <v>69</v>
      </c>
      <c r="AH143" s="167" t="s">
        <v>71</v>
      </c>
      <c r="AI143" s="167" t="s">
        <v>71</v>
      </c>
      <c r="AJ143" s="167" t="s">
        <v>71</v>
      </c>
      <c r="AK143" s="167" t="s">
        <v>70</v>
      </c>
      <c r="AL143" s="166" t="s">
        <v>69</v>
      </c>
      <c r="AM143" s="166"/>
      <c r="AN143" s="166" t="s">
        <v>69</v>
      </c>
      <c r="AO143" s="167" t="s">
        <v>70</v>
      </c>
      <c r="AP143" s="168">
        <v>46125</v>
      </c>
      <c r="AQ143" s="166" t="s">
        <v>69</v>
      </c>
      <c r="AR143" s="166" t="s">
        <v>69</v>
      </c>
      <c r="AS143" s="166" t="s">
        <v>69</v>
      </c>
      <c r="AT143" s="94">
        <v>43671</v>
      </c>
      <c r="AU143" s="166" t="s">
        <v>69</v>
      </c>
      <c r="AV143" s="166" t="s">
        <v>69</v>
      </c>
      <c r="AW143" s="166" t="s">
        <v>69</v>
      </c>
      <c r="AX143" s="94">
        <v>42597</v>
      </c>
      <c r="AY143" s="94">
        <v>42598</v>
      </c>
      <c r="AZ143" s="166" t="s">
        <v>69</v>
      </c>
      <c r="BA143" s="166" t="s">
        <v>69</v>
      </c>
      <c r="BB143" s="166" t="s">
        <v>69</v>
      </c>
      <c r="BC143" s="166" t="s">
        <v>69</v>
      </c>
      <c r="BD143" s="166" t="s">
        <v>69</v>
      </c>
      <c r="BE143" s="166" t="s">
        <v>69</v>
      </c>
      <c r="BF143" s="166" t="s">
        <v>69</v>
      </c>
      <c r="BG143" s="167" t="s">
        <v>70</v>
      </c>
      <c r="BH143" s="166" t="s">
        <v>69</v>
      </c>
      <c r="BI143" s="166" t="s">
        <v>69</v>
      </c>
      <c r="BJ143" s="167" t="s">
        <v>70</v>
      </c>
      <c r="BK143" s="166" t="s">
        <v>69</v>
      </c>
      <c r="BL143" s="167" t="s">
        <v>70</v>
      </c>
      <c r="BM143" s="167" t="s">
        <v>70</v>
      </c>
      <c r="BN143" s="167" t="s">
        <v>70</v>
      </c>
      <c r="BO143" s="167" t="s">
        <v>70</v>
      </c>
      <c r="BP143" s="173"/>
      <c r="BQ143" s="151">
        <v>0</v>
      </c>
    </row>
    <row r="144" spans="1:136" s="151" customFormat="1" ht="19.5" customHeight="1" x14ac:dyDescent="0.2">
      <c r="A144" s="117">
        <v>141</v>
      </c>
      <c r="B144" s="206" t="s">
        <v>92</v>
      </c>
      <c r="C144" s="206">
        <v>135030</v>
      </c>
      <c r="D144" s="117" t="s">
        <v>73</v>
      </c>
      <c r="E144" s="146" t="s">
        <v>68</v>
      </c>
      <c r="F144" s="146" t="s">
        <v>208</v>
      </c>
      <c r="G144" s="162">
        <v>42074</v>
      </c>
      <c r="H144" s="162">
        <v>42446</v>
      </c>
      <c r="I144" s="162">
        <v>46065</v>
      </c>
      <c r="J144" s="162">
        <f t="shared" si="11"/>
        <v>46795</v>
      </c>
      <c r="K144" s="111">
        <v>41970</v>
      </c>
      <c r="L144" s="111">
        <v>46064</v>
      </c>
      <c r="M144" s="163">
        <f t="shared" si="12"/>
        <v>46794</v>
      </c>
      <c r="N144" s="111">
        <v>42011</v>
      </c>
      <c r="O144" s="111">
        <v>42013</v>
      </c>
      <c r="P144" s="111">
        <v>42016</v>
      </c>
      <c r="Q144" s="166" t="s">
        <v>69</v>
      </c>
      <c r="R144" s="166" t="s">
        <v>69</v>
      </c>
      <c r="S144" s="166" t="s">
        <v>69</v>
      </c>
      <c r="T144" s="94">
        <v>43686</v>
      </c>
      <c r="U144" s="166" t="s">
        <v>69</v>
      </c>
      <c r="V144" s="94">
        <v>44123</v>
      </c>
      <c r="W144" s="166" t="s">
        <v>69</v>
      </c>
      <c r="X144" s="94">
        <v>42464</v>
      </c>
      <c r="Y144" s="94">
        <v>42639</v>
      </c>
      <c r="Z144" s="94">
        <v>44389</v>
      </c>
      <c r="AA144" s="94">
        <v>45772</v>
      </c>
      <c r="AB144" s="166" t="s">
        <v>69</v>
      </c>
      <c r="AC144" s="166" t="s">
        <v>69</v>
      </c>
      <c r="AD144" s="167" t="s">
        <v>71</v>
      </c>
      <c r="AE144" s="167" t="s">
        <v>71</v>
      </c>
      <c r="AF144" s="94">
        <v>45665</v>
      </c>
      <c r="AG144" s="112" t="s">
        <v>69</v>
      </c>
      <c r="AH144" s="167" t="s">
        <v>71</v>
      </c>
      <c r="AI144" s="167" t="s">
        <v>71</v>
      </c>
      <c r="AJ144" s="167" t="s">
        <v>71</v>
      </c>
      <c r="AK144" s="167" t="s">
        <v>70</v>
      </c>
      <c r="AL144" s="166" t="s">
        <v>69</v>
      </c>
      <c r="AM144" s="166"/>
      <c r="AN144" s="166" t="s">
        <v>69</v>
      </c>
      <c r="AO144" s="167" t="s">
        <v>70</v>
      </c>
      <c r="AP144" s="166" t="s">
        <v>69</v>
      </c>
      <c r="AQ144" s="166" t="s">
        <v>69</v>
      </c>
      <c r="AR144" s="166" t="s">
        <v>69</v>
      </c>
      <c r="AS144" s="166" t="s">
        <v>69</v>
      </c>
      <c r="AT144" s="166" t="s">
        <v>69</v>
      </c>
      <c r="AU144" s="166" t="s">
        <v>69</v>
      </c>
      <c r="AV144" s="166" t="s">
        <v>69</v>
      </c>
      <c r="AW144" s="166" t="s">
        <v>69</v>
      </c>
      <c r="AX144" s="166" t="s">
        <v>69</v>
      </c>
      <c r="AY144" s="166" t="s">
        <v>69</v>
      </c>
      <c r="AZ144" s="166" t="s">
        <v>69</v>
      </c>
      <c r="BA144" s="166" t="s">
        <v>69</v>
      </c>
      <c r="BB144" s="166" t="s">
        <v>69</v>
      </c>
      <c r="BC144" s="166" t="s">
        <v>69</v>
      </c>
      <c r="BD144" s="166" t="s">
        <v>69</v>
      </c>
      <c r="BE144" s="166" t="s">
        <v>69</v>
      </c>
      <c r="BF144" s="166" t="s">
        <v>69</v>
      </c>
      <c r="BG144" s="167" t="s">
        <v>70</v>
      </c>
      <c r="BH144" s="166" t="s">
        <v>69</v>
      </c>
      <c r="BI144" s="166" t="s">
        <v>69</v>
      </c>
      <c r="BJ144" s="167" t="s">
        <v>70</v>
      </c>
      <c r="BK144" s="166" t="s">
        <v>69</v>
      </c>
      <c r="BL144" s="167" t="s">
        <v>70</v>
      </c>
      <c r="BM144" s="167" t="s">
        <v>70</v>
      </c>
      <c r="BN144" s="167" t="s">
        <v>70</v>
      </c>
      <c r="BO144" s="167" t="s">
        <v>70</v>
      </c>
      <c r="BP144" s="173"/>
      <c r="BQ144" s="151">
        <v>0</v>
      </c>
    </row>
    <row r="145" spans="1:136" s="151" customFormat="1" ht="19.5" customHeight="1" x14ac:dyDescent="0.2">
      <c r="A145" s="117">
        <v>142</v>
      </c>
      <c r="B145" s="206" t="s">
        <v>93</v>
      </c>
      <c r="C145" s="206">
        <v>135046</v>
      </c>
      <c r="D145" s="117" t="s">
        <v>73</v>
      </c>
      <c r="E145" s="146" t="s">
        <v>68</v>
      </c>
      <c r="F145" s="146" t="s">
        <v>208</v>
      </c>
      <c r="G145" s="162">
        <v>42011</v>
      </c>
      <c r="H145" s="162">
        <v>42499</v>
      </c>
      <c r="I145" s="162">
        <v>46084</v>
      </c>
      <c r="J145" s="162">
        <f t="shared" si="11"/>
        <v>46815</v>
      </c>
      <c r="K145" s="111">
        <v>42039</v>
      </c>
      <c r="L145" s="111">
        <v>46154</v>
      </c>
      <c r="M145" s="163">
        <f t="shared" si="12"/>
        <v>46885</v>
      </c>
      <c r="N145" s="111">
        <v>42247</v>
      </c>
      <c r="O145" s="111">
        <v>42248</v>
      </c>
      <c r="P145" s="111">
        <v>42249</v>
      </c>
      <c r="Q145" s="166" t="s">
        <v>69</v>
      </c>
      <c r="R145" s="166" t="s">
        <v>69</v>
      </c>
      <c r="S145" s="166" t="s">
        <v>69</v>
      </c>
      <c r="T145" s="94">
        <v>43738</v>
      </c>
      <c r="U145" s="166" t="s">
        <v>69</v>
      </c>
      <c r="V145" s="94">
        <v>44123</v>
      </c>
      <c r="W145" s="94">
        <v>44890</v>
      </c>
      <c r="X145" s="94">
        <v>42947</v>
      </c>
      <c r="Y145" s="94">
        <v>42639</v>
      </c>
      <c r="Z145" s="94">
        <v>44676</v>
      </c>
      <c r="AA145" s="166" t="s">
        <v>69</v>
      </c>
      <c r="AB145" s="166" t="s">
        <v>69</v>
      </c>
      <c r="AC145" s="166" t="s">
        <v>69</v>
      </c>
      <c r="AD145" s="167" t="s">
        <v>71</v>
      </c>
      <c r="AE145" s="167" t="s">
        <v>71</v>
      </c>
      <c r="AF145" s="112">
        <v>46301</v>
      </c>
      <c r="AG145" s="112" t="s">
        <v>69</v>
      </c>
      <c r="AH145" s="167" t="s">
        <v>71</v>
      </c>
      <c r="AI145" s="167" t="s">
        <v>71</v>
      </c>
      <c r="AJ145" s="167" t="s">
        <v>71</v>
      </c>
      <c r="AK145" s="167" t="s">
        <v>70</v>
      </c>
      <c r="AL145" s="166" t="s">
        <v>69</v>
      </c>
      <c r="AM145" s="166"/>
      <c r="AN145" s="166" t="s">
        <v>69</v>
      </c>
      <c r="AO145" s="167" t="s">
        <v>70</v>
      </c>
      <c r="AP145" s="166" t="s">
        <v>69</v>
      </c>
      <c r="AQ145" s="166" t="s">
        <v>69</v>
      </c>
      <c r="AR145" s="166" t="s">
        <v>69</v>
      </c>
      <c r="AS145" s="166" t="s">
        <v>69</v>
      </c>
      <c r="AT145" s="94">
        <v>43774</v>
      </c>
      <c r="AU145" s="166" t="s">
        <v>69</v>
      </c>
      <c r="AV145" s="166" t="s">
        <v>69</v>
      </c>
      <c r="AW145" s="166" t="s">
        <v>69</v>
      </c>
      <c r="AX145" s="166" t="s">
        <v>69</v>
      </c>
      <c r="AY145" s="166" t="s">
        <v>69</v>
      </c>
      <c r="AZ145" s="166" t="s">
        <v>69</v>
      </c>
      <c r="BA145" s="166" t="s">
        <v>69</v>
      </c>
      <c r="BB145" s="166" t="s">
        <v>69</v>
      </c>
      <c r="BC145" s="166" t="s">
        <v>69</v>
      </c>
      <c r="BD145" s="166" t="s">
        <v>69</v>
      </c>
      <c r="BE145" s="166" t="s">
        <v>69</v>
      </c>
      <c r="BF145" s="166" t="s">
        <v>69</v>
      </c>
      <c r="BG145" s="167" t="s">
        <v>70</v>
      </c>
      <c r="BH145" s="166" t="s">
        <v>69</v>
      </c>
      <c r="BI145" s="166" t="s">
        <v>69</v>
      </c>
      <c r="BJ145" s="167" t="s">
        <v>70</v>
      </c>
      <c r="BK145" s="166" t="s">
        <v>69</v>
      </c>
      <c r="BL145" s="167" t="s">
        <v>70</v>
      </c>
      <c r="BM145" s="167" t="s">
        <v>70</v>
      </c>
      <c r="BN145" s="167" t="s">
        <v>70</v>
      </c>
      <c r="BO145" s="167" t="s">
        <v>70</v>
      </c>
      <c r="BP145" s="173"/>
      <c r="BQ145" s="151">
        <v>0</v>
      </c>
    </row>
    <row r="146" spans="1:136" s="151" customFormat="1" ht="19.5" customHeight="1" x14ac:dyDescent="0.2">
      <c r="A146" s="117">
        <v>143</v>
      </c>
      <c r="B146" s="206" t="s">
        <v>94</v>
      </c>
      <c r="C146" s="206">
        <v>135062</v>
      </c>
      <c r="D146" s="117" t="s">
        <v>73</v>
      </c>
      <c r="E146" s="146" t="s">
        <v>68</v>
      </c>
      <c r="F146" s="146" t="s">
        <v>208</v>
      </c>
      <c r="G146" s="162">
        <v>42067</v>
      </c>
      <c r="H146" s="162">
        <v>42446</v>
      </c>
      <c r="I146" s="162">
        <v>46065</v>
      </c>
      <c r="J146" s="162">
        <f t="shared" si="11"/>
        <v>46795</v>
      </c>
      <c r="K146" s="111">
        <v>42039</v>
      </c>
      <c r="L146" s="111">
        <v>46064</v>
      </c>
      <c r="M146" s="163">
        <f t="shared" si="12"/>
        <v>46794</v>
      </c>
      <c r="N146" s="111">
        <v>42011</v>
      </c>
      <c r="O146" s="111">
        <v>42013</v>
      </c>
      <c r="P146" s="111">
        <v>42016</v>
      </c>
      <c r="Q146" s="166" t="s">
        <v>69</v>
      </c>
      <c r="R146" s="166" t="s">
        <v>69</v>
      </c>
      <c r="S146" s="166" t="s">
        <v>69</v>
      </c>
      <c r="T146" s="166" t="s">
        <v>69</v>
      </c>
      <c r="U146" s="166" t="s">
        <v>69</v>
      </c>
      <c r="V146" s="94">
        <v>44144</v>
      </c>
      <c r="W146" s="94">
        <v>44550</v>
      </c>
      <c r="X146" s="94">
        <v>42360</v>
      </c>
      <c r="Y146" s="166" t="s">
        <v>69</v>
      </c>
      <c r="Z146" s="94">
        <v>44487</v>
      </c>
      <c r="AA146" s="166" t="s">
        <v>69</v>
      </c>
      <c r="AB146" s="166" t="s">
        <v>69</v>
      </c>
      <c r="AC146" s="166" t="s">
        <v>69</v>
      </c>
      <c r="AD146" s="167" t="s">
        <v>71</v>
      </c>
      <c r="AE146" s="167" t="s">
        <v>71</v>
      </c>
      <c r="AF146" s="112">
        <v>45642</v>
      </c>
      <c r="AG146" s="112" t="s">
        <v>69</v>
      </c>
      <c r="AH146" s="167" t="s">
        <v>71</v>
      </c>
      <c r="AI146" s="167" t="s">
        <v>71</v>
      </c>
      <c r="AJ146" s="167" t="s">
        <v>71</v>
      </c>
      <c r="AK146" s="167" t="s">
        <v>70</v>
      </c>
      <c r="AL146" s="167" t="s">
        <v>70</v>
      </c>
      <c r="AM146" s="167"/>
      <c r="AN146" s="166" t="s">
        <v>69</v>
      </c>
      <c r="AO146" s="167" t="s">
        <v>70</v>
      </c>
      <c r="AP146" s="166" t="s">
        <v>69</v>
      </c>
      <c r="AQ146" s="166" t="s">
        <v>69</v>
      </c>
      <c r="AR146" s="168">
        <v>43661</v>
      </c>
      <c r="AS146" s="166" t="s">
        <v>69</v>
      </c>
      <c r="AT146" s="94">
        <v>43761</v>
      </c>
      <c r="AU146" s="166" t="s">
        <v>69</v>
      </c>
      <c r="AV146" s="166" t="s">
        <v>69</v>
      </c>
      <c r="AW146" s="94">
        <v>41913</v>
      </c>
      <c r="AX146" s="94">
        <v>42502</v>
      </c>
      <c r="AY146" s="166" t="s">
        <v>69</v>
      </c>
      <c r="AZ146" s="166" t="s">
        <v>69</v>
      </c>
      <c r="BA146" s="166" t="s">
        <v>69</v>
      </c>
      <c r="BB146" s="166" t="s">
        <v>69</v>
      </c>
      <c r="BC146" s="166" t="s">
        <v>69</v>
      </c>
      <c r="BD146" s="166" t="s">
        <v>69</v>
      </c>
      <c r="BE146" s="166" t="s">
        <v>69</v>
      </c>
      <c r="BF146" s="166" t="s">
        <v>69</v>
      </c>
      <c r="BG146" s="167" t="s">
        <v>70</v>
      </c>
      <c r="BH146" s="166" t="s">
        <v>69</v>
      </c>
      <c r="BI146" s="166" t="s">
        <v>69</v>
      </c>
      <c r="BJ146" s="167" t="s">
        <v>70</v>
      </c>
      <c r="BK146" s="166" t="s">
        <v>69</v>
      </c>
      <c r="BL146" s="167" t="s">
        <v>70</v>
      </c>
      <c r="BM146" s="167" t="s">
        <v>70</v>
      </c>
      <c r="BN146" s="167" t="s">
        <v>70</v>
      </c>
      <c r="BO146" s="167" t="s">
        <v>70</v>
      </c>
      <c r="BP146" s="173"/>
      <c r="BQ146" s="151">
        <v>0</v>
      </c>
    </row>
    <row r="147" spans="1:136" s="151" customFormat="1" ht="19.5" customHeight="1" x14ac:dyDescent="0.2">
      <c r="A147" s="117">
        <v>144</v>
      </c>
      <c r="B147" s="117" t="s">
        <v>95</v>
      </c>
      <c r="C147" s="117">
        <v>142253</v>
      </c>
      <c r="D147" s="117" t="s">
        <v>73</v>
      </c>
      <c r="E147" s="146" t="s">
        <v>68</v>
      </c>
      <c r="F147" s="146" t="s">
        <v>208</v>
      </c>
      <c r="G147" s="162">
        <v>42523</v>
      </c>
      <c r="H147" s="162">
        <v>42481</v>
      </c>
      <c r="I147" s="162">
        <v>46007</v>
      </c>
      <c r="J147" s="162">
        <f t="shared" si="11"/>
        <v>46737</v>
      </c>
      <c r="K147" s="111">
        <v>42072</v>
      </c>
      <c r="L147" s="111">
        <v>46162</v>
      </c>
      <c r="M147" s="163">
        <f t="shared" si="12"/>
        <v>46893</v>
      </c>
      <c r="N147" s="111">
        <v>42416</v>
      </c>
      <c r="O147" s="111">
        <v>42417</v>
      </c>
      <c r="P147" s="111">
        <v>42419</v>
      </c>
      <c r="Q147" s="166" t="s">
        <v>69</v>
      </c>
      <c r="R147" s="166" t="s">
        <v>69</v>
      </c>
      <c r="S147" s="166" t="s">
        <v>69</v>
      </c>
      <c r="T147" s="168" t="s">
        <v>69</v>
      </c>
      <c r="U147" s="166" t="s">
        <v>69</v>
      </c>
      <c r="V147" s="94">
        <v>44466</v>
      </c>
      <c r="W147" s="94">
        <v>45492</v>
      </c>
      <c r="X147" s="94">
        <v>42947</v>
      </c>
      <c r="Y147" s="166" t="s">
        <v>69</v>
      </c>
      <c r="Z147" s="168" t="s">
        <v>69</v>
      </c>
      <c r="AA147" s="168">
        <v>45674</v>
      </c>
      <c r="AB147" s="166" t="s">
        <v>69</v>
      </c>
      <c r="AC147" s="166" t="s">
        <v>69</v>
      </c>
      <c r="AD147" s="167" t="s">
        <v>71</v>
      </c>
      <c r="AE147" s="167" t="s">
        <v>71</v>
      </c>
      <c r="AF147" s="94">
        <v>45944</v>
      </c>
      <c r="AG147" s="112" t="s">
        <v>69</v>
      </c>
      <c r="AH147" s="167" t="s">
        <v>71</v>
      </c>
      <c r="AI147" s="167" t="s">
        <v>71</v>
      </c>
      <c r="AJ147" s="167" t="s">
        <v>71</v>
      </c>
      <c r="AK147" s="167" t="s">
        <v>70</v>
      </c>
      <c r="AL147" s="166" t="s">
        <v>69</v>
      </c>
      <c r="AM147" s="166"/>
      <c r="AN147" s="166" t="s">
        <v>69</v>
      </c>
      <c r="AO147" s="167" t="s">
        <v>70</v>
      </c>
      <c r="AP147" s="166" t="s">
        <v>69</v>
      </c>
      <c r="AQ147" s="166" t="s">
        <v>69</v>
      </c>
      <c r="AR147" s="166" t="s">
        <v>69</v>
      </c>
      <c r="AS147" s="166" t="s">
        <v>69</v>
      </c>
      <c r="AT147" s="166" t="s">
        <v>69</v>
      </c>
      <c r="AU147" s="166" t="s">
        <v>69</v>
      </c>
      <c r="AV147" s="166" t="s">
        <v>69</v>
      </c>
      <c r="AW147" s="166" t="s">
        <v>69</v>
      </c>
      <c r="AX147" s="166" t="s">
        <v>69</v>
      </c>
      <c r="AY147" s="166" t="s">
        <v>69</v>
      </c>
      <c r="AZ147" s="166" t="s">
        <v>69</v>
      </c>
      <c r="BA147" s="166" t="s">
        <v>69</v>
      </c>
      <c r="BB147" s="166" t="s">
        <v>69</v>
      </c>
      <c r="BC147" s="166" t="s">
        <v>69</v>
      </c>
      <c r="BD147" s="166" t="s">
        <v>69</v>
      </c>
      <c r="BE147" s="166" t="s">
        <v>69</v>
      </c>
      <c r="BF147" s="166" t="s">
        <v>69</v>
      </c>
      <c r="BG147" s="167" t="s">
        <v>70</v>
      </c>
      <c r="BH147" s="166" t="s">
        <v>69</v>
      </c>
      <c r="BI147" s="166" t="s">
        <v>69</v>
      </c>
      <c r="BJ147" s="167" t="s">
        <v>70</v>
      </c>
      <c r="BK147" s="166" t="s">
        <v>69</v>
      </c>
      <c r="BL147" s="167" t="s">
        <v>70</v>
      </c>
      <c r="BM147" s="167" t="s">
        <v>70</v>
      </c>
      <c r="BN147" s="167" t="s">
        <v>70</v>
      </c>
      <c r="BO147" s="167" t="s">
        <v>70</v>
      </c>
      <c r="BP147" s="173"/>
      <c r="BQ147" s="151">
        <v>0</v>
      </c>
    </row>
    <row r="148" spans="1:136" s="151" customFormat="1" ht="19.5" customHeight="1" x14ac:dyDescent="0.2">
      <c r="A148" s="117">
        <v>145</v>
      </c>
      <c r="B148" s="194" t="s">
        <v>98</v>
      </c>
      <c r="C148" s="194">
        <v>145529</v>
      </c>
      <c r="D148" s="117" t="s">
        <v>73</v>
      </c>
      <c r="E148" s="146" t="s">
        <v>68</v>
      </c>
      <c r="F148" s="146" t="s">
        <v>208</v>
      </c>
      <c r="G148" s="162">
        <v>42467</v>
      </c>
      <c r="H148" s="162">
        <v>44629</v>
      </c>
      <c r="I148" s="162">
        <v>46136</v>
      </c>
      <c r="J148" s="162">
        <f t="shared" si="11"/>
        <v>46867</v>
      </c>
      <c r="K148" s="111">
        <v>42328</v>
      </c>
      <c r="L148" s="111">
        <v>46140</v>
      </c>
      <c r="M148" s="163">
        <f t="shared" si="12"/>
        <v>46871</v>
      </c>
      <c r="N148" s="111">
        <v>42492</v>
      </c>
      <c r="O148" s="111">
        <v>42517</v>
      </c>
      <c r="P148" s="111">
        <v>42494</v>
      </c>
      <c r="Q148" s="166" t="s">
        <v>69</v>
      </c>
      <c r="R148" s="166" t="s">
        <v>69</v>
      </c>
      <c r="S148" s="166" t="s">
        <v>69</v>
      </c>
      <c r="T148" s="94">
        <v>43129</v>
      </c>
      <c r="U148" s="166" t="s">
        <v>69</v>
      </c>
      <c r="V148" s="94">
        <v>44725</v>
      </c>
      <c r="W148" s="166" t="s">
        <v>69</v>
      </c>
      <c r="X148" s="94">
        <v>43773</v>
      </c>
      <c r="Y148" s="166" t="s">
        <v>69</v>
      </c>
      <c r="Z148" s="94">
        <v>44768</v>
      </c>
      <c r="AA148" s="166" t="s">
        <v>69</v>
      </c>
      <c r="AB148" s="166" t="s">
        <v>69</v>
      </c>
      <c r="AC148" s="166" t="s">
        <v>69</v>
      </c>
      <c r="AD148" s="167" t="s">
        <v>71</v>
      </c>
      <c r="AE148" s="167" t="s">
        <v>71</v>
      </c>
      <c r="AF148" s="112">
        <v>46141</v>
      </c>
      <c r="AG148" s="112" t="s">
        <v>69</v>
      </c>
      <c r="AH148" s="167" t="s">
        <v>71</v>
      </c>
      <c r="AI148" s="167" t="s">
        <v>71</v>
      </c>
      <c r="AJ148" s="167" t="s">
        <v>71</v>
      </c>
      <c r="AK148" s="167" t="s">
        <v>70</v>
      </c>
      <c r="AL148" s="166" t="s">
        <v>69</v>
      </c>
      <c r="AM148" s="166"/>
      <c r="AN148" s="199">
        <v>44460</v>
      </c>
      <c r="AO148" s="167" t="s">
        <v>70</v>
      </c>
      <c r="AP148" s="166" t="s">
        <v>69</v>
      </c>
      <c r="AQ148" s="166" t="s">
        <v>69</v>
      </c>
      <c r="AR148" s="166" t="s">
        <v>69</v>
      </c>
      <c r="AS148" s="166" t="s">
        <v>69</v>
      </c>
      <c r="AT148" s="166" t="s">
        <v>69</v>
      </c>
      <c r="AU148" s="166" t="s">
        <v>69</v>
      </c>
      <c r="AV148" s="166" t="s">
        <v>69</v>
      </c>
      <c r="AW148" s="166" t="s">
        <v>69</v>
      </c>
      <c r="AX148" s="166" t="s">
        <v>69</v>
      </c>
      <c r="AY148" s="166" t="s">
        <v>69</v>
      </c>
      <c r="AZ148" s="166" t="s">
        <v>69</v>
      </c>
      <c r="BA148" s="166" t="s">
        <v>69</v>
      </c>
      <c r="BB148" s="166" t="s">
        <v>69</v>
      </c>
      <c r="BC148" s="166" t="s">
        <v>69</v>
      </c>
      <c r="BD148" s="166" t="s">
        <v>69</v>
      </c>
      <c r="BE148" s="166" t="s">
        <v>69</v>
      </c>
      <c r="BF148" s="166" t="s">
        <v>69</v>
      </c>
      <c r="BG148" s="167" t="s">
        <v>70</v>
      </c>
      <c r="BH148" s="166" t="s">
        <v>69</v>
      </c>
      <c r="BI148" s="166" t="s">
        <v>69</v>
      </c>
      <c r="BJ148" s="167" t="s">
        <v>70</v>
      </c>
      <c r="BK148" s="166" t="s">
        <v>69</v>
      </c>
      <c r="BL148" s="167" t="s">
        <v>70</v>
      </c>
      <c r="BM148" s="167" t="s">
        <v>70</v>
      </c>
      <c r="BN148" s="167" t="s">
        <v>70</v>
      </c>
      <c r="BO148" s="167" t="s">
        <v>70</v>
      </c>
      <c r="BP148" s="173"/>
      <c r="BQ148" s="151">
        <v>0</v>
      </c>
    </row>
    <row r="149" spans="1:136" s="151" customFormat="1" ht="19.5" customHeight="1" x14ac:dyDescent="0.2">
      <c r="A149" s="117">
        <v>146</v>
      </c>
      <c r="B149" s="194" t="s">
        <v>101</v>
      </c>
      <c r="C149" s="194">
        <v>145555</v>
      </c>
      <c r="D149" s="117" t="s">
        <v>73</v>
      </c>
      <c r="E149" s="146" t="s">
        <v>68</v>
      </c>
      <c r="F149" s="146" t="s">
        <v>208</v>
      </c>
      <c r="G149" s="162">
        <v>42439</v>
      </c>
      <c r="H149" s="162">
        <v>44629</v>
      </c>
      <c r="I149" s="162">
        <v>46086</v>
      </c>
      <c r="J149" s="162">
        <f t="shared" si="11"/>
        <v>46817</v>
      </c>
      <c r="K149" s="111">
        <v>42328</v>
      </c>
      <c r="L149" s="111">
        <v>46028</v>
      </c>
      <c r="M149" s="163">
        <f t="shared" si="12"/>
        <v>46758</v>
      </c>
      <c r="N149" s="111">
        <v>42710</v>
      </c>
      <c r="O149" s="111">
        <v>42711</v>
      </c>
      <c r="P149" s="111">
        <v>42712</v>
      </c>
      <c r="Q149" s="166" t="s">
        <v>69</v>
      </c>
      <c r="R149" s="166" t="s">
        <v>69</v>
      </c>
      <c r="S149" s="166" t="s">
        <v>69</v>
      </c>
      <c r="T149" s="168" t="s">
        <v>69</v>
      </c>
      <c r="U149" s="166" t="s">
        <v>69</v>
      </c>
      <c r="V149" s="94">
        <v>44725</v>
      </c>
      <c r="W149" s="166" t="s">
        <v>69</v>
      </c>
      <c r="X149" s="94">
        <v>43801</v>
      </c>
      <c r="Y149" s="166" t="s">
        <v>69</v>
      </c>
      <c r="Z149" s="94">
        <v>44768</v>
      </c>
      <c r="AA149" s="166" t="s">
        <v>69</v>
      </c>
      <c r="AB149" s="166" t="s">
        <v>69</v>
      </c>
      <c r="AC149" s="166" t="s">
        <v>69</v>
      </c>
      <c r="AD149" s="167" t="s">
        <v>71</v>
      </c>
      <c r="AE149" s="167" t="s">
        <v>71</v>
      </c>
      <c r="AF149" s="112">
        <v>46034</v>
      </c>
      <c r="AG149" s="112" t="s">
        <v>69</v>
      </c>
      <c r="AH149" s="167" t="s">
        <v>71</v>
      </c>
      <c r="AI149" s="167" t="s">
        <v>71</v>
      </c>
      <c r="AJ149" s="167" t="s">
        <v>71</v>
      </c>
      <c r="AK149" s="167" t="s">
        <v>70</v>
      </c>
      <c r="AL149" s="166" t="s">
        <v>69</v>
      </c>
      <c r="AM149" s="166"/>
      <c r="AN149" s="166" t="s">
        <v>69</v>
      </c>
      <c r="AO149" s="167" t="s">
        <v>70</v>
      </c>
      <c r="AP149" s="166" t="s">
        <v>69</v>
      </c>
      <c r="AQ149" s="166" t="s">
        <v>69</v>
      </c>
      <c r="AR149" s="168">
        <v>46055</v>
      </c>
      <c r="AS149" s="166" t="s">
        <v>69</v>
      </c>
      <c r="AT149" s="166" t="s">
        <v>69</v>
      </c>
      <c r="AU149" s="166" t="s">
        <v>69</v>
      </c>
      <c r="AV149" s="166" t="s">
        <v>69</v>
      </c>
      <c r="AW149" s="166" t="s">
        <v>69</v>
      </c>
      <c r="AX149" s="166" t="s">
        <v>69</v>
      </c>
      <c r="AY149" s="166" t="s">
        <v>69</v>
      </c>
      <c r="AZ149" s="166" t="s">
        <v>69</v>
      </c>
      <c r="BA149" s="166" t="s">
        <v>69</v>
      </c>
      <c r="BB149" s="166" t="s">
        <v>69</v>
      </c>
      <c r="BC149" s="166" t="s">
        <v>69</v>
      </c>
      <c r="BD149" s="166" t="s">
        <v>69</v>
      </c>
      <c r="BE149" s="166" t="s">
        <v>69</v>
      </c>
      <c r="BF149" s="166" t="s">
        <v>69</v>
      </c>
      <c r="BG149" s="167" t="s">
        <v>70</v>
      </c>
      <c r="BH149" s="166" t="s">
        <v>69</v>
      </c>
      <c r="BI149" s="166" t="s">
        <v>69</v>
      </c>
      <c r="BJ149" s="167" t="s">
        <v>70</v>
      </c>
      <c r="BK149" s="166" t="s">
        <v>69</v>
      </c>
      <c r="BL149" s="167" t="s">
        <v>70</v>
      </c>
      <c r="BM149" s="167" t="s">
        <v>70</v>
      </c>
      <c r="BN149" s="167" t="s">
        <v>70</v>
      </c>
      <c r="BO149" s="167" t="s">
        <v>70</v>
      </c>
      <c r="BP149" s="173"/>
      <c r="BQ149" s="151">
        <v>0</v>
      </c>
    </row>
    <row r="150" spans="1:136" s="151" customFormat="1" ht="19.5" customHeight="1" x14ac:dyDescent="0.2">
      <c r="A150" s="117">
        <v>147</v>
      </c>
      <c r="B150" s="194" t="s">
        <v>105</v>
      </c>
      <c r="C150" s="194">
        <v>145574</v>
      </c>
      <c r="D150" s="117" t="s">
        <v>73</v>
      </c>
      <c r="E150" s="146" t="s">
        <v>68</v>
      </c>
      <c r="F150" s="146" t="s">
        <v>208</v>
      </c>
      <c r="G150" s="162">
        <v>42509</v>
      </c>
      <c r="H150" s="111">
        <v>45994</v>
      </c>
      <c r="I150" s="111">
        <v>45994</v>
      </c>
      <c r="J150" s="162">
        <f t="shared" si="11"/>
        <v>46724</v>
      </c>
      <c r="K150" s="111">
        <v>42328</v>
      </c>
      <c r="L150" s="111">
        <v>46168</v>
      </c>
      <c r="M150" s="163">
        <f t="shared" si="12"/>
        <v>46899</v>
      </c>
      <c r="N150" s="111">
        <v>42465</v>
      </c>
      <c r="O150" s="111">
        <v>42468</v>
      </c>
      <c r="P150" s="111">
        <v>42467</v>
      </c>
      <c r="Q150" s="166" t="s">
        <v>69</v>
      </c>
      <c r="R150" s="166" t="s">
        <v>69</v>
      </c>
      <c r="S150" s="166" t="s">
        <v>69</v>
      </c>
      <c r="T150" s="94">
        <v>42898</v>
      </c>
      <c r="U150" s="166" t="s">
        <v>69</v>
      </c>
      <c r="V150" s="94">
        <v>44172</v>
      </c>
      <c r="W150" s="166" t="s">
        <v>69</v>
      </c>
      <c r="X150" s="195">
        <v>43717</v>
      </c>
      <c r="Y150" s="94">
        <v>44421</v>
      </c>
      <c r="Z150" s="94">
        <v>42702</v>
      </c>
      <c r="AA150" s="166" t="s">
        <v>69</v>
      </c>
      <c r="AB150" s="166" t="s">
        <v>69</v>
      </c>
      <c r="AC150" s="166" t="s">
        <v>69</v>
      </c>
      <c r="AD150" s="167" t="s">
        <v>71</v>
      </c>
      <c r="AE150" s="167" t="s">
        <v>71</v>
      </c>
      <c r="AF150" s="94">
        <v>46000</v>
      </c>
      <c r="AG150" s="112" t="s">
        <v>69</v>
      </c>
      <c r="AH150" s="167" t="s">
        <v>71</v>
      </c>
      <c r="AI150" s="167" t="s">
        <v>71</v>
      </c>
      <c r="AJ150" s="167" t="s">
        <v>71</v>
      </c>
      <c r="AK150" s="167" t="s">
        <v>70</v>
      </c>
      <c r="AL150" s="166" t="s">
        <v>69</v>
      </c>
      <c r="AM150" s="166"/>
      <c r="AN150" s="166" t="s">
        <v>69</v>
      </c>
      <c r="AO150" s="167" t="s">
        <v>70</v>
      </c>
      <c r="AP150" s="166" t="s">
        <v>69</v>
      </c>
      <c r="AQ150" s="166" t="s">
        <v>69</v>
      </c>
      <c r="AR150" s="166" t="s">
        <v>69</v>
      </c>
      <c r="AS150" s="166" t="s">
        <v>69</v>
      </c>
      <c r="AT150" s="166" t="s">
        <v>69</v>
      </c>
      <c r="AU150" s="166" t="s">
        <v>69</v>
      </c>
      <c r="AV150" s="166" t="s">
        <v>69</v>
      </c>
      <c r="AW150" s="166" t="s">
        <v>69</v>
      </c>
      <c r="AX150" s="166" t="s">
        <v>69</v>
      </c>
      <c r="AY150" s="166" t="s">
        <v>69</v>
      </c>
      <c r="AZ150" s="166" t="s">
        <v>69</v>
      </c>
      <c r="BA150" s="166" t="s">
        <v>69</v>
      </c>
      <c r="BB150" s="166" t="s">
        <v>69</v>
      </c>
      <c r="BC150" s="166" t="s">
        <v>69</v>
      </c>
      <c r="BD150" s="166" t="s">
        <v>69</v>
      </c>
      <c r="BE150" s="166" t="s">
        <v>69</v>
      </c>
      <c r="BF150" s="166" t="s">
        <v>69</v>
      </c>
      <c r="BG150" s="167" t="s">
        <v>70</v>
      </c>
      <c r="BH150" s="166" t="s">
        <v>69</v>
      </c>
      <c r="BI150" s="166" t="s">
        <v>69</v>
      </c>
      <c r="BJ150" s="167" t="s">
        <v>70</v>
      </c>
      <c r="BK150" s="166" t="s">
        <v>69</v>
      </c>
      <c r="BL150" s="167" t="s">
        <v>70</v>
      </c>
      <c r="BM150" s="167" t="s">
        <v>70</v>
      </c>
      <c r="BN150" s="167" t="s">
        <v>70</v>
      </c>
      <c r="BO150" s="167" t="s">
        <v>70</v>
      </c>
      <c r="BP150" s="173"/>
      <c r="BQ150" s="151">
        <v>0</v>
      </c>
    </row>
    <row r="151" spans="1:136" s="151" customFormat="1" ht="19.5" customHeight="1" x14ac:dyDescent="0.2">
      <c r="A151" s="117">
        <v>148</v>
      </c>
      <c r="B151" s="215" t="s">
        <v>120</v>
      </c>
      <c r="C151" s="215">
        <v>152474</v>
      </c>
      <c r="D151" s="117" t="s">
        <v>73</v>
      </c>
      <c r="E151" s="146" t="s">
        <v>68</v>
      </c>
      <c r="F151" s="146" t="s">
        <v>208</v>
      </c>
      <c r="G151" s="162">
        <v>42831</v>
      </c>
      <c r="H151" s="172">
        <v>43686</v>
      </c>
      <c r="I151" s="162">
        <v>46157</v>
      </c>
      <c r="J151" s="162">
        <f t="shared" si="11"/>
        <v>46888</v>
      </c>
      <c r="K151" s="111">
        <v>42348</v>
      </c>
      <c r="L151" s="111">
        <v>46168</v>
      </c>
      <c r="M151" s="163">
        <f t="shared" si="12"/>
        <v>46899</v>
      </c>
      <c r="N151" s="216">
        <v>42872</v>
      </c>
      <c r="O151" s="111">
        <v>42871</v>
      </c>
      <c r="P151" s="111">
        <v>42873</v>
      </c>
      <c r="Q151" s="166" t="s">
        <v>69</v>
      </c>
      <c r="R151" s="166" t="s">
        <v>69</v>
      </c>
      <c r="S151" s="166" t="s">
        <v>69</v>
      </c>
      <c r="T151" s="111">
        <v>44438</v>
      </c>
      <c r="U151" s="166" t="s">
        <v>69</v>
      </c>
      <c r="V151" s="111">
        <v>44053</v>
      </c>
      <c r="W151" s="166" t="s">
        <v>69</v>
      </c>
      <c r="X151" s="94">
        <v>44410</v>
      </c>
      <c r="Y151" s="168" t="s">
        <v>69</v>
      </c>
      <c r="Z151" s="94">
        <v>43850</v>
      </c>
      <c r="AA151" s="166" t="s">
        <v>69</v>
      </c>
      <c r="AB151" s="166" t="s">
        <v>69</v>
      </c>
      <c r="AC151" s="166" t="s">
        <v>69</v>
      </c>
      <c r="AD151" s="167" t="s">
        <v>71</v>
      </c>
      <c r="AE151" s="167" t="s">
        <v>71</v>
      </c>
      <c r="AF151" s="112">
        <v>46261</v>
      </c>
      <c r="AG151" s="112" t="s">
        <v>69</v>
      </c>
      <c r="AH151" s="167" t="s">
        <v>71</v>
      </c>
      <c r="AI151" s="167" t="s">
        <v>71</v>
      </c>
      <c r="AJ151" s="167" t="s">
        <v>71</v>
      </c>
      <c r="AK151" s="167" t="s">
        <v>70</v>
      </c>
      <c r="AL151" s="166" t="s">
        <v>69</v>
      </c>
      <c r="AM151" s="166"/>
      <c r="AN151" s="166" t="s">
        <v>69</v>
      </c>
      <c r="AO151" s="167" t="s">
        <v>70</v>
      </c>
      <c r="AP151" s="166" t="s">
        <v>69</v>
      </c>
      <c r="AQ151" s="166" t="s">
        <v>69</v>
      </c>
      <c r="AR151" s="166" t="s">
        <v>69</v>
      </c>
      <c r="AS151" s="168">
        <v>46066</v>
      </c>
      <c r="AT151" s="166" t="s">
        <v>69</v>
      </c>
      <c r="AU151" s="166" t="s">
        <v>69</v>
      </c>
      <c r="AV151" s="166" t="s">
        <v>69</v>
      </c>
      <c r="AW151" s="166" t="s">
        <v>69</v>
      </c>
      <c r="AX151" s="166" t="s">
        <v>69</v>
      </c>
      <c r="AY151" s="166" t="s">
        <v>69</v>
      </c>
      <c r="AZ151" s="166" t="s">
        <v>69</v>
      </c>
      <c r="BA151" s="166" t="s">
        <v>69</v>
      </c>
      <c r="BB151" s="166" t="s">
        <v>69</v>
      </c>
      <c r="BC151" s="166" t="s">
        <v>69</v>
      </c>
      <c r="BD151" s="166" t="s">
        <v>69</v>
      </c>
      <c r="BE151" s="166" t="s">
        <v>69</v>
      </c>
      <c r="BF151" s="166" t="s">
        <v>69</v>
      </c>
      <c r="BG151" s="167" t="s">
        <v>70</v>
      </c>
      <c r="BH151" s="166" t="s">
        <v>69</v>
      </c>
      <c r="BI151" s="166" t="s">
        <v>69</v>
      </c>
      <c r="BJ151" s="167" t="s">
        <v>70</v>
      </c>
      <c r="BK151" s="166" t="s">
        <v>69</v>
      </c>
      <c r="BL151" s="167" t="s">
        <v>70</v>
      </c>
      <c r="BM151" s="167" t="s">
        <v>70</v>
      </c>
      <c r="BN151" s="167" t="s">
        <v>70</v>
      </c>
      <c r="BO151" s="167" t="s">
        <v>70</v>
      </c>
      <c r="BP151" s="173"/>
      <c r="BQ151" s="151">
        <v>0</v>
      </c>
      <c r="BR151" s="142"/>
      <c r="BS151" s="142"/>
      <c r="BT151" s="142"/>
      <c r="BU151" s="142"/>
      <c r="BV151" s="142"/>
      <c r="BW151" s="142"/>
      <c r="BX151" s="142"/>
      <c r="BY151" s="142"/>
      <c r="BZ151" s="142"/>
      <c r="CA151" s="142"/>
      <c r="CB151" s="142"/>
      <c r="CC151" s="142"/>
      <c r="CD151" s="142"/>
      <c r="CE151" s="142"/>
      <c r="CF151" s="142"/>
      <c r="CG151" s="142"/>
      <c r="CH151" s="142"/>
      <c r="CI151" s="142"/>
      <c r="CJ151" s="142"/>
      <c r="CK151" s="142"/>
      <c r="CL151" s="142"/>
      <c r="CM151" s="142"/>
      <c r="CN151" s="142"/>
      <c r="CO151" s="142"/>
      <c r="CP151" s="142"/>
      <c r="CQ151" s="142"/>
      <c r="CR151" s="142"/>
      <c r="CS151" s="142"/>
      <c r="CT151" s="142"/>
      <c r="CU151" s="142"/>
      <c r="CV151" s="142"/>
      <c r="CW151" s="142"/>
      <c r="CX151" s="142"/>
      <c r="CY151" s="142"/>
      <c r="CZ151" s="142"/>
      <c r="DA151" s="142"/>
      <c r="DB151" s="142"/>
      <c r="DC151" s="142"/>
      <c r="DD151" s="142"/>
      <c r="DE151" s="142"/>
      <c r="DF151" s="142"/>
      <c r="DG151" s="142"/>
      <c r="DH151" s="142"/>
      <c r="DI151" s="142"/>
      <c r="DJ151" s="142"/>
      <c r="DK151" s="142"/>
      <c r="DL151" s="142"/>
      <c r="DM151" s="142"/>
      <c r="DN151" s="142"/>
      <c r="DO151" s="142"/>
      <c r="DP151" s="142"/>
      <c r="DQ151" s="142"/>
      <c r="DR151" s="142"/>
      <c r="DS151" s="142"/>
      <c r="DT151" s="142"/>
      <c r="DU151" s="142"/>
      <c r="DV151" s="142"/>
      <c r="DW151" s="142"/>
      <c r="DX151" s="142"/>
      <c r="DY151" s="142"/>
      <c r="DZ151" s="142"/>
      <c r="EA151" s="142"/>
      <c r="EB151" s="142"/>
      <c r="EC151" s="142"/>
      <c r="ED151" s="142"/>
      <c r="EE151" s="142"/>
      <c r="EF151" s="142"/>
    </row>
    <row r="152" spans="1:136" s="151" customFormat="1" ht="19.5" customHeight="1" x14ac:dyDescent="0.2">
      <c r="A152" s="117">
        <v>149</v>
      </c>
      <c r="B152" s="174" t="s">
        <v>146</v>
      </c>
      <c r="C152" s="144">
        <v>150927</v>
      </c>
      <c r="D152" s="117" t="s">
        <v>73</v>
      </c>
      <c r="E152" s="146" t="s">
        <v>83</v>
      </c>
      <c r="F152" s="146" t="s">
        <v>208</v>
      </c>
      <c r="G152" s="111">
        <v>42122</v>
      </c>
      <c r="H152" s="111">
        <v>45350</v>
      </c>
      <c r="I152" s="111">
        <v>46107</v>
      </c>
      <c r="J152" s="162">
        <f t="shared" si="11"/>
        <v>46838</v>
      </c>
      <c r="K152" s="111">
        <v>45351</v>
      </c>
      <c r="L152" s="111">
        <v>46120</v>
      </c>
      <c r="M152" s="163">
        <f t="shared" si="12"/>
        <v>46851</v>
      </c>
      <c r="N152" s="111">
        <v>42142</v>
      </c>
      <c r="O152" s="111">
        <v>46273</v>
      </c>
      <c r="P152" s="111">
        <v>42144</v>
      </c>
      <c r="Q152" s="166" t="s">
        <v>69</v>
      </c>
      <c r="R152" s="166" t="s">
        <v>69</v>
      </c>
      <c r="S152" s="166" t="s">
        <v>69</v>
      </c>
      <c r="T152" s="168">
        <v>46087</v>
      </c>
      <c r="U152" s="166" t="s">
        <v>69</v>
      </c>
      <c r="V152" s="168">
        <v>46146</v>
      </c>
      <c r="W152" s="166" t="s">
        <v>69</v>
      </c>
      <c r="X152" s="166" t="s">
        <v>69</v>
      </c>
      <c r="Y152" s="166" t="s">
        <v>69</v>
      </c>
      <c r="Z152" s="166" t="s">
        <v>69</v>
      </c>
      <c r="AA152" s="166" t="s">
        <v>69</v>
      </c>
      <c r="AB152" s="166" t="s">
        <v>69</v>
      </c>
      <c r="AC152" s="166" t="s">
        <v>69</v>
      </c>
      <c r="AD152" s="167" t="s">
        <v>71</v>
      </c>
      <c r="AE152" s="167" t="s">
        <v>70</v>
      </c>
      <c r="AF152" s="112">
        <v>46064</v>
      </c>
      <c r="AG152" s="112" t="s">
        <v>69</v>
      </c>
      <c r="AH152" s="167" t="s">
        <v>71</v>
      </c>
      <c r="AI152" s="167" t="s">
        <v>71</v>
      </c>
      <c r="AJ152" s="167" t="s">
        <v>71</v>
      </c>
      <c r="AK152" s="167" t="s">
        <v>70</v>
      </c>
      <c r="AL152" s="166" t="s">
        <v>69</v>
      </c>
      <c r="AM152" s="166"/>
      <c r="AN152" s="166" t="s">
        <v>69</v>
      </c>
      <c r="AO152" s="167" t="s">
        <v>70</v>
      </c>
      <c r="AP152" s="166" t="s">
        <v>69</v>
      </c>
      <c r="AQ152" s="166" t="s">
        <v>69</v>
      </c>
      <c r="AR152" s="166" t="s">
        <v>69</v>
      </c>
      <c r="AS152" s="166" t="s">
        <v>69</v>
      </c>
      <c r="AT152" s="166" t="s">
        <v>69</v>
      </c>
      <c r="AU152" s="166" t="s">
        <v>69</v>
      </c>
      <c r="AV152" s="166" t="s">
        <v>69</v>
      </c>
      <c r="AW152" s="166" t="s">
        <v>69</v>
      </c>
      <c r="AX152" s="166" t="s">
        <v>69</v>
      </c>
      <c r="AY152" s="166" t="s">
        <v>69</v>
      </c>
      <c r="AZ152" s="166" t="s">
        <v>69</v>
      </c>
      <c r="BA152" s="166" t="s">
        <v>69</v>
      </c>
      <c r="BB152" s="166" t="s">
        <v>69</v>
      </c>
      <c r="BC152" s="166" t="s">
        <v>69</v>
      </c>
      <c r="BD152" s="166" t="s">
        <v>69</v>
      </c>
      <c r="BE152" s="166" t="s">
        <v>69</v>
      </c>
      <c r="BF152" s="166" t="s">
        <v>69</v>
      </c>
      <c r="BG152" s="167" t="s">
        <v>70</v>
      </c>
      <c r="BH152" s="166" t="s">
        <v>69</v>
      </c>
      <c r="BI152" s="166" t="s">
        <v>69</v>
      </c>
      <c r="BJ152" s="167" t="s">
        <v>70</v>
      </c>
      <c r="BK152" s="166" t="s">
        <v>69</v>
      </c>
      <c r="BL152" s="167" t="s">
        <v>70</v>
      </c>
      <c r="BM152" s="167" t="s">
        <v>70</v>
      </c>
      <c r="BN152" s="167" t="s">
        <v>70</v>
      </c>
      <c r="BO152" s="167" t="s">
        <v>70</v>
      </c>
      <c r="BP152" s="167" t="s">
        <v>70</v>
      </c>
      <c r="BQ152" s="151">
        <v>0</v>
      </c>
      <c r="BR152" s="142"/>
      <c r="BS152" s="142"/>
      <c r="BT152" s="142"/>
      <c r="BU152" s="142"/>
      <c r="BV152" s="142"/>
      <c r="BW152" s="142"/>
      <c r="BX152" s="142"/>
      <c r="BY152" s="142"/>
      <c r="BZ152" s="142"/>
      <c r="CA152" s="142"/>
      <c r="CB152" s="142"/>
      <c r="CC152" s="142"/>
      <c r="CD152" s="142"/>
      <c r="CE152" s="142"/>
      <c r="CF152" s="142"/>
      <c r="CG152" s="142"/>
      <c r="CH152" s="142"/>
      <c r="CI152" s="142"/>
      <c r="CJ152" s="142"/>
      <c r="CK152" s="142"/>
      <c r="CL152" s="142"/>
      <c r="CM152" s="142"/>
      <c r="CN152" s="142"/>
      <c r="CO152" s="142"/>
      <c r="CP152" s="142"/>
      <c r="CQ152" s="142"/>
      <c r="CR152" s="142"/>
      <c r="CS152" s="142"/>
      <c r="CT152" s="142"/>
      <c r="CU152" s="142"/>
      <c r="CV152" s="142"/>
      <c r="CW152" s="142"/>
      <c r="CX152" s="142"/>
      <c r="CY152" s="142"/>
      <c r="CZ152" s="142"/>
      <c r="DA152" s="142"/>
      <c r="DB152" s="142"/>
      <c r="DC152" s="142"/>
      <c r="DD152" s="142"/>
      <c r="DE152" s="142"/>
      <c r="DF152" s="142"/>
      <c r="DG152" s="142"/>
      <c r="DH152" s="142"/>
      <c r="DI152" s="142"/>
      <c r="DJ152" s="142"/>
      <c r="DK152" s="142"/>
      <c r="DL152" s="142"/>
      <c r="DM152" s="142"/>
      <c r="DN152" s="142"/>
      <c r="DO152" s="142"/>
      <c r="DP152" s="142"/>
      <c r="DQ152" s="142"/>
      <c r="DR152" s="142"/>
      <c r="DS152" s="142"/>
      <c r="DT152" s="142"/>
      <c r="DU152" s="142"/>
      <c r="DV152" s="142"/>
      <c r="DW152" s="142"/>
      <c r="DX152" s="142"/>
      <c r="DY152" s="142"/>
      <c r="DZ152" s="142"/>
      <c r="EA152" s="142"/>
      <c r="EB152" s="142"/>
      <c r="EC152" s="142"/>
      <c r="ED152" s="142"/>
      <c r="EE152" s="142"/>
      <c r="EF152" s="142"/>
    </row>
    <row r="153" spans="1:136" s="151" customFormat="1" ht="19.5" customHeight="1" x14ac:dyDescent="0.2">
      <c r="A153" s="117">
        <v>150</v>
      </c>
      <c r="B153" s="117" t="s">
        <v>147</v>
      </c>
      <c r="C153" s="208">
        <v>152450</v>
      </c>
      <c r="D153" s="117" t="s">
        <v>73</v>
      </c>
      <c r="E153" s="117" t="s">
        <v>83</v>
      </c>
      <c r="F153" s="146" t="s">
        <v>208</v>
      </c>
      <c r="G153" s="172">
        <v>42657</v>
      </c>
      <c r="H153" s="172">
        <v>42548</v>
      </c>
      <c r="I153" s="172">
        <v>46107</v>
      </c>
      <c r="J153" s="162">
        <f t="shared" si="11"/>
        <v>46838</v>
      </c>
      <c r="K153" s="111">
        <v>42739</v>
      </c>
      <c r="L153" s="111">
        <v>46083</v>
      </c>
      <c r="M153" s="163">
        <f t="shared" si="12"/>
        <v>46814</v>
      </c>
      <c r="N153" s="111">
        <v>42395</v>
      </c>
      <c r="O153" s="111">
        <v>42396</v>
      </c>
      <c r="P153" s="111">
        <v>42397</v>
      </c>
      <c r="Q153" s="166" t="s">
        <v>69</v>
      </c>
      <c r="R153" s="166" t="s">
        <v>69</v>
      </c>
      <c r="S153" s="166" t="s">
        <v>69</v>
      </c>
      <c r="T153" s="94">
        <v>42898</v>
      </c>
      <c r="U153" s="166" t="s">
        <v>69</v>
      </c>
      <c r="V153" s="94">
        <v>45429</v>
      </c>
      <c r="W153" s="166" t="s">
        <v>69</v>
      </c>
      <c r="X153" s="94">
        <v>44424</v>
      </c>
      <c r="Y153" s="166" t="s">
        <v>69</v>
      </c>
      <c r="Z153" s="94">
        <v>44732</v>
      </c>
      <c r="AA153" s="168">
        <v>46658</v>
      </c>
      <c r="AB153" s="166" t="s">
        <v>69</v>
      </c>
      <c r="AC153" s="166" t="s">
        <v>69</v>
      </c>
      <c r="AD153" s="167" t="s">
        <v>71</v>
      </c>
      <c r="AE153" s="167" t="s">
        <v>70</v>
      </c>
      <c r="AF153" s="112">
        <v>45639</v>
      </c>
      <c r="AG153" s="112" t="s">
        <v>69</v>
      </c>
      <c r="AH153" s="167" t="s">
        <v>71</v>
      </c>
      <c r="AI153" s="167" t="s">
        <v>71</v>
      </c>
      <c r="AJ153" s="167" t="s">
        <v>71</v>
      </c>
      <c r="AK153" s="167" t="s">
        <v>70</v>
      </c>
      <c r="AL153" s="166" t="s">
        <v>69</v>
      </c>
      <c r="AM153" s="166"/>
      <c r="AN153" s="166" t="s">
        <v>69</v>
      </c>
      <c r="AO153" s="167" t="s">
        <v>70</v>
      </c>
      <c r="AP153" s="166" t="s">
        <v>69</v>
      </c>
      <c r="AQ153" s="166" t="s">
        <v>69</v>
      </c>
      <c r="AR153" s="168">
        <v>46244</v>
      </c>
      <c r="AS153" s="166" t="s">
        <v>69</v>
      </c>
      <c r="AT153" s="166" t="s">
        <v>69</v>
      </c>
      <c r="AU153" s="166" t="s">
        <v>69</v>
      </c>
      <c r="AV153" s="166" t="s">
        <v>69</v>
      </c>
      <c r="AW153" s="166" t="s">
        <v>69</v>
      </c>
      <c r="AX153" s="166" t="s">
        <v>69</v>
      </c>
      <c r="AY153" s="166" t="s">
        <v>69</v>
      </c>
      <c r="AZ153" s="166" t="s">
        <v>69</v>
      </c>
      <c r="BA153" s="166" t="s">
        <v>69</v>
      </c>
      <c r="BB153" s="166" t="s">
        <v>69</v>
      </c>
      <c r="BC153" s="166" t="s">
        <v>69</v>
      </c>
      <c r="BD153" s="166" t="s">
        <v>69</v>
      </c>
      <c r="BE153" s="166" t="s">
        <v>69</v>
      </c>
      <c r="BF153" s="166" t="s">
        <v>69</v>
      </c>
      <c r="BG153" s="167" t="s">
        <v>70</v>
      </c>
      <c r="BH153" s="166" t="s">
        <v>69</v>
      </c>
      <c r="BI153" s="166" t="s">
        <v>69</v>
      </c>
      <c r="BJ153" s="167" t="s">
        <v>70</v>
      </c>
      <c r="BK153" s="166" t="s">
        <v>69</v>
      </c>
      <c r="BL153" s="167" t="s">
        <v>70</v>
      </c>
      <c r="BM153" s="167" t="s">
        <v>70</v>
      </c>
      <c r="BN153" s="167" t="s">
        <v>70</v>
      </c>
      <c r="BO153" s="167" t="s">
        <v>70</v>
      </c>
      <c r="BP153" s="167" t="s">
        <v>70</v>
      </c>
      <c r="BQ153" s="151">
        <v>0</v>
      </c>
      <c r="BR153" s="142"/>
      <c r="BS153" s="142"/>
      <c r="BT153" s="142"/>
      <c r="BU153" s="142"/>
      <c r="BV153" s="142"/>
      <c r="BW153" s="142"/>
      <c r="BX153" s="142"/>
      <c r="BY153" s="142"/>
      <c r="BZ153" s="142"/>
      <c r="CA153" s="142"/>
      <c r="CB153" s="142"/>
      <c r="CC153" s="142"/>
      <c r="CD153" s="142"/>
      <c r="CE153" s="142"/>
      <c r="CF153" s="142"/>
      <c r="CG153" s="142"/>
      <c r="CH153" s="142"/>
      <c r="CI153" s="142"/>
      <c r="CJ153" s="142"/>
      <c r="CK153" s="142"/>
      <c r="CL153" s="142"/>
      <c r="CM153" s="142"/>
      <c r="CN153" s="142"/>
      <c r="CO153" s="142"/>
      <c r="CP153" s="142"/>
      <c r="CQ153" s="142"/>
      <c r="CR153" s="142"/>
      <c r="CS153" s="142"/>
      <c r="CT153" s="142"/>
      <c r="CU153" s="142"/>
      <c r="CV153" s="142"/>
      <c r="CW153" s="142"/>
      <c r="CX153" s="142"/>
      <c r="CY153" s="142"/>
      <c r="CZ153" s="142"/>
      <c r="DA153" s="142"/>
      <c r="DB153" s="142"/>
      <c r="DC153" s="142"/>
      <c r="DD153" s="142"/>
      <c r="DE153" s="142"/>
      <c r="DF153" s="142"/>
      <c r="DG153" s="142"/>
      <c r="DH153" s="142"/>
      <c r="DI153" s="142"/>
      <c r="DJ153" s="142"/>
      <c r="DK153" s="142"/>
      <c r="DL153" s="142"/>
      <c r="DM153" s="142"/>
      <c r="DN153" s="142"/>
      <c r="DO153" s="142"/>
      <c r="DP153" s="142"/>
      <c r="DQ153" s="142"/>
      <c r="DR153" s="142"/>
      <c r="DS153" s="142"/>
      <c r="DT153" s="142"/>
      <c r="DU153" s="142"/>
      <c r="DV153" s="142"/>
      <c r="DW153" s="142"/>
      <c r="DX153" s="142"/>
      <c r="DY153" s="142"/>
      <c r="DZ153" s="142"/>
      <c r="EA153" s="142"/>
      <c r="EB153" s="142"/>
      <c r="EC153" s="142"/>
      <c r="ED153" s="142"/>
      <c r="EE153" s="142"/>
      <c r="EF153" s="142"/>
    </row>
    <row r="154" spans="1:136" s="151" customFormat="1" ht="19.5" customHeight="1" x14ac:dyDescent="0.2">
      <c r="A154" s="117">
        <v>151</v>
      </c>
      <c r="B154" s="117" t="s">
        <v>151</v>
      </c>
      <c r="C154" s="208">
        <v>152480</v>
      </c>
      <c r="D154" s="117" t="s">
        <v>73</v>
      </c>
      <c r="E154" s="117" t="s">
        <v>83</v>
      </c>
      <c r="F154" s="146" t="s">
        <v>208</v>
      </c>
      <c r="G154" s="172">
        <v>42642</v>
      </c>
      <c r="H154" s="162">
        <v>42653</v>
      </c>
      <c r="I154" s="172">
        <v>45722</v>
      </c>
      <c r="J154" s="162">
        <f t="shared" ref="J154:J178" si="13">IF(I154="", "", DATE(YEAR(I154)+2, MONTH(I154), DAY(I154)))</f>
        <v>46452</v>
      </c>
      <c r="K154" s="111">
        <v>43171</v>
      </c>
      <c r="L154" s="111">
        <v>45722</v>
      </c>
      <c r="M154" s="163">
        <f t="shared" ref="M154:M178" si="14">IF(L154="", "", DATE(YEAR(L154)+2, MONTH(L154), DAY(L154)))</f>
        <v>46452</v>
      </c>
      <c r="N154" s="111">
        <v>43481</v>
      </c>
      <c r="O154" s="111">
        <v>43482</v>
      </c>
      <c r="P154" s="111">
        <v>43480</v>
      </c>
      <c r="Q154" s="166" t="s">
        <v>69</v>
      </c>
      <c r="R154" s="166" t="s">
        <v>69</v>
      </c>
      <c r="S154" s="166" t="s">
        <v>69</v>
      </c>
      <c r="T154" s="94">
        <v>44032</v>
      </c>
      <c r="U154" s="166" t="s">
        <v>69</v>
      </c>
      <c r="V154" s="111">
        <v>45275</v>
      </c>
      <c r="W154" s="166" t="s">
        <v>69</v>
      </c>
      <c r="X154" s="94">
        <v>42520</v>
      </c>
      <c r="Y154" s="94">
        <v>44431</v>
      </c>
      <c r="Z154" s="94">
        <v>44883</v>
      </c>
      <c r="AA154" s="168">
        <v>46146</v>
      </c>
      <c r="AB154" s="166" t="s">
        <v>69</v>
      </c>
      <c r="AC154" s="166" t="s">
        <v>69</v>
      </c>
      <c r="AD154" s="167" t="s">
        <v>71</v>
      </c>
      <c r="AE154" s="167" t="s">
        <v>70</v>
      </c>
      <c r="AF154" s="112">
        <v>46077</v>
      </c>
      <c r="AG154" s="112" t="s">
        <v>69</v>
      </c>
      <c r="AH154" s="167" t="s">
        <v>71</v>
      </c>
      <c r="AI154" s="167" t="s">
        <v>71</v>
      </c>
      <c r="AJ154" s="167" t="s">
        <v>71</v>
      </c>
      <c r="AK154" s="167" t="s">
        <v>70</v>
      </c>
      <c r="AL154" s="166" t="s">
        <v>69</v>
      </c>
      <c r="AM154" s="166"/>
      <c r="AN154" s="166" t="s">
        <v>69</v>
      </c>
      <c r="AO154" s="167" t="s">
        <v>70</v>
      </c>
      <c r="AP154" s="166" t="s">
        <v>69</v>
      </c>
      <c r="AQ154" s="166" t="s">
        <v>69</v>
      </c>
      <c r="AR154" s="168">
        <v>46184</v>
      </c>
      <c r="AS154" s="166" t="s">
        <v>69</v>
      </c>
      <c r="AT154" s="166" t="s">
        <v>69</v>
      </c>
      <c r="AU154" s="166" t="s">
        <v>69</v>
      </c>
      <c r="AV154" s="166" t="s">
        <v>69</v>
      </c>
      <c r="AW154" s="166" t="s">
        <v>69</v>
      </c>
      <c r="AX154" s="166" t="s">
        <v>69</v>
      </c>
      <c r="AY154" s="166" t="s">
        <v>69</v>
      </c>
      <c r="AZ154" s="166" t="s">
        <v>69</v>
      </c>
      <c r="BA154" s="166" t="s">
        <v>69</v>
      </c>
      <c r="BB154" s="166" t="s">
        <v>69</v>
      </c>
      <c r="BC154" s="166" t="s">
        <v>69</v>
      </c>
      <c r="BD154" s="166" t="s">
        <v>69</v>
      </c>
      <c r="BE154" s="166" t="s">
        <v>69</v>
      </c>
      <c r="BF154" s="166" t="s">
        <v>69</v>
      </c>
      <c r="BG154" s="167" t="s">
        <v>70</v>
      </c>
      <c r="BH154" s="166" t="s">
        <v>69</v>
      </c>
      <c r="BI154" s="166" t="s">
        <v>69</v>
      </c>
      <c r="BJ154" s="167" t="s">
        <v>70</v>
      </c>
      <c r="BK154" s="166" t="s">
        <v>69</v>
      </c>
      <c r="BL154" s="167" t="s">
        <v>70</v>
      </c>
      <c r="BM154" s="167" t="s">
        <v>70</v>
      </c>
      <c r="BN154" s="167" t="s">
        <v>70</v>
      </c>
      <c r="BO154" s="167" t="s">
        <v>70</v>
      </c>
      <c r="BP154" s="167" t="s">
        <v>70</v>
      </c>
      <c r="BQ154" s="151">
        <v>0</v>
      </c>
      <c r="BR154" s="142"/>
      <c r="BS154" s="142"/>
      <c r="BT154" s="142"/>
      <c r="BU154" s="142"/>
      <c r="BV154" s="142"/>
      <c r="BW154" s="142"/>
      <c r="BX154" s="142"/>
      <c r="BY154" s="142"/>
      <c r="BZ154" s="142"/>
      <c r="CA154" s="142"/>
      <c r="CB154" s="142"/>
      <c r="CC154" s="142"/>
      <c r="CD154" s="142"/>
      <c r="CE154" s="142"/>
      <c r="CF154" s="142"/>
      <c r="CG154" s="142"/>
      <c r="CH154" s="142"/>
      <c r="CI154" s="142"/>
      <c r="CJ154" s="142"/>
      <c r="CK154" s="142"/>
      <c r="CL154" s="142"/>
      <c r="CM154" s="142"/>
      <c r="CN154" s="142"/>
      <c r="CO154" s="142"/>
      <c r="CP154" s="142"/>
      <c r="CQ154" s="142"/>
      <c r="CR154" s="142"/>
      <c r="CS154" s="142"/>
      <c r="CT154" s="142"/>
      <c r="CU154" s="142"/>
      <c r="CV154" s="142"/>
      <c r="CW154" s="142"/>
      <c r="CX154" s="142"/>
      <c r="CY154" s="142"/>
      <c r="CZ154" s="142"/>
      <c r="DA154" s="142"/>
      <c r="DB154" s="142"/>
      <c r="DC154" s="142"/>
      <c r="DD154" s="142"/>
      <c r="DE154" s="142"/>
      <c r="DF154" s="142"/>
      <c r="DG154" s="142"/>
      <c r="DH154" s="142"/>
      <c r="DI154" s="142"/>
      <c r="DJ154" s="142"/>
      <c r="DK154" s="142"/>
      <c r="DL154" s="142"/>
      <c r="DM154" s="142"/>
      <c r="DN154" s="142"/>
      <c r="DO154" s="142"/>
      <c r="DP154" s="142"/>
      <c r="DQ154" s="142"/>
      <c r="DR154" s="142"/>
      <c r="DS154" s="142"/>
      <c r="DT154" s="142"/>
      <c r="DU154" s="142"/>
      <c r="DV154" s="142"/>
      <c r="DW154" s="142"/>
      <c r="DX154" s="142"/>
      <c r="DY154" s="142"/>
      <c r="DZ154" s="142"/>
      <c r="EA154" s="142"/>
      <c r="EB154" s="142"/>
      <c r="EC154" s="142"/>
      <c r="ED154" s="142"/>
      <c r="EE154" s="142"/>
      <c r="EF154" s="142"/>
    </row>
    <row r="155" spans="1:136" s="151" customFormat="1" ht="19.5" customHeight="1" x14ac:dyDescent="0.2">
      <c r="A155" s="117">
        <v>152</v>
      </c>
      <c r="B155" s="117" t="s">
        <v>152</v>
      </c>
      <c r="C155" s="208">
        <v>152483</v>
      </c>
      <c r="D155" s="117" t="s">
        <v>73</v>
      </c>
      <c r="E155" s="117" t="s">
        <v>83</v>
      </c>
      <c r="F155" s="146" t="s">
        <v>208</v>
      </c>
      <c r="G155" s="172">
        <v>42629</v>
      </c>
      <c r="H155" s="172">
        <v>43181</v>
      </c>
      <c r="I155" s="172">
        <v>46126</v>
      </c>
      <c r="J155" s="162">
        <f t="shared" si="13"/>
        <v>46857</v>
      </c>
      <c r="K155" s="111">
        <v>44298</v>
      </c>
      <c r="L155" s="111">
        <v>46120</v>
      </c>
      <c r="M155" s="163">
        <f t="shared" si="14"/>
        <v>46851</v>
      </c>
      <c r="N155" s="111">
        <v>43642</v>
      </c>
      <c r="O155" s="111">
        <v>43643</v>
      </c>
      <c r="P155" s="111">
        <v>43641</v>
      </c>
      <c r="Q155" s="166" t="s">
        <v>69</v>
      </c>
      <c r="R155" s="166" t="s">
        <v>69</v>
      </c>
      <c r="S155" s="166" t="s">
        <v>69</v>
      </c>
      <c r="T155" s="94">
        <v>43658</v>
      </c>
      <c r="U155" s="166" t="s">
        <v>69</v>
      </c>
      <c r="V155" s="94">
        <v>45492</v>
      </c>
      <c r="W155" s="166" t="s">
        <v>69</v>
      </c>
      <c r="X155" s="94">
        <v>42947</v>
      </c>
      <c r="Y155" s="166" t="s">
        <v>69</v>
      </c>
      <c r="Z155" s="94">
        <v>44883</v>
      </c>
      <c r="AA155" s="94">
        <v>45884</v>
      </c>
      <c r="AB155" s="166" t="s">
        <v>69</v>
      </c>
      <c r="AC155" s="166" t="s">
        <v>69</v>
      </c>
      <c r="AD155" s="167" t="s">
        <v>71</v>
      </c>
      <c r="AE155" s="167" t="s">
        <v>70</v>
      </c>
      <c r="AF155" s="94">
        <v>45909</v>
      </c>
      <c r="AG155" s="112" t="s">
        <v>69</v>
      </c>
      <c r="AH155" s="167" t="s">
        <v>71</v>
      </c>
      <c r="AI155" s="167" t="s">
        <v>71</v>
      </c>
      <c r="AJ155" s="167" t="s">
        <v>71</v>
      </c>
      <c r="AK155" s="167" t="s">
        <v>70</v>
      </c>
      <c r="AL155" s="166" t="s">
        <v>69</v>
      </c>
      <c r="AM155" s="166"/>
      <c r="AN155" s="199">
        <v>44460</v>
      </c>
      <c r="AO155" s="167" t="s">
        <v>70</v>
      </c>
      <c r="AP155" s="168">
        <v>46192</v>
      </c>
      <c r="AQ155" s="166" t="s">
        <v>69</v>
      </c>
      <c r="AR155" s="168">
        <v>46055</v>
      </c>
      <c r="AS155" s="168">
        <v>46198</v>
      </c>
      <c r="AT155" s="166" t="s">
        <v>69</v>
      </c>
      <c r="AU155" s="166" t="s">
        <v>69</v>
      </c>
      <c r="AV155" s="166" t="s">
        <v>69</v>
      </c>
      <c r="AW155" s="166" t="s">
        <v>69</v>
      </c>
      <c r="AX155" s="166" t="s">
        <v>69</v>
      </c>
      <c r="AY155" s="166" t="s">
        <v>69</v>
      </c>
      <c r="AZ155" s="166" t="s">
        <v>69</v>
      </c>
      <c r="BA155" s="166" t="s">
        <v>69</v>
      </c>
      <c r="BB155" s="166" t="s">
        <v>69</v>
      </c>
      <c r="BC155" s="166" t="s">
        <v>69</v>
      </c>
      <c r="BD155" s="166" t="s">
        <v>69</v>
      </c>
      <c r="BE155" s="166" t="s">
        <v>69</v>
      </c>
      <c r="BF155" s="166" t="s">
        <v>69</v>
      </c>
      <c r="BG155" s="167" t="s">
        <v>70</v>
      </c>
      <c r="BH155" s="166" t="s">
        <v>69</v>
      </c>
      <c r="BI155" s="166" t="s">
        <v>69</v>
      </c>
      <c r="BJ155" s="167" t="s">
        <v>70</v>
      </c>
      <c r="BK155" s="166" t="s">
        <v>69</v>
      </c>
      <c r="BL155" s="167" t="s">
        <v>70</v>
      </c>
      <c r="BM155" s="167" t="s">
        <v>70</v>
      </c>
      <c r="BN155" s="167" t="s">
        <v>70</v>
      </c>
      <c r="BO155" s="167" t="s">
        <v>70</v>
      </c>
      <c r="BP155" s="167" t="s">
        <v>70</v>
      </c>
      <c r="BQ155" s="151">
        <v>0</v>
      </c>
      <c r="BR155" s="142"/>
      <c r="BS155" s="142"/>
      <c r="BT155" s="142"/>
      <c r="BU155" s="142"/>
      <c r="BV155" s="142"/>
      <c r="BW155" s="142"/>
      <c r="BX155" s="142"/>
      <c r="BY155" s="142"/>
      <c r="BZ155" s="142"/>
      <c r="CA155" s="142"/>
      <c r="CB155" s="142"/>
      <c r="CC155" s="142"/>
      <c r="CD155" s="142"/>
      <c r="CE155" s="142"/>
      <c r="CF155" s="142"/>
      <c r="CG155" s="142"/>
      <c r="CH155" s="142"/>
      <c r="CI155" s="142"/>
      <c r="CJ155" s="142"/>
      <c r="CK155" s="142"/>
      <c r="CL155" s="142"/>
      <c r="CM155" s="142"/>
      <c r="CN155" s="142"/>
      <c r="CO155" s="142"/>
      <c r="CP155" s="142"/>
      <c r="CQ155" s="142"/>
      <c r="CR155" s="142"/>
      <c r="CS155" s="142"/>
      <c r="CT155" s="142"/>
      <c r="CU155" s="142"/>
      <c r="CV155" s="142"/>
      <c r="CW155" s="142"/>
      <c r="CX155" s="142"/>
      <c r="CY155" s="142"/>
      <c r="CZ155" s="142"/>
      <c r="DA155" s="142"/>
      <c r="DB155" s="142"/>
      <c r="DC155" s="142"/>
      <c r="DD155" s="142"/>
      <c r="DE155" s="142"/>
      <c r="DF155" s="142"/>
      <c r="DG155" s="142"/>
      <c r="DH155" s="142"/>
      <c r="DI155" s="142"/>
      <c r="DJ155" s="142"/>
      <c r="DK155" s="142"/>
      <c r="DL155" s="142"/>
      <c r="DM155" s="142"/>
      <c r="DN155" s="142"/>
      <c r="DO155" s="142"/>
      <c r="DP155" s="142"/>
      <c r="DQ155" s="142"/>
      <c r="DR155" s="142"/>
      <c r="DS155" s="142"/>
      <c r="DT155" s="142"/>
      <c r="DU155" s="142"/>
      <c r="DV155" s="142"/>
      <c r="DW155" s="142"/>
      <c r="DX155" s="142"/>
      <c r="DY155" s="142"/>
      <c r="DZ155" s="142"/>
      <c r="EA155" s="142"/>
      <c r="EB155" s="142"/>
      <c r="EC155" s="142"/>
      <c r="ED155" s="142"/>
      <c r="EE155" s="142"/>
      <c r="EF155" s="142"/>
    </row>
    <row r="156" spans="1:136" s="151" customFormat="1" ht="19.5" customHeight="1" x14ac:dyDescent="0.2">
      <c r="A156" s="117">
        <v>153</v>
      </c>
      <c r="B156" s="117" t="s">
        <v>155</v>
      </c>
      <c r="C156" s="117">
        <v>162712</v>
      </c>
      <c r="D156" s="117" t="s">
        <v>73</v>
      </c>
      <c r="E156" s="183" t="s">
        <v>83</v>
      </c>
      <c r="F156" s="146" t="s">
        <v>208</v>
      </c>
      <c r="G156" s="172">
        <v>43284</v>
      </c>
      <c r="H156" s="172">
        <v>42688</v>
      </c>
      <c r="I156" s="172">
        <v>46027</v>
      </c>
      <c r="J156" s="162">
        <f t="shared" si="13"/>
        <v>46757</v>
      </c>
      <c r="K156" s="111">
        <v>42697</v>
      </c>
      <c r="L156" s="111">
        <v>46028</v>
      </c>
      <c r="M156" s="163">
        <f t="shared" si="14"/>
        <v>46758</v>
      </c>
      <c r="N156" s="89">
        <v>42851</v>
      </c>
      <c r="O156" s="89">
        <v>42850</v>
      </c>
      <c r="P156" s="111">
        <v>42852</v>
      </c>
      <c r="Q156" s="166" t="s">
        <v>69</v>
      </c>
      <c r="R156" s="166" t="s">
        <v>69</v>
      </c>
      <c r="S156" s="166" t="s">
        <v>69</v>
      </c>
      <c r="T156" s="94">
        <v>43738</v>
      </c>
      <c r="U156" s="166" t="s">
        <v>69</v>
      </c>
      <c r="V156" s="166" t="s">
        <v>69</v>
      </c>
      <c r="W156" s="166" t="s">
        <v>69</v>
      </c>
      <c r="X156" s="94">
        <v>44424</v>
      </c>
      <c r="Y156" s="166" t="s">
        <v>69</v>
      </c>
      <c r="Z156" s="94">
        <v>45408</v>
      </c>
      <c r="AA156" s="166" t="s">
        <v>69</v>
      </c>
      <c r="AB156" s="166" t="s">
        <v>69</v>
      </c>
      <c r="AC156" s="166" t="s">
        <v>69</v>
      </c>
      <c r="AD156" s="167" t="s">
        <v>71</v>
      </c>
      <c r="AE156" s="167" t="s">
        <v>70</v>
      </c>
      <c r="AF156" s="112">
        <v>45637</v>
      </c>
      <c r="AG156" s="112" t="s">
        <v>69</v>
      </c>
      <c r="AH156" s="167" t="s">
        <v>71</v>
      </c>
      <c r="AI156" s="167" t="s">
        <v>71</v>
      </c>
      <c r="AJ156" s="167" t="s">
        <v>71</v>
      </c>
      <c r="AK156" s="167" t="s">
        <v>70</v>
      </c>
      <c r="AL156" s="166" t="s">
        <v>69</v>
      </c>
      <c r="AM156" s="166"/>
      <c r="AN156" s="166" t="s">
        <v>69</v>
      </c>
      <c r="AO156" s="167" t="s">
        <v>70</v>
      </c>
      <c r="AP156" s="166" t="s">
        <v>69</v>
      </c>
      <c r="AQ156" s="166" t="s">
        <v>69</v>
      </c>
      <c r="AR156" s="166" t="s">
        <v>69</v>
      </c>
      <c r="AS156" s="166" t="s">
        <v>69</v>
      </c>
      <c r="AT156" s="166" t="s">
        <v>69</v>
      </c>
      <c r="AU156" s="166" t="s">
        <v>69</v>
      </c>
      <c r="AV156" s="166" t="s">
        <v>69</v>
      </c>
      <c r="AW156" s="166" t="s">
        <v>69</v>
      </c>
      <c r="AX156" s="166" t="s">
        <v>69</v>
      </c>
      <c r="AY156" s="166" t="s">
        <v>69</v>
      </c>
      <c r="AZ156" s="166" t="s">
        <v>69</v>
      </c>
      <c r="BA156" s="166" t="s">
        <v>69</v>
      </c>
      <c r="BB156" s="166" t="s">
        <v>69</v>
      </c>
      <c r="BC156" s="166" t="s">
        <v>69</v>
      </c>
      <c r="BD156" s="166" t="s">
        <v>69</v>
      </c>
      <c r="BE156" s="166" t="s">
        <v>69</v>
      </c>
      <c r="BF156" s="166" t="s">
        <v>69</v>
      </c>
      <c r="BG156" s="167" t="s">
        <v>70</v>
      </c>
      <c r="BH156" s="166" t="s">
        <v>69</v>
      </c>
      <c r="BI156" s="166" t="s">
        <v>69</v>
      </c>
      <c r="BJ156" s="167" t="s">
        <v>70</v>
      </c>
      <c r="BK156" s="166" t="s">
        <v>69</v>
      </c>
      <c r="BL156" s="167" t="s">
        <v>70</v>
      </c>
      <c r="BM156" s="167" t="s">
        <v>70</v>
      </c>
      <c r="BN156" s="167" t="s">
        <v>70</v>
      </c>
      <c r="BO156" s="167" t="s">
        <v>70</v>
      </c>
      <c r="BP156" s="167" t="s">
        <v>70</v>
      </c>
      <c r="BQ156" s="151">
        <v>0</v>
      </c>
      <c r="BR156" s="142"/>
      <c r="BS156" s="142"/>
      <c r="BT156" s="142"/>
      <c r="BU156" s="142"/>
      <c r="BV156" s="142"/>
      <c r="BW156" s="142"/>
      <c r="BX156" s="142"/>
      <c r="BY156" s="142"/>
      <c r="BZ156" s="142"/>
      <c r="CA156" s="142"/>
      <c r="CB156" s="142"/>
      <c r="CC156" s="142"/>
      <c r="CD156" s="142"/>
      <c r="CE156" s="142"/>
      <c r="CF156" s="142"/>
      <c r="CG156" s="142"/>
      <c r="CH156" s="142"/>
      <c r="CI156" s="142"/>
      <c r="CJ156" s="142"/>
      <c r="CK156" s="142"/>
      <c r="CL156" s="142"/>
      <c r="CM156" s="142"/>
      <c r="CN156" s="142"/>
      <c r="CO156" s="142"/>
      <c r="CP156" s="142"/>
      <c r="CQ156" s="142"/>
      <c r="CR156" s="142"/>
      <c r="CS156" s="142"/>
      <c r="CT156" s="142"/>
      <c r="CU156" s="142"/>
      <c r="CV156" s="142"/>
      <c r="CW156" s="142"/>
      <c r="CX156" s="142"/>
      <c r="CY156" s="142"/>
      <c r="CZ156" s="142"/>
      <c r="DA156" s="142"/>
      <c r="DB156" s="142"/>
      <c r="DC156" s="142"/>
      <c r="DD156" s="142"/>
      <c r="DE156" s="142"/>
      <c r="DF156" s="142"/>
      <c r="DG156" s="142"/>
      <c r="DH156" s="142"/>
      <c r="DI156" s="142"/>
      <c r="DJ156" s="142"/>
      <c r="DK156" s="142"/>
      <c r="DL156" s="142"/>
      <c r="DM156" s="142"/>
      <c r="DN156" s="142"/>
      <c r="DO156" s="142"/>
      <c r="DP156" s="142"/>
      <c r="DQ156" s="142"/>
      <c r="DR156" s="142"/>
      <c r="DS156" s="142"/>
      <c r="DT156" s="142"/>
      <c r="DU156" s="142"/>
      <c r="DV156" s="142"/>
      <c r="DW156" s="142"/>
      <c r="DX156" s="142"/>
      <c r="DY156" s="142"/>
      <c r="DZ156" s="142"/>
      <c r="EA156" s="142"/>
      <c r="EB156" s="142"/>
      <c r="EC156" s="142"/>
      <c r="ED156" s="142"/>
      <c r="EE156" s="142"/>
      <c r="EF156" s="142"/>
    </row>
    <row r="157" spans="1:136" s="151" customFormat="1" ht="19.5" customHeight="1" x14ac:dyDescent="0.2">
      <c r="A157" s="117">
        <v>154</v>
      </c>
      <c r="B157" s="117" t="s">
        <v>157</v>
      </c>
      <c r="C157" s="117">
        <v>162709</v>
      </c>
      <c r="D157" s="117" t="s">
        <v>73</v>
      </c>
      <c r="E157" s="183" t="s">
        <v>83</v>
      </c>
      <c r="F157" s="146" t="s">
        <v>208</v>
      </c>
      <c r="G157" s="172">
        <v>43297</v>
      </c>
      <c r="H157" s="172">
        <v>44020</v>
      </c>
      <c r="I157" s="172">
        <v>46083</v>
      </c>
      <c r="J157" s="162">
        <f t="shared" si="13"/>
        <v>46814</v>
      </c>
      <c r="K157" s="111">
        <v>42697</v>
      </c>
      <c r="L157" s="111">
        <v>46083</v>
      </c>
      <c r="M157" s="163">
        <f t="shared" si="14"/>
        <v>46814</v>
      </c>
      <c r="N157" s="111">
        <v>42850</v>
      </c>
      <c r="O157" s="111">
        <v>42851</v>
      </c>
      <c r="P157" s="111">
        <v>42852</v>
      </c>
      <c r="Q157" s="94">
        <v>45947</v>
      </c>
      <c r="R157" s="168">
        <v>46063</v>
      </c>
      <c r="S157" s="168">
        <v>46063</v>
      </c>
      <c r="T157" s="94">
        <v>44172</v>
      </c>
      <c r="U157" s="166" t="s">
        <v>69</v>
      </c>
      <c r="V157" s="168">
        <v>46213</v>
      </c>
      <c r="W157" s="166" t="s">
        <v>69</v>
      </c>
      <c r="X157" s="94">
        <v>44372</v>
      </c>
      <c r="Y157" s="166" t="s">
        <v>69</v>
      </c>
      <c r="Z157" s="166" t="s">
        <v>69</v>
      </c>
      <c r="AA157" s="94">
        <v>45695</v>
      </c>
      <c r="AB157" s="166" t="s">
        <v>69</v>
      </c>
      <c r="AC157" s="166" t="s">
        <v>69</v>
      </c>
      <c r="AD157" s="167" t="s">
        <v>71</v>
      </c>
      <c r="AE157" s="167" t="s">
        <v>70</v>
      </c>
      <c r="AF157" s="112">
        <v>45645</v>
      </c>
      <c r="AG157" s="112" t="s">
        <v>69</v>
      </c>
      <c r="AH157" s="167" t="s">
        <v>71</v>
      </c>
      <c r="AI157" s="167" t="s">
        <v>71</v>
      </c>
      <c r="AJ157" s="167" t="s">
        <v>71</v>
      </c>
      <c r="AK157" s="167" t="s">
        <v>70</v>
      </c>
      <c r="AL157" s="166" t="s">
        <v>69</v>
      </c>
      <c r="AM157" s="166"/>
      <c r="AN157" s="166" t="s">
        <v>69</v>
      </c>
      <c r="AO157" s="167" t="s">
        <v>70</v>
      </c>
      <c r="AP157" s="166" t="s">
        <v>69</v>
      </c>
      <c r="AQ157" s="166" t="s">
        <v>69</v>
      </c>
      <c r="AR157" s="166" t="s">
        <v>69</v>
      </c>
      <c r="AS157" s="168">
        <v>46233</v>
      </c>
      <c r="AT157" s="166" t="s">
        <v>69</v>
      </c>
      <c r="AU157" s="166" t="s">
        <v>69</v>
      </c>
      <c r="AV157" s="166" t="s">
        <v>69</v>
      </c>
      <c r="AW157" s="166" t="s">
        <v>69</v>
      </c>
      <c r="AX157" s="166" t="s">
        <v>69</v>
      </c>
      <c r="AY157" s="166" t="s">
        <v>69</v>
      </c>
      <c r="AZ157" s="166" t="s">
        <v>69</v>
      </c>
      <c r="BA157" s="166" t="s">
        <v>69</v>
      </c>
      <c r="BB157" s="166" t="s">
        <v>69</v>
      </c>
      <c r="BC157" s="166" t="s">
        <v>69</v>
      </c>
      <c r="BD157" s="166" t="s">
        <v>69</v>
      </c>
      <c r="BE157" s="166" t="s">
        <v>69</v>
      </c>
      <c r="BF157" s="166" t="s">
        <v>69</v>
      </c>
      <c r="BG157" s="167" t="s">
        <v>70</v>
      </c>
      <c r="BH157" s="166" t="s">
        <v>69</v>
      </c>
      <c r="BI157" s="166" t="s">
        <v>69</v>
      </c>
      <c r="BJ157" s="167" t="s">
        <v>70</v>
      </c>
      <c r="BK157" s="166" t="s">
        <v>69</v>
      </c>
      <c r="BL157" s="167" t="s">
        <v>70</v>
      </c>
      <c r="BM157" s="167" t="s">
        <v>70</v>
      </c>
      <c r="BN157" s="167" t="s">
        <v>70</v>
      </c>
      <c r="BO157" s="167" t="s">
        <v>70</v>
      </c>
      <c r="BP157" s="167" t="s">
        <v>70</v>
      </c>
      <c r="BQ157" s="151">
        <v>0</v>
      </c>
      <c r="BR157" s="142"/>
      <c r="BS157" s="142"/>
      <c r="BT157" s="142"/>
      <c r="BU157" s="142"/>
      <c r="BV157" s="142"/>
      <c r="BW157" s="142"/>
      <c r="BX157" s="142"/>
      <c r="BY157" s="142"/>
      <c r="BZ157" s="142"/>
      <c r="CA157" s="142"/>
      <c r="CB157" s="142"/>
      <c r="CC157" s="142"/>
      <c r="CD157" s="142"/>
      <c r="CE157" s="142"/>
      <c r="CF157" s="142"/>
      <c r="CG157" s="142"/>
      <c r="CH157" s="142"/>
      <c r="CI157" s="142"/>
      <c r="CJ157" s="142"/>
      <c r="CK157" s="142"/>
      <c r="CL157" s="142"/>
      <c r="CM157" s="142"/>
      <c r="CN157" s="142"/>
      <c r="CO157" s="142"/>
      <c r="CP157" s="142"/>
      <c r="CQ157" s="142"/>
      <c r="CR157" s="142"/>
      <c r="CS157" s="142"/>
      <c r="CT157" s="142"/>
      <c r="CU157" s="142"/>
      <c r="CV157" s="142"/>
      <c r="CW157" s="142"/>
      <c r="CX157" s="142"/>
      <c r="CY157" s="142"/>
      <c r="CZ157" s="142"/>
      <c r="DA157" s="142"/>
      <c r="DB157" s="142"/>
      <c r="DC157" s="142"/>
      <c r="DD157" s="142"/>
      <c r="DE157" s="142"/>
      <c r="DF157" s="142"/>
      <c r="DG157" s="142"/>
      <c r="DH157" s="142"/>
      <c r="DI157" s="142"/>
      <c r="DJ157" s="142"/>
      <c r="DK157" s="142"/>
      <c r="DL157" s="142"/>
      <c r="DM157" s="142"/>
      <c r="DN157" s="142"/>
      <c r="DO157" s="142"/>
      <c r="DP157" s="142"/>
      <c r="DQ157" s="142"/>
      <c r="DR157" s="142"/>
      <c r="DS157" s="142"/>
      <c r="DT157" s="142"/>
      <c r="DU157" s="142"/>
      <c r="DV157" s="142"/>
      <c r="DW157" s="142"/>
      <c r="DX157" s="142"/>
      <c r="DY157" s="142"/>
      <c r="DZ157" s="142"/>
      <c r="EA157" s="142"/>
      <c r="EB157" s="142"/>
      <c r="EC157" s="142"/>
      <c r="ED157" s="142"/>
      <c r="EE157" s="142"/>
      <c r="EF157" s="142"/>
    </row>
    <row r="158" spans="1:136" s="151" customFormat="1" ht="19.5" customHeight="1" x14ac:dyDescent="0.2">
      <c r="A158" s="117">
        <v>155</v>
      </c>
      <c r="B158" s="144" t="s">
        <v>161</v>
      </c>
      <c r="C158" s="144">
        <v>83122892</v>
      </c>
      <c r="D158" s="117" t="s">
        <v>73</v>
      </c>
      <c r="E158" s="183" t="s">
        <v>83</v>
      </c>
      <c r="F158" s="146" t="s">
        <v>208</v>
      </c>
      <c r="G158" s="172">
        <v>41129</v>
      </c>
      <c r="H158" s="172">
        <v>41134</v>
      </c>
      <c r="I158" s="172">
        <v>46132</v>
      </c>
      <c r="J158" s="162">
        <f t="shared" si="13"/>
        <v>46863</v>
      </c>
      <c r="K158" s="111">
        <v>41127</v>
      </c>
      <c r="L158" s="111">
        <v>46049</v>
      </c>
      <c r="M158" s="163">
        <f t="shared" si="14"/>
        <v>46779</v>
      </c>
      <c r="N158" s="111">
        <v>41328</v>
      </c>
      <c r="O158" s="111">
        <v>41328</v>
      </c>
      <c r="P158" s="111">
        <v>41328</v>
      </c>
      <c r="Q158" s="166" t="s">
        <v>69</v>
      </c>
      <c r="R158" s="166" t="s">
        <v>69</v>
      </c>
      <c r="S158" s="166" t="s">
        <v>69</v>
      </c>
      <c r="T158" s="94">
        <v>42758</v>
      </c>
      <c r="U158" s="94">
        <v>42832</v>
      </c>
      <c r="V158" s="94">
        <v>42758</v>
      </c>
      <c r="W158" s="187">
        <v>42877</v>
      </c>
      <c r="X158" s="94">
        <v>42023</v>
      </c>
      <c r="Y158" s="94">
        <v>44424</v>
      </c>
      <c r="Z158" s="94">
        <v>43913</v>
      </c>
      <c r="AA158" s="168">
        <v>45674</v>
      </c>
      <c r="AB158" s="166" t="s">
        <v>69</v>
      </c>
      <c r="AC158" s="166" t="s">
        <v>69</v>
      </c>
      <c r="AD158" s="167" t="s">
        <v>71</v>
      </c>
      <c r="AE158" s="167" t="s">
        <v>70</v>
      </c>
      <c r="AF158" s="112">
        <v>45639</v>
      </c>
      <c r="AG158" s="112" t="s">
        <v>69</v>
      </c>
      <c r="AH158" s="167" t="s">
        <v>71</v>
      </c>
      <c r="AI158" s="167" t="s">
        <v>71</v>
      </c>
      <c r="AJ158" s="167" t="s">
        <v>71</v>
      </c>
      <c r="AK158" s="167" t="s">
        <v>70</v>
      </c>
      <c r="AL158" s="166" t="s">
        <v>69</v>
      </c>
      <c r="AM158" s="166"/>
      <c r="AN158" s="166" t="s">
        <v>69</v>
      </c>
      <c r="AO158" s="167" t="s">
        <v>70</v>
      </c>
      <c r="AP158" s="94">
        <v>42086</v>
      </c>
      <c r="AQ158" s="166" t="s">
        <v>69</v>
      </c>
      <c r="AR158" s="168">
        <v>46244</v>
      </c>
      <c r="AS158" s="166" t="s">
        <v>69</v>
      </c>
      <c r="AT158" s="94">
        <v>43578</v>
      </c>
      <c r="AU158" s="166" t="s">
        <v>69</v>
      </c>
      <c r="AV158" s="166" t="s">
        <v>69</v>
      </c>
      <c r="AW158" s="94">
        <v>41914</v>
      </c>
      <c r="AX158" s="166" t="s">
        <v>69</v>
      </c>
      <c r="AY158" s="166" t="s">
        <v>69</v>
      </c>
      <c r="AZ158" s="166" t="s">
        <v>69</v>
      </c>
      <c r="BA158" s="166" t="s">
        <v>69</v>
      </c>
      <c r="BB158" s="166" t="s">
        <v>69</v>
      </c>
      <c r="BC158" s="94">
        <v>42675</v>
      </c>
      <c r="BD158" s="166" t="s">
        <v>69</v>
      </c>
      <c r="BE158" s="166" t="s">
        <v>69</v>
      </c>
      <c r="BF158" s="166" t="s">
        <v>69</v>
      </c>
      <c r="BG158" s="167" t="s">
        <v>70</v>
      </c>
      <c r="BH158" s="166" t="s">
        <v>69</v>
      </c>
      <c r="BI158" s="166" t="s">
        <v>69</v>
      </c>
      <c r="BJ158" s="167" t="s">
        <v>70</v>
      </c>
      <c r="BK158" s="166" t="s">
        <v>69</v>
      </c>
      <c r="BL158" s="167" t="s">
        <v>70</v>
      </c>
      <c r="BM158" s="167" t="s">
        <v>70</v>
      </c>
      <c r="BN158" s="167" t="s">
        <v>70</v>
      </c>
      <c r="BO158" s="167" t="s">
        <v>70</v>
      </c>
      <c r="BP158" s="167" t="s">
        <v>70</v>
      </c>
      <c r="BQ158" s="151">
        <v>0</v>
      </c>
      <c r="BR158" s="142"/>
      <c r="BS158" s="142"/>
      <c r="BT158" s="142"/>
      <c r="BU158" s="142"/>
      <c r="BV158" s="142"/>
      <c r="BW158" s="142"/>
      <c r="BX158" s="142"/>
      <c r="BY158" s="142"/>
      <c r="BZ158" s="142"/>
      <c r="CA158" s="142"/>
      <c r="CB158" s="142"/>
      <c r="CC158" s="142"/>
      <c r="CD158" s="142"/>
      <c r="CE158" s="142"/>
      <c r="CF158" s="142"/>
      <c r="CG158" s="142"/>
      <c r="CH158" s="142"/>
      <c r="CI158" s="142"/>
      <c r="CJ158" s="142"/>
      <c r="CK158" s="142"/>
      <c r="CL158" s="142"/>
      <c r="CM158" s="142"/>
      <c r="CN158" s="142"/>
      <c r="CO158" s="142"/>
      <c r="CP158" s="142"/>
      <c r="CQ158" s="142"/>
      <c r="CR158" s="142"/>
      <c r="CS158" s="142"/>
      <c r="CT158" s="142"/>
      <c r="CU158" s="142"/>
      <c r="CV158" s="142"/>
      <c r="CW158" s="142"/>
      <c r="CX158" s="142"/>
      <c r="CY158" s="142"/>
      <c r="CZ158" s="142"/>
      <c r="DA158" s="142"/>
      <c r="DB158" s="142"/>
      <c r="DC158" s="142"/>
      <c r="DD158" s="142"/>
      <c r="DE158" s="142"/>
      <c r="DF158" s="142"/>
      <c r="DG158" s="142"/>
      <c r="DH158" s="142"/>
      <c r="DI158" s="142"/>
      <c r="DJ158" s="142"/>
      <c r="DK158" s="142"/>
      <c r="DL158" s="142"/>
      <c r="DM158" s="142"/>
      <c r="DN158" s="142"/>
      <c r="DO158" s="142"/>
      <c r="DP158" s="142"/>
      <c r="DQ158" s="142"/>
      <c r="DR158" s="142"/>
      <c r="DS158" s="142"/>
      <c r="DT158" s="142"/>
      <c r="DU158" s="142"/>
      <c r="DV158" s="142"/>
      <c r="DW158" s="142"/>
      <c r="DX158" s="142"/>
      <c r="DY158" s="142"/>
      <c r="DZ158" s="142"/>
      <c r="EA158" s="142"/>
      <c r="EB158" s="142"/>
      <c r="EC158" s="142"/>
      <c r="ED158" s="142"/>
      <c r="EE158" s="142"/>
      <c r="EF158" s="142"/>
    </row>
    <row r="159" spans="1:136" s="151" customFormat="1" ht="19.5" customHeight="1" x14ac:dyDescent="0.2">
      <c r="A159" s="117">
        <v>156</v>
      </c>
      <c r="B159" s="117" t="s">
        <v>162</v>
      </c>
      <c r="C159" s="117">
        <v>131847</v>
      </c>
      <c r="D159" s="117" t="s">
        <v>73</v>
      </c>
      <c r="E159" s="183" t="s">
        <v>83</v>
      </c>
      <c r="F159" s="146" t="s">
        <v>208</v>
      </c>
      <c r="G159" s="172">
        <v>41709</v>
      </c>
      <c r="H159" s="172">
        <v>41481</v>
      </c>
      <c r="I159" s="172">
        <v>46027</v>
      </c>
      <c r="J159" s="162">
        <f t="shared" si="13"/>
        <v>46757</v>
      </c>
      <c r="K159" s="111">
        <v>42024</v>
      </c>
      <c r="L159" s="111">
        <v>45923</v>
      </c>
      <c r="M159" s="163">
        <f t="shared" si="14"/>
        <v>46653</v>
      </c>
      <c r="N159" s="111">
        <v>42002</v>
      </c>
      <c r="O159" s="111">
        <v>42004</v>
      </c>
      <c r="P159" s="111">
        <v>42002</v>
      </c>
      <c r="Q159" s="166" t="s">
        <v>69</v>
      </c>
      <c r="R159" s="166" t="s">
        <v>69</v>
      </c>
      <c r="S159" s="166" t="s">
        <v>69</v>
      </c>
      <c r="T159" s="94">
        <v>42877</v>
      </c>
      <c r="U159" s="166" t="s">
        <v>69</v>
      </c>
      <c r="V159" s="94">
        <v>44095</v>
      </c>
      <c r="W159" s="94">
        <v>43903</v>
      </c>
      <c r="X159" s="94">
        <v>42023</v>
      </c>
      <c r="Y159" s="94">
        <v>42261</v>
      </c>
      <c r="Z159" s="94">
        <v>44249</v>
      </c>
      <c r="AA159" s="166" t="s">
        <v>69</v>
      </c>
      <c r="AB159" s="166" t="s">
        <v>69</v>
      </c>
      <c r="AC159" s="166" t="s">
        <v>69</v>
      </c>
      <c r="AD159" s="167" t="s">
        <v>71</v>
      </c>
      <c r="AE159" s="167" t="s">
        <v>70</v>
      </c>
      <c r="AF159" s="112">
        <v>45637</v>
      </c>
      <c r="AG159" s="112" t="s">
        <v>69</v>
      </c>
      <c r="AH159" s="167" t="s">
        <v>71</v>
      </c>
      <c r="AI159" s="167" t="s">
        <v>71</v>
      </c>
      <c r="AJ159" s="167" t="s">
        <v>71</v>
      </c>
      <c r="AK159" s="167" t="s">
        <v>70</v>
      </c>
      <c r="AL159" s="166" t="s">
        <v>69</v>
      </c>
      <c r="AM159" s="166"/>
      <c r="AN159" s="166" t="s">
        <v>69</v>
      </c>
      <c r="AO159" s="167" t="s">
        <v>70</v>
      </c>
      <c r="AP159" s="166" t="s">
        <v>69</v>
      </c>
      <c r="AQ159" s="166" t="s">
        <v>69</v>
      </c>
      <c r="AR159" s="185">
        <v>43664</v>
      </c>
      <c r="AS159" s="166" t="s">
        <v>69</v>
      </c>
      <c r="AT159" s="166" t="s">
        <v>69</v>
      </c>
      <c r="AU159" s="166" t="s">
        <v>69</v>
      </c>
      <c r="AV159" s="166" t="s">
        <v>69</v>
      </c>
      <c r="AW159" s="94">
        <v>41914</v>
      </c>
      <c r="AX159" s="166" t="s">
        <v>69</v>
      </c>
      <c r="AY159" s="166" t="s">
        <v>69</v>
      </c>
      <c r="AZ159" s="166" t="s">
        <v>69</v>
      </c>
      <c r="BA159" s="166" t="s">
        <v>69</v>
      </c>
      <c r="BB159" s="166" t="s">
        <v>69</v>
      </c>
      <c r="BC159" s="166" t="s">
        <v>69</v>
      </c>
      <c r="BD159" s="166" t="s">
        <v>69</v>
      </c>
      <c r="BE159" s="166" t="s">
        <v>69</v>
      </c>
      <c r="BF159" s="166" t="s">
        <v>69</v>
      </c>
      <c r="BG159" s="167" t="s">
        <v>70</v>
      </c>
      <c r="BH159" s="166" t="s">
        <v>69</v>
      </c>
      <c r="BI159" s="166" t="s">
        <v>69</v>
      </c>
      <c r="BJ159" s="167" t="s">
        <v>70</v>
      </c>
      <c r="BK159" s="166" t="s">
        <v>69</v>
      </c>
      <c r="BL159" s="167" t="s">
        <v>70</v>
      </c>
      <c r="BM159" s="167" t="s">
        <v>70</v>
      </c>
      <c r="BN159" s="167" t="s">
        <v>70</v>
      </c>
      <c r="BO159" s="167" t="s">
        <v>70</v>
      </c>
      <c r="BP159" s="167" t="s">
        <v>70</v>
      </c>
      <c r="BQ159" s="151">
        <v>0</v>
      </c>
      <c r="BR159" s="142"/>
      <c r="BS159" s="142"/>
      <c r="BT159" s="142"/>
      <c r="BU159" s="142"/>
      <c r="BV159" s="142"/>
      <c r="BW159" s="142"/>
      <c r="BX159" s="142"/>
      <c r="BY159" s="142"/>
      <c r="BZ159" s="142"/>
      <c r="CA159" s="142"/>
      <c r="CB159" s="142"/>
      <c r="CC159" s="142"/>
      <c r="CD159" s="142"/>
      <c r="CE159" s="142"/>
      <c r="CF159" s="142"/>
      <c r="CG159" s="142"/>
      <c r="CH159" s="142"/>
      <c r="CI159" s="142"/>
      <c r="CJ159" s="142"/>
      <c r="CK159" s="142"/>
      <c r="CL159" s="142"/>
      <c r="CM159" s="142"/>
      <c r="CN159" s="142"/>
      <c r="CO159" s="142"/>
      <c r="CP159" s="142"/>
      <c r="CQ159" s="142"/>
      <c r="CR159" s="142"/>
      <c r="CS159" s="142"/>
      <c r="CT159" s="142"/>
      <c r="CU159" s="142"/>
      <c r="CV159" s="142"/>
      <c r="CW159" s="142"/>
      <c r="CX159" s="142"/>
      <c r="CY159" s="142"/>
      <c r="CZ159" s="142"/>
      <c r="DA159" s="142"/>
      <c r="DB159" s="142"/>
      <c r="DC159" s="142"/>
      <c r="DD159" s="142"/>
      <c r="DE159" s="142"/>
      <c r="DF159" s="142"/>
      <c r="DG159" s="142"/>
      <c r="DH159" s="142"/>
      <c r="DI159" s="142"/>
      <c r="DJ159" s="142"/>
      <c r="DK159" s="142"/>
      <c r="DL159" s="142"/>
      <c r="DM159" s="142"/>
      <c r="DN159" s="142"/>
      <c r="DO159" s="142"/>
      <c r="DP159" s="142"/>
      <c r="DQ159" s="142"/>
      <c r="DR159" s="142"/>
      <c r="DS159" s="142"/>
      <c r="DT159" s="142"/>
      <c r="DU159" s="142"/>
      <c r="DV159" s="142"/>
      <c r="DW159" s="142"/>
      <c r="DX159" s="142"/>
      <c r="DY159" s="142"/>
      <c r="DZ159" s="142"/>
      <c r="EA159" s="142"/>
      <c r="EB159" s="142"/>
      <c r="EC159" s="142"/>
      <c r="ED159" s="142"/>
      <c r="EE159" s="142"/>
      <c r="EF159" s="142"/>
    </row>
    <row r="160" spans="1:136" s="151" customFormat="1" ht="19.5" customHeight="1" x14ac:dyDescent="0.2">
      <c r="A160" s="117">
        <v>157</v>
      </c>
      <c r="B160" s="117" t="s">
        <v>163</v>
      </c>
      <c r="C160" s="117">
        <v>131849</v>
      </c>
      <c r="D160" s="117" t="s">
        <v>73</v>
      </c>
      <c r="E160" s="183" t="s">
        <v>83</v>
      </c>
      <c r="F160" s="146" t="s">
        <v>208</v>
      </c>
      <c r="G160" s="172">
        <v>42037</v>
      </c>
      <c r="H160" s="172">
        <v>42025</v>
      </c>
      <c r="I160" s="172">
        <v>46031</v>
      </c>
      <c r="J160" s="162">
        <f t="shared" si="13"/>
        <v>46761</v>
      </c>
      <c r="K160" s="111">
        <v>45202</v>
      </c>
      <c r="L160" s="111">
        <v>46049</v>
      </c>
      <c r="M160" s="163">
        <f t="shared" si="14"/>
        <v>46779</v>
      </c>
      <c r="N160" s="111">
        <v>41507</v>
      </c>
      <c r="O160" s="111">
        <v>41874</v>
      </c>
      <c r="P160" s="111">
        <v>41512</v>
      </c>
      <c r="Q160" s="166" t="s">
        <v>69</v>
      </c>
      <c r="R160" s="166" t="s">
        <v>69</v>
      </c>
      <c r="S160" s="166" t="s">
        <v>69</v>
      </c>
      <c r="T160" s="111">
        <v>43728</v>
      </c>
      <c r="U160" s="166" t="s">
        <v>69</v>
      </c>
      <c r="V160" s="94">
        <v>43808</v>
      </c>
      <c r="W160" s="94">
        <v>43885</v>
      </c>
      <c r="X160" s="94">
        <v>42268</v>
      </c>
      <c r="Y160" s="94">
        <v>42338</v>
      </c>
      <c r="Z160" s="94">
        <v>43518</v>
      </c>
      <c r="AA160" s="166" t="s">
        <v>69</v>
      </c>
      <c r="AB160" s="166" t="s">
        <v>69</v>
      </c>
      <c r="AC160" s="166" t="s">
        <v>69</v>
      </c>
      <c r="AD160" s="167" t="s">
        <v>71</v>
      </c>
      <c r="AE160" s="167" t="s">
        <v>70</v>
      </c>
      <c r="AF160" s="112">
        <v>45637</v>
      </c>
      <c r="AG160" s="112" t="s">
        <v>69</v>
      </c>
      <c r="AH160" s="167" t="s">
        <v>71</v>
      </c>
      <c r="AI160" s="167" t="s">
        <v>71</v>
      </c>
      <c r="AJ160" s="167" t="s">
        <v>71</v>
      </c>
      <c r="AK160" s="167" t="s">
        <v>70</v>
      </c>
      <c r="AL160" s="166" t="s">
        <v>69</v>
      </c>
      <c r="AM160" s="166"/>
      <c r="AN160" s="166" t="s">
        <v>69</v>
      </c>
      <c r="AO160" s="167" t="s">
        <v>70</v>
      </c>
      <c r="AP160" s="166" t="s">
        <v>69</v>
      </c>
      <c r="AQ160" s="166" t="s">
        <v>69</v>
      </c>
      <c r="AR160" s="168">
        <v>46090</v>
      </c>
      <c r="AS160" s="166" t="s">
        <v>69</v>
      </c>
      <c r="AT160" s="166" t="s">
        <v>69</v>
      </c>
      <c r="AU160" s="166" t="s">
        <v>69</v>
      </c>
      <c r="AV160" s="166" t="s">
        <v>69</v>
      </c>
      <c r="AW160" s="94">
        <v>41914</v>
      </c>
      <c r="AX160" s="166" t="s">
        <v>69</v>
      </c>
      <c r="AY160" s="166" t="s">
        <v>69</v>
      </c>
      <c r="AZ160" s="166" t="s">
        <v>69</v>
      </c>
      <c r="BA160" s="166" t="s">
        <v>69</v>
      </c>
      <c r="BB160" s="166" t="s">
        <v>69</v>
      </c>
      <c r="BC160" s="166" t="s">
        <v>69</v>
      </c>
      <c r="BD160" s="166" t="s">
        <v>69</v>
      </c>
      <c r="BE160" s="166" t="s">
        <v>69</v>
      </c>
      <c r="BF160" s="166" t="s">
        <v>69</v>
      </c>
      <c r="BG160" s="167" t="s">
        <v>70</v>
      </c>
      <c r="BH160" s="166" t="s">
        <v>69</v>
      </c>
      <c r="BI160" s="166" t="s">
        <v>69</v>
      </c>
      <c r="BJ160" s="167" t="s">
        <v>70</v>
      </c>
      <c r="BK160" s="166" t="s">
        <v>69</v>
      </c>
      <c r="BL160" s="167" t="s">
        <v>70</v>
      </c>
      <c r="BM160" s="167" t="s">
        <v>70</v>
      </c>
      <c r="BN160" s="167" t="s">
        <v>70</v>
      </c>
      <c r="BO160" s="167" t="s">
        <v>70</v>
      </c>
      <c r="BP160" s="167" t="s">
        <v>70</v>
      </c>
      <c r="BQ160" s="151">
        <v>0</v>
      </c>
      <c r="BR160" s="142"/>
      <c r="BS160" s="142"/>
      <c r="BT160" s="142"/>
      <c r="BU160" s="142"/>
      <c r="BV160" s="142"/>
      <c r="BW160" s="142"/>
      <c r="BX160" s="142"/>
      <c r="BY160" s="142"/>
      <c r="BZ160" s="142"/>
      <c r="CA160" s="142"/>
      <c r="CB160" s="142"/>
      <c r="CC160" s="142"/>
      <c r="CD160" s="142"/>
      <c r="CE160" s="142"/>
      <c r="CF160" s="142"/>
      <c r="CG160" s="142"/>
      <c r="CH160" s="142"/>
      <c r="CI160" s="142"/>
      <c r="CJ160" s="142"/>
      <c r="CK160" s="142"/>
      <c r="CL160" s="142"/>
      <c r="CM160" s="142"/>
      <c r="CN160" s="142"/>
      <c r="CO160" s="142"/>
      <c r="CP160" s="142"/>
      <c r="CQ160" s="142"/>
      <c r="CR160" s="142"/>
      <c r="CS160" s="142"/>
      <c r="CT160" s="142"/>
      <c r="CU160" s="142"/>
      <c r="CV160" s="142"/>
      <c r="CW160" s="142"/>
      <c r="CX160" s="142"/>
      <c r="CY160" s="142"/>
      <c r="CZ160" s="142"/>
      <c r="DA160" s="142"/>
      <c r="DB160" s="142"/>
      <c r="DC160" s="142"/>
      <c r="DD160" s="142"/>
      <c r="DE160" s="142"/>
      <c r="DF160" s="142"/>
      <c r="DG160" s="142"/>
      <c r="DH160" s="142"/>
      <c r="DI160" s="142"/>
      <c r="DJ160" s="142"/>
      <c r="DK160" s="142"/>
      <c r="DL160" s="142"/>
      <c r="DM160" s="142"/>
      <c r="DN160" s="142"/>
      <c r="DO160" s="142"/>
      <c r="DP160" s="142"/>
      <c r="DQ160" s="142"/>
      <c r="DR160" s="142"/>
      <c r="DS160" s="142"/>
      <c r="DT160" s="142"/>
      <c r="DU160" s="142"/>
      <c r="DV160" s="142"/>
      <c r="DW160" s="142"/>
      <c r="DX160" s="142"/>
      <c r="DY160" s="142"/>
      <c r="DZ160" s="142"/>
      <c r="EA160" s="142"/>
      <c r="EB160" s="142"/>
      <c r="EC160" s="142"/>
      <c r="ED160" s="142"/>
      <c r="EE160" s="142"/>
      <c r="EF160" s="142"/>
    </row>
    <row r="161" spans="1:136" s="151" customFormat="1" ht="19.5" customHeight="1" x14ac:dyDescent="0.2">
      <c r="A161" s="117">
        <v>158</v>
      </c>
      <c r="B161" s="117" t="s">
        <v>164</v>
      </c>
      <c r="C161" s="117">
        <v>131851</v>
      </c>
      <c r="D161" s="117" t="s">
        <v>73</v>
      </c>
      <c r="E161" s="183" t="s">
        <v>83</v>
      </c>
      <c r="F161" s="146" t="s">
        <v>208</v>
      </c>
      <c r="G161" s="172">
        <v>42037</v>
      </c>
      <c r="H161" s="172">
        <v>42025</v>
      </c>
      <c r="I161" s="172">
        <v>46027</v>
      </c>
      <c r="J161" s="162">
        <f t="shared" si="13"/>
        <v>46757</v>
      </c>
      <c r="K161" s="111">
        <v>45426</v>
      </c>
      <c r="L161" s="111">
        <v>46168</v>
      </c>
      <c r="M161" s="163">
        <f t="shared" si="14"/>
        <v>46899</v>
      </c>
      <c r="N161" s="111">
        <v>46524</v>
      </c>
      <c r="O161" s="111">
        <v>42871</v>
      </c>
      <c r="P161" s="111">
        <v>42873</v>
      </c>
      <c r="Q161" s="166" t="s">
        <v>69</v>
      </c>
      <c r="R161" s="166" t="s">
        <v>69</v>
      </c>
      <c r="S161" s="166" t="s">
        <v>69</v>
      </c>
      <c r="T161" s="94">
        <v>42873</v>
      </c>
      <c r="U161" s="166" t="s">
        <v>69</v>
      </c>
      <c r="V161" s="94">
        <v>45091</v>
      </c>
      <c r="W161" s="94">
        <v>44074</v>
      </c>
      <c r="X161" s="94">
        <v>42198</v>
      </c>
      <c r="Y161" s="94">
        <v>42234</v>
      </c>
      <c r="Z161" s="94">
        <v>44316</v>
      </c>
      <c r="AA161" s="94">
        <v>45919</v>
      </c>
      <c r="AB161" s="166" t="s">
        <v>69</v>
      </c>
      <c r="AC161" s="166" t="s">
        <v>69</v>
      </c>
      <c r="AD161" s="167" t="s">
        <v>71</v>
      </c>
      <c r="AE161" s="167" t="s">
        <v>70</v>
      </c>
      <c r="AF161" s="112">
        <v>45639</v>
      </c>
      <c r="AG161" s="112" t="s">
        <v>69</v>
      </c>
      <c r="AH161" s="167" t="s">
        <v>71</v>
      </c>
      <c r="AI161" s="167" t="s">
        <v>71</v>
      </c>
      <c r="AJ161" s="167" t="s">
        <v>71</v>
      </c>
      <c r="AK161" s="167" t="s">
        <v>70</v>
      </c>
      <c r="AL161" s="166" t="s">
        <v>69</v>
      </c>
      <c r="AM161" s="166"/>
      <c r="AN161" s="166" t="s">
        <v>69</v>
      </c>
      <c r="AO161" s="167" t="s">
        <v>70</v>
      </c>
      <c r="AP161" s="168">
        <v>46192</v>
      </c>
      <c r="AQ161" s="94">
        <v>43697</v>
      </c>
      <c r="AR161" s="168">
        <v>46220</v>
      </c>
      <c r="AS161" s="166" t="s">
        <v>69</v>
      </c>
      <c r="AT161" s="166" t="s">
        <v>69</v>
      </c>
      <c r="AU161" s="166" t="s">
        <v>69</v>
      </c>
      <c r="AV161" s="166" t="s">
        <v>69</v>
      </c>
      <c r="AW161" s="94">
        <v>41907</v>
      </c>
      <c r="AX161" s="166" t="s">
        <v>69</v>
      </c>
      <c r="AY161" s="166" t="s">
        <v>69</v>
      </c>
      <c r="AZ161" s="166" t="s">
        <v>69</v>
      </c>
      <c r="BA161" s="166" t="s">
        <v>69</v>
      </c>
      <c r="BB161" s="166" t="s">
        <v>69</v>
      </c>
      <c r="BC161" s="166" t="s">
        <v>69</v>
      </c>
      <c r="BD161" s="166" t="s">
        <v>69</v>
      </c>
      <c r="BE161" s="166" t="s">
        <v>69</v>
      </c>
      <c r="BF161" s="166" t="s">
        <v>69</v>
      </c>
      <c r="BG161" s="167" t="s">
        <v>70</v>
      </c>
      <c r="BH161" s="166" t="s">
        <v>69</v>
      </c>
      <c r="BI161" s="166" t="s">
        <v>69</v>
      </c>
      <c r="BJ161" s="167" t="s">
        <v>70</v>
      </c>
      <c r="BK161" s="166" t="s">
        <v>69</v>
      </c>
      <c r="BL161" s="167" t="s">
        <v>70</v>
      </c>
      <c r="BM161" s="167" t="s">
        <v>70</v>
      </c>
      <c r="BN161" s="167" t="s">
        <v>70</v>
      </c>
      <c r="BO161" s="167" t="s">
        <v>70</v>
      </c>
      <c r="BP161" s="167" t="s">
        <v>70</v>
      </c>
      <c r="BQ161" s="151">
        <v>0</v>
      </c>
      <c r="BR161" s="142"/>
      <c r="BS161" s="142"/>
      <c r="BT161" s="142"/>
      <c r="BU161" s="142"/>
      <c r="BV161" s="142"/>
      <c r="BW161" s="142"/>
      <c r="BX161" s="142"/>
      <c r="BY161" s="142"/>
      <c r="BZ161" s="142"/>
      <c r="CA161" s="142"/>
      <c r="CB161" s="142"/>
      <c r="CC161" s="142"/>
      <c r="CD161" s="142"/>
      <c r="CE161" s="142"/>
      <c r="CF161" s="142"/>
      <c r="CG161" s="142"/>
      <c r="CH161" s="142"/>
      <c r="CI161" s="142"/>
      <c r="CJ161" s="142"/>
      <c r="CK161" s="142"/>
      <c r="CL161" s="142"/>
      <c r="CM161" s="142"/>
      <c r="CN161" s="142"/>
      <c r="CO161" s="142"/>
      <c r="CP161" s="142"/>
      <c r="CQ161" s="142"/>
      <c r="CR161" s="142"/>
      <c r="CS161" s="142"/>
      <c r="CT161" s="142"/>
      <c r="CU161" s="142"/>
      <c r="CV161" s="142"/>
      <c r="CW161" s="142"/>
      <c r="CX161" s="142"/>
      <c r="CY161" s="142"/>
      <c r="CZ161" s="142"/>
      <c r="DA161" s="142"/>
      <c r="DB161" s="142"/>
      <c r="DC161" s="142"/>
      <c r="DD161" s="142"/>
      <c r="DE161" s="142"/>
      <c r="DF161" s="142"/>
      <c r="DG161" s="142"/>
      <c r="DH161" s="142"/>
      <c r="DI161" s="142"/>
      <c r="DJ161" s="142"/>
      <c r="DK161" s="142"/>
      <c r="DL161" s="142"/>
      <c r="DM161" s="142"/>
      <c r="DN161" s="142"/>
      <c r="DO161" s="142"/>
      <c r="DP161" s="142"/>
      <c r="DQ161" s="142"/>
      <c r="DR161" s="142"/>
      <c r="DS161" s="142"/>
      <c r="DT161" s="142"/>
      <c r="DU161" s="142"/>
      <c r="DV161" s="142"/>
      <c r="DW161" s="142"/>
      <c r="DX161" s="142"/>
      <c r="DY161" s="142"/>
      <c r="DZ161" s="142"/>
      <c r="EA161" s="142"/>
      <c r="EB161" s="142"/>
      <c r="EC161" s="142"/>
      <c r="ED161" s="142"/>
      <c r="EE161" s="142"/>
      <c r="EF161" s="142"/>
    </row>
    <row r="162" spans="1:136" s="151" customFormat="1" ht="19.5" customHeight="1" x14ac:dyDescent="0.2">
      <c r="A162" s="117">
        <v>159</v>
      </c>
      <c r="B162" s="117" t="s">
        <v>172</v>
      </c>
      <c r="C162" s="117">
        <v>145313</v>
      </c>
      <c r="D162" s="117" t="s">
        <v>73</v>
      </c>
      <c r="E162" s="183" t="s">
        <v>83</v>
      </c>
      <c r="F162" s="146" t="s">
        <v>208</v>
      </c>
      <c r="G162" s="172">
        <v>42069</v>
      </c>
      <c r="H162" s="172">
        <v>42573</v>
      </c>
      <c r="I162" s="172">
        <v>45994</v>
      </c>
      <c r="J162" s="162">
        <f t="shared" si="13"/>
        <v>46724</v>
      </c>
      <c r="K162" s="111">
        <v>42200</v>
      </c>
      <c r="L162" s="111">
        <v>46013</v>
      </c>
      <c r="M162" s="163">
        <f t="shared" si="14"/>
        <v>46743</v>
      </c>
      <c r="N162" s="89">
        <v>43081</v>
      </c>
      <c r="O162" s="89">
        <v>43088</v>
      </c>
      <c r="P162" s="89">
        <v>43083</v>
      </c>
      <c r="Q162" s="166" t="s">
        <v>69</v>
      </c>
      <c r="R162" s="166" t="s">
        <v>69</v>
      </c>
      <c r="S162" s="166" t="s">
        <v>69</v>
      </c>
      <c r="T162" s="94">
        <v>43059</v>
      </c>
      <c r="U162" s="166" t="s">
        <v>69</v>
      </c>
      <c r="V162" s="111">
        <v>45275</v>
      </c>
      <c r="W162" s="166" t="s">
        <v>69</v>
      </c>
      <c r="X162" s="94">
        <v>42192</v>
      </c>
      <c r="Y162" s="94">
        <v>44421</v>
      </c>
      <c r="Z162" s="166" t="s">
        <v>69</v>
      </c>
      <c r="AA162" s="166" t="s">
        <v>69</v>
      </c>
      <c r="AB162" s="166" t="s">
        <v>69</v>
      </c>
      <c r="AC162" s="166" t="s">
        <v>69</v>
      </c>
      <c r="AD162" s="167" t="s">
        <v>71</v>
      </c>
      <c r="AE162" s="167" t="s">
        <v>70</v>
      </c>
      <c r="AF162" s="94">
        <v>45425</v>
      </c>
      <c r="AG162" s="112" t="s">
        <v>69</v>
      </c>
      <c r="AH162" s="167" t="s">
        <v>71</v>
      </c>
      <c r="AI162" s="167" t="s">
        <v>71</v>
      </c>
      <c r="AJ162" s="167" t="s">
        <v>71</v>
      </c>
      <c r="AK162" s="167" t="s">
        <v>70</v>
      </c>
      <c r="AL162" s="166" t="s">
        <v>69</v>
      </c>
      <c r="AM162" s="166"/>
      <c r="AN162" s="166" t="s">
        <v>69</v>
      </c>
      <c r="AO162" s="167" t="s">
        <v>70</v>
      </c>
      <c r="AP162" s="168">
        <v>46260</v>
      </c>
      <c r="AQ162" s="166" t="s">
        <v>69</v>
      </c>
      <c r="AR162" s="166" t="s">
        <v>69</v>
      </c>
      <c r="AS162" s="166" t="s">
        <v>69</v>
      </c>
      <c r="AT162" s="166" t="s">
        <v>69</v>
      </c>
      <c r="AU162" s="166" t="s">
        <v>69</v>
      </c>
      <c r="AV162" s="166" t="s">
        <v>69</v>
      </c>
      <c r="AW162" s="166" t="s">
        <v>69</v>
      </c>
      <c r="AX162" s="166" t="s">
        <v>69</v>
      </c>
      <c r="AY162" s="94">
        <v>42158</v>
      </c>
      <c r="AZ162" s="166" t="s">
        <v>69</v>
      </c>
      <c r="BA162" s="166" t="s">
        <v>69</v>
      </c>
      <c r="BB162" s="166" t="s">
        <v>69</v>
      </c>
      <c r="BC162" s="166" t="s">
        <v>69</v>
      </c>
      <c r="BD162" s="166" t="s">
        <v>69</v>
      </c>
      <c r="BE162" s="166" t="s">
        <v>69</v>
      </c>
      <c r="BF162" s="166" t="s">
        <v>69</v>
      </c>
      <c r="BG162" s="167" t="s">
        <v>70</v>
      </c>
      <c r="BH162" s="166" t="s">
        <v>69</v>
      </c>
      <c r="BI162" s="166" t="s">
        <v>69</v>
      </c>
      <c r="BJ162" s="167" t="s">
        <v>70</v>
      </c>
      <c r="BK162" s="166" t="s">
        <v>69</v>
      </c>
      <c r="BL162" s="167" t="s">
        <v>70</v>
      </c>
      <c r="BM162" s="167" t="s">
        <v>70</v>
      </c>
      <c r="BN162" s="167" t="s">
        <v>70</v>
      </c>
      <c r="BO162" s="167" t="s">
        <v>70</v>
      </c>
      <c r="BP162" s="167" t="s">
        <v>70</v>
      </c>
      <c r="BQ162" s="151">
        <v>0</v>
      </c>
      <c r="BR162" s="142"/>
      <c r="BS162" s="142"/>
      <c r="BT162" s="142"/>
      <c r="BU162" s="142"/>
      <c r="BV162" s="142"/>
      <c r="BW162" s="142"/>
      <c r="BX162" s="142"/>
      <c r="BY162" s="142"/>
      <c r="BZ162" s="142"/>
      <c r="CA162" s="142"/>
      <c r="CB162" s="142"/>
      <c r="CC162" s="142"/>
      <c r="CD162" s="142"/>
      <c r="CE162" s="142"/>
      <c r="CF162" s="142"/>
      <c r="CG162" s="142"/>
      <c r="CH162" s="142"/>
      <c r="CI162" s="142"/>
      <c r="CJ162" s="142"/>
      <c r="CK162" s="142"/>
      <c r="CL162" s="142"/>
      <c r="CM162" s="142"/>
      <c r="CN162" s="142"/>
      <c r="CO162" s="142"/>
      <c r="CP162" s="142"/>
      <c r="CQ162" s="142"/>
      <c r="CR162" s="142"/>
      <c r="CS162" s="142"/>
      <c r="CT162" s="142"/>
      <c r="CU162" s="142"/>
      <c r="CV162" s="142"/>
      <c r="CW162" s="142"/>
      <c r="CX162" s="142"/>
      <c r="CY162" s="142"/>
      <c r="CZ162" s="142"/>
      <c r="DA162" s="142"/>
      <c r="DB162" s="142"/>
      <c r="DC162" s="142"/>
      <c r="DD162" s="142"/>
      <c r="DE162" s="142"/>
      <c r="DF162" s="142"/>
      <c r="DG162" s="142"/>
      <c r="DH162" s="142"/>
      <c r="DI162" s="142"/>
      <c r="DJ162" s="142"/>
      <c r="DK162" s="142"/>
      <c r="DL162" s="142"/>
      <c r="DM162" s="142"/>
      <c r="DN162" s="142"/>
      <c r="DO162" s="142"/>
      <c r="DP162" s="142"/>
      <c r="DQ162" s="142"/>
      <c r="DR162" s="142"/>
      <c r="DS162" s="142"/>
      <c r="DT162" s="142"/>
      <c r="DU162" s="142"/>
      <c r="DV162" s="142"/>
      <c r="DW162" s="142"/>
      <c r="DX162" s="142"/>
      <c r="DY162" s="142"/>
      <c r="DZ162" s="142"/>
      <c r="EA162" s="142"/>
      <c r="EB162" s="142"/>
      <c r="EC162" s="142"/>
      <c r="ED162" s="142"/>
      <c r="EE162" s="142"/>
      <c r="EF162" s="142"/>
    </row>
    <row r="163" spans="1:136" s="151" customFormat="1" ht="19.5" customHeight="1" x14ac:dyDescent="0.2">
      <c r="A163" s="117">
        <v>160</v>
      </c>
      <c r="B163" s="117" t="s">
        <v>173</v>
      </c>
      <c r="C163" s="214">
        <v>83117955</v>
      </c>
      <c r="D163" s="117" t="s">
        <v>73</v>
      </c>
      <c r="E163" s="117" t="s">
        <v>68</v>
      </c>
      <c r="F163" s="146" t="s">
        <v>208</v>
      </c>
      <c r="G163" s="172">
        <v>40975</v>
      </c>
      <c r="H163" s="92">
        <v>44504</v>
      </c>
      <c r="I163" s="172">
        <v>46107</v>
      </c>
      <c r="J163" s="162">
        <f t="shared" si="13"/>
        <v>46838</v>
      </c>
      <c r="K163" s="172">
        <v>40895</v>
      </c>
      <c r="L163" s="111">
        <v>46076</v>
      </c>
      <c r="M163" s="163">
        <f t="shared" si="14"/>
        <v>46806</v>
      </c>
      <c r="N163" s="111">
        <v>40890</v>
      </c>
      <c r="O163" s="112">
        <v>40890</v>
      </c>
      <c r="P163" s="111">
        <v>40890</v>
      </c>
      <c r="Q163" s="166" t="s">
        <v>69</v>
      </c>
      <c r="R163" s="166" t="s">
        <v>69</v>
      </c>
      <c r="S163" s="166" t="s">
        <v>69</v>
      </c>
      <c r="T163" s="94">
        <v>43658</v>
      </c>
      <c r="U163" s="94">
        <v>43479</v>
      </c>
      <c r="V163" s="94">
        <v>43808</v>
      </c>
      <c r="W163" s="94">
        <v>44036</v>
      </c>
      <c r="X163" s="94">
        <v>43549</v>
      </c>
      <c r="Y163" s="94">
        <v>44400</v>
      </c>
      <c r="Z163" s="94">
        <v>44617</v>
      </c>
      <c r="AA163" s="166" t="s">
        <v>69</v>
      </c>
      <c r="AB163" s="166" t="s">
        <v>69</v>
      </c>
      <c r="AC163" s="166" t="s">
        <v>69</v>
      </c>
      <c r="AD163" s="167" t="s">
        <v>71</v>
      </c>
      <c r="AE163" s="167" t="s">
        <v>70</v>
      </c>
      <c r="AF163" s="112">
        <v>45637</v>
      </c>
      <c r="AG163" s="112" t="s">
        <v>69</v>
      </c>
      <c r="AH163" s="167" t="s">
        <v>71</v>
      </c>
      <c r="AI163" s="167" t="s">
        <v>71</v>
      </c>
      <c r="AJ163" s="167" t="s">
        <v>71</v>
      </c>
      <c r="AK163" s="167" t="s">
        <v>70</v>
      </c>
      <c r="AL163" s="166" t="s">
        <v>69</v>
      </c>
      <c r="AM163" s="166"/>
      <c r="AN163" s="94">
        <v>44349</v>
      </c>
      <c r="AO163" s="167" t="s">
        <v>70</v>
      </c>
      <c r="AP163" s="166" t="s">
        <v>69</v>
      </c>
      <c r="AQ163" s="166" t="s">
        <v>69</v>
      </c>
      <c r="AR163" s="168">
        <v>46119</v>
      </c>
      <c r="AS163" s="168">
        <v>46171</v>
      </c>
      <c r="AT163" s="166" t="s">
        <v>69</v>
      </c>
      <c r="AU163" s="166" t="s">
        <v>69</v>
      </c>
      <c r="AV163" s="166" t="s">
        <v>69</v>
      </c>
      <c r="AW163" s="94">
        <v>41902</v>
      </c>
      <c r="AX163" s="166" t="s">
        <v>69</v>
      </c>
      <c r="AY163" s="166" t="s">
        <v>69</v>
      </c>
      <c r="AZ163" s="166" t="s">
        <v>69</v>
      </c>
      <c r="BA163" s="166" t="s">
        <v>69</v>
      </c>
      <c r="BB163" s="166" t="s">
        <v>69</v>
      </c>
      <c r="BC163" s="166" t="s">
        <v>69</v>
      </c>
      <c r="BD163" s="166" t="s">
        <v>69</v>
      </c>
      <c r="BE163" s="166" t="s">
        <v>69</v>
      </c>
      <c r="BF163" s="166" t="s">
        <v>69</v>
      </c>
      <c r="BG163" s="167" t="s">
        <v>70</v>
      </c>
      <c r="BH163" s="166" t="s">
        <v>69</v>
      </c>
      <c r="BI163" s="166" t="s">
        <v>69</v>
      </c>
      <c r="BJ163" s="167" t="s">
        <v>70</v>
      </c>
      <c r="BK163" s="166" t="s">
        <v>69</v>
      </c>
      <c r="BL163" s="167" t="s">
        <v>70</v>
      </c>
      <c r="BM163" s="167" t="s">
        <v>70</v>
      </c>
      <c r="BN163" s="167" t="s">
        <v>70</v>
      </c>
      <c r="BO163" s="167" t="s">
        <v>70</v>
      </c>
      <c r="BP163" s="167" t="s">
        <v>70</v>
      </c>
      <c r="BQ163" s="151">
        <v>0</v>
      </c>
      <c r="BR163" s="142"/>
      <c r="BS163" s="142"/>
      <c r="BT163" s="142"/>
      <c r="BU163" s="142"/>
      <c r="BV163" s="142"/>
      <c r="BW163" s="142"/>
      <c r="BX163" s="142"/>
      <c r="BY163" s="142"/>
      <c r="BZ163" s="142"/>
      <c r="CA163" s="142"/>
      <c r="CB163" s="142"/>
      <c r="CC163" s="142"/>
      <c r="CD163" s="142"/>
      <c r="CE163" s="142"/>
      <c r="CF163" s="142"/>
      <c r="CG163" s="142"/>
      <c r="CH163" s="142"/>
      <c r="CI163" s="142"/>
      <c r="CJ163" s="142"/>
      <c r="CK163" s="142"/>
      <c r="CL163" s="142"/>
      <c r="CM163" s="142"/>
      <c r="CN163" s="142"/>
      <c r="CO163" s="142"/>
      <c r="CP163" s="142"/>
      <c r="CQ163" s="142"/>
      <c r="CR163" s="142"/>
      <c r="CS163" s="142"/>
      <c r="CT163" s="142"/>
      <c r="CU163" s="142"/>
      <c r="CV163" s="142"/>
      <c r="CW163" s="142"/>
      <c r="CX163" s="142"/>
      <c r="CY163" s="142"/>
      <c r="CZ163" s="142"/>
      <c r="DA163" s="142"/>
      <c r="DB163" s="142"/>
      <c r="DC163" s="142"/>
      <c r="DD163" s="142"/>
      <c r="DE163" s="142"/>
      <c r="DF163" s="142"/>
      <c r="DG163" s="142"/>
      <c r="DH163" s="142"/>
      <c r="DI163" s="142"/>
      <c r="DJ163" s="142"/>
      <c r="DK163" s="142"/>
      <c r="DL163" s="142"/>
      <c r="DM163" s="142"/>
      <c r="DN163" s="142"/>
      <c r="DO163" s="142"/>
      <c r="DP163" s="142"/>
      <c r="DQ163" s="142"/>
      <c r="DR163" s="142"/>
      <c r="DS163" s="142"/>
      <c r="DT163" s="142"/>
      <c r="DU163" s="142"/>
      <c r="DV163" s="142"/>
      <c r="DW163" s="142"/>
      <c r="DX163" s="142"/>
      <c r="DY163" s="142"/>
      <c r="DZ163" s="142"/>
      <c r="EA163" s="142"/>
      <c r="EB163" s="142"/>
      <c r="EC163" s="142"/>
      <c r="ED163" s="142"/>
      <c r="EE163" s="142"/>
      <c r="EF163" s="142"/>
    </row>
    <row r="164" spans="1:136" s="151" customFormat="1" ht="19.5" customHeight="1" x14ac:dyDescent="0.2">
      <c r="A164" s="117">
        <v>161</v>
      </c>
      <c r="B164" s="201" t="s">
        <v>176</v>
      </c>
      <c r="C164" s="201">
        <v>135048</v>
      </c>
      <c r="D164" s="117" t="s">
        <v>73</v>
      </c>
      <c r="E164" s="117" t="s">
        <v>68</v>
      </c>
      <c r="F164" s="146" t="s">
        <v>208</v>
      </c>
      <c r="G164" s="140">
        <v>40746</v>
      </c>
      <c r="H164" s="140">
        <v>42270</v>
      </c>
      <c r="I164" s="111">
        <v>46031</v>
      </c>
      <c r="J164" s="162">
        <f t="shared" si="13"/>
        <v>46761</v>
      </c>
      <c r="K164" s="140">
        <v>42255</v>
      </c>
      <c r="L164" s="111">
        <v>46036</v>
      </c>
      <c r="M164" s="163">
        <f t="shared" si="14"/>
        <v>46766</v>
      </c>
      <c r="N164" s="92">
        <v>42430</v>
      </c>
      <c r="O164" s="92">
        <v>42431</v>
      </c>
      <c r="P164" s="92">
        <v>42432</v>
      </c>
      <c r="Q164" s="166" t="s">
        <v>69</v>
      </c>
      <c r="R164" s="199">
        <v>42046</v>
      </c>
      <c r="S164" s="94">
        <v>45527</v>
      </c>
      <c r="T164" s="199">
        <v>42709</v>
      </c>
      <c r="U164" s="166" t="s">
        <v>69</v>
      </c>
      <c r="V164" s="199">
        <v>42793</v>
      </c>
      <c r="W164" s="94">
        <v>43815</v>
      </c>
      <c r="X164" s="94">
        <v>42079</v>
      </c>
      <c r="Y164" s="166" t="s">
        <v>69</v>
      </c>
      <c r="Z164" s="211">
        <v>44557</v>
      </c>
      <c r="AA164" s="166" t="s">
        <v>69</v>
      </c>
      <c r="AB164" s="166" t="s">
        <v>69</v>
      </c>
      <c r="AC164" s="200">
        <v>42166</v>
      </c>
      <c r="AD164" s="167" t="s">
        <v>71</v>
      </c>
      <c r="AE164" s="167" t="s">
        <v>70</v>
      </c>
      <c r="AF164" s="112">
        <v>45642</v>
      </c>
      <c r="AG164" s="112" t="s">
        <v>69</v>
      </c>
      <c r="AH164" s="167" t="s">
        <v>71</v>
      </c>
      <c r="AI164" s="167" t="s">
        <v>71</v>
      </c>
      <c r="AJ164" s="167" t="s">
        <v>71</v>
      </c>
      <c r="AK164" s="167" t="s">
        <v>70</v>
      </c>
      <c r="AL164" s="166" t="s">
        <v>69</v>
      </c>
      <c r="AM164" s="166"/>
      <c r="AN164" s="166" t="s">
        <v>69</v>
      </c>
      <c r="AO164" s="167" t="s">
        <v>70</v>
      </c>
      <c r="AP164" s="166" t="s">
        <v>69</v>
      </c>
      <c r="AQ164" s="166" t="s">
        <v>69</v>
      </c>
      <c r="AR164" s="168">
        <v>46055</v>
      </c>
      <c r="AS164" s="166" t="s">
        <v>69</v>
      </c>
      <c r="AT164" s="166" t="s">
        <v>69</v>
      </c>
      <c r="AU164" s="166" t="s">
        <v>69</v>
      </c>
      <c r="AV164" s="166" t="s">
        <v>69</v>
      </c>
      <c r="AW164" s="166" t="s">
        <v>69</v>
      </c>
      <c r="AX164" s="166" t="s">
        <v>69</v>
      </c>
      <c r="AY164" s="166" t="s">
        <v>69</v>
      </c>
      <c r="AZ164" s="94">
        <v>44223</v>
      </c>
      <c r="BA164" s="166" t="s">
        <v>69</v>
      </c>
      <c r="BB164" s="166" t="s">
        <v>69</v>
      </c>
      <c r="BC164" s="166" t="s">
        <v>69</v>
      </c>
      <c r="BD164" s="166" t="s">
        <v>69</v>
      </c>
      <c r="BE164" s="166" t="s">
        <v>69</v>
      </c>
      <c r="BF164" s="166" t="s">
        <v>69</v>
      </c>
      <c r="BG164" s="167" t="s">
        <v>70</v>
      </c>
      <c r="BH164" s="166" t="s">
        <v>69</v>
      </c>
      <c r="BI164" s="166" t="s">
        <v>69</v>
      </c>
      <c r="BJ164" s="167" t="s">
        <v>70</v>
      </c>
      <c r="BK164" s="166" t="s">
        <v>69</v>
      </c>
      <c r="BL164" s="167" t="s">
        <v>70</v>
      </c>
      <c r="BM164" s="167" t="s">
        <v>70</v>
      </c>
      <c r="BN164" s="167" t="s">
        <v>70</v>
      </c>
      <c r="BO164" s="167" t="s">
        <v>70</v>
      </c>
      <c r="BP164" s="167" t="s">
        <v>70</v>
      </c>
      <c r="BQ164" s="151">
        <v>0</v>
      </c>
      <c r="BR164" s="142"/>
      <c r="BS164" s="142"/>
      <c r="BT164" s="142"/>
      <c r="BU164" s="142"/>
      <c r="BV164" s="142"/>
      <c r="BW164" s="142"/>
      <c r="BX164" s="142"/>
      <c r="BY164" s="142"/>
      <c r="BZ164" s="142"/>
      <c r="CA164" s="142"/>
      <c r="CB164" s="142"/>
      <c r="CC164" s="142"/>
      <c r="CD164" s="142"/>
      <c r="CE164" s="142"/>
      <c r="CF164" s="142"/>
      <c r="CG164" s="142"/>
      <c r="CH164" s="142"/>
      <c r="CI164" s="142"/>
      <c r="CJ164" s="142"/>
      <c r="CK164" s="142"/>
      <c r="CL164" s="142"/>
      <c r="CM164" s="142"/>
      <c r="CN164" s="142"/>
      <c r="CO164" s="142"/>
      <c r="CP164" s="142"/>
      <c r="CQ164" s="142"/>
      <c r="CR164" s="142"/>
      <c r="CS164" s="142"/>
      <c r="CT164" s="142"/>
      <c r="CU164" s="142"/>
      <c r="CV164" s="142"/>
      <c r="CW164" s="142"/>
      <c r="CX164" s="142"/>
      <c r="CY164" s="142"/>
      <c r="CZ164" s="142"/>
      <c r="DA164" s="142"/>
      <c r="DB164" s="142"/>
      <c r="DC164" s="142"/>
      <c r="DD164" s="142"/>
      <c r="DE164" s="142"/>
      <c r="DF164" s="142"/>
      <c r="DG164" s="142"/>
      <c r="DH164" s="142"/>
      <c r="DI164" s="142"/>
      <c r="DJ164" s="142"/>
      <c r="DK164" s="142"/>
      <c r="DL164" s="142"/>
      <c r="DM164" s="142"/>
      <c r="DN164" s="142"/>
      <c r="DO164" s="142"/>
      <c r="DP164" s="142"/>
      <c r="DQ164" s="142"/>
      <c r="DR164" s="142"/>
      <c r="DS164" s="142"/>
      <c r="DT164" s="142"/>
      <c r="DU164" s="142"/>
      <c r="DV164" s="142"/>
      <c r="DW164" s="142"/>
      <c r="DX164" s="142"/>
      <c r="DY164" s="142"/>
      <c r="DZ164" s="142"/>
      <c r="EA164" s="142"/>
      <c r="EB164" s="142"/>
      <c r="EC164" s="142"/>
      <c r="ED164" s="142"/>
      <c r="EE164" s="142"/>
      <c r="EF164" s="142"/>
    </row>
    <row r="165" spans="1:136" s="151" customFormat="1" ht="19.5" customHeight="1" x14ac:dyDescent="0.2">
      <c r="A165" s="117">
        <v>162</v>
      </c>
      <c r="B165" s="144" t="s">
        <v>179</v>
      </c>
      <c r="C165" s="144">
        <v>83123907</v>
      </c>
      <c r="D165" s="117" t="s">
        <v>73</v>
      </c>
      <c r="E165" s="117" t="s">
        <v>68</v>
      </c>
      <c r="F165" s="146" t="s">
        <v>208</v>
      </c>
      <c r="G165" s="172">
        <v>41702</v>
      </c>
      <c r="H165" s="172">
        <v>41449</v>
      </c>
      <c r="I165" s="172">
        <v>45972</v>
      </c>
      <c r="J165" s="162">
        <f t="shared" si="13"/>
        <v>46702</v>
      </c>
      <c r="K165" s="111">
        <v>43570</v>
      </c>
      <c r="L165" s="111">
        <v>46168</v>
      </c>
      <c r="M165" s="163">
        <f t="shared" si="14"/>
        <v>46899</v>
      </c>
      <c r="N165" s="111">
        <v>42002</v>
      </c>
      <c r="O165" s="111">
        <v>42004</v>
      </c>
      <c r="P165" s="111">
        <v>42002</v>
      </c>
      <c r="Q165" s="94">
        <v>44167</v>
      </c>
      <c r="R165" s="166" t="s">
        <v>69</v>
      </c>
      <c r="S165" s="166" t="s">
        <v>69</v>
      </c>
      <c r="T165" s="94">
        <v>44032</v>
      </c>
      <c r="U165" s="166" t="s">
        <v>69</v>
      </c>
      <c r="V165" s="94">
        <v>43731</v>
      </c>
      <c r="W165" s="94">
        <v>43815</v>
      </c>
      <c r="X165" s="94">
        <v>42646</v>
      </c>
      <c r="Y165" s="94">
        <v>42359</v>
      </c>
      <c r="Z165" s="94">
        <v>44249</v>
      </c>
      <c r="AA165" s="94">
        <v>45723</v>
      </c>
      <c r="AB165" s="166" t="s">
        <v>69</v>
      </c>
      <c r="AC165" s="166" t="s">
        <v>69</v>
      </c>
      <c r="AD165" s="167" t="s">
        <v>71</v>
      </c>
      <c r="AE165" s="167" t="s">
        <v>70</v>
      </c>
      <c r="AF165" s="94">
        <v>45639</v>
      </c>
      <c r="AG165" s="112" t="s">
        <v>69</v>
      </c>
      <c r="AH165" s="167" t="s">
        <v>71</v>
      </c>
      <c r="AI165" s="167" t="s">
        <v>71</v>
      </c>
      <c r="AJ165" s="167" t="s">
        <v>71</v>
      </c>
      <c r="AK165" s="167" t="s">
        <v>70</v>
      </c>
      <c r="AL165" s="166" t="s">
        <v>69</v>
      </c>
      <c r="AM165" s="166"/>
      <c r="AN165" s="166" t="s">
        <v>69</v>
      </c>
      <c r="AO165" s="167" t="s">
        <v>70</v>
      </c>
      <c r="AP165" s="168">
        <v>46293</v>
      </c>
      <c r="AQ165" s="166" t="s">
        <v>69</v>
      </c>
      <c r="AR165" s="166" t="s">
        <v>859</v>
      </c>
      <c r="AS165" s="94">
        <v>45989</v>
      </c>
      <c r="AT165" s="94">
        <v>43634</v>
      </c>
      <c r="AU165" s="166" t="s">
        <v>69</v>
      </c>
      <c r="AV165" s="166" t="s">
        <v>69</v>
      </c>
      <c r="AW165" s="166" t="s">
        <v>69</v>
      </c>
      <c r="AX165" s="166" t="s">
        <v>69</v>
      </c>
      <c r="AY165" s="166" t="s">
        <v>69</v>
      </c>
      <c r="AZ165" s="166" t="s">
        <v>69</v>
      </c>
      <c r="BA165" s="166" t="s">
        <v>69</v>
      </c>
      <c r="BB165" s="166" t="s">
        <v>69</v>
      </c>
      <c r="BC165" s="166" t="s">
        <v>69</v>
      </c>
      <c r="BD165" s="166" t="s">
        <v>69</v>
      </c>
      <c r="BE165" s="166" t="s">
        <v>69</v>
      </c>
      <c r="BF165" s="166" t="s">
        <v>69</v>
      </c>
      <c r="BG165" s="167" t="s">
        <v>70</v>
      </c>
      <c r="BH165" s="166" t="s">
        <v>69</v>
      </c>
      <c r="BI165" s="166" t="s">
        <v>69</v>
      </c>
      <c r="BJ165" s="167" t="s">
        <v>70</v>
      </c>
      <c r="BK165" s="166" t="s">
        <v>69</v>
      </c>
      <c r="BL165" s="167" t="s">
        <v>70</v>
      </c>
      <c r="BM165" s="167" t="s">
        <v>70</v>
      </c>
      <c r="BN165" s="167" t="s">
        <v>70</v>
      </c>
      <c r="BO165" s="167" t="s">
        <v>70</v>
      </c>
      <c r="BP165" s="167" t="s">
        <v>70</v>
      </c>
      <c r="BQ165" s="151">
        <v>0</v>
      </c>
      <c r="BR165" s="142"/>
      <c r="BS165" s="142"/>
      <c r="BT165" s="142"/>
      <c r="BU165" s="142"/>
      <c r="BV165" s="142"/>
      <c r="BW165" s="142"/>
      <c r="BX165" s="142"/>
      <c r="BY165" s="142"/>
      <c r="BZ165" s="142"/>
      <c r="CA165" s="142"/>
      <c r="CB165" s="142"/>
      <c r="CC165" s="142"/>
      <c r="CD165" s="142"/>
      <c r="CE165" s="142"/>
      <c r="CF165" s="142"/>
      <c r="CG165" s="142"/>
      <c r="CH165" s="142"/>
      <c r="CI165" s="142"/>
      <c r="CJ165" s="142"/>
      <c r="CK165" s="142"/>
      <c r="CL165" s="142"/>
      <c r="CM165" s="142"/>
      <c r="CN165" s="142"/>
      <c r="CO165" s="142"/>
      <c r="CP165" s="142"/>
      <c r="CQ165" s="142"/>
      <c r="CR165" s="142"/>
      <c r="CS165" s="142"/>
      <c r="CT165" s="142"/>
      <c r="CU165" s="142"/>
      <c r="CV165" s="142"/>
      <c r="CW165" s="142"/>
      <c r="CX165" s="142"/>
      <c r="CY165" s="142"/>
      <c r="CZ165" s="142"/>
      <c r="DA165" s="142"/>
      <c r="DB165" s="142"/>
      <c r="DC165" s="142"/>
      <c r="DD165" s="142"/>
      <c r="DE165" s="142"/>
      <c r="DF165" s="142"/>
      <c r="DG165" s="142"/>
      <c r="DH165" s="142"/>
      <c r="DI165" s="142"/>
      <c r="DJ165" s="142"/>
      <c r="DK165" s="142"/>
      <c r="DL165" s="142"/>
      <c r="DM165" s="142"/>
      <c r="DN165" s="142"/>
      <c r="DO165" s="142"/>
      <c r="DP165" s="142"/>
      <c r="DQ165" s="142"/>
      <c r="DR165" s="142"/>
      <c r="DS165" s="142"/>
      <c r="DT165" s="142"/>
      <c r="DU165" s="142"/>
      <c r="DV165" s="142"/>
      <c r="DW165" s="142"/>
      <c r="DX165" s="142"/>
      <c r="DY165" s="142"/>
      <c r="DZ165" s="142"/>
      <c r="EA165" s="142"/>
      <c r="EB165" s="142"/>
      <c r="EC165" s="142"/>
      <c r="ED165" s="142"/>
      <c r="EE165" s="142"/>
      <c r="EF165" s="142"/>
    </row>
    <row r="166" spans="1:136" s="151" customFormat="1" ht="19.5" customHeight="1" x14ac:dyDescent="0.2">
      <c r="A166" s="117">
        <v>163</v>
      </c>
      <c r="B166" s="144" t="s">
        <v>181</v>
      </c>
      <c r="C166" s="144">
        <v>145572</v>
      </c>
      <c r="D166" s="117" t="s">
        <v>73</v>
      </c>
      <c r="E166" s="117" t="s">
        <v>68</v>
      </c>
      <c r="F166" s="146" t="s">
        <v>208</v>
      </c>
      <c r="G166" s="172">
        <v>42719</v>
      </c>
      <c r="H166" s="172">
        <v>43279</v>
      </c>
      <c r="I166" s="172">
        <v>46007</v>
      </c>
      <c r="J166" s="162">
        <f t="shared" si="13"/>
        <v>46737</v>
      </c>
      <c r="K166" s="172">
        <v>42230</v>
      </c>
      <c r="L166" s="111">
        <v>46205</v>
      </c>
      <c r="M166" s="163">
        <f t="shared" si="14"/>
        <v>46936</v>
      </c>
      <c r="N166" s="172">
        <v>42423</v>
      </c>
      <c r="O166" s="172">
        <v>42424</v>
      </c>
      <c r="P166" s="172">
        <v>42425</v>
      </c>
      <c r="Q166" s="166" t="s">
        <v>69</v>
      </c>
      <c r="R166" s="166" t="s">
        <v>69</v>
      </c>
      <c r="S166" s="166" t="s">
        <v>69</v>
      </c>
      <c r="T166" s="94">
        <v>43402</v>
      </c>
      <c r="U166" s="166" t="s">
        <v>69</v>
      </c>
      <c r="V166" s="166" t="s">
        <v>69</v>
      </c>
      <c r="W166" s="166" t="s">
        <v>69</v>
      </c>
      <c r="X166" s="94">
        <v>44407</v>
      </c>
      <c r="Y166" s="166" t="s">
        <v>69</v>
      </c>
      <c r="Z166" s="166" t="s">
        <v>69</v>
      </c>
      <c r="AA166" s="195">
        <v>45723</v>
      </c>
      <c r="AB166" s="166" t="s">
        <v>69</v>
      </c>
      <c r="AC166" s="166" t="s">
        <v>69</v>
      </c>
      <c r="AD166" s="167" t="s">
        <v>71</v>
      </c>
      <c r="AE166" s="167" t="s">
        <v>70</v>
      </c>
      <c r="AF166" s="112">
        <v>45645</v>
      </c>
      <c r="AG166" s="112" t="s">
        <v>69</v>
      </c>
      <c r="AH166" s="167" t="s">
        <v>71</v>
      </c>
      <c r="AI166" s="167" t="s">
        <v>71</v>
      </c>
      <c r="AJ166" s="167" t="s">
        <v>71</v>
      </c>
      <c r="AK166" s="167" t="s">
        <v>70</v>
      </c>
      <c r="AL166" s="166" t="s">
        <v>69</v>
      </c>
      <c r="AM166" s="166"/>
      <c r="AN166" s="166" t="s">
        <v>69</v>
      </c>
      <c r="AO166" s="167" t="s">
        <v>70</v>
      </c>
      <c r="AP166" s="166" t="s">
        <v>69</v>
      </c>
      <c r="AQ166" s="166" t="s">
        <v>69</v>
      </c>
      <c r="AR166" s="168">
        <v>46220</v>
      </c>
      <c r="AS166" s="166" t="s">
        <v>69</v>
      </c>
      <c r="AT166" s="166" t="s">
        <v>69</v>
      </c>
      <c r="AU166" s="166" t="s">
        <v>69</v>
      </c>
      <c r="AV166" s="166" t="s">
        <v>69</v>
      </c>
      <c r="AW166" s="166" t="s">
        <v>69</v>
      </c>
      <c r="AX166" s="166" t="s">
        <v>69</v>
      </c>
      <c r="AY166" s="166" t="s">
        <v>69</v>
      </c>
      <c r="AZ166" s="166" t="s">
        <v>69</v>
      </c>
      <c r="BA166" s="166" t="s">
        <v>69</v>
      </c>
      <c r="BB166" s="166" t="s">
        <v>69</v>
      </c>
      <c r="BC166" s="166" t="s">
        <v>69</v>
      </c>
      <c r="BD166" s="166" t="s">
        <v>69</v>
      </c>
      <c r="BE166" s="166" t="s">
        <v>69</v>
      </c>
      <c r="BF166" s="166" t="s">
        <v>69</v>
      </c>
      <c r="BG166" s="167" t="s">
        <v>70</v>
      </c>
      <c r="BH166" s="166" t="s">
        <v>69</v>
      </c>
      <c r="BI166" s="166" t="s">
        <v>69</v>
      </c>
      <c r="BJ166" s="167" t="s">
        <v>70</v>
      </c>
      <c r="BK166" s="166" t="s">
        <v>69</v>
      </c>
      <c r="BL166" s="167" t="s">
        <v>70</v>
      </c>
      <c r="BM166" s="167" t="s">
        <v>70</v>
      </c>
      <c r="BN166" s="167" t="s">
        <v>70</v>
      </c>
      <c r="BO166" s="167" t="s">
        <v>70</v>
      </c>
      <c r="BP166" s="167" t="s">
        <v>70</v>
      </c>
      <c r="BQ166" s="151">
        <v>0</v>
      </c>
      <c r="BR166" s="142"/>
      <c r="BS166" s="142"/>
      <c r="BT166" s="142"/>
      <c r="BU166" s="142"/>
      <c r="BV166" s="142"/>
      <c r="BW166" s="142"/>
      <c r="BX166" s="142"/>
      <c r="BY166" s="142"/>
      <c r="BZ166" s="142"/>
      <c r="CA166" s="142"/>
      <c r="CB166" s="142"/>
      <c r="CC166" s="142"/>
      <c r="CD166" s="142"/>
      <c r="CE166" s="142"/>
      <c r="CF166" s="142"/>
      <c r="CG166" s="142"/>
      <c r="CH166" s="142"/>
      <c r="CI166" s="142"/>
      <c r="CJ166" s="142"/>
      <c r="CK166" s="142"/>
      <c r="CL166" s="142"/>
      <c r="CM166" s="142"/>
      <c r="CN166" s="142"/>
      <c r="CO166" s="142"/>
      <c r="CP166" s="142"/>
      <c r="CQ166" s="142"/>
      <c r="CR166" s="142"/>
      <c r="CS166" s="142"/>
      <c r="CT166" s="142"/>
      <c r="CU166" s="142"/>
      <c r="CV166" s="142"/>
      <c r="CW166" s="142"/>
      <c r="CX166" s="142"/>
      <c r="CY166" s="142"/>
      <c r="CZ166" s="142"/>
      <c r="DA166" s="142"/>
      <c r="DB166" s="142"/>
      <c r="DC166" s="142"/>
      <c r="DD166" s="142"/>
      <c r="DE166" s="142"/>
      <c r="DF166" s="142"/>
      <c r="DG166" s="142"/>
      <c r="DH166" s="142"/>
      <c r="DI166" s="142"/>
      <c r="DJ166" s="142"/>
      <c r="DK166" s="142"/>
      <c r="DL166" s="142"/>
      <c r="DM166" s="142"/>
      <c r="DN166" s="142"/>
      <c r="DO166" s="142"/>
      <c r="DP166" s="142"/>
      <c r="DQ166" s="142"/>
      <c r="DR166" s="142"/>
      <c r="DS166" s="142"/>
      <c r="DT166" s="142"/>
      <c r="DU166" s="142"/>
      <c r="DV166" s="142"/>
      <c r="DW166" s="142"/>
      <c r="DX166" s="142"/>
      <c r="DY166" s="142"/>
      <c r="DZ166" s="142"/>
      <c r="EA166" s="142"/>
      <c r="EB166" s="142"/>
      <c r="EC166" s="142"/>
      <c r="ED166" s="142"/>
      <c r="EE166" s="142"/>
      <c r="EF166" s="142"/>
    </row>
    <row r="167" spans="1:136" s="151" customFormat="1" ht="19.5" customHeight="1" x14ac:dyDescent="0.2">
      <c r="A167" s="117">
        <v>164</v>
      </c>
      <c r="B167" s="144" t="s">
        <v>182</v>
      </c>
      <c r="C167" s="144">
        <v>83103414</v>
      </c>
      <c r="D167" s="117" t="s">
        <v>73</v>
      </c>
      <c r="E167" s="117" t="s">
        <v>68</v>
      </c>
      <c r="F167" s="146" t="s">
        <v>208</v>
      </c>
      <c r="G167" s="172">
        <v>40941</v>
      </c>
      <c r="H167" s="172">
        <v>42531</v>
      </c>
      <c r="I167" s="172">
        <v>46037</v>
      </c>
      <c r="J167" s="162">
        <f t="shared" si="13"/>
        <v>46767</v>
      </c>
      <c r="K167" s="111">
        <v>42534</v>
      </c>
      <c r="L167" s="111">
        <v>46205</v>
      </c>
      <c r="M167" s="163">
        <f t="shared" si="14"/>
        <v>46936</v>
      </c>
      <c r="N167" s="111">
        <v>42534</v>
      </c>
      <c r="O167" s="111">
        <v>42534</v>
      </c>
      <c r="P167" s="111">
        <v>42534</v>
      </c>
      <c r="Q167" s="166" t="s">
        <v>69</v>
      </c>
      <c r="R167" s="166" t="s">
        <v>69</v>
      </c>
      <c r="S167" s="166" t="s">
        <v>69</v>
      </c>
      <c r="T167" s="166" t="s">
        <v>69</v>
      </c>
      <c r="U167" s="166" t="s">
        <v>69</v>
      </c>
      <c r="V167" s="166" t="s">
        <v>69</v>
      </c>
      <c r="W167" s="94">
        <v>44295</v>
      </c>
      <c r="X167" s="94">
        <v>44309</v>
      </c>
      <c r="Y167" s="166" t="s">
        <v>69</v>
      </c>
      <c r="Z167" s="94">
        <v>45408</v>
      </c>
      <c r="AA167" s="94">
        <v>45919</v>
      </c>
      <c r="AB167" s="166" t="s">
        <v>69</v>
      </c>
      <c r="AC167" s="166" t="s">
        <v>69</v>
      </c>
      <c r="AD167" s="167" t="s">
        <v>71</v>
      </c>
      <c r="AE167" s="167" t="s">
        <v>70</v>
      </c>
      <c r="AF167" s="112">
        <v>45639</v>
      </c>
      <c r="AG167" s="112" t="s">
        <v>69</v>
      </c>
      <c r="AH167" s="167" t="s">
        <v>71</v>
      </c>
      <c r="AI167" s="167" t="s">
        <v>71</v>
      </c>
      <c r="AJ167" s="167" t="s">
        <v>71</v>
      </c>
      <c r="AK167" s="167" t="s">
        <v>70</v>
      </c>
      <c r="AL167" s="166" t="s">
        <v>69</v>
      </c>
      <c r="AM167" s="166"/>
      <c r="AN167" s="166" t="s">
        <v>69</v>
      </c>
      <c r="AO167" s="167" t="s">
        <v>70</v>
      </c>
      <c r="AP167" s="166" t="s">
        <v>69</v>
      </c>
      <c r="AQ167" s="166" t="s">
        <v>69</v>
      </c>
      <c r="AR167" s="166" t="s">
        <v>69</v>
      </c>
      <c r="AS167" s="166" t="s">
        <v>69</v>
      </c>
      <c r="AT167" s="166" t="s">
        <v>69</v>
      </c>
      <c r="AU167" s="166" t="s">
        <v>69</v>
      </c>
      <c r="AV167" s="166" t="s">
        <v>69</v>
      </c>
      <c r="AW167" s="166" t="s">
        <v>69</v>
      </c>
      <c r="AX167" s="166" t="s">
        <v>69</v>
      </c>
      <c r="AY167" s="166" t="s">
        <v>69</v>
      </c>
      <c r="AZ167" s="166" t="s">
        <v>69</v>
      </c>
      <c r="BA167" s="166" t="s">
        <v>69</v>
      </c>
      <c r="BB167" s="166" t="s">
        <v>69</v>
      </c>
      <c r="BC167" s="166" t="s">
        <v>69</v>
      </c>
      <c r="BD167" s="166" t="s">
        <v>69</v>
      </c>
      <c r="BE167" s="166" t="s">
        <v>69</v>
      </c>
      <c r="BF167" s="166" t="s">
        <v>69</v>
      </c>
      <c r="BG167" s="167" t="s">
        <v>70</v>
      </c>
      <c r="BH167" s="166" t="s">
        <v>69</v>
      </c>
      <c r="BI167" s="166" t="s">
        <v>69</v>
      </c>
      <c r="BJ167" s="167" t="s">
        <v>70</v>
      </c>
      <c r="BK167" s="166" t="s">
        <v>69</v>
      </c>
      <c r="BL167" s="167" t="s">
        <v>70</v>
      </c>
      <c r="BM167" s="167" t="s">
        <v>70</v>
      </c>
      <c r="BN167" s="167" t="s">
        <v>70</v>
      </c>
      <c r="BO167" s="167" t="s">
        <v>70</v>
      </c>
      <c r="BP167" s="167" t="s">
        <v>70</v>
      </c>
      <c r="BQ167" s="151">
        <v>0</v>
      </c>
      <c r="BR167" s="143"/>
      <c r="BS167" s="143"/>
      <c r="BT167" s="143"/>
      <c r="BU167" s="143"/>
      <c r="BV167" s="143"/>
      <c r="BW167" s="143"/>
      <c r="BX167" s="143"/>
      <c r="BY167" s="143"/>
      <c r="BZ167" s="143"/>
      <c r="CA167" s="143"/>
      <c r="CB167" s="143"/>
      <c r="CC167" s="143"/>
      <c r="CD167" s="143"/>
      <c r="CE167" s="143"/>
      <c r="CF167" s="143"/>
      <c r="CG167" s="143"/>
      <c r="CH167" s="143"/>
      <c r="CI167" s="143"/>
      <c r="CJ167" s="143"/>
      <c r="CK167" s="143"/>
      <c r="CL167" s="143"/>
      <c r="CM167" s="143"/>
      <c r="CN167" s="143"/>
      <c r="CO167" s="143"/>
      <c r="CP167" s="143"/>
      <c r="CQ167" s="143"/>
      <c r="CR167" s="143"/>
      <c r="CS167" s="143"/>
      <c r="CT167" s="143"/>
      <c r="CU167" s="143"/>
      <c r="CV167" s="143"/>
      <c r="CW167" s="143"/>
      <c r="CX167" s="143"/>
      <c r="CY167" s="143"/>
      <c r="CZ167" s="143"/>
      <c r="DA167" s="143"/>
      <c r="DB167" s="143"/>
      <c r="DC167" s="143"/>
      <c r="DD167" s="143"/>
      <c r="DE167" s="143"/>
      <c r="DF167" s="143"/>
      <c r="DG167" s="143"/>
      <c r="DH167" s="143"/>
      <c r="DI167" s="143"/>
      <c r="DJ167" s="143"/>
      <c r="DK167" s="143"/>
      <c r="DL167" s="143"/>
      <c r="DM167" s="143"/>
      <c r="DN167" s="143"/>
      <c r="DO167" s="143"/>
      <c r="DP167" s="143"/>
      <c r="DQ167" s="143"/>
      <c r="DR167" s="143"/>
      <c r="DS167" s="143"/>
      <c r="DT167" s="143"/>
      <c r="DU167" s="143"/>
      <c r="DV167" s="143"/>
      <c r="DW167" s="143"/>
      <c r="DX167" s="143"/>
      <c r="DY167" s="143"/>
      <c r="DZ167" s="143"/>
      <c r="EA167" s="143"/>
      <c r="EB167" s="143"/>
      <c r="EC167" s="143"/>
      <c r="ED167" s="143"/>
      <c r="EE167" s="143"/>
      <c r="EF167" s="143"/>
    </row>
    <row r="168" spans="1:136" s="151" customFormat="1" ht="19.5" customHeight="1" x14ac:dyDescent="0.2">
      <c r="A168" s="117">
        <v>165</v>
      </c>
      <c r="B168" s="196" t="s">
        <v>80</v>
      </c>
      <c r="C168" s="178">
        <v>83040085</v>
      </c>
      <c r="D168" s="117" t="s">
        <v>73</v>
      </c>
      <c r="E168" s="146" t="s">
        <v>68</v>
      </c>
      <c r="F168" s="146" t="s">
        <v>208</v>
      </c>
      <c r="G168" s="162">
        <v>38118</v>
      </c>
      <c r="H168" s="162">
        <v>40981</v>
      </c>
      <c r="I168" s="162">
        <v>46086</v>
      </c>
      <c r="J168" s="162">
        <f t="shared" si="13"/>
        <v>46817</v>
      </c>
      <c r="K168" s="111">
        <v>40896</v>
      </c>
      <c r="L168" s="111">
        <v>46071</v>
      </c>
      <c r="M168" s="163">
        <f t="shared" si="14"/>
        <v>46801</v>
      </c>
      <c r="N168" s="111">
        <v>40908</v>
      </c>
      <c r="O168" s="163">
        <v>40908</v>
      </c>
      <c r="P168" s="163">
        <v>40908</v>
      </c>
      <c r="Q168" s="166" t="s">
        <v>69</v>
      </c>
      <c r="R168" s="166" t="s">
        <v>69</v>
      </c>
      <c r="S168" s="166" t="s">
        <v>69</v>
      </c>
      <c r="T168" s="94">
        <v>42418</v>
      </c>
      <c r="U168" s="166" t="s">
        <v>69</v>
      </c>
      <c r="V168" s="94">
        <v>42646</v>
      </c>
      <c r="W168" s="94">
        <v>43493</v>
      </c>
      <c r="X168" s="94">
        <v>42198</v>
      </c>
      <c r="Y168" s="94">
        <v>42261</v>
      </c>
      <c r="Z168" s="94">
        <v>43437</v>
      </c>
      <c r="AA168" s="166" t="s">
        <v>69</v>
      </c>
      <c r="AB168" s="166" t="s">
        <v>69</v>
      </c>
      <c r="AC168" s="166" t="s">
        <v>69</v>
      </c>
      <c r="AD168" s="167" t="s">
        <v>71</v>
      </c>
      <c r="AE168" s="167" t="s">
        <v>71</v>
      </c>
      <c r="AF168" s="112">
        <v>45672</v>
      </c>
      <c r="AG168" s="112" t="s">
        <v>69</v>
      </c>
      <c r="AH168" s="167" t="s">
        <v>71</v>
      </c>
      <c r="AI168" s="167" t="s">
        <v>71</v>
      </c>
      <c r="AJ168" s="167" t="s">
        <v>71</v>
      </c>
      <c r="AK168" s="167" t="s">
        <v>70</v>
      </c>
      <c r="AL168" s="166" t="s">
        <v>69</v>
      </c>
      <c r="AM168" s="166"/>
      <c r="AN168" s="166" t="s">
        <v>69</v>
      </c>
      <c r="AO168" s="167" t="s">
        <v>70</v>
      </c>
      <c r="AP168" s="94">
        <v>42440</v>
      </c>
      <c r="AQ168" s="166" t="s">
        <v>69</v>
      </c>
      <c r="AR168" s="166" t="s">
        <v>69</v>
      </c>
      <c r="AS168" s="166" t="s">
        <v>69</v>
      </c>
      <c r="AT168" s="94">
        <v>43564</v>
      </c>
      <c r="AU168" s="166" t="s">
        <v>69</v>
      </c>
      <c r="AV168" s="166" t="s">
        <v>69</v>
      </c>
      <c r="AW168" s="94">
        <v>41912</v>
      </c>
      <c r="AX168" s="94">
        <v>42499</v>
      </c>
      <c r="AY168" s="94">
        <v>42521</v>
      </c>
      <c r="AZ168" s="166" t="s">
        <v>69</v>
      </c>
      <c r="BA168" s="166" t="s">
        <v>69</v>
      </c>
      <c r="BB168" s="166" t="s">
        <v>69</v>
      </c>
      <c r="BC168" s="166" t="s">
        <v>69</v>
      </c>
      <c r="BD168" s="166" t="s">
        <v>69</v>
      </c>
      <c r="BE168" s="166" t="s">
        <v>69</v>
      </c>
      <c r="BF168" s="166" t="s">
        <v>69</v>
      </c>
      <c r="BG168" s="167" t="s">
        <v>70</v>
      </c>
      <c r="BH168" s="166" t="s">
        <v>69</v>
      </c>
      <c r="BI168" s="166" t="s">
        <v>69</v>
      </c>
      <c r="BJ168" s="167" t="s">
        <v>70</v>
      </c>
      <c r="BK168" s="166" t="s">
        <v>69</v>
      </c>
      <c r="BL168" s="167" t="s">
        <v>70</v>
      </c>
      <c r="BM168" s="167" t="s">
        <v>70</v>
      </c>
      <c r="BN168" s="167" t="s">
        <v>70</v>
      </c>
      <c r="BO168" s="167" t="s">
        <v>70</v>
      </c>
      <c r="BP168" s="173"/>
      <c r="BQ168" s="151">
        <v>0</v>
      </c>
    </row>
    <row r="169" spans="1:136" s="151" customFormat="1" ht="19.5" customHeight="1" x14ac:dyDescent="0.2">
      <c r="A169" s="117">
        <v>166</v>
      </c>
      <c r="B169" s="144" t="s">
        <v>184</v>
      </c>
      <c r="C169" s="144">
        <v>83123908</v>
      </c>
      <c r="D169" s="117" t="s">
        <v>73</v>
      </c>
      <c r="E169" s="117" t="s">
        <v>68</v>
      </c>
      <c r="F169" s="146" t="s">
        <v>208</v>
      </c>
      <c r="G169" s="162">
        <v>43292</v>
      </c>
      <c r="H169" s="162">
        <v>41438</v>
      </c>
      <c r="I169" s="162">
        <v>45994</v>
      </c>
      <c r="J169" s="162">
        <f t="shared" si="13"/>
        <v>46724</v>
      </c>
      <c r="K169" s="111">
        <v>43752</v>
      </c>
      <c r="L169" s="111">
        <v>46205</v>
      </c>
      <c r="M169" s="163">
        <f t="shared" si="14"/>
        <v>46936</v>
      </c>
      <c r="N169" s="111">
        <v>43481</v>
      </c>
      <c r="O169" s="111">
        <v>43482</v>
      </c>
      <c r="P169" s="111">
        <v>43480</v>
      </c>
      <c r="Q169" s="166" t="s">
        <v>69</v>
      </c>
      <c r="R169" s="166" t="s">
        <v>69</v>
      </c>
      <c r="S169" s="166" t="s">
        <v>69</v>
      </c>
      <c r="T169" s="94">
        <v>43059</v>
      </c>
      <c r="U169" s="168" t="s">
        <v>69</v>
      </c>
      <c r="V169" s="168" t="s">
        <v>69</v>
      </c>
      <c r="W169" s="168" t="s">
        <v>69</v>
      </c>
      <c r="X169" s="168">
        <v>42409</v>
      </c>
      <c r="Y169" s="168">
        <v>44343</v>
      </c>
      <c r="Z169" s="166" t="s">
        <v>69</v>
      </c>
      <c r="AA169" s="166" t="s">
        <v>69</v>
      </c>
      <c r="AB169" s="166" t="s">
        <v>69</v>
      </c>
      <c r="AC169" s="166" t="s">
        <v>69</v>
      </c>
      <c r="AD169" s="167" t="s">
        <v>71</v>
      </c>
      <c r="AE169" s="167" t="s">
        <v>70</v>
      </c>
      <c r="AF169" s="94">
        <v>45425</v>
      </c>
      <c r="AG169" s="112" t="s">
        <v>69</v>
      </c>
      <c r="AH169" s="167" t="s">
        <v>71</v>
      </c>
      <c r="AI169" s="167" t="s">
        <v>71</v>
      </c>
      <c r="AJ169" s="167" t="s">
        <v>71</v>
      </c>
      <c r="AK169" s="167" t="s">
        <v>70</v>
      </c>
      <c r="AL169" s="166" t="s">
        <v>69</v>
      </c>
      <c r="AM169" s="166"/>
      <c r="AN169" s="166" t="s">
        <v>69</v>
      </c>
      <c r="AO169" s="167" t="s">
        <v>70</v>
      </c>
      <c r="AP169" s="166" t="s">
        <v>69</v>
      </c>
      <c r="AQ169" s="166" t="s">
        <v>69</v>
      </c>
      <c r="AR169" s="168">
        <v>46055</v>
      </c>
      <c r="AS169" s="166" t="s">
        <v>69</v>
      </c>
      <c r="AT169" s="166" t="s">
        <v>69</v>
      </c>
      <c r="AU169" s="166" t="s">
        <v>69</v>
      </c>
      <c r="AV169" s="166" t="s">
        <v>69</v>
      </c>
      <c r="AW169" s="166" t="s">
        <v>69</v>
      </c>
      <c r="AX169" s="166" t="s">
        <v>69</v>
      </c>
      <c r="AY169" s="166" t="s">
        <v>69</v>
      </c>
      <c r="AZ169" s="166" t="s">
        <v>69</v>
      </c>
      <c r="BA169" s="166" t="s">
        <v>69</v>
      </c>
      <c r="BB169" s="166" t="s">
        <v>69</v>
      </c>
      <c r="BC169" s="166" t="s">
        <v>69</v>
      </c>
      <c r="BD169" s="166" t="s">
        <v>69</v>
      </c>
      <c r="BE169" s="166" t="s">
        <v>69</v>
      </c>
      <c r="BF169" s="166" t="s">
        <v>69</v>
      </c>
      <c r="BG169" s="167" t="s">
        <v>70</v>
      </c>
      <c r="BH169" s="166" t="s">
        <v>69</v>
      </c>
      <c r="BI169" s="166" t="s">
        <v>69</v>
      </c>
      <c r="BJ169" s="167" t="s">
        <v>70</v>
      </c>
      <c r="BK169" s="166" t="s">
        <v>69</v>
      </c>
      <c r="BL169" s="167" t="s">
        <v>70</v>
      </c>
      <c r="BM169" s="167" t="s">
        <v>70</v>
      </c>
      <c r="BN169" s="167" t="s">
        <v>70</v>
      </c>
      <c r="BO169" s="167" t="s">
        <v>70</v>
      </c>
      <c r="BP169" s="167" t="s">
        <v>70</v>
      </c>
      <c r="BQ169" s="151">
        <v>0</v>
      </c>
      <c r="BR169" s="142"/>
      <c r="BS169" s="142"/>
      <c r="BT169" s="142"/>
      <c r="BU169" s="142"/>
      <c r="BV169" s="142"/>
      <c r="BW169" s="142"/>
      <c r="BX169" s="142"/>
      <c r="BY169" s="142"/>
      <c r="BZ169" s="142"/>
      <c r="CA169" s="142"/>
      <c r="CB169" s="142"/>
      <c r="CC169" s="142"/>
      <c r="CD169" s="142"/>
      <c r="CE169" s="142"/>
      <c r="CF169" s="142"/>
      <c r="CG169" s="142"/>
      <c r="CH169" s="142"/>
      <c r="CI169" s="142"/>
      <c r="CJ169" s="142"/>
      <c r="CK169" s="142"/>
      <c r="CL169" s="142"/>
      <c r="CM169" s="142"/>
      <c r="CN169" s="142"/>
      <c r="CO169" s="142"/>
      <c r="CP169" s="142"/>
      <c r="CQ169" s="142"/>
      <c r="CR169" s="142"/>
      <c r="CS169" s="142"/>
      <c r="CT169" s="142"/>
      <c r="CU169" s="142"/>
      <c r="CV169" s="142"/>
      <c r="CW169" s="142"/>
      <c r="CX169" s="142"/>
      <c r="CY169" s="142"/>
      <c r="CZ169" s="142"/>
      <c r="DA169" s="142"/>
      <c r="DB169" s="142"/>
      <c r="DC169" s="142"/>
      <c r="DD169" s="142"/>
      <c r="DE169" s="142"/>
      <c r="DF169" s="142"/>
      <c r="DG169" s="142"/>
      <c r="DH169" s="142"/>
      <c r="DI169" s="142"/>
      <c r="DJ169" s="142"/>
      <c r="DK169" s="142"/>
      <c r="DL169" s="142"/>
      <c r="DM169" s="142"/>
      <c r="DN169" s="142"/>
      <c r="DO169" s="142"/>
      <c r="DP169" s="142"/>
      <c r="DQ169" s="142"/>
      <c r="DR169" s="142"/>
      <c r="DS169" s="142"/>
      <c r="DT169" s="142"/>
      <c r="DU169" s="142"/>
      <c r="DV169" s="142"/>
      <c r="DW169" s="142"/>
      <c r="DX169" s="142"/>
      <c r="DY169" s="142"/>
      <c r="DZ169" s="142"/>
      <c r="EA169" s="142"/>
      <c r="EB169" s="142"/>
      <c r="EC169" s="142"/>
      <c r="ED169" s="142"/>
      <c r="EE169" s="142"/>
      <c r="EF169" s="142"/>
    </row>
    <row r="170" spans="1:136" s="151" customFormat="1" ht="19.5" customHeight="1" x14ac:dyDescent="0.2">
      <c r="A170" s="117">
        <v>167</v>
      </c>
      <c r="B170" s="174" t="s">
        <v>187</v>
      </c>
      <c r="C170" s="144">
        <v>83104423</v>
      </c>
      <c r="D170" s="117" t="s">
        <v>73</v>
      </c>
      <c r="E170" s="146" t="s">
        <v>83</v>
      </c>
      <c r="F170" s="146" t="s">
        <v>208</v>
      </c>
      <c r="G170" s="111">
        <v>44985</v>
      </c>
      <c r="H170" s="111">
        <v>45350</v>
      </c>
      <c r="I170" s="111">
        <v>46084</v>
      </c>
      <c r="J170" s="162">
        <f t="shared" si="13"/>
        <v>46815</v>
      </c>
      <c r="K170" s="111">
        <v>45351</v>
      </c>
      <c r="L170" s="111">
        <v>46120</v>
      </c>
      <c r="M170" s="163">
        <f t="shared" si="14"/>
        <v>46851</v>
      </c>
      <c r="N170" s="111">
        <v>42618</v>
      </c>
      <c r="O170" s="111">
        <v>46273</v>
      </c>
      <c r="P170" s="111">
        <v>42619</v>
      </c>
      <c r="Q170" s="166" t="s">
        <v>69</v>
      </c>
      <c r="R170" s="166" t="s">
        <v>69</v>
      </c>
      <c r="S170" s="166" t="s">
        <v>69</v>
      </c>
      <c r="T170" s="168">
        <v>46122</v>
      </c>
      <c r="U170" s="166" t="s">
        <v>69</v>
      </c>
      <c r="V170" s="166" t="s">
        <v>69</v>
      </c>
      <c r="W170" s="166" t="s">
        <v>69</v>
      </c>
      <c r="X170" s="166" t="s">
        <v>69</v>
      </c>
      <c r="Y170" s="166" t="s">
        <v>69</v>
      </c>
      <c r="Z170" s="166" t="s">
        <v>69</v>
      </c>
      <c r="AA170" s="166" t="s">
        <v>69</v>
      </c>
      <c r="AB170" s="166" t="s">
        <v>69</v>
      </c>
      <c r="AC170" s="166" t="s">
        <v>69</v>
      </c>
      <c r="AD170" s="167" t="s">
        <v>71</v>
      </c>
      <c r="AE170" s="167" t="s">
        <v>70</v>
      </c>
      <c r="AF170" s="112">
        <v>46253</v>
      </c>
      <c r="AG170" s="112" t="s">
        <v>69</v>
      </c>
      <c r="AH170" s="167" t="s">
        <v>71</v>
      </c>
      <c r="AI170" s="167" t="s">
        <v>71</v>
      </c>
      <c r="AJ170" s="167" t="s">
        <v>71</v>
      </c>
      <c r="AK170" s="167" t="s">
        <v>70</v>
      </c>
      <c r="AL170" s="166" t="s">
        <v>69</v>
      </c>
      <c r="AM170" s="166"/>
      <c r="AN170" s="166" t="s">
        <v>69</v>
      </c>
      <c r="AO170" s="167" t="s">
        <v>70</v>
      </c>
      <c r="AP170" s="166" t="s">
        <v>69</v>
      </c>
      <c r="AQ170" s="166" t="s">
        <v>69</v>
      </c>
      <c r="AR170" s="166" t="s">
        <v>69</v>
      </c>
      <c r="AS170" s="166" t="s">
        <v>69</v>
      </c>
      <c r="AT170" s="166" t="s">
        <v>69</v>
      </c>
      <c r="AU170" s="166" t="s">
        <v>69</v>
      </c>
      <c r="AV170" s="166" t="s">
        <v>69</v>
      </c>
      <c r="AW170" s="166" t="s">
        <v>69</v>
      </c>
      <c r="AX170" s="166" t="s">
        <v>69</v>
      </c>
      <c r="AY170" s="166" t="s">
        <v>69</v>
      </c>
      <c r="AZ170" s="166" t="s">
        <v>69</v>
      </c>
      <c r="BA170" s="166" t="s">
        <v>69</v>
      </c>
      <c r="BB170" s="166" t="s">
        <v>69</v>
      </c>
      <c r="BC170" s="166" t="s">
        <v>69</v>
      </c>
      <c r="BD170" s="166" t="s">
        <v>69</v>
      </c>
      <c r="BE170" s="166" t="s">
        <v>69</v>
      </c>
      <c r="BF170" s="166" t="s">
        <v>69</v>
      </c>
      <c r="BG170" s="167" t="s">
        <v>70</v>
      </c>
      <c r="BH170" s="166" t="s">
        <v>69</v>
      </c>
      <c r="BI170" s="166" t="s">
        <v>69</v>
      </c>
      <c r="BJ170" s="167" t="s">
        <v>70</v>
      </c>
      <c r="BK170" s="166" t="s">
        <v>69</v>
      </c>
      <c r="BL170" s="167" t="s">
        <v>70</v>
      </c>
      <c r="BM170" s="167" t="s">
        <v>70</v>
      </c>
      <c r="BN170" s="167" t="s">
        <v>70</v>
      </c>
      <c r="BO170" s="167" t="s">
        <v>70</v>
      </c>
      <c r="BP170" s="167" t="s">
        <v>70</v>
      </c>
      <c r="BQ170" s="151">
        <v>0</v>
      </c>
      <c r="BR170" s="142"/>
      <c r="BS170" s="142"/>
      <c r="BT170" s="142"/>
      <c r="BU170" s="142"/>
      <c r="BV170" s="142"/>
      <c r="BW170" s="142"/>
      <c r="BX170" s="142"/>
      <c r="BY170" s="142"/>
      <c r="BZ170" s="142"/>
      <c r="CA170" s="142"/>
      <c r="CB170" s="142"/>
      <c r="CC170" s="142"/>
      <c r="CD170" s="142"/>
      <c r="CE170" s="142"/>
      <c r="CF170" s="142"/>
      <c r="CG170" s="142"/>
      <c r="CH170" s="142"/>
      <c r="CI170" s="142"/>
      <c r="CJ170" s="142"/>
      <c r="CK170" s="142"/>
      <c r="CL170" s="142"/>
      <c r="CM170" s="142"/>
      <c r="CN170" s="142"/>
      <c r="CO170" s="142"/>
      <c r="CP170" s="142"/>
      <c r="CQ170" s="142"/>
      <c r="CR170" s="142"/>
      <c r="CS170" s="142"/>
      <c r="CT170" s="142"/>
      <c r="CU170" s="142"/>
      <c r="CV170" s="142"/>
      <c r="CW170" s="142"/>
      <c r="CX170" s="142"/>
      <c r="CY170" s="142"/>
      <c r="CZ170" s="142"/>
      <c r="DA170" s="142"/>
      <c r="DB170" s="142"/>
      <c r="DC170" s="142"/>
      <c r="DD170" s="142"/>
      <c r="DE170" s="142"/>
      <c r="DF170" s="142"/>
      <c r="DG170" s="142"/>
      <c r="DH170" s="142"/>
      <c r="DI170" s="142"/>
      <c r="DJ170" s="142"/>
      <c r="DK170" s="142"/>
      <c r="DL170" s="142"/>
      <c r="DM170" s="142"/>
      <c r="DN170" s="142"/>
      <c r="DO170" s="142"/>
      <c r="DP170" s="142"/>
      <c r="DQ170" s="142"/>
      <c r="DR170" s="142"/>
      <c r="DS170" s="142"/>
      <c r="DT170" s="142"/>
      <c r="DU170" s="142"/>
      <c r="DV170" s="142"/>
      <c r="DW170" s="142"/>
      <c r="DX170" s="142"/>
      <c r="DY170" s="142"/>
      <c r="DZ170" s="142"/>
      <c r="EA170" s="142"/>
      <c r="EB170" s="142"/>
      <c r="EC170" s="142"/>
      <c r="ED170" s="142"/>
      <c r="EE170" s="142"/>
      <c r="EF170" s="141"/>
    </row>
    <row r="171" spans="1:136" s="151" customFormat="1" ht="19.5" customHeight="1" x14ac:dyDescent="0.2">
      <c r="A171" s="117">
        <v>168</v>
      </c>
      <c r="B171" s="198" t="s">
        <v>193</v>
      </c>
      <c r="C171" s="198">
        <v>142247</v>
      </c>
      <c r="D171" s="117" t="s">
        <v>73</v>
      </c>
      <c r="E171" s="117" t="s">
        <v>68</v>
      </c>
      <c r="F171" s="146" t="s">
        <v>208</v>
      </c>
      <c r="G171" s="92">
        <v>40749</v>
      </c>
      <c r="H171" s="140">
        <v>42417</v>
      </c>
      <c r="I171" s="140">
        <v>46076</v>
      </c>
      <c r="J171" s="162">
        <f t="shared" si="13"/>
        <v>46806</v>
      </c>
      <c r="K171" s="140">
        <v>42321</v>
      </c>
      <c r="L171" s="140">
        <v>46246</v>
      </c>
      <c r="M171" s="163">
        <f t="shared" si="14"/>
        <v>46977</v>
      </c>
      <c r="N171" s="140">
        <v>42234</v>
      </c>
      <c r="O171" s="140">
        <v>42235</v>
      </c>
      <c r="P171" s="140">
        <v>42236</v>
      </c>
      <c r="Q171" s="199">
        <v>43866</v>
      </c>
      <c r="R171" s="166" t="s">
        <v>69</v>
      </c>
      <c r="S171" s="166" t="s">
        <v>69</v>
      </c>
      <c r="T171" s="94">
        <v>43819</v>
      </c>
      <c r="U171" s="166" t="s">
        <v>69</v>
      </c>
      <c r="V171" s="199">
        <v>42793</v>
      </c>
      <c r="W171" s="166" t="s">
        <v>69</v>
      </c>
      <c r="X171" s="94">
        <v>44522</v>
      </c>
      <c r="Y171" s="166" t="s">
        <v>69</v>
      </c>
      <c r="Z171" s="199">
        <v>44627</v>
      </c>
      <c r="AA171" s="168">
        <v>46293</v>
      </c>
      <c r="AB171" s="166" t="s">
        <v>69</v>
      </c>
      <c r="AC171" s="166" t="s">
        <v>69</v>
      </c>
      <c r="AD171" s="167" t="s">
        <v>71</v>
      </c>
      <c r="AE171" s="167" t="s">
        <v>70</v>
      </c>
      <c r="AF171" s="112">
        <v>45672</v>
      </c>
      <c r="AG171" s="112" t="s">
        <v>69</v>
      </c>
      <c r="AH171" s="167" t="s">
        <v>71</v>
      </c>
      <c r="AI171" s="167" t="s">
        <v>70</v>
      </c>
      <c r="AJ171" s="167" t="s">
        <v>70</v>
      </c>
      <c r="AK171" s="167" t="s">
        <v>70</v>
      </c>
      <c r="AL171" s="166" t="s">
        <v>69</v>
      </c>
      <c r="AM171" s="166"/>
      <c r="AN171" s="199">
        <v>44460</v>
      </c>
      <c r="AO171" s="167" t="s">
        <v>70</v>
      </c>
      <c r="AP171" s="166" t="s">
        <v>69</v>
      </c>
      <c r="AQ171" s="166" t="s">
        <v>69</v>
      </c>
      <c r="AR171" s="166" t="s">
        <v>69</v>
      </c>
      <c r="AS171" s="168">
        <v>46066</v>
      </c>
      <c r="AT171" s="166" t="s">
        <v>69</v>
      </c>
      <c r="AU171" s="166" t="s">
        <v>69</v>
      </c>
      <c r="AV171" s="166" t="s">
        <v>69</v>
      </c>
      <c r="AW171" s="166" t="s">
        <v>69</v>
      </c>
      <c r="AX171" s="166" t="s">
        <v>69</v>
      </c>
      <c r="AY171" s="166" t="s">
        <v>69</v>
      </c>
      <c r="AZ171" s="166" t="s">
        <v>69</v>
      </c>
      <c r="BA171" s="94">
        <v>42653</v>
      </c>
      <c r="BB171" s="94">
        <v>44221</v>
      </c>
      <c r="BC171" s="166" t="s">
        <v>69</v>
      </c>
      <c r="BD171" s="166" t="s">
        <v>69</v>
      </c>
      <c r="BE171" s="166" t="s">
        <v>69</v>
      </c>
      <c r="BF171" s="166" t="s">
        <v>69</v>
      </c>
      <c r="BG171" s="167" t="s">
        <v>70</v>
      </c>
      <c r="BH171" s="166" t="s">
        <v>69</v>
      </c>
      <c r="BI171" s="166" t="s">
        <v>69</v>
      </c>
      <c r="BJ171" s="167" t="s">
        <v>70</v>
      </c>
      <c r="BK171" s="166" t="s">
        <v>69</v>
      </c>
      <c r="BL171" s="167" t="s">
        <v>70</v>
      </c>
      <c r="BM171" s="167" t="s">
        <v>70</v>
      </c>
      <c r="BN171" s="167" t="s">
        <v>70</v>
      </c>
      <c r="BO171" s="167" t="s">
        <v>70</v>
      </c>
      <c r="BP171" s="167" t="s">
        <v>70</v>
      </c>
      <c r="BQ171" s="151">
        <v>0</v>
      </c>
      <c r="BR171" s="142"/>
      <c r="BS171" s="142"/>
      <c r="BT171" s="142"/>
      <c r="BU171" s="142"/>
      <c r="BV171" s="142"/>
      <c r="BW171" s="142"/>
      <c r="BX171" s="142"/>
      <c r="BY171" s="142"/>
      <c r="BZ171" s="142"/>
      <c r="CA171" s="142"/>
      <c r="CB171" s="142"/>
      <c r="CC171" s="142"/>
      <c r="CD171" s="142"/>
      <c r="CE171" s="142"/>
      <c r="CF171" s="142"/>
      <c r="CG171" s="142"/>
      <c r="CH171" s="142"/>
      <c r="CI171" s="142"/>
      <c r="CJ171" s="142"/>
      <c r="CK171" s="142"/>
      <c r="CL171" s="142"/>
      <c r="CM171" s="142"/>
      <c r="CN171" s="142"/>
      <c r="CO171" s="142"/>
      <c r="CP171" s="142"/>
      <c r="CQ171" s="142"/>
      <c r="CR171" s="142"/>
      <c r="CS171" s="142"/>
      <c r="CT171" s="142"/>
      <c r="CU171" s="142"/>
      <c r="CV171" s="142"/>
      <c r="CW171" s="142"/>
      <c r="CX171" s="142"/>
      <c r="CY171" s="142"/>
      <c r="CZ171" s="142"/>
      <c r="DA171" s="142"/>
      <c r="DB171" s="142"/>
      <c r="DC171" s="142"/>
      <c r="DD171" s="142"/>
      <c r="DE171" s="142"/>
      <c r="DF171" s="142"/>
      <c r="DG171" s="142"/>
      <c r="DH171" s="142"/>
      <c r="DI171" s="142"/>
      <c r="DJ171" s="142"/>
      <c r="DK171" s="142"/>
      <c r="DL171" s="142"/>
      <c r="DM171" s="142"/>
      <c r="DN171" s="142"/>
      <c r="DO171" s="142"/>
      <c r="DP171" s="142"/>
      <c r="DQ171" s="142"/>
      <c r="DR171" s="142"/>
      <c r="DS171" s="142"/>
      <c r="DT171" s="142"/>
      <c r="DU171" s="142"/>
      <c r="DV171" s="142"/>
      <c r="DW171" s="142"/>
      <c r="DX171" s="142"/>
      <c r="DY171" s="142"/>
      <c r="DZ171" s="142"/>
      <c r="EA171" s="142"/>
      <c r="EB171" s="142"/>
      <c r="EC171" s="142"/>
      <c r="ED171" s="142"/>
      <c r="EE171" s="142"/>
      <c r="EF171" s="142"/>
    </row>
    <row r="172" spans="1:136" s="151" customFormat="1" ht="19.5" customHeight="1" x14ac:dyDescent="0.2">
      <c r="A172" s="117">
        <v>169</v>
      </c>
      <c r="B172" s="198" t="s">
        <v>194</v>
      </c>
      <c r="C172" s="198">
        <v>142271</v>
      </c>
      <c r="D172" s="117" t="s">
        <v>73</v>
      </c>
      <c r="E172" s="117" t="s">
        <v>68</v>
      </c>
      <c r="F172" s="146" t="s">
        <v>208</v>
      </c>
      <c r="G172" s="92">
        <v>40749</v>
      </c>
      <c r="H172" s="140">
        <v>42412</v>
      </c>
      <c r="I172" s="140">
        <v>46178</v>
      </c>
      <c r="J172" s="162">
        <f t="shared" si="13"/>
        <v>46909</v>
      </c>
      <c r="K172" s="140">
        <v>42199</v>
      </c>
      <c r="L172" s="140">
        <v>46071</v>
      </c>
      <c r="M172" s="163">
        <f t="shared" si="14"/>
        <v>46801</v>
      </c>
      <c r="N172" s="92">
        <v>42402</v>
      </c>
      <c r="O172" s="92">
        <v>42403</v>
      </c>
      <c r="P172" s="92">
        <v>42404</v>
      </c>
      <c r="Q172" s="168" t="s">
        <v>69</v>
      </c>
      <c r="R172" s="199">
        <v>42782</v>
      </c>
      <c r="S172" s="199">
        <v>43512</v>
      </c>
      <c r="T172" s="199">
        <v>42688</v>
      </c>
      <c r="U172" s="166" t="s">
        <v>69</v>
      </c>
      <c r="V172" s="199">
        <v>42821</v>
      </c>
      <c r="W172" s="166" t="s">
        <v>69</v>
      </c>
      <c r="X172" s="94">
        <v>45114</v>
      </c>
      <c r="Y172" s="166" t="s">
        <v>69</v>
      </c>
      <c r="Z172" s="199">
        <v>44627</v>
      </c>
      <c r="AA172" s="211">
        <v>45772</v>
      </c>
      <c r="AB172" s="166" t="s">
        <v>69</v>
      </c>
      <c r="AC172" s="166" t="s">
        <v>69</v>
      </c>
      <c r="AD172" s="167" t="s">
        <v>71</v>
      </c>
      <c r="AE172" s="167" t="s">
        <v>70</v>
      </c>
      <c r="AF172" s="112">
        <v>46162</v>
      </c>
      <c r="AG172" s="112" t="s">
        <v>69</v>
      </c>
      <c r="AH172" s="167" t="s">
        <v>71</v>
      </c>
      <c r="AI172" s="167" t="s">
        <v>70</v>
      </c>
      <c r="AJ172" s="167" t="s">
        <v>70</v>
      </c>
      <c r="AK172" s="167" t="s">
        <v>70</v>
      </c>
      <c r="AL172" s="166" t="s">
        <v>69</v>
      </c>
      <c r="AM172" s="166"/>
      <c r="AN172" s="166" t="s">
        <v>69</v>
      </c>
      <c r="AO172" s="167" t="s">
        <v>70</v>
      </c>
      <c r="AP172" s="166" t="s">
        <v>69</v>
      </c>
      <c r="AQ172" s="166" t="s">
        <v>69</v>
      </c>
      <c r="AR172" s="168">
        <v>46034</v>
      </c>
      <c r="AS172" s="166" t="s">
        <v>69</v>
      </c>
      <c r="AT172" s="166" t="s">
        <v>69</v>
      </c>
      <c r="AU172" s="166" t="s">
        <v>69</v>
      </c>
      <c r="AV172" s="166" t="s">
        <v>69</v>
      </c>
      <c r="AW172" s="166" t="s">
        <v>69</v>
      </c>
      <c r="AX172" s="166" t="s">
        <v>69</v>
      </c>
      <c r="AY172" s="166" t="s">
        <v>69</v>
      </c>
      <c r="AZ172" s="166" t="s">
        <v>69</v>
      </c>
      <c r="BA172" s="94">
        <v>44064</v>
      </c>
      <c r="BB172" s="94">
        <v>44172</v>
      </c>
      <c r="BC172" s="166" t="s">
        <v>69</v>
      </c>
      <c r="BD172" s="166" t="s">
        <v>69</v>
      </c>
      <c r="BE172" s="166" t="s">
        <v>69</v>
      </c>
      <c r="BF172" s="166" t="s">
        <v>69</v>
      </c>
      <c r="BG172" s="167" t="s">
        <v>70</v>
      </c>
      <c r="BH172" s="166" t="s">
        <v>69</v>
      </c>
      <c r="BI172" s="166" t="s">
        <v>69</v>
      </c>
      <c r="BJ172" s="167" t="s">
        <v>70</v>
      </c>
      <c r="BK172" s="166" t="s">
        <v>69</v>
      </c>
      <c r="BL172" s="167" t="s">
        <v>70</v>
      </c>
      <c r="BM172" s="167" t="s">
        <v>70</v>
      </c>
      <c r="BN172" s="167" t="s">
        <v>70</v>
      </c>
      <c r="BO172" s="167" t="s">
        <v>70</v>
      </c>
      <c r="BP172" s="167" t="s">
        <v>70</v>
      </c>
      <c r="BQ172" s="151">
        <v>0</v>
      </c>
      <c r="BR172" s="142"/>
      <c r="BS172" s="142"/>
      <c r="BT172" s="142"/>
      <c r="BU172" s="142"/>
      <c r="BV172" s="142"/>
      <c r="BW172" s="142"/>
      <c r="BX172" s="142"/>
      <c r="BY172" s="142"/>
      <c r="BZ172" s="142"/>
      <c r="CA172" s="142"/>
      <c r="CB172" s="142"/>
      <c r="CC172" s="142"/>
      <c r="CD172" s="142"/>
      <c r="CE172" s="142"/>
      <c r="CF172" s="142"/>
      <c r="CG172" s="142"/>
      <c r="CH172" s="142"/>
      <c r="CI172" s="142"/>
      <c r="CJ172" s="142"/>
      <c r="CK172" s="142"/>
      <c r="CL172" s="142"/>
      <c r="CM172" s="142"/>
      <c r="CN172" s="142"/>
      <c r="CO172" s="142"/>
      <c r="CP172" s="142"/>
      <c r="CQ172" s="142"/>
      <c r="CR172" s="142"/>
      <c r="CS172" s="142"/>
      <c r="CT172" s="142"/>
      <c r="CU172" s="142"/>
      <c r="CV172" s="142"/>
      <c r="CW172" s="142"/>
      <c r="CX172" s="142"/>
      <c r="CY172" s="142"/>
      <c r="CZ172" s="142"/>
      <c r="DA172" s="142"/>
      <c r="DB172" s="142"/>
      <c r="DC172" s="142"/>
      <c r="DD172" s="142"/>
      <c r="DE172" s="142"/>
      <c r="DF172" s="142"/>
      <c r="DG172" s="142"/>
      <c r="DH172" s="142"/>
      <c r="DI172" s="142"/>
      <c r="DJ172" s="142"/>
      <c r="DK172" s="142"/>
      <c r="DL172" s="142"/>
      <c r="DM172" s="142"/>
      <c r="DN172" s="142"/>
      <c r="DO172" s="142"/>
      <c r="DP172" s="142"/>
      <c r="DQ172" s="142"/>
      <c r="DR172" s="142"/>
      <c r="DS172" s="142"/>
      <c r="DT172" s="142"/>
      <c r="DU172" s="142"/>
      <c r="DV172" s="142"/>
      <c r="DW172" s="142"/>
      <c r="DX172" s="142"/>
      <c r="DY172" s="142"/>
      <c r="DZ172" s="142"/>
      <c r="EA172" s="142"/>
      <c r="EB172" s="142"/>
      <c r="EC172" s="142"/>
      <c r="ED172" s="142"/>
      <c r="EE172" s="142"/>
      <c r="EF172" s="142"/>
    </row>
    <row r="173" spans="1:136" s="151" customFormat="1" ht="19.5" customHeight="1" x14ac:dyDescent="0.2">
      <c r="A173" s="117">
        <v>170</v>
      </c>
      <c r="B173" s="204" t="s">
        <v>195</v>
      </c>
      <c r="C173" s="198">
        <v>145542</v>
      </c>
      <c r="D173" s="117" t="s">
        <v>73</v>
      </c>
      <c r="E173" s="117" t="s">
        <v>68</v>
      </c>
      <c r="F173" s="146" t="s">
        <v>208</v>
      </c>
      <c r="G173" s="92">
        <v>40750</v>
      </c>
      <c r="H173" s="92">
        <v>42415</v>
      </c>
      <c r="I173" s="92">
        <v>45982</v>
      </c>
      <c r="J173" s="162">
        <f t="shared" si="13"/>
        <v>46712</v>
      </c>
      <c r="K173" s="140">
        <v>42249</v>
      </c>
      <c r="L173" s="140">
        <v>46036</v>
      </c>
      <c r="M173" s="163">
        <f t="shared" si="14"/>
        <v>46766</v>
      </c>
      <c r="N173" s="140">
        <v>42310</v>
      </c>
      <c r="O173" s="140">
        <v>42311</v>
      </c>
      <c r="P173" s="140">
        <v>42312</v>
      </c>
      <c r="Q173" s="199">
        <v>42780</v>
      </c>
      <c r="R173" s="199">
        <v>45946</v>
      </c>
      <c r="S173" s="199">
        <v>46676</v>
      </c>
      <c r="T173" s="199">
        <v>42709</v>
      </c>
      <c r="U173" s="166" t="s">
        <v>69</v>
      </c>
      <c r="V173" s="166" t="s">
        <v>69</v>
      </c>
      <c r="W173" s="94">
        <v>43801</v>
      </c>
      <c r="X173" s="166" t="s">
        <v>69</v>
      </c>
      <c r="Y173" s="166" t="s">
        <v>69</v>
      </c>
      <c r="Z173" s="199">
        <v>44673</v>
      </c>
      <c r="AA173" s="166" t="s">
        <v>69</v>
      </c>
      <c r="AB173" s="166" t="s">
        <v>69</v>
      </c>
      <c r="AC173" s="166" t="s">
        <v>69</v>
      </c>
      <c r="AD173" s="167" t="s">
        <v>71</v>
      </c>
      <c r="AE173" s="167" t="s">
        <v>70</v>
      </c>
      <c r="AF173" s="112">
        <v>45643</v>
      </c>
      <c r="AG173" s="112" t="s">
        <v>69</v>
      </c>
      <c r="AH173" s="167" t="s">
        <v>71</v>
      </c>
      <c r="AI173" s="167" t="s">
        <v>70</v>
      </c>
      <c r="AJ173" s="167" t="s">
        <v>70</v>
      </c>
      <c r="AK173" s="167" t="s">
        <v>70</v>
      </c>
      <c r="AL173" s="166" t="s">
        <v>69</v>
      </c>
      <c r="AM173" s="166"/>
      <c r="AN173" s="166" t="s">
        <v>69</v>
      </c>
      <c r="AO173" s="167" t="s">
        <v>70</v>
      </c>
      <c r="AP173" s="166" t="s">
        <v>69</v>
      </c>
      <c r="AQ173" s="166" t="s">
        <v>69</v>
      </c>
      <c r="AR173" s="166" t="s">
        <v>69</v>
      </c>
      <c r="AS173" s="166" t="s">
        <v>69</v>
      </c>
      <c r="AT173" s="166" t="s">
        <v>69</v>
      </c>
      <c r="AU173" s="166" t="s">
        <v>69</v>
      </c>
      <c r="AV173" s="166" t="s">
        <v>69</v>
      </c>
      <c r="AW173" s="166" t="s">
        <v>69</v>
      </c>
      <c r="AX173" s="166" t="s">
        <v>69</v>
      </c>
      <c r="AY173" s="166" t="s">
        <v>69</v>
      </c>
      <c r="AZ173" s="166" t="s">
        <v>69</v>
      </c>
      <c r="BA173" s="94">
        <v>42653</v>
      </c>
      <c r="BB173" s="166" t="s">
        <v>69</v>
      </c>
      <c r="BC173" s="166" t="s">
        <v>69</v>
      </c>
      <c r="BD173" s="166" t="s">
        <v>69</v>
      </c>
      <c r="BE173" s="166" t="s">
        <v>69</v>
      </c>
      <c r="BF173" s="166" t="s">
        <v>69</v>
      </c>
      <c r="BG173" s="167" t="s">
        <v>70</v>
      </c>
      <c r="BH173" s="166" t="s">
        <v>69</v>
      </c>
      <c r="BI173" s="166" t="s">
        <v>69</v>
      </c>
      <c r="BJ173" s="167" t="s">
        <v>70</v>
      </c>
      <c r="BK173" s="166" t="s">
        <v>69</v>
      </c>
      <c r="BL173" s="167" t="s">
        <v>70</v>
      </c>
      <c r="BM173" s="167" t="s">
        <v>70</v>
      </c>
      <c r="BN173" s="167" t="s">
        <v>70</v>
      </c>
      <c r="BO173" s="167" t="s">
        <v>70</v>
      </c>
      <c r="BP173" s="167" t="s">
        <v>70</v>
      </c>
      <c r="BQ173" s="151">
        <v>0</v>
      </c>
      <c r="BR173" s="142"/>
      <c r="BS173" s="142"/>
      <c r="BT173" s="142"/>
      <c r="BU173" s="142"/>
      <c r="BV173" s="142"/>
      <c r="BW173" s="142"/>
      <c r="BX173" s="142"/>
      <c r="BY173" s="142"/>
      <c r="BZ173" s="142"/>
      <c r="CA173" s="142"/>
      <c r="CB173" s="142"/>
      <c r="CC173" s="142"/>
      <c r="CD173" s="142"/>
      <c r="CE173" s="142"/>
      <c r="CF173" s="142"/>
      <c r="CG173" s="142"/>
      <c r="CH173" s="142"/>
      <c r="CI173" s="142"/>
      <c r="CJ173" s="142"/>
      <c r="CK173" s="142"/>
      <c r="CL173" s="142"/>
      <c r="CM173" s="142"/>
      <c r="CN173" s="142"/>
      <c r="CO173" s="142"/>
      <c r="CP173" s="142"/>
      <c r="CQ173" s="142"/>
      <c r="CR173" s="142"/>
      <c r="CS173" s="142"/>
      <c r="CT173" s="142"/>
      <c r="CU173" s="142"/>
      <c r="CV173" s="142"/>
      <c r="CW173" s="142"/>
      <c r="CX173" s="142"/>
      <c r="CY173" s="142"/>
      <c r="CZ173" s="142"/>
      <c r="DA173" s="142"/>
      <c r="DB173" s="142"/>
      <c r="DC173" s="142"/>
      <c r="DD173" s="142"/>
      <c r="DE173" s="142"/>
      <c r="DF173" s="142"/>
      <c r="DG173" s="142"/>
      <c r="DH173" s="142"/>
      <c r="DI173" s="142"/>
      <c r="DJ173" s="142"/>
      <c r="DK173" s="142"/>
      <c r="DL173" s="142"/>
      <c r="DM173" s="142"/>
      <c r="DN173" s="142"/>
      <c r="DO173" s="142"/>
      <c r="DP173" s="142"/>
      <c r="DQ173" s="142"/>
      <c r="DR173" s="142"/>
      <c r="DS173" s="142"/>
      <c r="DT173" s="142"/>
      <c r="DU173" s="142"/>
      <c r="DV173" s="142"/>
      <c r="DW173" s="142"/>
      <c r="DX173" s="142"/>
      <c r="DY173" s="142"/>
      <c r="DZ173" s="142"/>
      <c r="EA173" s="142"/>
      <c r="EB173" s="142"/>
      <c r="EC173" s="142"/>
      <c r="ED173" s="142"/>
      <c r="EE173" s="142"/>
      <c r="EF173" s="142"/>
    </row>
    <row r="174" spans="1:136" s="151" customFormat="1" ht="19.5" customHeight="1" x14ac:dyDescent="0.2">
      <c r="A174" s="117">
        <v>171</v>
      </c>
      <c r="B174" s="209" t="s">
        <v>197</v>
      </c>
      <c r="C174" s="209">
        <v>83122898</v>
      </c>
      <c r="D174" s="117" t="s">
        <v>73</v>
      </c>
      <c r="E174" s="117" t="s">
        <v>68</v>
      </c>
      <c r="F174" s="146" t="s">
        <v>208</v>
      </c>
      <c r="G174" s="140">
        <v>41467</v>
      </c>
      <c r="H174" s="140">
        <v>41864</v>
      </c>
      <c r="I174" s="140">
        <v>46065</v>
      </c>
      <c r="J174" s="162">
        <f t="shared" si="13"/>
        <v>46795</v>
      </c>
      <c r="K174" s="92">
        <v>41134</v>
      </c>
      <c r="L174" s="92">
        <v>46043</v>
      </c>
      <c r="M174" s="163">
        <f t="shared" si="14"/>
        <v>46773</v>
      </c>
      <c r="N174" s="92">
        <v>41913</v>
      </c>
      <c r="O174" s="140">
        <v>41915</v>
      </c>
      <c r="P174" s="140">
        <v>41915</v>
      </c>
      <c r="Q174" s="166" t="s">
        <v>69</v>
      </c>
      <c r="R174" s="199">
        <v>42570</v>
      </c>
      <c r="S174" s="199">
        <v>43300</v>
      </c>
      <c r="T174" s="200">
        <v>42727</v>
      </c>
      <c r="U174" s="166" t="s">
        <v>69</v>
      </c>
      <c r="V174" s="200">
        <v>42027</v>
      </c>
      <c r="W174" s="166" t="s">
        <v>69</v>
      </c>
      <c r="X174" s="94">
        <v>42669</v>
      </c>
      <c r="Y174" s="166" t="s">
        <v>69</v>
      </c>
      <c r="Z174" s="166" t="s">
        <v>69</v>
      </c>
      <c r="AA174" s="166" t="s">
        <v>69</v>
      </c>
      <c r="AB174" s="166" t="s">
        <v>69</v>
      </c>
      <c r="AC174" s="200">
        <v>41835</v>
      </c>
      <c r="AD174" s="167" t="s">
        <v>71</v>
      </c>
      <c r="AE174" s="167" t="s">
        <v>70</v>
      </c>
      <c r="AF174" s="112">
        <v>45645</v>
      </c>
      <c r="AG174" s="112" t="s">
        <v>69</v>
      </c>
      <c r="AH174" s="167" t="s">
        <v>71</v>
      </c>
      <c r="AI174" s="167" t="s">
        <v>70</v>
      </c>
      <c r="AJ174" s="167" t="s">
        <v>70</v>
      </c>
      <c r="AK174" s="167" t="s">
        <v>70</v>
      </c>
      <c r="AL174" s="166" t="s">
        <v>69</v>
      </c>
      <c r="AM174" s="166"/>
      <c r="AN174" s="166" t="s">
        <v>69</v>
      </c>
      <c r="AO174" s="167" t="s">
        <v>70</v>
      </c>
      <c r="AP174" s="166" t="s">
        <v>69</v>
      </c>
      <c r="AQ174" s="166" t="s">
        <v>69</v>
      </c>
      <c r="AR174" s="166" t="s">
        <v>69</v>
      </c>
      <c r="AS174" s="166" t="s">
        <v>69</v>
      </c>
      <c r="AT174" s="94">
        <v>42852</v>
      </c>
      <c r="AU174" s="166" t="s">
        <v>69</v>
      </c>
      <c r="AV174" s="166" t="s">
        <v>69</v>
      </c>
      <c r="AW174" s="166" t="s">
        <v>69</v>
      </c>
      <c r="AX174" s="166" t="s">
        <v>69</v>
      </c>
      <c r="AY174" s="166" t="s">
        <v>69</v>
      </c>
      <c r="AZ174" s="94">
        <v>43880</v>
      </c>
      <c r="BA174" s="94">
        <v>42422</v>
      </c>
      <c r="BB174" s="94">
        <v>43724</v>
      </c>
      <c r="BC174" s="166" t="s">
        <v>69</v>
      </c>
      <c r="BD174" s="166" t="s">
        <v>69</v>
      </c>
      <c r="BE174" s="166" t="s">
        <v>69</v>
      </c>
      <c r="BF174" s="166" t="s">
        <v>69</v>
      </c>
      <c r="BG174" s="167" t="s">
        <v>70</v>
      </c>
      <c r="BH174" s="166" t="s">
        <v>69</v>
      </c>
      <c r="BI174" s="166" t="s">
        <v>69</v>
      </c>
      <c r="BJ174" s="167" t="s">
        <v>70</v>
      </c>
      <c r="BK174" s="173"/>
      <c r="BL174" s="167" t="s">
        <v>70</v>
      </c>
      <c r="BM174" s="167" t="s">
        <v>70</v>
      </c>
      <c r="BN174" s="167" t="s">
        <v>70</v>
      </c>
      <c r="BO174" s="167" t="s">
        <v>70</v>
      </c>
      <c r="BP174" s="167" t="s">
        <v>70</v>
      </c>
      <c r="BQ174" s="151">
        <v>0</v>
      </c>
      <c r="BR174" s="142"/>
      <c r="BS174" s="142"/>
      <c r="BT174" s="142"/>
      <c r="BU174" s="142"/>
      <c r="BV174" s="142"/>
      <c r="BW174" s="142"/>
      <c r="BX174" s="142"/>
      <c r="BY174" s="142"/>
      <c r="BZ174" s="142"/>
      <c r="CA174" s="142"/>
      <c r="CB174" s="142"/>
      <c r="CC174" s="142"/>
      <c r="CD174" s="142"/>
      <c r="CE174" s="142"/>
      <c r="CF174" s="142"/>
      <c r="CG174" s="142"/>
      <c r="CH174" s="142"/>
      <c r="CI174" s="142"/>
      <c r="CJ174" s="142"/>
      <c r="CK174" s="142"/>
      <c r="CL174" s="142"/>
      <c r="CM174" s="142"/>
      <c r="CN174" s="142"/>
      <c r="CO174" s="142"/>
      <c r="CP174" s="142"/>
      <c r="CQ174" s="142"/>
      <c r="CR174" s="142"/>
      <c r="CS174" s="142"/>
      <c r="CT174" s="142"/>
      <c r="CU174" s="142"/>
      <c r="CV174" s="142"/>
      <c r="CW174" s="142"/>
      <c r="CX174" s="142"/>
      <c r="CY174" s="142"/>
      <c r="CZ174" s="142"/>
      <c r="DA174" s="142"/>
      <c r="DB174" s="142"/>
      <c r="DC174" s="142"/>
      <c r="DD174" s="142"/>
      <c r="DE174" s="142"/>
      <c r="DF174" s="142"/>
      <c r="DG174" s="142"/>
      <c r="DH174" s="142"/>
      <c r="DI174" s="142"/>
      <c r="DJ174" s="142"/>
      <c r="DK174" s="142"/>
      <c r="DL174" s="142"/>
      <c r="DM174" s="142"/>
      <c r="DN174" s="142"/>
      <c r="DO174" s="142"/>
      <c r="DP174" s="142"/>
      <c r="DQ174" s="142"/>
      <c r="DR174" s="142"/>
      <c r="DS174" s="142"/>
      <c r="DT174" s="142"/>
      <c r="DU174" s="142"/>
      <c r="DV174" s="142"/>
      <c r="DW174" s="142"/>
      <c r="DX174" s="142"/>
      <c r="DY174" s="142"/>
      <c r="DZ174" s="142"/>
      <c r="EA174" s="142"/>
      <c r="EB174" s="142"/>
      <c r="EC174" s="142"/>
      <c r="ED174" s="142"/>
      <c r="EE174" s="142"/>
      <c r="EF174" s="142"/>
    </row>
    <row r="175" spans="1:136" s="151" customFormat="1" ht="19.5" customHeight="1" x14ac:dyDescent="0.2">
      <c r="A175" s="117">
        <v>172</v>
      </c>
      <c r="B175" s="201" t="s">
        <v>198</v>
      </c>
      <c r="C175" s="201">
        <v>135045</v>
      </c>
      <c r="D175" s="117" t="s">
        <v>73</v>
      </c>
      <c r="E175" s="117" t="s">
        <v>68</v>
      </c>
      <c r="F175" s="146" t="s">
        <v>208</v>
      </c>
      <c r="G175" s="140">
        <v>44153</v>
      </c>
      <c r="H175" s="140">
        <v>41801</v>
      </c>
      <c r="I175" s="140">
        <v>46031</v>
      </c>
      <c r="J175" s="162">
        <f t="shared" si="13"/>
        <v>46761</v>
      </c>
      <c r="K175" s="140">
        <v>43325</v>
      </c>
      <c r="L175" s="140">
        <v>46083</v>
      </c>
      <c r="M175" s="163">
        <f t="shared" si="14"/>
        <v>46814</v>
      </c>
      <c r="N175" s="92">
        <v>42402</v>
      </c>
      <c r="O175" s="92">
        <v>42403</v>
      </c>
      <c r="P175" s="92">
        <v>42403</v>
      </c>
      <c r="Q175" s="199">
        <v>44714</v>
      </c>
      <c r="R175" s="199">
        <v>42055</v>
      </c>
      <c r="S175" s="199">
        <v>42786</v>
      </c>
      <c r="T175" s="200">
        <v>42664</v>
      </c>
      <c r="U175" s="168">
        <v>46300</v>
      </c>
      <c r="V175" s="166" t="s">
        <v>69</v>
      </c>
      <c r="W175" s="94">
        <v>43605</v>
      </c>
      <c r="X175" s="94">
        <v>42198</v>
      </c>
      <c r="Y175" s="94">
        <v>42156</v>
      </c>
      <c r="Z175" s="199">
        <v>44781</v>
      </c>
      <c r="AA175" s="166" t="s">
        <v>69</v>
      </c>
      <c r="AB175" s="166" t="s">
        <v>69</v>
      </c>
      <c r="AC175" s="166" t="s">
        <v>69</v>
      </c>
      <c r="AD175" s="167" t="s">
        <v>71</v>
      </c>
      <c r="AE175" s="167" t="s">
        <v>70</v>
      </c>
      <c r="AF175" s="112">
        <v>46028</v>
      </c>
      <c r="AG175" s="112" t="s">
        <v>69</v>
      </c>
      <c r="AH175" s="167" t="s">
        <v>71</v>
      </c>
      <c r="AI175" s="167" t="s">
        <v>70</v>
      </c>
      <c r="AJ175" s="167" t="s">
        <v>70</v>
      </c>
      <c r="AK175" s="167" t="s">
        <v>70</v>
      </c>
      <c r="AL175" s="166" t="s">
        <v>69</v>
      </c>
      <c r="AM175" s="166"/>
      <c r="AN175" s="199">
        <v>44460</v>
      </c>
      <c r="AO175" s="167" t="s">
        <v>70</v>
      </c>
      <c r="AP175" s="200">
        <v>42083</v>
      </c>
      <c r="AQ175" s="200">
        <v>43143</v>
      </c>
      <c r="AR175" s="166" t="s">
        <v>69</v>
      </c>
      <c r="AS175" s="166" t="s">
        <v>69</v>
      </c>
      <c r="AT175" s="94">
        <v>43143</v>
      </c>
      <c r="AU175" s="166" t="s">
        <v>69</v>
      </c>
      <c r="AV175" s="166" t="s">
        <v>69</v>
      </c>
      <c r="AW175" s="166" t="s">
        <v>69</v>
      </c>
      <c r="AX175" s="166" t="s">
        <v>69</v>
      </c>
      <c r="AY175" s="166" t="s">
        <v>69</v>
      </c>
      <c r="AZ175" s="166" t="s">
        <v>69</v>
      </c>
      <c r="BA175" s="94">
        <v>44064</v>
      </c>
      <c r="BB175" s="94">
        <v>44221</v>
      </c>
      <c r="BC175" s="166" t="s">
        <v>69</v>
      </c>
      <c r="BD175" s="166" t="s">
        <v>69</v>
      </c>
      <c r="BE175" s="166" t="s">
        <v>69</v>
      </c>
      <c r="BF175" s="166" t="s">
        <v>69</v>
      </c>
      <c r="BG175" s="167" t="s">
        <v>70</v>
      </c>
      <c r="BH175" s="166" t="s">
        <v>69</v>
      </c>
      <c r="BI175" s="166" t="s">
        <v>69</v>
      </c>
      <c r="BJ175" s="167" t="s">
        <v>70</v>
      </c>
      <c r="BK175" s="173"/>
      <c r="BL175" s="167" t="s">
        <v>70</v>
      </c>
      <c r="BM175" s="167" t="s">
        <v>70</v>
      </c>
      <c r="BN175" s="167" t="s">
        <v>70</v>
      </c>
      <c r="BO175" s="167" t="s">
        <v>70</v>
      </c>
      <c r="BP175" s="167" t="s">
        <v>70</v>
      </c>
      <c r="BQ175" s="151">
        <v>0</v>
      </c>
      <c r="BR175" s="142"/>
      <c r="BS175" s="142"/>
      <c r="BT175" s="142"/>
      <c r="BU175" s="142"/>
      <c r="BV175" s="142"/>
      <c r="BW175" s="142"/>
      <c r="BX175" s="142"/>
      <c r="BY175" s="142"/>
      <c r="BZ175" s="142"/>
      <c r="CA175" s="142"/>
      <c r="CB175" s="142"/>
      <c r="CC175" s="142"/>
      <c r="CD175" s="142"/>
      <c r="CE175" s="142"/>
      <c r="CF175" s="142"/>
      <c r="CG175" s="142"/>
      <c r="CH175" s="142"/>
      <c r="CI175" s="142"/>
      <c r="CJ175" s="142"/>
      <c r="CK175" s="142"/>
      <c r="CL175" s="142"/>
      <c r="CM175" s="142"/>
      <c r="CN175" s="142"/>
      <c r="CO175" s="142"/>
      <c r="CP175" s="142"/>
      <c r="CQ175" s="142"/>
      <c r="CR175" s="142"/>
      <c r="CS175" s="142"/>
      <c r="CT175" s="142"/>
      <c r="CU175" s="142"/>
      <c r="CV175" s="142"/>
      <c r="CW175" s="142"/>
      <c r="CX175" s="142"/>
      <c r="CY175" s="142"/>
      <c r="CZ175" s="142"/>
      <c r="DA175" s="142"/>
      <c r="DB175" s="142"/>
      <c r="DC175" s="142"/>
      <c r="DD175" s="142"/>
      <c r="DE175" s="142"/>
      <c r="DF175" s="142"/>
      <c r="DG175" s="142"/>
      <c r="DH175" s="142"/>
      <c r="DI175" s="142"/>
      <c r="DJ175" s="142"/>
      <c r="DK175" s="142"/>
      <c r="DL175" s="142"/>
      <c r="DM175" s="142"/>
      <c r="DN175" s="142"/>
      <c r="DO175" s="142"/>
      <c r="DP175" s="142"/>
      <c r="DQ175" s="142"/>
      <c r="DR175" s="142"/>
      <c r="DS175" s="142"/>
      <c r="DT175" s="142"/>
      <c r="DU175" s="142"/>
      <c r="DV175" s="142"/>
      <c r="DW175" s="142"/>
      <c r="DX175" s="142"/>
      <c r="DY175" s="142"/>
      <c r="DZ175" s="142"/>
      <c r="EA175" s="142"/>
      <c r="EB175" s="142"/>
      <c r="EC175" s="142"/>
      <c r="ED175" s="142"/>
      <c r="EE175" s="142"/>
      <c r="EF175" s="142"/>
    </row>
    <row r="176" spans="1:136" s="151" customFormat="1" ht="19.5" customHeight="1" x14ac:dyDescent="0.2">
      <c r="A176" s="117">
        <v>173</v>
      </c>
      <c r="B176" s="204" t="s">
        <v>199</v>
      </c>
      <c r="C176" s="198">
        <v>145328</v>
      </c>
      <c r="D176" s="117" t="s">
        <v>73</v>
      </c>
      <c r="E176" s="117" t="s">
        <v>68</v>
      </c>
      <c r="F176" s="146" t="s">
        <v>208</v>
      </c>
      <c r="G176" s="140">
        <v>40749</v>
      </c>
      <c r="H176" s="92">
        <v>43545</v>
      </c>
      <c r="I176" s="92">
        <v>46037</v>
      </c>
      <c r="J176" s="162">
        <f t="shared" si="13"/>
        <v>46767</v>
      </c>
      <c r="K176" s="140">
        <v>42069</v>
      </c>
      <c r="L176" s="111">
        <v>46049</v>
      </c>
      <c r="M176" s="163">
        <f t="shared" si="14"/>
        <v>46779</v>
      </c>
      <c r="N176" s="140">
        <v>42444</v>
      </c>
      <c r="O176" s="140">
        <v>42445</v>
      </c>
      <c r="P176" s="140">
        <v>42445</v>
      </c>
      <c r="Q176" s="166" t="s">
        <v>69</v>
      </c>
      <c r="R176" s="166" t="s">
        <v>69</v>
      </c>
      <c r="S176" s="166" t="s">
        <v>69</v>
      </c>
      <c r="T176" s="199">
        <v>42751</v>
      </c>
      <c r="U176" s="166" t="s">
        <v>69</v>
      </c>
      <c r="V176" s="200">
        <v>42695</v>
      </c>
      <c r="W176" s="166" t="s">
        <v>69</v>
      </c>
      <c r="X176" s="166" t="s">
        <v>69</v>
      </c>
      <c r="Y176" s="166" t="s">
        <v>69</v>
      </c>
      <c r="Z176" s="94">
        <v>44768</v>
      </c>
      <c r="AA176" s="166" t="s">
        <v>69</v>
      </c>
      <c r="AB176" s="166" t="s">
        <v>69</v>
      </c>
      <c r="AC176" s="166" t="s">
        <v>69</v>
      </c>
      <c r="AD176" s="167" t="s">
        <v>71</v>
      </c>
      <c r="AE176" s="167" t="s">
        <v>70</v>
      </c>
      <c r="AF176" s="94">
        <v>45707</v>
      </c>
      <c r="AG176" s="112" t="s">
        <v>69</v>
      </c>
      <c r="AH176" s="167" t="s">
        <v>71</v>
      </c>
      <c r="AI176" s="167" t="s">
        <v>70</v>
      </c>
      <c r="AJ176" s="167" t="s">
        <v>70</v>
      </c>
      <c r="AK176" s="167" t="s">
        <v>70</v>
      </c>
      <c r="AL176" s="166" t="s">
        <v>69</v>
      </c>
      <c r="AM176" s="166"/>
      <c r="AN176" s="199">
        <v>44349</v>
      </c>
      <c r="AO176" s="167" t="s">
        <v>70</v>
      </c>
      <c r="AP176" s="166" t="s">
        <v>69</v>
      </c>
      <c r="AQ176" s="166" t="s">
        <v>69</v>
      </c>
      <c r="AR176" s="166" t="s">
        <v>69</v>
      </c>
      <c r="AS176" s="166" t="s">
        <v>69</v>
      </c>
      <c r="AT176" s="166" t="s">
        <v>69</v>
      </c>
      <c r="AU176" s="166" t="s">
        <v>69</v>
      </c>
      <c r="AV176" s="166" t="s">
        <v>69</v>
      </c>
      <c r="AW176" s="166" t="s">
        <v>69</v>
      </c>
      <c r="AX176" s="166" t="s">
        <v>69</v>
      </c>
      <c r="AY176" s="166" t="s">
        <v>69</v>
      </c>
      <c r="AZ176" s="166" t="s">
        <v>69</v>
      </c>
      <c r="BA176" s="94">
        <v>44064</v>
      </c>
      <c r="BB176" s="94">
        <v>43889</v>
      </c>
      <c r="BC176" s="166" t="s">
        <v>69</v>
      </c>
      <c r="BD176" s="166" t="s">
        <v>69</v>
      </c>
      <c r="BE176" s="166" t="s">
        <v>69</v>
      </c>
      <c r="BF176" s="166" t="s">
        <v>69</v>
      </c>
      <c r="BG176" s="167" t="s">
        <v>70</v>
      </c>
      <c r="BH176" s="166" t="s">
        <v>69</v>
      </c>
      <c r="BI176" s="166" t="s">
        <v>69</v>
      </c>
      <c r="BJ176" s="167" t="s">
        <v>70</v>
      </c>
      <c r="BK176" s="173"/>
      <c r="BL176" s="167" t="s">
        <v>70</v>
      </c>
      <c r="BM176" s="167" t="s">
        <v>70</v>
      </c>
      <c r="BN176" s="167" t="s">
        <v>70</v>
      </c>
      <c r="BO176" s="167" t="s">
        <v>70</v>
      </c>
      <c r="BP176" s="167" t="s">
        <v>70</v>
      </c>
      <c r="BQ176" s="151">
        <v>0</v>
      </c>
      <c r="BR176" s="142"/>
      <c r="BS176" s="142"/>
      <c r="BT176" s="142"/>
      <c r="BU176" s="142"/>
      <c r="BV176" s="142"/>
      <c r="BW176" s="142"/>
      <c r="BX176" s="142"/>
      <c r="BY176" s="142"/>
      <c r="BZ176" s="142"/>
      <c r="CA176" s="142"/>
      <c r="CB176" s="142"/>
      <c r="CC176" s="142"/>
      <c r="CD176" s="142"/>
      <c r="CE176" s="142"/>
      <c r="CF176" s="142"/>
      <c r="CG176" s="142"/>
      <c r="CH176" s="142"/>
      <c r="CI176" s="142"/>
      <c r="CJ176" s="142"/>
      <c r="CK176" s="142"/>
      <c r="CL176" s="142"/>
      <c r="CM176" s="142"/>
      <c r="CN176" s="142"/>
      <c r="CO176" s="142"/>
      <c r="CP176" s="142"/>
      <c r="CQ176" s="142"/>
      <c r="CR176" s="142"/>
      <c r="CS176" s="142"/>
      <c r="CT176" s="142"/>
      <c r="CU176" s="142"/>
      <c r="CV176" s="142"/>
      <c r="CW176" s="142"/>
      <c r="CX176" s="142"/>
      <c r="CY176" s="142"/>
      <c r="CZ176" s="142"/>
      <c r="DA176" s="142"/>
      <c r="DB176" s="142"/>
      <c r="DC176" s="142"/>
      <c r="DD176" s="142"/>
      <c r="DE176" s="142"/>
      <c r="DF176" s="142"/>
      <c r="DG176" s="142"/>
      <c r="DH176" s="142"/>
      <c r="DI176" s="142"/>
      <c r="DJ176" s="142"/>
      <c r="DK176" s="142"/>
      <c r="DL176" s="142"/>
      <c r="DM176" s="142"/>
      <c r="DN176" s="142"/>
      <c r="DO176" s="142"/>
      <c r="DP176" s="142"/>
      <c r="DQ176" s="142"/>
      <c r="DR176" s="142"/>
      <c r="DS176" s="142"/>
      <c r="DT176" s="142"/>
      <c r="DU176" s="142"/>
      <c r="DV176" s="142"/>
      <c r="DW176" s="142"/>
      <c r="DX176" s="142"/>
      <c r="DY176" s="142"/>
      <c r="DZ176" s="142"/>
      <c r="EA176" s="142"/>
      <c r="EB176" s="142"/>
      <c r="EC176" s="142"/>
      <c r="ED176" s="142"/>
      <c r="EE176" s="142"/>
      <c r="EF176" s="142"/>
    </row>
    <row r="177" spans="1:136" s="151" customFormat="1" ht="19.5" customHeight="1" x14ac:dyDescent="0.2">
      <c r="A177" s="117">
        <v>174</v>
      </c>
      <c r="B177" s="117" t="s">
        <v>201</v>
      </c>
      <c r="C177" s="117">
        <v>200378</v>
      </c>
      <c r="D177" s="117" t="s">
        <v>73</v>
      </c>
      <c r="E177" s="117" t="s">
        <v>68</v>
      </c>
      <c r="F177" s="146" t="s">
        <v>208</v>
      </c>
      <c r="G177" s="212">
        <v>44055</v>
      </c>
      <c r="H177" s="92">
        <v>44139</v>
      </c>
      <c r="I177" s="92">
        <v>45967</v>
      </c>
      <c r="J177" s="162">
        <f t="shared" si="13"/>
        <v>46697</v>
      </c>
      <c r="K177" s="92">
        <v>44144</v>
      </c>
      <c r="L177" s="92">
        <v>46028</v>
      </c>
      <c r="M177" s="163">
        <f t="shared" si="14"/>
        <v>46758</v>
      </c>
      <c r="N177" s="92">
        <v>43901</v>
      </c>
      <c r="O177" s="92">
        <v>43902</v>
      </c>
      <c r="P177" s="92">
        <v>43900</v>
      </c>
      <c r="Q177" s="166" t="s">
        <v>69</v>
      </c>
      <c r="R177" s="166" t="s">
        <v>69</v>
      </c>
      <c r="S177" s="166" t="s">
        <v>69</v>
      </c>
      <c r="T177" s="94">
        <v>44172</v>
      </c>
      <c r="U177" s="94">
        <v>44312</v>
      </c>
      <c r="V177" s="94">
        <v>44214</v>
      </c>
      <c r="W177" s="166" t="s">
        <v>69</v>
      </c>
      <c r="X177" s="199">
        <v>44276</v>
      </c>
      <c r="Y177" s="166" t="s">
        <v>69</v>
      </c>
      <c r="Z177" s="94">
        <v>44883</v>
      </c>
      <c r="AA177" s="168">
        <v>46293</v>
      </c>
      <c r="AB177" s="166" t="s">
        <v>69</v>
      </c>
      <c r="AC177" s="166" t="s">
        <v>69</v>
      </c>
      <c r="AD177" s="167" t="s">
        <v>71</v>
      </c>
      <c r="AE177" s="167" t="s">
        <v>70</v>
      </c>
      <c r="AF177" s="112">
        <v>46190</v>
      </c>
      <c r="AG177" s="112" t="s">
        <v>69</v>
      </c>
      <c r="AH177" s="167" t="s">
        <v>71</v>
      </c>
      <c r="AI177" s="167" t="s">
        <v>70</v>
      </c>
      <c r="AJ177" s="167" t="s">
        <v>70</v>
      </c>
      <c r="AK177" s="167" t="s">
        <v>70</v>
      </c>
      <c r="AL177" s="166" t="s">
        <v>69</v>
      </c>
      <c r="AM177" s="166"/>
      <c r="AN177" s="166" t="s">
        <v>69</v>
      </c>
      <c r="AO177" s="167" t="s">
        <v>70</v>
      </c>
      <c r="AP177" s="166" t="s">
        <v>69</v>
      </c>
      <c r="AQ177" s="166" t="s">
        <v>69</v>
      </c>
      <c r="AR177" s="166" t="s">
        <v>69</v>
      </c>
      <c r="AS177" s="166" t="s">
        <v>69</v>
      </c>
      <c r="AT177" s="166" t="s">
        <v>69</v>
      </c>
      <c r="AU177" s="166" t="s">
        <v>69</v>
      </c>
      <c r="AV177" s="166" t="s">
        <v>69</v>
      </c>
      <c r="AW177" s="166" t="s">
        <v>69</v>
      </c>
      <c r="AX177" s="166" t="s">
        <v>69</v>
      </c>
      <c r="AY177" s="166" t="s">
        <v>69</v>
      </c>
      <c r="AZ177" s="166" t="s">
        <v>69</v>
      </c>
      <c r="BA177" s="166" t="s">
        <v>69</v>
      </c>
      <c r="BB177" s="166" t="s">
        <v>69</v>
      </c>
      <c r="BC177" s="166" t="s">
        <v>69</v>
      </c>
      <c r="BD177" s="166" t="s">
        <v>69</v>
      </c>
      <c r="BE177" s="166" t="s">
        <v>69</v>
      </c>
      <c r="BF177" s="166" t="s">
        <v>69</v>
      </c>
      <c r="BG177" s="167" t="s">
        <v>70</v>
      </c>
      <c r="BH177" s="166" t="s">
        <v>69</v>
      </c>
      <c r="BI177" s="166" t="s">
        <v>69</v>
      </c>
      <c r="BJ177" s="167" t="s">
        <v>70</v>
      </c>
      <c r="BK177" s="166" t="s">
        <v>69</v>
      </c>
      <c r="BL177" s="167" t="s">
        <v>70</v>
      </c>
      <c r="BM177" s="167" t="s">
        <v>70</v>
      </c>
      <c r="BN177" s="167" t="s">
        <v>70</v>
      </c>
      <c r="BO177" s="167" t="s">
        <v>70</v>
      </c>
      <c r="BP177" s="167" t="s">
        <v>70</v>
      </c>
      <c r="BQ177" s="151">
        <v>0</v>
      </c>
      <c r="BR177" s="142"/>
      <c r="BS177" s="142"/>
      <c r="BT177" s="142"/>
      <c r="BU177" s="142"/>
      <c r="BV177" s="142"/>
      <c r="BW177" s="142"/>
      <c r="BX177" s="142"/>
      <c r="BY177" s="142"/>
      <c r="BZ177" s="142"/>
      <c r="CA177" s="142"/>
      <c r="CB177" s="142"/>
      <c r="CC177" s="142"/>
      <c r="CD177" s="142"/>
      <c r="CE177" s="142"/>
      <c r="CF177" s="142"/>
      <c r="CG177" s="142"/>
      <c r="CH177" s="142"/>
      <c r="CI177" s="142"/>
      <c r="CJ177" s="142"/>
      <c r="CK177" s="142"/>
      <c r="CL177" s="142"/>
      <c r="CM177" s="142"/>
      <c r="CN177" s="142"/>
      <c r="CO177" s="142"/>
      <c r="CP177" s="142"/>
      <c r="CQ177" s="142"/>
      <c r="CR177" s="142"/>
      <c r="CS177" s="142"/>
      <c r="CT177" s="142"/>
      <c r="CU177" s="142"/>
      <c r="CV177" s="142"/>
      <c r="CW177" s="142"/>
      <c r="CX177" s="142"/>
      <c r="CY177" s="142"/>
      <c r="CZ177" s="142"/>
      <c r="DA177" s="142"/>
      <c r="DB177" s="142"/>
      <c r="DC177" s="142"/>
      <c r="DD177" s="142"/>
      <c r="DE177" s="142"/>
      <c r="DF177" s="142"/>
      <c r="DG177" s="142"/>
      <c r="DH177" s="142"/>
      <c r="DI177" s="142"/>
      <c r="DJ177" s="142"/>
      <c r="DK177" s="142"/>
      <c r="DL177" s="142"/>
      <c r="DM177" s="142"/>
      <c r="DN177" s="142"/>
      <c r="DO177" s="142"/>
      <c r="DP177" s="142"/>
      <c r="DQ177" s="142"/>
      <c r="DR177" s="142"/>
      <c r="DS177" s="142"/>
      <c r="DT177" s="142"/>
      <c r="DU177" s="142"/>
      <c r="DV177" s="142"/>
      <c r="DW177" s="142"/>
      <c r="DX177" s="142"/>
      <c r="DY177" s="142"/>
      <c r="DZ177" s="142"/>
      <c r="EA177" s="142"/>
      <c r="EB177" s="142"/>
      <c r="EC177" s="142"/>
      <c r="ED177" s="142"/>
      <c r="EE177" s="142"/>
      <c r="EF177" s="142"/>
    </row>
    <row r="178" spans="1:136" s="151" customFormat="1" ht="19.5" customHeight="1" x14ac:dyDescent="0.2">
      <c r="A178" s="117">
        <v>175</v>
      </c>
      <c r="B178" s="117" t="s">
        <v>202</v>
      </c>
      <c r="C178" s="117">
        <v>145354</v>
      </c>
      <c r="D178" s="117" t="s">
        <v>73</v>
      </c>
      <c r="E178" s="117" t="s">
        <v>68</v>
      </c>
      <c r="F178" s="146" t="s">
        <v>208</v>
      </c>
      <c r="G178" s="172">
        <v>42670</v>
      </c>
      <c r="H178" s="172">
        <v>44139</v>
      </c>
      <c r="I178" s="172">
        <v>46007</v>
      </c>
      <c r="J178" s="162">
        <f t="shared" si="13"/>
        <v>46737</v>
      </c>
      <c r="K178" s="111">
        <v>45517</v>
      </c>
      <c r="L178" s="111">
        <v>46246</v>
      </c>
      <c r="M178" s="163">
        <f t="shared" si="14"/>
        <v>46977</v>
      </c>
      <c r="N178" s="92">
        <v>43874</v>
      </c>
      <c r="O178" s="92">
        <v>44604</v>
      </c>
      <c r="P178" s="92">
        <v>43872</v>
      </c>
      <c r="Q178" s="166" t="s">
        <v>69</v>
      </c>
      <c r="R178" s="166" t="s">
        <v>69</v>
      </c>
      <c r="S178" s="166" t="s">
        <v>69</v>
      </c>
      <c r="T178" s="94">
        <v>42681</v>
      </c>
      <c r="U178" s="94">
        <v>43805</v>
      </c>
      <c r="V178" s="166" t="s">
        <v>69</v>
      </c>
      <c r="W178" s="94">
        <v>44169</v>
      </c>
      <c r="X178" s="94">
        <v>43714</v>
      </c>
      <c r="Y178" s="94">
        <v>44216</v>
      </c>
      <c r="Z178" s="94">
        <v>44841</v>
      </c>
      <c r="AA178" s="168">
        <v>46146</v>
      </c>
      <c r="AB178" s="166" t="s">
        <v>69</v>
      </c>
      <c r="AC178" s="166" t="s">
        <v>69</v>
      </c>
      <c r="AD178" s="167" t="s">
        <v>71</v>
      </c>
      <c r="AE178" s="167" t="s">
        <v>70</v>
      </c>
      <c r="AF178" s="112">
        <v>45639</v>
      </c>
      <c r="AG178" s="112" t="s">
        <v>69</v>
      </c>
      <c r="AH178" s="167" t="s">
        <v>71</v>
      </c>
      <c r="AI178" s="167" t="s">
        <v>70</v>
      </c>
      <c r="AJ178" s="167" t="s">
        <v>70</v>
      </c>
      <c r="AK178" s="167" t="s">
        <v>70</v>
      </c>
      <c r="AL178" s="166" t="s">
        <v>69</v>
      </c>
      <c r="AM178" s="166"/>
      <c r="AN178" s="166" t="s">
        <v>69</v>
      </c>
      <c r="AO178" s="167" t="s">
        <v>70</v>
      </c>
      <c r="AP178" s="166" t="s">
        <v>69</v>
      </c>
      <c r="AQ178" s="166" t="s">
        <v>69</v>
      </c>
      <c r="AR178" s="168">
        <v>46119</v>
      </c>
      <c r="AS178" s="168">
        <v>46066</v>
      </c>
      <c r="AT178" s="166" t="s">
        <v>69</v>
      </c>
      <c r="AU178" s="166" t="s">
        <v>69</v>
      </c>
      <c r="AV178" s="166" t="s">
        <v>69</v>
      </c>
      <c r="AW178" s="166" t="s">
        <v>69</v>
      </c>
      <c r="AX178" s="166" t="s">
        <v>69</v>
      </c>
      <c r="AY178" s="166" t="s">
        <v>69</v>
      </c>
      <c r="AZ178" s="166" t="s">
        <v>69</v>
      </c>
      <c r="BA178" s="166" t="s">
        <v>69</v>
      </c>
      <c r="BB178" s="166" t="s">
        <v>69</v>
      </c>
      <c r="BC178" s="166" t="s">
        <v>69</v>
      </c>
      <c r="BD178" s="166" t="s">
        <v>69</v>
      </c>
      <c r="BE178" s="166" t="s">
        <v>69</v>
      </c>
      <c r="BF178" s="166" t="s">
        <v>69</v>
      </c>
      <c r="BG178" s="167" t="s">
        <v>70</v>
      </c>
      <c r="BH178" s="166" t="s">
        <v>69</v>
      </c>
      <c r="BI178" s="166" t="s">
        <v>69</v>
      </c>
      <c r="BJ178" s="167" t="s">
        <v>70</v>
      </c>
      <c r="BK178" s="166" t="s">
        <v>69</v>
      </c>
      <c r="BL178" s="167" t="s">
        <v>70</v>
      </c>
      <c r="BM178" s="167" t="s">
        <v>70</v>
      </c>
      <c r="BN178" s="167" t="s">
        <v>70</v>
      </c>
      <c r="BO178" s="167" t="s">
        <v>70</v>
      </c>
      <c r="BP178" s="167" t="s">
        <v>70</v>
      </c>
      <c r="BQ178" s="151">
        <v>0</v>
      </c>
      <c r="BR178" s="142"/>
      <c r="BS178" s="142"/>
      <c r="BT178" s="142"/>
      <c r="BU178" s="142"/>
      <c r="BV178" s="142"/>
      <c r="BW178" s="142"/>
      <c r="BX178" s="142"/>
      <c r="BY178" s="142"/>
      <c r="BZ178" s="142"/>
      <c r="CA178" s="142"/>
      <c r="CB178" s="142"/>
      <c r="CC178" s="142"/>
      <c r="CD178" s="142"/>
      <c r="CE178" s="142"/>
      <c r="CF178" s="142"/>
      <c r="CG178" s="142"/>
      <c r="CH178" s="142"/>
      <c r="CI178" s="142"/>
      <c r="CJ178" s="142"/>
      <c r="CK178" s="142"/>
      <c r="CL178" s="142"/>
      <c r="CM178" s="142"/>
      <c r="CN178" s="142"/>
      <c r="CO178" s="142"/>
      <c r="CP178" s="142"/>
      <c r="CQ178" s="142"/>
      <c r="CR178" s="142"/>
      <c r="CS178" s="142"/>
      <c r="CT178" s="142"/>
      <c r="CU178" s="142"/>
      <c r="CV178" s="142"/>
      <c r="CW178" s="142"/>
      <c r="CX178" s="142"/>
      <c r="CY178" s="142"/>
      <c r="CZ178" s="142"/>
      <c r="DA178" s="142"/>
      <c r="DB178" s="142"/>
      <c r="DC178" s="142"/>
      <c r="DD178" s="142"/>
      <c r="DE178" s="142"/>
      <c r="DF178" s="142"/>
      <c r="DG178" s="142"/>
      <c r="DH178" s="142"/>
      <c r="DI178" s="142"/>
      <c r="DJ178" s="142"/>
      <c r="DK178" s="142"/>
      <c r="DL178" s="142"/>
      <c r="DM178" s="142"/>
      <c r="DN178" s="142"/>
      <c r="DO178" s="142"/>
      <c r="DP178" s="142"/>
      <c r="DQ178" s="142"/>
      <c r="DR178" s="142"/>
      <c r="DS178" s="142"/>
      <c r="DT178" s="142"/>
      <c r="DU178" s="142"/>
      <c r="DV178" s="142"/>
      <c r="DW178" s="142"/>
      <c r="DX178" s="142"/>
      <c r="DY178" s="142"/>
      <c r="DZ178" s="142"/>
      <c r="EA178" s="142"/>
      <c r="EB178" s="142"/>
      <c r="EC178" s="142"/>
      <c r="ED178" s="142"/>
      <c r="EE178" s="142"/>
      <c r="EF178" s="142"/>
    </row>
    <row r="179" spans="1:136" s="151" customFormat="1" ht="19.5" customHeight="1" x14ac:dyDescent="0.2">
      <c r="A179" s="117">
        <v>176</v>
      </c>
      <c r="B179" s="188" t="s">
        <v>290</v>
      </c>
      <c r="C179" s="189">
        <v>83075251</v>
      </c>
      <c r="D179" s="171" t="s">
        <v>291</v>
      </c>
      <c r="E179" s="117" t="s">
        <v>68</v>
      </c>
      <c r="F179" s="146" t="s">
        <v>256</v>
      </c>
      <c r="G179" s="124" t="s">
        <v>69</v>
      </c>
      <c r="H179" s="93">
        <v>46248</v>
      </c>
      <c r="I179" s="93">
        <v>46248</v>
      </c>
      <c r="J179" s="92">
        <f>IF(I179="", "", DATE(YEAR(I179)+3, MONTH(I179), DAY(I179)))</f>
        <v>47344</v>
      </c>
      <c r="K179" s="93">
        <v>46247</v>
      </c>
      <c r="L179" s="93">
        <v>46247</v>
      </c>
      <c r="M179" s="140">
        <f>IF(L179="", "", DATE(YEAR(L179)+3, MONTH(L179), DAY(L179)))</f>
        <v>47343</v>
      </c>
      <c r="N179" s="93">
        <v>46245</v>
      </c>
      <c r="O179" s="93">
        <v>46258</v>
      </c>
      <c r="P179" s="93">
        <v>46246</v>
      </c>
      <c r="Q179" s="167" t="s">
        <v>70</v>
      </c>
      <c r="R179" s="167" t="s">
        <v>70</v>
      </c>
      <c r="S179" s="167" t="s">
        <v>70</v>
      </c>
      <c r="T179" s="167" t="s">
        <v>70</v>
      </c>
      <c r="U179" s="167" t="s">
        <v>70</v>
      </c>
      <c r="V179" s="167" t="s">
        <v>70</v>
      </c>
      <c r="W179" s="167" t="s">
        <v>70</v>
      </c>
      <c r="X179" s="167" t="s">
        <v>70</v>
      </c>
      <c r="Y179" s="167" t="s">
        <v>70</v>
      </c>
      <c r="Z179" s="167" t="s">
        <v>70</v>
      </c>
      <c r="AA179" s="167" t="s">
        <v>70</v>
      </c>
      <c r="AB179" s="167" t="s">
        <v>70</v>
      </c>
      <c r="AC179" s="167" t="s">
        <v>70</v>
      </c>
      <c r="AD179" s="167" t="s">
        <v>70</v>
      </c>
      <c r="AE179" s="167" t="s">
        <v>70</v>
      </c>
      <c r="AF179" s="167" t="s">
        <v>70</v>
      </c>
      <c r="AG179" s="167" t="s">
        <v>70</v>
      </c>
      <c r="AH179" s="167" t="s">
        <v>70</v>
      </c>
      <c r="AI179" s="181">
        <v>45168</v>
      </c>
      <c r="AJ179" s="163">
        <v>45359</v>
      </c>
      <c r="AK179" s="167" t="s">
        <v>70</v>
      </c>
      <c r="AL179" s="166" t="s">
        <v>69</v>
      </c>
      <c r="AM179" s="166"/>
      <c r="AN179" s="167" t="s">
        <v>70</v>
      </c>
      <c r="AO179" s="167" t="s">
        <v>70</v>
      </c>
      <c r="AP179" s="167" t="s">
        <v>70</v>
      </c>
      <c r="AQ179" s="173"/>
      <c r="AR179" s="173"/>
      <c r="AS179" s="166" t="s">
        <v>69</v>
      </c>
      <c r="AT179" s="173"/>
      <c r="AU179" s="167" t="s">
        <v>70</v>
      </c>
      <c r="AV179" s="167" t="s">
        <v>70</v>
      </c>
      <c r="AW179" s="167" t="s">
        <v>70</v>
      </c>
      <c r="AX179" s="167" t="s">
        <v>70</v>
      </c>
      <c r="AY179" s="167" t="s">
        <v>70</v>
      </c>
      <c r="AZ179" s="167" t="s">
        <v>70</v>
      </c>
      <c r="BA179" s="167" t="s">
        <v>70</v>
      </c>
      <c r="BB179" s="167" t="s">
        <v>70</v>
      </c>
      <c r="BC179" s="167" t="s">
        <v>70</v>
      </c>
      <c r="BD179" s="167" t="s">
        <v>70</v>
      </c>
      <c r="BE179" s="167" t="s">
        <v>70</v>
      </c>
      <c r="BF179" s="167" t="s">
        <v>70</v>
      </c>
      <c r="BG179" s="167" t="s">
        <v>70</v>
      </c>
      <c r="BH179" s="167" t="s">
        <v>70</v>
      </c>
      <c r="BI179" s="167" t="s">
        <v>70</v>
      </c>
      <c r="BJ179" s="167" t="s">
        <v>70</v>
      </c>
      <c r="BK179" s="167" t="s">
        <v>70</v>
      </c>
      <c r="BL179" s="167" t="s">
        <v>70</v>
      </c>
      <c r="BM179" s="167" t="s">
        <v>70</v>
      </c>
      <c r="BN179" s="167" t="s">
        <v>70</v>
      </c>
      <c r="BO179" s="167" t="s">
        <v>70</v>
      </c>
      <c r="BP179" s="167" t="s">
        <v>70</v>
      </c>
      <c r="BQ179" s="151" t="s">
        <v>256</v>
      </c>
    </row>
    <row r="180" spans="1:136" s="151" customFormat="1" ht="19.5" customHeight="1" x14ac:dyDescent="0.2">
      <c r="A180" s="117">
        <v>177</v>
      </c>
      <c r="B180" s="177" t="s">
        <v>228</v>
      </c>
      <c r="C180" s="177">
        <v>83075406</v>
      </c>
      <c r="D180" s="177" t="s">
        <v>229</v>
      </c>
      <c r="E180" s="123" t="s">
        <v>68</v>
      </c>
      <c r="F180" s="146" t="s">
        <v>208</v>
      </c>
      <c r="G180" s="163">
        <v>40970</v>
      </c>
      <c r="H180" s="89">
        <v>42422</v>
      </c>
      <c r="I180" s="172">
        <v>46077</v>
      </c>
      <c r="J180" s="162">
        <f>IF(I180="", "", DATE(YEAR(I180)+2, MONTH(I180), DAY(I180)))</f>
        <v>46807</v>
      </c>
      <c r="K180" s="89">
        <v>42422</v>
      </c>
      <c r="L180" s="111">
        <v>46058</v>
      </c>
      <c r="M180" s="163">
        <f>IF(L180="", "", DATE(YEAR(L180)+2, MONTH(L180), DAY(L180)))</f>
        <v>46788</v>
      </c>
      <c r="N180" s="89">
        <v>42415</v>
      </c>
      <c r="O180" s="89"/>
      <c r="P180" s="89"/>
      <c r="Q180" s="167" t="s">
        <v>70</v>
      </c>
      <c r="R180" s="167" t="s">
        <v>70</v>
      </c>
      <c r="S180" s="167" t="s">
        <v>70</v>
      </c>
      <c r="T180" s="167" t="s">
        <v>70</v>
      </c>
      <c r="U180" s="167" t="s">
        <v>70</v>
      </c>
      <c r="V180" s="167" t="s">
        <v>70</v>
      </c>
      <c r="W180" s="167" t="s">
        <v>70</v>
      </c>
      <c r="X180" s="167" t="s">
        <v>70</v>
      </c>
      <c r="Y180" s="167" t="s">
        <v>70</v>
      </c>
      <c r="Z180" s="167" t="s">
        <v>70</v>
      </c>
      <c r="AA180" s="167" t="s">
        <v>70</v>
      </c>
      <c r="AB180" s="167" t="s">
        <v>70</v>
      </c>
      <c r="AC180" s="167" t="s">
        <v>70</v>
      </c>
      <c r="AD180" s="167" t="s">
        <v>70</v>
      </c>
      <c r="AE180" s="167" t="s">
        <v>70</v>
      </c>
      <c r="AF180" s="167" t="s">
        <v>70</v>
      </c>
      <c r="AG180" s="167" t="s">
        <v>70</v>
      </c>
      <c r="AH180" s="167" t="s">
        <v>70</v>
      </c>
      <c r="AI180" s="111">
        <v>45491</v>
      </c>
      <c r="AJ180" s="111">
        <v>45491</v>
      </c>
      <c r="AK180" s="111">
        <v>46303</v>
      </c>
      <c r="AL180" s="166" t="s">
        <v>69</v>
      </c>
      <c r="AM180" s="166"/>
      <c r="AN180" s="167" t="s">
        <v>70</v>
      </c>
      <c r="AO180" s="167" t="s">
        <v>70</v>
      </c>
      <c r="AP180" s="167" t="s">
        <v>70</v>
      </c>
      <c r="AQ180" s="173"/>
      <c r="AR180" s="166" t="s">
        <v>69</v>
      </c>
      <c r="AS180" s="166" t="s">
        <v>69</v>
      </c>
      <c r="AT180" s="173"/>
      <c r="AU180" s="167" t="s">
        <v>70</v>
      </c>
      <c r="AV180" s="167" t="s">
        <v>70</v>
      </c>
      <c r="AW180" s="167" t="s">
        <v>70</v>
      </c>
      <c r="AX180" s="167" t="s">
        <v>70</v>
      </c>
      <c r="AY180" s="167" t="s">
        <v>70</v>
      </c>
      <c r="AZ180" s="167" t="s">
        <v>70</v>
      </c>
      <c r="BA180" s="167" t="s">
        <v>70</v>
      </c>
      <c r="BB180" s="167" t="s">
        <v>70</v>
      </c>
      <c r="BC180" s="167" t="s">
        <v>70</v>
      </c>
      <c r="BD180" s="167" t="s">
        <v>70</v>
      </c>
      <c r="BE180" s="167" t="s">
        <v>70</v>
      </c>
      <c r="BF180" s="167" t="s">
        <v>70</v>
      </c>
      <c r="BG180" s="167" t="s">
        <v>70</v>
      </c>
      <c r="BH180" s="167" t="s">
        <v>70</v>
      </c>
      <c r="BI180" s="167" t="s">
        <v>70</v>
      </c>
      <c r="BJ180" s="167" t="s">
        <v>70</v>
      </c>
      <c r="BK180" s="167" t="s">
        <v>70</v>
      </c>
      <c r="BL180" s="167" t="s">
        <v>70</v>
      </c>
      <c r="BM180" s="167" t="s">
        <v>70</v>
      </c>
      <c r="BN180" s="167" t="s">
        <v>70</v>
      </c>
      <c r="BO180" s="167" t="s">
        <v>70</v>
      </c>
      <c r="BP180" s="167" t="s">
        <v>70</v>
      </c>
      <c r="BQ180" s="151" t="s">
        <v>208</v>
      </c>
      <c r="BR180" s="142"/>
      <c r="BS180" s="142"/>
      <c r="BT180" s="142"/>
      <c r="BU180" s="142"/>
      <c r="BV180" s="142"/>
      <c r="BW180" s="142"/>
      <c r="BX180" s="142"/>
      <c r="BY180" s="142"/>
      <c r="BZ180" s="142"/>
      <c r="CA180" s="142"/>
      <c r="CB180" s="142"/>
      <c r="CC180" s="142"/>
      <c r="CD180" s="142"/>
      <c r="CE180" s="142"/>
      <c r="CF180" s="142"/>
      <c r="CG180" s="142"/>
      <c r="CH180" s="142"/>
      <c r="CI180" s="142"/>
      <c r="CJ180" s="142"/>
      <c r="CK180" s="142"/>
      <c r="CL180" s="142"/>
      <c r="CM180" s="142"/>
      <c r="CN180" s="142"/>
      <c r="CO180" s="142"/>
      <c r="CP180" s="142"/>
      <c r="CQ180" s="142"/>
      <c r="CR180" s="142"/>
      <c r="CS180" s="142"/>
      <c r="CT180" s="142"/>
      <c r="CU180" s="142"/>
      <c r="CV180" s="142"/>
      <c r="CW180" s="142"/>
      <c r="CX180" s="142"/>
      <c r="CY180" s="142"/>
      <c r="CZ180" s="142"/>
      <c r="DA180" s="142"/>
      <c r="DB180" s="142"/>
      <c r="DC180" s="142"/>
      <c r="DD180" s="142"/>
      <c r="DE180" s="142"/>
      <c r="DF180" s="142"/>
      <c r="DG180" s="142"/>
      <c r="DH180" s="142"/>
      <c r="DI180" s="142"/>
      <c r="DJ180" s="142"/>
      <c r="DK180" s="142"/>
      <c r="DL180" s="142"/>
      <c r="DM180" s="142"/>
      <c r="DN180" s="142"/>
      <c r="DO180" s="142"/>
      <c r="DP180" s="142"/>
      <c r="DQ180" s="142"/>
      <c r="DR180" s="142"/>
      <c r="DS180" s="142"/>
      <c r="DT180" s="142"/>
      <c r="DU180" s="142"/>
      <c r="DV180" s="142"/>
      <c r="DW180" s="142"/>
      <c r="DX180" s="142"/>
      <c r="DY180" s="142"/>
      <c r="DZ180" s="142"/>
      <c r="EA180" s="142"/>
      <c r="EB180" s="142"/>
      <c r="EC180" s="142"/>
      <c r="ED180" s="142"/>
      <c r="EE180" s="142"/>
      <c r="EF180" s="142"/>
    </row>
    <row r="181" spans="1:136" s="151" customFormat="1" ht="19.5" customHeight="1" x14ac:dyDescent="0.2">
      <c r="A181" s="117">
        <v>178</v>
      </c>
      <c r="B181" s="177" t="s">
        <v>206</v>
      </c>
      <c r="C181" s="177">
        <v>83040044</v>
      </c>
      <c r="D181" s="171" t="s">
        <v>207</v>
      </c>
      <c r="E181" s="123" t="s">
        <v>68</v>
      </c>
      <c r="F181" s="146" t="s">
        <v>208</v>
      </c>
      <c r="G181" s="140">
        <v>40987</v>
      </c>
      <c r="H181" s="89">
        <v>40744</v>
      </c>
      <c r="I181" s="162">
        <v>46149</v>
      </c>
      <c r="J181" s="162">
        <f>IF(I181="", "", DATE(YEAR(I181)+2, MONTH(I181), DAY(I181)))</f>
        <v>46880</v>
      </c>
      <c r="K181" s="89">
        <v>40865</v>
      </c>
      <c r="L181" s="92">
        <v>46148</v>
      </c>
      <c r="M181" s="163">
        <f>IF(L181="", "", DATE(YEAR(L181)+2, MONTH(L181), DAY(L181)))</f>
        <v>46879</v>
      </c>
      <c r="N181" s="89">
        <v>42429</v>
      </c>
      <c r="O181" s="89">
        <v>42429</v>
      </c>
      <c r="P181" s="89">
        <v>42429</v>
      </c>
      <c r="Q181" s="167" t="s">
        <v>70</v>
      </c>
      <c r="R181" s="167" t="s">
        <v>70</v>
      </c>
      <c r="S181" s="167" t="s">
        <v>70</v>
      </c>
      <c r="T181" s="167" t="s">
        <v>70</v>
      </c>
      <c r="U181" s="167" t="s">
        <v>70</v>
      </c>
      <c r="V181" s="167" t="s">
        <v>70</v>
      </c>
      <c r="W181" s="167" t="s">
        <v>70</v>
      </c>
      <c r="X181" s="167" t="s">
        <v>70</v>
      </c>
      <c r="Y181" s="167" t="s">
        <v>70</v>
      </c>
      <c r="Z181" s="167" t="s">
        <v>70</v>
      </c>
      <c r="AA181" s="167" t="s">
        <v>70</v>
      </c>
      <c r="AB181" s="167" t="s">
        <v>70</v>
      </c>
      <c r="AC181" s="167" t="s">
        <v>70</v>
      </c>
      <c r="AD181" s="167" t="s">
        <v>70</v>
      </c>
      <c r="AE181" s="167" t="s">
        <v>70</v>
      </c>
      <c r="AF181" s="167" t="s">
        <v>70</v>
      </c>
      <c r="AG181" s="167" t="s">
        <v>70</v>
      </c>
      <c r="AH181" s="167" t="s">
        <v>70</v>
      </c>
      <c r="AI181" s="111">
        <v>45827</v>
      </c>
      <c r="AJ181" s="94">
        <v>45358</v>
      </c>
      <c r="AK181" s="167" t="s">
        <v>70</v>
      </c>
      <c r="AL181" s="167" t="s">
        <v>70</v>
      </c>
      <c r="AM181" s="167"/>
      <c r="AN181" s="167" t="s">
        <v>70</v>
      </c>
      <c r="AO181" s="167" t="s">
        <v>70</v>
      </c>
      <c r="AP181" s="167" t="s">
        <v>70</v>
      </c>
      <c r="AQ181" s="167" t="s">
        <v>70</v>
      </c>
      <c r="AR181" s="168">
        <v>46034</v>
      </c>
      <c r="AS181" s="167" t="s">
        <v>70</v>
      </c>
      <c r="AT181" s="167" t="s">
        <v>70</v>
      </c>
      <c r="AU181" s="167" t="s">
        <v>70</v>
      </c>
      <c r="AV181" s="167" t="s">
        <v>70</v>
      </c>
      <c r="AW181" s="167" t="s">
        <v>70</v>
      </c>
      <c r="AX181" s="167" t="s">
        <v>70</v>
      </c>
      <c r="AY181" s="167" t="s">
        <v>70</v>
      </c>
      <c r="AZ181" s="167" t="s">
        <v>70</v>
      </c>
      <c r="BA181" s="167" t="s">
        <v>70</v>
      </c>
      <c r="BB181" s="167" t="s">
        <v>70</v>
      </c>
      <c r="BC181" s="167" t="s">
        <v>70</v>
      </c>
      <c r="BD181" s="167" t="s">
        <v>70</v>
      </c>
      <c r="BE181" s="167" t="s">
        <v>70</v>
      </c>
      <c r="BF181" s="167" t="s">
        <v>70</v>
      </c>
      <c r="BG181" s="167" t="s">
        <v>70</v>
      </c>
      <c r="BH181" s="167" t="s">
        <v>70</v>
      </c>
      <c r="BI181" s="167" t="s">
        <v>70</v>
      </c>
      <c r="BJ181" s="167" t="s">
        <v>70</v>
      </c>
      <c r="BK181" s="167" t="s">
        <v>70</v>
      </c>
      <c r="BL181" s="167" t="s">
        <v>70</v>
      </c>
      <c r="BM181" s="167" t="s">
        <v>70</v>
      </c>
      <c r="BN181" s="167" t="s">
        <v>70</v>
      </c>
      <c r="BO181" s="167" t="s">
        <v>70</v>
      </c>
      <c r="BP181" s="167" t="s">
        <v>70</v>
      </c>
      <c r="BQ181" s="151" t="s">
        <v>208</v>
      </c>
      <c r="BR181" s="142"/>
      <c r="BS181" s="142"/>
      <c r="BT181" s="142"/>
      <c r="BU181" s="142"/>
      <c r="BV181" s="142"/>
      <c r="BW181" s="142"/>
      <c r="BX181" s="142"/>
      <c r="BY181" s="142"/>
      <c r="BZ181" s="142"/>
      <c r="CA181" s="142"/>
      <c r="CB181" s="142"/>
      <c r="CC181" s="142"/>
      <c r="CD181" s="142"/>
      <c r="CE181" s="142"/>
      <c r="CF181" s="142"/>
      <c r="CG181" s="142"/>
      <c r="CH181" s="142"/>
      <c r="CI181" s="142"/>
      <c r="CJ181" s="142"/>
      <c r="CK181" s="142"/>
      <c r="CL181" s="142"/>
      <c r="CM181" s="142"/>
      <c r="CN181" s="142"/>
      <c r="CO181" s="142"/>
      <c r="CP181" s="142"/>
      <c r="CQ181" s="142"/>
      <c r="CR181" s="142"/>
      <c r="CS181" s="142"/>
      <c r="CT181" s="142"/>
      <c r="CU181" s="142"/>
      <c r="CV181" s="142"/>
      <c r="CW181" s="142"/>
      <c r="CX181" s="142"/>
      <c r="CY181" s="142"/>
      <c r="CZ181" s="142"/>
      <c r="DA181" s="142"/>
      <c r="DB181" s="142"/>
      <c r="DC181" s="142"/>
      <c r="DD181" s="142"/>
      <c r="DE181" s="142"/>
      <c r="DF181" s="142"/>
      <c r="DG181" s="142"/>
      <c r="DH181" s="142"/>
      <c r="DI181" s="142"/>
      <c r="DJ181" s="142"/>
      <c r="DK181" s="142"/>
      <c r="DL181" s="142"/>
      <c r="DM181" s="142"/>
      <c r="DN181" s="142"/>
      <c r="DO181" s="142"/>
      <c r="DP181" s="142"/>
      <c r="DQ181" s="142"/>
      <c r="DR181" s="142"/>
      <c r="DS181" s="142"/>
      <c r="DT181" s="142"/>
      <c r="DU181" s="142"/>
      <c r="DV181" s="142"/>
      <c r="DW181" s="142"/>
      <c r="DX181" s="142"/>
      <c r="DY181" s="142"/>
      <c r="DZ181" s="142"/>
      <c r="EA181" s="142"/>
      <c r="EB181" s="142"/>
      <c r="EC181" s="142"/>
      <c r="ED181" s="142"/>
      <c r="EE181" s="142"/>
      <c r="EF181" s="142"/>
    </row>
    <row r="182" spans="1:136" s="151" customFormat="1" ht="19.5" customHeight="1" x14ac:dyDescent="0.2">
      <c r="A182" s="117">
        <v>179</v>
      </c>
      <c r="B182" s="117" t="s">
        <v>247</v>
      </c>
      <c r="C182" s="117">
        <v>83040032</v>
      </c>
      <c r="D182" s="117" t="s">
        <v>212</v>
      </c>
      <c r="E182" s="123" t="s">
        <v>68</v>
      </c>
      <c r="F182" s="146" t="s">
        <v>256</v>
      </c>
      <c r="G182" s="217">
        <v>38113</v>
      </c>
      <c r="H182" s="89"/>
      <c r="I182" s="89"/>
      <c r="J182" s="162"/>
      <c r="K182" s="89"/>
      <c r="L182" s="89"/>
      <c r="M182" s="163"/>
      <c r="N182" s="89"/>
      <c r="O182" s="89"/>
      <c r="P182" s="89"/>
      <c r="Q182" s="167" t="s">
        <v>70</v>
      </c>
      <c r="R182" s="167" t="s">
        <v>70</v>
      </c>
      <c r="S182" s="167" t="s">
        <v>70</v>
      </c>
      <c r="T182" s="167" t="s">
        <v>70</v>
      </c>
      <c r="U182" s="167" t="s">
        <v>70</v>
      </c>
      <c r="V182" s="167" t="s">
        <v>70</v>
      </c>
      <c r="W182" s="167" t="s">
        <v>70</v>
      </c>
      <c r="X182" s="167" t="s">
        <v>70</v>
      </c>
      <c r="Y182" s="167" t="s">
        <v>70</v>
      </c>
      <c r="Z182" s="167" t="s">
        <v>70</v>
      </c>
      <c r="AA182" s="167" t="s">
        <v>70</v>
      </c>
      <c r="AB182" s="167" t="s">
        <v>70</v>
      </c>
      <c r="AC182" s="167" t="s">
        <v>70</v>
      </c>
      <c r="AD182" s="167" t="s">
        <v>70</v>
      </c>
      <c r="AE182" s="167" t="s">
        <v>70</v>
      </c>
      <c r="AF182" s="167" t="s">
        <v>70</v>
      </c>
      <c r="AG182" s="167" t="s">
        <v>70</v>
      </c>
      <c r="AH182" s="167" t="s">
        <v>70</v>
      </c>
      <c r="AI182" s="111">
        <v>45967</v>
      </c>
      <c r="AJ182" s="94">
        <v>45360</v>
      </c>
      <c r="AK182" s="167" t="s">
        <v>70</v>
      </c>
      <c r="AL182" s="167" t="s">
        <v>70</v>
      </c>
      <c r="AM182" s="167"/>
      <c r="AN182" s="167" t="s">
        <v>70</v>
      </c>
      <c r="AO182" s="167" t="s">
        <v>70</v>
      </c>
      <c r="AP182" s="167" t="s">
        <v>70</v>
      </c>
      <c r="AQ182" s="167" t="s">
        <v>70</v>
      </c>
      <c r="AR182" s="166" t="s">
        <v>69</v>
      </c>
      <c r="AS182" s="167" t="s">
        <v>70</v>
      </c>
      <c r="AT182" s="167" t="s">
        <v>70</v>
      </c>
      <c r="AU182" s="167" t="s">
        <v>70</v>
      </c>
      <c r="AV182" s="167" t="s">
        <v>70</v>
      </c>
      <c r="AW182" s="167" t="s">
        <v>70</v>
      </c>
      <c r="AX182" s="167" t="s">
        <v>70</v>
      </c>
      <c r="AY182" s="167" t="s">
        <v>70</v>
      </c>
      <c r="AZ182" s="167" t="s">
        <v>70</v>
      </c>
      <c r="BA182" s="167" t="s">
        <v>70</v>
      </c>
      <c r="BB182" s="167" t="s">
        <v>70</v>
      </c>
      <c r="BC182" s="167" t="s">
        <v>70</v>
      </c>
      <c r="BD182" s="167" t="s">
        <v>70</v>
      </c>
      <c r="BE182" s="167" t="s">
        <v>70</v>
      </c>
      <c r="BF182" s="167" t="s">
        <v>70</v>
      </c>
      <c r="BG182" s="167" t="s">
        <v>70</v>
      </c>
      <c r="BH182" s="167" t="s">
        <v>70</v>
      </c>
      <c r="BI182" s="167" t="s">
        <v>70</v>
      </c>
      <c r="BJ182" s="167" t="s">
        <v>70</v>
      </c>
      <c r="BK182" s="167" t="s">
        <v>70</v>
      </c>
      <c r="BL182" s="167" t="s">
        <v>70</v>
      </c>
      <c r="BM182" s="167" t="s">
        <v>70</v>
      </c>
      <c r="BN182" s="167" t="s">
        <v>70</v>
      </c>
      <c r="BO182" s="167" t="s">
        <v>70</v>
      </c>
      <c r="BP182" s="167" t="s">
        <v>70</v>
      </c>
      <c r="BQ182" s="151" t="s">
        <v>208</v>
      </c>
      <c r="BR182" s="142"/>
      <c r="BS182" s="142"/>
      <c r="BT182" s="142"/>
      <c r="BU182" s="142"/>
      <c r="BV182" s="142"/>
      <c r="BW182" s="142"/>
      <c r="BX182" s="142"/>
      <c r="BY182" s="142"/>
      <c r="BZ182" s="142"/>
      <c r="CA182" s="142"/>
      <c r="CB182" s="142"/>
      <c r="CC182" s="142"/>
      <c r="CD182" s="142"/>
      <c r="CE182" s="142"/>
      <c r="CF182" s="142"/>
      <c r="CG182" s="142"/>
      <c r="CH182" s="142"/>
      <c r="CI182" s="142"/>
      <c r="CJ182" s="142"/>
      <c r="CK182" s="142"/>
      <c r="CL182" s="142"/>
      <c r="CM182" s="142"/>
      <c r="CN182" s="142"/>
      <c r="CO182" s="142"/>
      <c r="CP182" s="142"/>
      <c r="CQ182" s="142"/>
      <c r="CR182" s="142"/>
      <c r="CS182" s="142"/>
      <c r="CT182" s="142"/>
      <c r="CU182" s="142"/>
      <c r="CV182" s="142"/>
      <c r="CW182" s="142"/>
      <c r="CX182" s="142"/>
      <c r="CY182" s="142"/>
      <c r="CZ182" s="142"/>
      <c r="DA182" s="142"/>
      <c r="DB182" s="142"/>
      <c r="DC182" s="142"/>
      <c r="DD182" s="142"/>
      <c r="DE182" s="142"/>
      <c r="DF182" s="142"/>
      <c r="DG182" s="142"/>
      <c r="DH182" s="142"/>
      <c r="DI182" s="142"/>
      <c r="DJ182" s="142"/>
      <c r="DK182" s="142"/>
      <c r="DL182" s="142"/>
      <c r="DM182" s="142"/>
      <c r="DN182" s="142"/>
      <c r="DO182" s="142"/>
      <c r="DP182" s="142"/>
      <c r="DQ182" s="142"/>
      <c r="DR182" s="142"/>
      <c r="DS182" s="142"/>
      <c r="DT182" s="142"/>
      <c r="DU182" s="142"/>
      <c r="DV182" s="142"/>
      <c r="DW182" s="142"/>
      <c r="DX182" s="142"/>
      <c r="DY182" s="142"/>
      <c r="DZ182" s="142"/>
      <c r="EA182" s="142"/>
      <c r="EB182" s="142"/>
      <c r="EC182" s="142"/>
      <c r="ED182" s="142"/>
      <c r="EE182" s="142"/>
      <c r="EF182" s="142"/>
    </row>
    <row r="183" spans="1:136" s="151" customFormat="1" ht="19.5" customHeight="1" x14ac:dyDescent="0.2">
      <c r="A183" s="117">
        <v>180</v>
      </c>
      <c r="B183" s="121" t="s">
        <v>285</v>
      </c>
      <c r="C183" s="122">
        <v>83075887</v>
      </c>
      <c r="D183" s="117" t="s">
        <v>212</v>
      </c>
      <c r="E183" s="117" t="s">
        <v>68</v>
      </c>
      <c r="F183" s="146" t="s">
        <v>256</v>
      </c>
      <c r="G183" s="124" t="s">
        <v>69</v>
      </c>
      <c r="H183" s="190" t="s">
        <v>286</v>
      </c>
      <c r="I183" s="93">
        <v>45889</v>
      </c>
      <c r="J183" s="92">
        <f>IF(I183="", "", DATE(YEAR(I183)+3, MONTH(I183), DAY(L183)))</f>
        <v>46984</v>
      </c>
      <c r="K183" s="190" t="s">
        <v>287</v>
      </c>
      <c r="L183" s="190">
        <v>45888</v>
      </c>
      <c r="M183" s="140">
        <f>IF(L183="", "", DATE(YEAR(L183)+3, MONTH(L183), DAY(L183)))</f>
        <v>46984</v>
      </c>
      <c r="N183" s="93">
        <v>45891</v>
      </c>
      <c r="O183" s="93">
        <v>45890</v>
      </c>
      <c r="P183" s="190">
        <v>45887</v>
      </c>
      <c r="Q183" s="167" t="s">
        <v>70</v>
      </c>
      <c r="R183" s="167" t="s">
        <v>70</v>
      </c>
      <c r="S183" s="167" t="s">
        <v>70</v>
      </c>
      <c r="T183" s="167" t="s">
        <v>70</v>
      </c>
      <c r="U183" s="167" t="s">
        <v>70</v>
      </c>
      <c r="V183" s="167" t="s">
        <v>70</v>
      </c>
      <c r="W183" s="167" t="s">
        <v>70</v>
      </c>
      <c r="X183" s="167" t="s">
        <v>70</v>
      </c>
      <c r="Y183" s="167" t="s">
        <v>70</v>
      </c>
      <c r="Z183" s="167" t="s">
        <v>70</v>
      </c>
      <c r="AA183" s="167" t="s">
        <v>70</v>
      </c>
      <c r="AB183" s="167" t="s">
        <v>70</v>
      </c>
      <c r="AC183" s="167" t="s">
        <v>70</v>
      </c>
      <c r="AD183" s="167" t="s">
        <v>70</v>
      </c>
      <c r="AE183" s="167" t="s">
        <v>70</v>
      </c>
      <c r="AF183" s="167" t="s">
        <v>70</v>
      </c>
      <c r="AG183" s="167" t="s">
        <v>70</v>
      </c>
      <c r="AH183" s="167" t="s">
        <v>70</v>
      </c>
      <c r="AI183" s="181">
        <v>45994</v>
      </c>
      <c r="AJ183" s="163">
        <v>45350</v>
      </c>
      <c r="AK183" s="167" t="s">
        <v>70</v>
      </c>
      <c r="AL183" s="167" t="s">
        <v>70</v>
      </c>
      <c r="AM183" s="167"/>
      <c r="AN183" s="167" t="s">
        <v>70</v>
      </c>
      <c r="AO183" s="167" t="s">
        <v>70</v>
      </c>
      <c r="AP183" s="167" t="s">
        <v>70</v>
      </c>
      <c r="AQ183" s="167" t="s">
        <v>70</v>
      </c>
      <c r="AR183" s="166" t="s">
        <v>69</v>
      </c>
      <c r="AS183" s="167" t="s">
        <v>70</v>
      </c>
      <c r="AT183" s="167" t="s">
        <v>70</v>
      </c>
      <c r="AU183" s="167" t="s">
        <v>70</v>
      </c>
      <c r="AV183" s="167" t="s">
        <v>70</v>
      </c>
      <c r="AW183" s="167" t="s">
        <v>70</v>
      </c>
      <c r="AX183" s="167" t="s">
        <v>70</v>
      </c>
      <c r="AY183" s="167" t="s">
        <v>70</v>
      </c>
      <c r="AZ183" s="167" t="s">
        <v>70</v>
      </c>
      <c r="BA183" s="167" t="s">
        <v>70</v>
      </c>
      <c r="BB183" s="167" t="s">
        <v>70</v>
      </c>
      <c r="BC183" s="167" t="s">
        <v>70</v>
      </c>
      <c r="BD183" s="167" t="s">
        <v>70</v>
      </c>
      <c r="BE183" s="167" t="s">
        <v>70</v>
      </c>
      <c r="BF183" s="167" t="s">
        <v>70</v>
      </c>
      <c r="BG183" s="167" t="s">
        <v>70</v>
      </c>
      <c r="BH183" s="167" t="s">
        <v>70</v>
      </c>
      <c r="BI183" s="167" t="s">
        <v>70</v>
      </c>
      <c r="BJ183" s="167" t="s">
        <v>70</v>
      </c>
      <c r="BK183" s="167" t="s">
        <v>70</v>
      </c>
      <c r="BL183" s="167" t="s">
        <v>70</v>
      </c>
      <c r="BM183" s="167" t="s">
        <v>70</v>
      </c>
      <c r="BN183" s="167" t="s">
        <v>70</v>
      </c>
      <c r="BO183" s="167" t="s">
        <v>70</v>
      </c>
      <c r="BP183" s="167" t="s">
        <v>70</v>
      </c>
      <c r="BQ183" s="151" t="s">
        <v>256</v>
      </c>
    </row>
    <row r="184" spans="1:136" s="151" customFormat="1" ht="19.5" customHeight="1" x14ac:dyDescent="0.2">
      <c r="A184" s="117">
        <v>181</v>
      </c>
      <c r="B184" s="174" t="s">
        <v>313</v>
      </c>
      <c r="C184" s="144">
        <v>145548</v>
      </c>
      <c r="D184" s="117" t="s">
        <v>212</v>
      </c>
      <c r="E184" s="146" t="s">
        <v>83</v>
      </c>
      <c r="F184" s="146" t="s">
        <v>208</v>
      </c>
      <c r="G184" s="119" t="s">
        <v>69</v>
      </c>
      <c r="H184" s="111">
        <v>45554</v>
      </c>
      <c r="I184" s="111">
        <v>46272</v>
      </c>
      <c r="J184" s="162">
        <f>IF(I184="", "", DATE(YEAR(I184)+2, MONTH(I184), DAY(I184)))</f>
        <v>47003</v>
      </c>
      <c r="K184" s="111">
        <v>45462</v>
      </c>
      <c r="L184" s="111">
        <v>46191</v>
      </c>
      <c r="M184" s="163">
        <f>IF(L184="", "", DATE(YEAR(L184)+2, MONTH(L184), DAY(L184)))</f>
        <v>46922</v>
      </c>
      <c r="N184" s="111">
        <v>42710</v>
      </c>
      <c r="O184" s="111">
        <v>45628</v>
      </c>
      <c r="P184" s="111">
        <v>42712</v>
      </c>
      <c r="Q184" s="167" t="s">
        <v>70</v>
      </c>
      <c r="R184" s="167" t="s">
        <v>70</v>
      </c>
      <c r="S184" s="167" t="s">
        <v>70</v>
      </c>
      <c r="T184" s="167" t="s">
        <v>70</v>
      </c>
      <c r="U184" s="167" t="s">
        <v>70</v>
      </c>
      <c r="V184" s="167" t="s">
        <v>70</v>
      </c>
      <c r="W184" s="167" t="s">
        <v>70</v>
      </c>
      <c r="X184" s="167" t="s">
        <v>70</v>
      </c>
      <c r="Y184" s="167" t="s">
        <v>70</v>
      </c>
      <c r="Z184" s="167" t="s">
        <v>70</v>
      </c>
      <c r="AA184" s="167" t="s">
        <v>70</v>
      </c>
      <c r="AB184" s="167" t="s">
        <v>70</v>
      </c>
      <c r="AC184" s="167" t="s">
        <v>70</v>
      </c>
      <c r="AD184" s="167" t="s">
        <v>70</v>
      </c>
      <c r="AE184" s="167" t="s">
        <v>70</v>
      </c>
      <c r="AF184" s="167" t="s">
        <v>70</v>
      </c>
      <c r="AG184" s="167" t="s">
        <v>70</v>
      </c>
      <c r="AH184" s="167" t="s">
        <v>70</v>
      </c>
      <c r="AI184" s="111">
        <v>45975</v>
      </c>
      <c r="AJ184" s="166" t="s">
        <v>69</v>
      </c>
      <c r="AK184" s="167" t="s">
        <v>70</v>
      </c>
      <c r="AL184" s="167" t="s">
        <v>70</v>
      </c>
      <c r="AM184" s="167"/>
      <c r="AN184" s="167" t="s">
        <v>70</v>
      </c>
      <c r="AO184" s="167" t="s">
        <v>70</v>
      </c>
      <c r="AP184" s="167" t="s">
        <v>70</v>
      </c>
      <c r="AQ184" s="167" t="s">
        <v>70</v>
      </c>
      <c r="AR184" s="166" t="s">
        <v>69</v>
      </c>
      <c r="AS184" s="167" t="s">
        <v>70</v>
      </c>
      <c r="AT184" s="167" t="s">
        <v>70</v>
      </c>
      <c r="AU184" s="167" t="s">
        <v>70</v>
      </c>
      <c r="AV184" s="167" t="s">
        <v>70</v>
      </c>
      <c r="AW184" s="167" t="s">
        <v>70</v>
      </c>
      <c r="AX184" s="167" t="s">
        <v>70</v>
      </c>
      <c r="AY184" s="167" t="s">
        <v>70</v>
      </c>
      <c r="AZ184" s="167" t="s">
        <v>70</v>
      </c>
      <c r="BA184" s="167" t="s">
        <v>70</v>
      </c>
      <c r="BB184" s="167" t="s">
        <v>70</v>
      </c>
      <c r="BC184" s="167" t="s">
        <v>70</v>
      </c>
      <c r="BD184" s="167" t="s">
        <v>70</v>
      </c>
      <c r="BE184" s="167" t="s">
        <v>70</v>
      </c>
      <c r="BF184" s="167" t="s">
        <v>70</v>
      </c>
      <c r="BG184" s="167" t="s">
        <v>70</v>
      </c>
      <c r="BH184" s="167" t="s">
        <v>70</v>
      </c>
      <c r="BI184" s="167" t="s">
        <v>70</v>
      </c>
      <c r="BJ184" s="167" t="s">
        <v>70</v>
      </c>
      <c r="BK184" s="167" t="s">
        <v>70</v>
      </c>
      <c r="BL184" s="167" t="s">
        <v>70</v>
      </c>
      <c r="BM184" s="167" t="s">
        <v>70</v>
      </c>
      <c r="BN184" s="167" t="s">
        <v>70</v>
      </c>
      <c r="BO184" s="167" t="s">
        <v>70</v>
      </c>
      <c r="BP184" s="167" t="s">
        <v>70</v>
      </c>
      <c r="BQ184" s="151" t="s">
        <v>208</v>
      </c>
    </row>
    <row r="185" spans="1:136" s="151" customFormat="1" ht="19.5" customHeight="1" x14ac:dyDescent="0.2">
      <c r="A185" s="117">
        <v>182</v>
      </c>
      <c r="B185" s="123" t="s">
        <v>211</v>
      </c>
      <c r="C185" s="123">
        <v>83040194</v>
      </c>
      <c r="D185" s="117" t="s">
        <v>212</v>
      </c>
      <c r="E185" s="123" t="s">
        <v>68</v>
      </c>
      <c r="F185" s="146" t="s">
        <v>256</v>
      </c>
      <c r="G185" s="92">
        <v>40969</v>
      </c>
      <c r="H185" s="89">
        <v>42331</v>
      </c>
      <c r="I185" s="163"/>
      <c r="J185" s="162"/>
      <c r="K185" s="89"/>
      <c r="L185" s="140"/>
      <c r="M185" s="163"/>
      <c r="N185" s="89"/>
      <c r="O185" s="89"/>
      <c r="P185" s="89"/>
      <c r="Q185" s="167" t="s">
        <v>70</v>
      </c>
      <c r="R185" s="167" t="s">
        <v>70</v>
      </c>
      <c r="S185" s="167" t="s">
        <v>70</v>
      </c>
      <c r="T185" s="167" t="s">
        <v>70</v>
      </c>
      <c r="U185" s="167" t="s">
        <v>70</v>
      </c>
      <c r="V185" s="167" t="s">
        <v>70</v>
      </c>
      <c r="W185" s="167" t="s">
        <v>70</v>
      </c>
      <c r="X185" s="167" t="s">
        <v>70</v>
      </c>
      <c r="Y185" s="167" t="s">
        <v>70</v>
      </c>
      <c r="Z185" s="167" t="s">
        <v>70</v>
      </c>
      <c r="AA185" s="167" t="s">
        <v>70</v>
      </c>
      <c r="AB185" s="167" t="s">
        <v>70</v>
      </c>
      <c r="AC185" s="167" t="s">
        <v>70</v>
      </c>
      <c r="AD185" s="167" t="s">
        <v>70</v>
      </c>
      <c r="AE185" s="167" t="s">
        <v>70</v>
      </c>
      <c r="AF185" s="167" t="s">
        <v>70</v>
      </c>
      <c r="AG185" s="167" t="s">
        <v>70</v>
      </c>
      <c r="AH185" s="167" t="s">
        <v>70</v>
      </c>
      <c r="AI185" s="111">
        <v>45897</v>
      </c>
      <c r="AJ185" s="94">
        <v>45491</v>
      </c>
      <c r="AK185" s="167" t="s">
        <v>70</v>
      </c>
      <c r="AL185" s="167" t="s">
        <v>70</v>
      </c>
      <c r="AM185" s="167"/>
      <c r="AN185" s="167" t="s">
        <v>70</v>
      </c>
      <c r="AO185" s="167" t="s">
        <v>70</v>
      </c>
      <c r="AP185" s="167" t="s">
        <v>70</v>
      </c>
      <c r="AQ185" s="167" t="s">
        <v>70</v>
      </c>
      <c r="AR185" s="166" t="s">
        <v>69</v>
      </c>
      <c r="AS185" s="167" t="s">
        <v>70</v>
      </c>
      <c r="AT185" s="167" t="s">
        <v>70</v>
      </c>
      <c r="AU185" s="167" t="s">
        <v>70</v>
      </c>
      <c r="AV185" s="167" t="s">
        <v>70</v>
      </c>
      <c r="AW185" s="167" t="s">
        <v>70</v>
      </c>
      <c r="AX185" s="167" t="s">
        <v>70</v>
      </c>
      <c r="AY185" s="167" t="s">
        <v>70</v>
      </c>
      <c r="AZ185" s="167" t="s">
        <v>70</v>
      </c>
      <c r="BA185" s="167" t="s">
        <v>70</v>
      </c>
      <c r="BB185" s="167" t="s">
        <v>70</v>
      </c>
      <c r="BC185" s="167" t="s">
        <v>70</v>
      </c>
      <c r="BD185" s="167" t="s">
        <v>70</v>
      </c>
      <c r="BE185" s="167" t="s">
        <v>70</v>
      </c>
      <c r="BF185" s="167" t="s">
        <v>70</v>
      </c>
      <c r="BG185" s="167" t="s">
        <v>70</v>
      </c>
      <c r="BH185" s="167" t="s">
        <v>70</v>
      </c>
      <c r="BI185" s="167" t="s">
        <v>70</v>
      </c>
      <c r="BJ185" s="167" t="s">
        <v>70</v>
      </c>
      <c r="BK185" s="167" t="s">
        <v>70</v>
      </c>
      <c r="BL185" s="167" t="s">
        <v>70</v>
      </c>
      <c r="BM185" s="167" t="s">
        <v>70</v>
      </c>
      <c r="BN185" s="167" t="s">
        <v>70</v>
      </c>
      <c r="BO185" s="167" t="s">
        <v>70</v>
      </c>
      <c r="BP185" s="167" t="s">
        <v>70</v>
      </c>
      <c r="BQ185" s="151" t="s">
        <v>208</v>
      </c>
      <c r="BR185" s="142"/>
      <c r="BS185" s="142"/>
      <c r="BT185" s="142"/>
      <c r="BU185" s="142"/>
      <c r="BV185" s="142"/>
      <c r="BW185" s="142"/>
      <c r="BX185" s="142"/>
      <c r="BY185" s="142"/>
      <c r="BZ185" s="142"/>
      <c r="CA185" s="142"/>
      <c r="CB185" s="142"/>
      <c r="CC185" s="142"/>
      <c r="CD185" s="142"/>
      <c r="CE185" s="142"/>
      <c r="CF185" s="142"/>
      <c r="CG185" s="142"/>
      <c r="CH185" s="142"/>
      <c r="CI185" s="142"/>
      <c r="CJ185" s="142"/>
      <c r="CK185" s="142"/>
      <c r="CL185" s="142"/>
      <c r="CM185" s="142"/>
      <c r="CN185" s="142"/>
      <c r="CO185" s="142"/>
      <c r="CP185" s="142"/>
      <c r="CQ185" s="142"/>
      <c r="CR185" s="142"/>
      <c r="CS185" s="142"/>
      <c r="CT185" s="142"/>
      <c r="CU185" s="142"/>
      <c r="CV185" s="142"/>
      <c r="CW185" s="142"/>
      <c r="CX185" s="142"/>
      <c r="CY185" s="142"/>
      <c r="CZ185" s="142"/>
      <c r="DA185" s="142"/>
      <c r="DB185" s="142"/>
      <c r="DC185" s="142"/>
      <c r="DD185" s="142"/>
      <c r="DE185" s="142"/>
      <c r="DF185" s="142"/>
      <c r="DG185" s="142"/>
      <c r="DH185" s="142"/>
      <c r="DI185" s="142"/>
      <c r="DJ185" s="142"/>
      <c r="DK185" s="142"/>
      <c r="DL185" s="142"/>
      <c r="DM185" s="142"/>
      <c r="DN185" s="142"/>
      <c r="DO185" s="142"/>
      <c r="DP185" s="142"/>
      <c r="DQ185" s="142"/>
      <c r="DR185" s="142"/>
      <c r="DS185" s="142"/>
      <c r="DT185" s="142"/>
      <c r="DU185" s="142"/>
      <c r="DV185" s="142"/>
      <c r="DW185" s="142"/>
      <c r="DX185" s="142"/>
      <c r="DY185" s="142"/>
      <c r="DZ185" s="142"/>
      <c r="EA185" s="142"/>
      <c r="EB185" s="142"/>
      <c r="EC185" s="142"/>
      <c r="ED185" s="142"/>
      <c r="EE185" s="142"/>
      <c r="EF185" s="142"/>
    </row>
    <row r="186" spans="1:136" s="151" customFormat="1" ht="19.5" customHeight="1" x14ac:dyDescent="0.2">
      <c r="A186" s="117">
        <v>183</v>
      </c>
      <c r="B186" s="218" t="s">
        <v>214</v>
      </c>
      <c r="C186" s="218">
        <v>83103420</v>
      </c>
      <c r="D186" s="117" t="s">
        <v>212</v>
      </c>
      <c r="E186" s="123" t="s">
        <v>68</v>
      </c>
      <c r="F186" s="146" t="s">
        <v>256</v>
      </c>
      <c r="G186" s="124">
        <v>42794</v>
      </c>
      <c r="H186" s="89">
        <v>42549</v>
      </c>
      <c r="I186" s="140">
        <v>45961</v>
      </c>
      <c r="J186" s="162">
        <f>IF(I186="", "", DATE(YEAR(I186)+3, MONTH(I186), DAY(I186)))</f>
        <v>47057</v>
      </c>
      <c r="K186" s="89">
        <v>42549</v>
      </c>
      <c r="L186" s="92">
        <v>45960</v>
      </c>
      <c r="M186" s="163">
        <f>IF(L186="", "", DATE(YEAR(L186)+3, MONTH(L186), DAY(L186)))</f>
        <v>47056</v>
      </c>
      <c r="N186" s="89">
        <v>45959</v>
      </c>
      <c r="O186" s="89">
        <v>45958</v>
      </c>
      <c r="P186" s="89">
        <v>45957</v>
      </c>
      <c r="Q186" s="167" t="s">
        <v>70</v>
      </c>
      <c r="R186" s="167" t="s">
        <v>70</v>
      </c>
      <c r="S186" s="167" t="s">
        <v>70</v>
      </c>
      <c r="T186" s="167" t="s">
        <v>70</v>
      </c>
      <c r="U186" s="167" t="s">
        <v>70</v>
      </c>
      <c r="V186" s="167" t="s">
        <v>70</v>
      </c>
      <c r="W186" s="167" t="s">
        <v>70</v>
      </c>
      <c r="X186" s="167" t="s">
        <v>70</v>
      </c>
      <c r="Y186" s="167" t="s">
        <v>70</v>
      </c>
      <c r="Z186" s="167" t="s">
        <v>70</v>
      </c>
      <c r="AA186" s="167" t="s">
        <v>70</v>
      </c>
      <c r="AB186" s="167" t="s">
        <v>70</v>
      </c>
      <c r="AC186" s="167" t="s">
        <v>70</v>
      </c>
      <c r="AD186" s="167" t="s">
        <v>70</v>
      </c>
      <c r="AE186" s="167" t="s">
        <v>70</v>
      </c>
      <c r="AF186" s="167" t="s">
        <v>70</v>
      </c>
      <c r="AG186" s="167" t="s">
        <v>70</v>
      </c>
      <c r="AH186" s="167" t="s">
        <v>70</v>
      </c>
      <c r="AI186" s="111">
        <v>45785</v>
      </c>
      <c r="AJ186" s="164">
        <v>45346</v>
      </c>
      <c r="AK186" s="167" t="s">
        <v>70</v>
      </c>
      <c r="AL186" s="167" t="s">
        <v>70</v>
      </c>
      <c r="AM186" s="167"/>
      <c r="AN186" s="167" t="s">
        <v>70</v>
      </c>
      <c r="AO186" s="167" t="s">
        <v>70</v>
      </c>
      <c r="AP186" s="167" t="s">
        <v>70</v>
      </c>
      <c r="AQ186" s="167" t="s">
        <v>70</v>
      </c>
      <c r="AR186" s="166" t="s">
        <v>69</v>
      </c>
      <c r="AS186" s="167" t="s">
        <v>70</v>
      </c>
      <c r="AT186" s="167" t="s">
        <v>70</v>
      </c>
      <c r="AU186" s="167" t="s">
        <v>70</v>
      </c>
      <c r="AV186" s="167" t="s">
        <v>70</v>
      </c>
      <c r="AW186" s="167" t="s">
        <v>70</v>
      </c>
      <c r="AX186" s="167" t="s">
        <v>70</v>
      </c>
      <c r="AY186" s="167" t="s">
        <v>70</v>
      </c>
      <c r="AZ186" s="167" t="s">
        <v>70</v>
      </c>
      <c r="BA186" s="167" t="s">
        <v>70</v>
      </c>
      <c r="BB186" s="167" t="s">
        <v>70</v>
      </c>
      <c r="BC186" s="167" t="s">
        <v>70</v>
      </c>
      <c r="BD186" s="167" t="s">
        <v>70</v>
      </c>
      <c r="BE186" s="167" t="s">
        <v>70</v>
      </c>
      <c r="BF186" s="167" t="s">
        <v>70</v>
      </c>
      <c r="BG186" s="167" t="s">
        <v>70</v>
      </c>
      <c r="BH186" s="167" t="s">
        <v>70</v>
      </c>
      <c r="BI186" s="167" t="s">
        <v>70</v>
      </c>
      <c r="BJ186" s="167" t="s">
        <v>70</v>
      </c>
      <c r="BK186" s="167" t="s">
        <v>70</v>
      </c>
      <c r="BL186" s="167" t="s">
        <v>70</v>
      </c>
      <c r="BM186" s="167" t="s">
        <v>70</v>
      </c>
      <c r="BN186" s="167" t="s">
        <v>70</v>
      </c>
      <c r="BO186" s="167" t="s">
        <v>70</v>
      </c>
      <c r="BP186" s="167" t="s">
        <v>70</v>
      </c>
      <c r="BQ186" s="151" t="s">
        <v>208</v>
      </c>
      <c r="BR186" s="142"/>
      <c r="BS186" s="142"/>
      <c r="BT186" s="142"/>
      <c r="BU186" s="142"/>
      <c r="BV186" s="142"/>
      <c r="BW186" s="142"/>
      <c r="BX186" s="142"/>
      <c r="BY186" s="142"/>
      <c r="BZ186" s="142"/>
      <c r="CA186" s="142"/>
      <c r="CB186" s="142"/>
      <c r="CC186" s="142"/>
      <c r="CD186" s="142"/>
      <c r="CE186" s="142"/>
      <c r="CF186" s="142"/>
      <c r="CG186" s="142"/>
      <c r="CH186" s="142"/>
      <c r="CI186" s="142"/>
      <c r="CJ186" s="142"/>
      <c r="CK186" s="142"/>
      <c r="CL186" s="142"/>
      <c r="CM186" s="142"/>
      <c r="CN186" s="142"/>
      <c r="CO186" s="142"/>
      <c r="CP186" s="142"/>
      <c r="CQ186" s="142"/>
      <c r="CR186" s="142"/>
      <c r="CS186" s="142"/>
      <c r="CT186" s="142"/>
      <c r="CU186" s="142"/>
      <c r="CV186" s="142"/>
      <c r="CW186" s="142"/>
      <c r="CX186" s="142"/>
      <c r="CY186" s="142"/>
      <c r="CZ186" s="142"/>
      <c r="DA186" s="142"/>
      <c r="DB186" s="142"/>
      <c r="DC186" s="142"/>
      <c r="DD186" s="142"/>
      <c r="DE186" s="142"/>
      <c r="DF186" s="142"/>
      <c r="DG186" s="142"/>
      <c r="DH186" s="142"/>
      <c r="DI186" s="142"/>
      <c r="DJ186" s="142"/>
      <c r="DK186" s="142"/>
      <c r="DL186" s="142"/>
      <c r="DM186" s="142"/>
      <c r="DN186" s="142"/>
      <c r="DO186" s="142"/>
      <c r="DP186" s="142"/>
      <c r="DQ186" s="142"/>
      <c r="DR186" s="142"/>
      <c r="DS186" s="142"/>
      <c r="DT186" s="142"/>
      <c r="DU186" s="142"/>
      <c r="DV186" s="142"/>
      <c r="DW186" s="142"/>
      <c r="DX186" s="142"/>
      <c r="DY186" s="142"/>
      <c r="DZ186" s="142"/>
      <c r="EA186" s="142"/>
      <c r="EB186" s="142"/>
      <c r="EC186" s="142"/>
      <c r="ED186" s="142"/>
      <c r="EE186" s="142"/>
      <c r="EF186" s="142"/>
    </row>
    <row r="187" spans="1:136" s="151" customFormat="1" ht="19.5" customHeight="1" x14ac:dyDescent="0.2">
      <c r="A187" s="117">
        <v>184</v>
      </c>
      <c r="B187" s="123" t="s">
        <v>215</v>
      </c>
      <c r="C187" s="123">
        <v>83116130</v>
      </c>
      <c r="D187" s="117" t="s">
        <v>212</v>
      </c>
      <c r="E187" s="123" t="s">
        <v>68</v>
      </c>
      <c r="F187" s="146" t="s">
        <v>256</v>
      </c>
      <c r="G187" s="124" t="s">
        <v>69</v>
      </c>
      <c r="H187" s="89">
        <v>42478</v>
      </c>
      <c r="I187" s="140">
        <v>46080</v>
      </c>
      <c r="J187" s="162">
        <f>IF(I187="", "", DATE(YEAR(I187)+3, MONTH(I187), DAY(I187)))</f>
        <v>47176</v>
      </c>
      <c r="K187" s="89">
        <v>42478</v>
      </c>
      <c r="L187" s="111">
        <v>46079</v>
      </c>
      <c r="M187" s="163">
        <f>IF(L187="", "", DATE(YEAR(L187)+3, MONTH(L187), DAY(L187)))</f>
        <v>47175</v>
      </c>
      <c r="N187" s="89">
        <v>46076</v>
      </c>
      <c r="O187" s="89">
        <v>46077</v>
      </c>
      <c r="P187" s="89">
        <v>46078</v>
      </c>
      <c r="Q187" s="167" t="s">
        <v>70</v>
      </c>
      <c r="R187" s="167" t="s">
        <v>70</v>
      </c>
      <c r="S187" s="167" t="s">
        <v>70</v>
      </c>
      <c r="T187" s="167" t="s">
        <v>70</v>
      </c>
      <c r="U187" s="167" t="s">
        <v>70</v>
      </c>
      <c r="V187" s="167" t="s">
        <v>70</v>
      </c>
      <c r="W187" s="167" t="s">
        <v>70</v>
      </c>
      <c r="X187" s="167" t="s">
        <v>70</v>
      </c>
      <c r="Y187" s="167" t="s">
        <v>70</v>
      </c>
      <c r="Z187" s="167" t="s">
        <v>70</v>
      </c>
      <c r="AA187" s="167" t="s">
        <v>70</v>
      </c>
      <c r="AB187" s="167" t="s">
        <v>70</v>
      </c>
      <c r="AC187" s="167" t="s">
        <v>70</v>
      </c>
      <c r="AD187" s="167" t="s">
        <v>70</v>
      </c>
      <c r="AE187" s="167" t="s">
        <v>70</v>
      </c>
      <c r="AF187" s="167" t="s">
        <v>70</v>
      </c>
      <c r="AG187" s="167" t="s">
        <v>70</v>
      </c>
      <c r="AH187" s="167" t="s">
        <v>70</v>
      </c>
      <c r="AI187" s="111">
        <v>45799</v>
      </c>
      <c r="AJ187" s="164">
        <v>45346</v>
      </c>
      <c r="AK187" s="167" t="s">
        <v>70</v>
      </c>
      <c r="AL187" s="167" t="s">
        <v>70</v>
      </c>
      <c r="AM187" s="167"/>
      <c r="AN187" s="167" t="s">
        <v>70</v>
      </c>
      <c r="AO187" s="167" t="s">
        <v>70</v>
      </c>
      <c r="AP187" s="167" t="s">
        <v>70</v>
      </c>
      <c r="AQ187" s="167" t="s">
        <v>70</v>
      </c>
      <c r="AR187" s="166" t="s">
        <v>69</v>
      </c>
      <c r="AS187" s="167" t="s">
        <v>70</v>
      </c>
      <c r="AT187" s="167" t="s">
        <v>70</v>
      </c>
      <c r="AU187" s="167" t="s">
        <v>70</v>
      </c>
      <c r="AV187" s="167" t="s">
        <v>70</v>
      </c>
      <c r="AW187" s="167" t="s">
        <v>70</v>
      </c>
      <c r="AX187" s="167" t="s">
        <v>70</v>
      </c>
      <c r="AY187" s="167" t="s">
        <v>70</v>
      </c>
      <c r="AZ187" s="167" t="s">
        <v>70</v>
      </c>
      <c r="BA187" s="167" t="s">
        <v>70</v>
      </c>
      <c r="BB187" s="167" t="s">
        <v>70</v>
      </c>
      <c r="BC187" s="167" t="s">
        <v>70</v>
      </c>
      <c r="BD187" s="167" t="s">
        <v>70</v>
      </c>
      <c r="BE187" s="167" t="s">
        <v>70</v>
      </c>
      <c r="BF187" s="167" t="s">
        <v>70</v>
      </c>
      <c r="BG187" s="167" t="s">
        <v>70</v>
      </c>
      <c r="BH187" s="167" t="s">
        <v>70</v>
      </c>
      <c r="BI187" s="167" t="s">
        <v>70</v>
      </c>
      <c r="BJ187" s="167" t="s">
        <v>70</v>
      </c>
      <c r="BK187" s="167" t="s">
        <v>70</v>
      </c>
      <c r="BL187" s="167" t="s">
        <v>70</v>
      </c>
      <c r="BM187" s="167" t="s">
        <v>70</v>
      </c>
      <c r="BN187" s="167" t="s">
        <v>70</v>
      </c>
      <c r="BO187" s="167" t="s">
        <v>70</v>
      </c>
      <c r="BP187" s="167" t="s">
        <v>70</v>
      </c>
      <c r="BQ187" s="151" t="s">
        <v>208</v>
      </c>
      <c r="BR187" s="142"/>
      <c r="BS187" s="142"/>
      <c r="BT187" s="142"/>
      <c r="BU187" s="142"/>
      <c r="BV187" s="142"/>
      <c r="BW187" s="142"/>
      <c r="BX187" s="142"/>
      <c r="BY187" s="142"/>
      <c r="BZ187" s="142"/>
      <c r="CA187" s="142"/>
      <c r="CB187" s="142"/>
      <c r="CC187" s="142"/>
      <c r="CD187" s="142"/>
      <c r="CE187" s="142"/>
      <c r="CF187" s="142"/>
      <c r="CG187" s="142"/>
      <c r="CH187" s="142"/>
      <c r="CI187" s="142"/>
      <c r="CJ187" s="142"/>
      <c r="CK187" s="142"/>
      <c r="CL187" s="142"/>
      <c r="CM187" s="142"/>
      <c r="CN187" s="142"/>
      <c r="CO187" s="142"/>
      <c r="CP187" s="142"/>
      <c r="CQ187" s="142"/>
      <c r="CR187" s="142"/>
      <c r="CS187" s="142"/>
      <c r="CT187" s="142"/>
      <c r="CU187" s="142"/>
      <c r="CV187" s="142"/>
      <c r="CW187" s="142"/>
      <c r="CX187" s="142"/>
      <c r="CY187" s="142"/>
      <c r="CZ187" s="142"/>
      <c r="DA187" s="142"/>
      <c r="DB187" s="142"/>
      <c r="DC187" s="142"/>
      <c r="DD187" s="142"/>
      <c r="DE187" s="142"/>
      <c r="DF187" s="142"/>
      <c r="DG187" s="142"/>
      <c r="DH187" s="142"/>
      <c r="DI187" s="142"/>
      <c r="DJ187" s="142"/>
      <c r="DK187" s="142"/>
      <c r="DL187" s="142"/>
      <c r="DM187" s="142"/>
      <c r="DN187" s="142"/>
      <c r="DO187" s="142"/>
      <c r="DP187" s="142"/>
      <c r="DQ187" s="142"/>
      <c r="DR187" s="142"/>
      <c r="DS187" s="142"/>
      <c r="DT187" s="142"/>
      <c r="DU187" s="142"/>
      <c r="DV187" s="142"/>
      <c r="DW187" s="142"/>
      <c r="DX187" s="142"/>
      <c r="DY187" s="142"/>
      <c r="DZ187" s="142"/>
      <c r="EA187" s="142"/>
      <c r="EB187" s="142"/>
      <c r="EC187" s="142"/>
      <c r="ED187" s="142"/>
      <c r="EE187" s="142"/>
      <c r="EF187" s="142"/>
    </row>
    <row r="188" spans="1:136" s="151" customFormat="1" ht="19.5" customHeight="1" x14ac:dyDescent="0.2">
      <c r="A188" s="117">
        <v>185</v>
      </c>
      <c r="B188" s="219" t="s">
        <v>216</v>
      </c>
      <c r="C188" s="219">
        <v>140244</v>
      </c>
      <c r="D188" s="117" t="s">
        <v>212</v>
      </c>
      <c r="E188" s="123" t="s">
        <v>68</v>
      </c>
      <c r="F188" s="146" t="s">
        <v>256</v>
      </c>
      <c r="G188" s="89">
        <v>44330</v>
      </c>
      <c r="H188" s="89">
        <v>41691</v>
      </c>
      <c r="I188" s="140"/>
      <c r="J188" s="162"/>
      <c r="K188" s="89"/>
      <c r="L188" s="140"/>
      <c r="M188" s="163"/>
      <c r="N188" s="89"/>
      <c r="O188" s="89"/>
      <c r="P188" s="89"/>
      <c r="Q188" s="167" t="s">
        <v>70</v>
      </c>
      <c r="R188" s="167" t="s">
        <v>70</v>
      </c>
      <c r="S188" s="167" t="s">
        <v>70</v>
      </c>
      <c r="T188" s="167" t="s">
        <v>70</v>
      </c>
      <c r="U188" s="167" t="s">
        <v>70</v>
      </c>
      <c r="V188" s="167" t="s">
        <v>70</v>
      </c>
      <c r="W188" s="167" t="s">
        <v>70</v>
      </c>
      <c r="X188" s="167" t="s">
        <v>70</v>
      </c>
      <c r="Y188" s="167" t="s">
        <v>70</v>
      </c>
      <c r="Z188" s="167" t="s">
        <v>70</v>
      </c>
      <c r="AA188" s="167" t="s">
        <v>70</v>
      </c>
      <c r="AB188" s="167" t="s">
        <v>70</v>
      </c>
      <c r="AC188" s="167" t="s">
        <v>70</v>
      </c>
      <c r="AD188" s="167" t="s">
        <v>70</v>
      </c>
      <c r="AE188" s="167" t="s">
        <v>70</v>
      </c>
      <c r="AF188" s="167" t="s">
        <v>70</v>
      </c>
      <c r="AG188" s="167" t="s">
        <v>70</v>
      </c>
      <c r="AH188" s="167" t="s">
        <v>70</v>
      </c>
      <c r="AI188" s="111">
        <v>45491</v>
      </c>
      <c r="AJ188" s="94">
        <v>45491</v>
      </c>
      <c r="AK188" s="167" t="s">
        <v>70</v>
      </c>
      <c r="AL188" s="167" t="s">
        <v>70</v>
      </c>
      <c r="AM188" s="167"/>
      <c r="AN188" s="167" t="s">
        <v>70</v>
      </c>
      <c r="AO188" s="167" t="s">
        <v>70</v>
      </c>
      <c r="AP188" s="167" t="s">
        <v>70</v>
      </c>
      <c r="AQ188" s="167" t="s">
        <v>70</v>
      </c>
      <c r="AR188" s="166" t="s">
        <v>69</v>
      </c>
      <c r="AS188" s="167" t="s">
        <v>70</v>
      </c>
      <c r="AT188" s="167" t="s">
        <v>70</v>
      </c>
      <c r="AU188" s="167" t="s">
        <v>70</v>
      </c>
      <c r="AV188" s="167" t="s">
        <v>70</v>
      </c>
      <c r="AW188" s="167" t="s">
        <v>70</v>
      </c>
      <c r="AX188" s="167" t="s">
        <v>70</v>
      </c>
      <c r="AY188" s="167" t="s">
        <v>70</v>
      </c>
      <c r="AZ188" s="167" t="s">
        <v>70</v>
      </c>
      <c r="BA188" s="167" t="s">
        <v>70</v>
      </c>
      <c r="BB188" s="167" t="s">
        <v>70</v>
      </c>
      <c r="BC188" s="167" t="s">
        <v>70</v>
      </c>
      <c r="BD188" s="167" t="s">
        <v>70</v>
      </c>
      <c r="BE188" s="167" t="s">
        <v>70</v>
      </c>
      <c r="BF188" s="167" t="s">
        <v>70</v>
      </c>
      <c r="BG188" s="167" t="s">
        <v>70</v>
      </c>
      <c r="BH188" s="167" t="s">
        <v>70</v>
      </c>
      <c r="BI188" s="167" t="s">
        <v>70</v>
      </c>
      <c r="BJ188" s="167" t="s">
        <v>70</v>
      </c>
      <c r="BK188" s="167" t="s">
        <v>70</v>
      </c>
      <c r="BL188" s="167" t="s">
        <v>70</v>
      </c>
      <c r="BM188" s="167" t="s">
        <v>70</v>
      </c>
      <c r="BN188" s="167" t="s">
        <v>70</v>
      </c>
      <c r="BO188" s="167" t="s">
        <v>70</v>
      </c>
      <c r="BP188" s="167" t="s">
        <v>70</v>
      </c>
      <c r="BQ188" s="151" t="s">
        <v>208</v>
      </c>
      <c r="BR188" s="142"/>
      <c r="BS188" s="142"/>
      <c r="BT188" s="142"/>
      <c r="BU188" s="142"/>
      <c r="BV188" s="142"/>
      <c r="BW188" s="142"/>
      <c r="BX188" s="142"/>
      <c r="BY188" s="142"/>
      <c r="BZ188" s="142"/>
      <c r="CA188" s="142"/>
      <c r="CB188" s="142"/>
      <c r="CC188" s="142"/>
      <c r="CD188" s="142"/>
      <c r="CE188" s="142"/>
      <c r="CF188" s="142"/>
      <c r="CG188" s="142"/>
      <c r="CH188" s="142"/>
      <c r="CI188" s="142"/>
      <c r="CJ188" s="142"/>
      <c r="CK188" s="142"/>
      <c r="CL188" s="142"/>
      <c r="CM188" s="142"/>
      <c r="CN188" s="142"/>
      <c r="CO188" s="142"/>
      <c r="CP188" s="142"/>
      <c r="CQ188" s="142"/>
      <c r="CR188" s="142"/>
      <c r="CS188" s="142"/>
      <c r="CT188" s="142"/>
      <c r="CU188" s="142"/>
      <c r="CV188" s="142"/>
      <c r="CW188" s="142"/>
      <c r="CX188" s="142"/>
      <c r="CY188" s="142"/>
      <c r="CZ188" s="142"/>
      <c r="DA188" s="142"/>
      <c r="DB188" s="142"/>
      <c r="DC188" s="142"/>
      <c r="DD188" s="142"/>
      <c r="DE188" s="142"/>
      <c r="DF188" s="142"/>
      <c r="DG188" s="142"/>
      <c r="DH188" s="142"/>
      <c r="DI188" s="142"/>
      <c r="DJ188" s="142"/>
      <c r="DK188" s="142"/>
      <c r="DL188" s="142"/>
      <c r="DM188" s="142"/>
      <c r="DN188" s="142"/>
      <c r="DO188" s="142"/>
      <c r="DP188" s="142"/>
      <c r="DQ188" s="142"/>
      <c r="DR188" s="142"/>
      <c r="DS188" s="142"/>
      <c r="DT188" s="142"/>
      <c r="DU188" s="142"/>
      <c r="DV188" s="142"/>
      <c r="DW188" s="142"/>
      <c r="DX188" s="142"/>
      <c r="DY188" s="142"/>
      <c r="DZ188" s="142"/>
      <c r="EA188" s="142"/>
      <c r="EB188" s="142"/>
      <c r="EC188" s="142"/>
      <c r="ED188" s="142"/>
      <c r="EE188" s="142"/>
      <c r="EF188" s="142"/>
    </row>
    <row r="189" spans="1:136" s="151" customFormat="1" ht="19.5" customHeight="1" x14ac:dyDescent="0.2">
      <c r="A189" s="117">
        <v>186</v>
      </c>
      <c r="B189" s="123" t="s">
        <v>217</v>
      </c>
      <c r="C189" s="123">
        <v>83075884</v>
      </c>
      <c r="D189" s="117" t="s">
        <v>212</v>
      </c>
      <c r="E189" s="123" t="s">
        <v>68</v>
      </c>
      <c r="F189" s="146" t="s">
        <v>256</v>
      </c>
      <c r="G189" s="124" t="s">
        <v>69</v>
      </c>
      <c r="H189" s="89">
        <v>42324</v>
      </c>
      <c r="I189" s="140">
        <v>45961</v>
      </c>
      <c r="J189" s="162">
        <f>IF(I189="", "", DATE(YEAR(I189)+3, MONTH(I189), DAY(I189)))</f>
        <v>47057</v>
      </c>
      <c r="K189" s="89">
        <v>42549</v>
      </c>
      <c r="L189" s="92">
        <v>45960</v>
      </c>
      <c r="M189" s="163">
        <f>IF(L189="", "", DATE(YEAR(L189)+3, MONTH(L189), DAY(L189)))</f>
        <v>47056</v>
      </c>
      <c r="N189" s="89">
        <v>45959</v>
      </c>
      <c r="O189" s="89">
        <v>45958</v>
      </c>
      <c r="P189" s="89">
        <v>45957</v>
      </c>
      <c r="Q189" s="167" t="s">
        <v>70</v>
      </c>
      <c r="R189" s="167" t="s">
        <v>70</v>
      </c>
      <c r="S189" s="167" t="s">
        <v>70</v>
      </c>
      <c r="T189" s="167" t="s">
        <v>70</v>
      </c>
      <c r="U189" s="167" t="s">
        <v>70</v>
      </c>
      <c r="V189" s="167" t="s">
        <v>70</v>
      </c>
      <c r="W189" s="167" t="s">
        <v>70</v>
      </c>
      <c r="X189" s="167" t="s">
        <v>70</v>
      </c>
      <c r="Y189" s="167" t="s">
        <v>70</v>
      </c>
      <c r="Z189" s="167" t="s">
        <v>70</v>
      </c>
      <c r="AA189" s="167" t="s">
        <v>70</v>
      </c>
      <c r="AB189" s="167" t="s">
        <v>70</v>
      </c>
      <c r="AC189" s="167" t="s">
        <v>70</v>
      </c>
      <c r="AD189" s="167" t="s">
        <v>70</v>
      </c>
      <c r="AE189" s="167" t="s">
        <v>70</v>
      </c>
      <c r="AF189" s="167" t="s">
        <v>70</v>
      </c>
      <c r="AG189" s="167" t="s">
        <v>70</v>
      </c>
      <c r="AH189" s="167" t="s">
        <v>70</v>
      </c>
      <c r="AI189" s="111">
        <v>45946</v>
      </c>
      <c r="AJ189" s="164">
        <v>45346</v>
      </c>
      <c r="AK189" s="167" t="s">
        <v>70</v>
      </c>
      <c r="AL189" s="167" t="s">
        <v>70</v>
      </c>
      <c r="AM189" s="167"/>
      <c r="AN189" s="167" t="s">
        <v>70</v>
      </c>
      <c r="AO189" s="167" t="s">
        <v>70</v>
      </c>
      <c r="AP189" s="167" t="s">
        <v>70</v>
      </c>
      <c r="AQ189" s="167" t="s">
        <v>70</v>
      </c>
      <c r="AR189" s="166" t="s">
        <v>69</v>
      </c>
      <c r="AS189" s="167" t="s">
        <v>70</v>
      </c>
      <c r="AT189" s="167" t="s">
        <v>70</v>
      </c>
      <c r="AU189" s="167" t="s">
        <v>70</v>
      </c>
      <c r="AV189" s="167" t="s">
        <v>70</v>
      </c>
      <c r="AW189" s="167" t="s">
        <v>70</v>
      </c>
      <c r="AX189" s="167" t="s">
        <v>70</v>
      </c>
      <c r="AY189" s="167" t="s">
        <v>70</v>
      </c>
      <c r="AZ189" s="167" t="s">
        <v>70</v>
      </c>
      <c r="BA189" s="167" t="s">
        <v>70</v>
      </c>
      <c r="BB189" s="167" t="s">
        <v>70</v>
      </c>
      <c r="BC189" s="167" t="s">
        <v>70</v>
      </c>
      <c r="BD189" s="167" t="s">
        <v>70</v>
      </c>
      <c r="BE189" s="167" t="s">
        <v>70</v>
      </c>
      <c r="BF189" s="167" t="s">
        <v>70</v>
      </c>
      <c r="BG189" s="167" t="s">
        <v>70</v>
      </c>
      <c r="BH189" s="167" t="s">
        <v>70</v>
      </c>
      <c r="BI189" s="167" t="s">
        <v>70</v>
      </c>
      <c r="BJ189" s="167" t="s">
        <v>70</v>
      </c>
      <c r="BK189" s="167" t="s">
        <v>70</v>
      </c>
      <c r="BL189" s="167" t="s">
        <v>70</v>
      </c>
      <c r="BM189" s="167" t="s">
        <v>70</v>
      </c>
      <c r="BN189" s="167" t="s">
        <v>70</v>
      </c>
      <c r="BO189" s="167" t="s">
        <v>70</v>
      </c>
      <c r="BP189" s="167" t="s">
        <v>70</v>
      </c>
      <c r="BQ189" s="151" t="s">
        <v>208</v>
      </c>
      <c r="BR189" s="142"/>
      <c r="BS189" s="142"/>
      <c r="BT189" s="142"/>
      <c r="BU189" s="142"/>
      <c r="BV189" s="142"/>
      <c r="BW189" s="142"/>
      <c r="BX189" s="142"/>
      <c r="BY189" s="142"/>
      <c r="BZ189" s="142"/>
      <c r="CA189" s="142"/>
      <c r="CB189" s="142"/>
      <c r="CC189" s="142"/>
      <c r="CD189" s="142"/>
      <c r="CE189" s="142"/>
      <c r="CF189" s="142"/>
      <c r="CG189" s="142"/>
      <c r="CH189" s="142"/>
      <c r="CI189" s="142"/>
      <c r="CJ189" s="142"/>
      <c r="CK189" s="142"/>
      <c r="CL189" s="142"/>
      <c r="CM189" s="142"/>
      <c r="CN189" s="142"/>
      <c r="CO189" s="142"/>
      <c r="CP189" s="142"/>
      <c r="CQ189" s="142"/>
      <c r="CR189" s="142"/>
      <c r="CS189" s="142"/>
      <c r="CT189" s="142"/>
      <c r="CU189" s="142"/>
      <c r="CV189" s="142"/>
      <c r="CW189" s="142"/>
      <c r="CX189" s="142"/>
      <c r="CY189" s="142"/>
      <c r="CZ189" s="142"/>
      <c r="DA189" s="142"/>
      <c r="DB189" s="142"/>
      <c r="DC189" s="142"/>
      <c r="DD189" s="142"/>
      <c r="DE189" s="142"/>
      <c r="DF189" s="142"/>
      <c r="DG189" s="142"/>
      <c r="DH189" s="142"/>
      <c r="DI189" s="142"/>
      <c r="DJ189" s="142"/>
      <c r="DK189" s="142"/>
      <c r="DL189" s="142"/>
      <c r="DM189" s="142"/>
      <c r="DN189" s="142"/>
      <c r="DO189" s="142"/>
      <c r="DP189" s="142"/>
      <c r="DQ189" s="142"/>
      <c r="DR189" s="142"/>
      <c r="DS189" s="142"/>
      <c r="DT189" s="142"/>
      <c r="DU189" s="142"/>
      <c r="DV189" s="142"/>
      <c r="DW189" s="142"/>
      <c r="DX189" s="142"/>
      <c r="DY189" s="142"/>
      <c r="DZ189" s="142"/>
      <c r="EA189" s="142"/>
      <c r="EB189" s="142"/>
      <c r="EC189" s="142"/>
      <c r="ED189" s="142"/>
      <c r="EE189" s="142"/>
      <c r="EF189" s="142"/>
    </row>
    <row r="190" spans="1:136" s="151" customFormat="1" ht="19.5" customHeight="1" x14ac:dyDescent="0.2">
      <c r="A190" s="117">
        <v>187</v>
      </c>
      <c r="B190" s="123" t="s">
        <v>231</v>
      </c>
      <c r="C190" s="123">
        <v>83040130</v>
      </c>
      <c r="D190" s="117" t="s">
        <v>212</v>
      </c>
      <c r="E190" s="123" t="s">
        <v>68</v>
      </c>
      <c r="F190" s="146" t="s">
        <v>256</v>
      </c>
      <c r="G190" s="163">
        <v>38113</v>
      </c>
      <c r="H190" s="89">
        <v>42429</v>
      </c>
      <c r="I190" s="140"/>
      <c r="J190" s="162"/>
      <c r="K190" s="89"/>
      <c r="L190" s="140"/>
      <c r="M190" s="163"/>
      <c r="N190" s="89"/>
      <c r="O190" s="89"/>
      <c r="P190" s="89"/>
      <c r="Q190" s="167" t="s">
        <v>70</v>
      </c>
      <c r="R190" s="167" t="s">
        <v>70</v>
      </c>
      <c r="S190" s="167" t="s">
        <v>70</v>
      </c>
      <c r="T190" s="167" t="s">
        <v>70</v>
      </c>
      <c r="U190" s="167" t="s">
        <v>70</v>
      </c>
      <c r="V190" s="167" t="s">
        <v>70</v>
      </c>
      <c r="W190" s="167" t="s">
        <v>70</v>
      </c>
      <c r="X190" s="167" t="s">
        <v>70</v>
      </c>
      <c r="Y190" s="167" t="s">
        <v>70</v>
      </c>
      <c r="Z190" s="167" t="s">
        <v>70</v>
      </c>
      <c r="AA190" s="167" t="s">
        <v>70</v>
      </c>
      <c r="AB190" s="167" t="s">
        <v>70</v>
      </c>
      <c r="AC190" s="167" t="s">
        <v>70</v>
      </c>
      <c r="AD190" s="167" t="s">
        <v>70</v>
      </c>
      <c r="AE190" s="167" t="s">
        <v>70</v>
      </c>
      <c r="AF190" s="167" t="s">
        <v>70</v>
      </c>
      <c r="AG190" s="167" t="s">
        <v>70</v>
      </c>
      <c r="AH190" s="167" t="s">
        <v>70</v>
      </c>
      <c r="AI190" s="111">
        <v>45799</v>
      </c>
      <c r="AJ190" s="94">
        <v>45356</v>
      </c>
      <c r="AK190" s="167" t="s">
        <v>70</v>
      </c>
      <c r="AL190" s="167" t="s">
        <v>70</v>
      </c>
      <c r="AM190" s="167"/>
      <c r="AN190" s="167" t="s">
        <v>70</v>
      </c>
      <c r="AO190" s="167" t="s">
        <v>70</v>
      </c>
      <c r="AP190" s="167" t="s">
        <v>70</v>
      </c>
      <c r="AQ190" s="167" t="s">
        <v>70</v>
      </c>
      <c r="AR190" s="168">
        <v>46055</v>
      </c>
      <c r="AS190" s="167" t="s">
        <v>70</v>
      </c>
      <c r="AT190" s="167" t="s">
        <v>70</v>
      </c>
      <c r="AU190" s="167" t="s">
        <v>70</v>
      </c>
      <c r="AV190" s="167" t="s">
        <v>70</v>
      </c>
      <c r="AW190" s="167" t="s">
        <v>70</v>
      </c>
      <c r="AX190" s="167" t="s">
        <v>70</v>
      </c>
      <c r="AY190" s="167" t="s">
        <v>70</v>
      </c>
      <c r="AZ190" s="167" t="s">
        <v>70</v>
      </c>
      <c r="BA190" s="167" t="s">
        <v>70</v>
      </c>
      <c r="BB190" s="167" t="s">
        <v>70</v>
      </c>
      <c r="BC190" s="167" t="s">
        <v>70</v>
      </c>
      <c r="BD190" s="167" t="s">
        <v>70</v>
      </c>
      <c r="BE190" s="167" t="s">
        <v>70</v>
      </c>
      <c r="BF190" s="167" t="s">
        <v>70</v>
      </c>
      <c r="BG190" s="167" t="s">
        <v>70</v>
      </c>
      <c r="BH190" s="167" t="s">
        <v>70</v>
      </c>
      <c r="BI190" s="167" t="s">
        <v>70</v>
      </c>
      <c r="BJ190" s="167" t="s">
        <v>70</v>
      </c>
      <c r="BK190" s="167" t="s">
        <v>70</v>
      </c>
      <c r="BL190" s="167" t="s">
        <v>70</v>
      </c>
      <c r="BM190" s="167" t="s">
        <v>70</v>
      </c>
      <c r="BN190" s="167" t="s">
        <v>70</v>
      </c>
      <c r="BO190" s="167" t="s">
        <v>70</v>
      </c>
      <c r="BP190" s="167" t="s">
        <v>70</v>
      </c>
      <c r="BQ190" s="151" t="s">
        <v>208</v>
      </c>
      <c r="BR190" s="142"/>
      <c r="BS190" s="142"/>
      <c r="BT190" s="142"/>
      <c r="BU190" s="142"/>
      <c r="BV190" s="142"/>
      <c r="BW190" s="142"/>
      <c r="BX190" s="142"/>
      <c r="BY190" s="142"/>
      <c r="BZ190" s="142"/>
      <c r="CA190" s="142"/>
      <c r="CB190" s="142"/>
      <c r="CC190" s="142"/>
      <c r="CD190" s="142"/>
      <c r="CE190" s="142"/>
      <c r="CF190" s="142"/>
      <c r="CG190" s="142"/>
      <c r="CH190" s="142"/>
      <c r="CI190" s="142"/>
      <c r="CJ190" s="142"/>
      <c r="CK190" s="142"/>
      <c r="CL190" s="142"/>
      <c r="CM190" s="142"/>
      <c r="CN190" s="142"/>
      <c r="CO190" s="142"/>
      <c r="CP190" s="142"/>
      <c r="CQ190" s="142"/>
      <c r="CR190" s="142"/>
      <c r="CS190" s="142"/>
      <c r="CT190" s="142"/>
      <c r="CU190" s="142"/>
      <c r="CV190" s="142"/>
      <c r="CW190" s="142"/>
      <c r="CX190" s="142"/>
      <c r="CY190" s="142"/>
      <c r="CZ190" s="142"/>
      <c r="DA190" s="142"/>
      <c r="DB190" s="142"/>
      <c r="DC190" s="142"/>
      <c r="DD190" s="142"/>
      <c r="DE190" s="142"/>
      <c r="DF190" s="142"/>
      <c r="DG190" s="142"/>
      <c r="DH190" s="142"/>
      <c r="DI190" s="142"/>
      <c r="DJ190" s="142"/>
      <c r="DK190" s="142"/>
      <c r="DL190" s="142"/>
      <c r="DM190" s="142"/>
      <c r="DN190" s="142"/>
      <c r="DO190" s="142"/>
      <c r="DP190" s="142"/>
      <c r="DQ190" s="142"/>
      <c r="DR190" s="142"/>
      <c r="DS190" s="142"/>
      <c r="DT190" s="142"/>
      <c r="DU190" s="142"/>
      <c r="DV190" s="142"/>
      <c r="DW190" s="142"/>
      <c r="DX190" s="142"/>
      <c r="DY190" s="142"/>
      <c r="DZ190" s="142"/>
      <c r="EA190" s="142"/>
      <c r="EB190" s="142"/>
      <c r="EC190" s="142"/>
      <c r="ED190" s="142"/>
      <c r="EE190" s="142"/>
      <c r="EF190" s="142"/>
    </row>
    <row r="191" spans="1:136" s="151" customFormat="1" ht="19.5" customHeight="1" x14ac:dyDescent="0.2">
      <c r="A191" s="117">
        <v>188</v>
      </c>
      <c r="B191" s="123" t="s">
        <v>232</v>
      </c>
      <c r="C191" s="123">
        <v>83040046</v>
      </c>
      <c r="D191" s="117" t="s">
        <v>212</v>
      </c>
      <c r="E191" s="123" t="s">
        <v>68</v>
      </c>
      <c r="F191" s="146" t="s">
        <v>256</v>
      </c>
      <c r="G191" s="163">
        <v>42768</v>
      </c>
      <c r="H191" s="89">
        <v>42478</v>
      </c>
      <c r="I191" s="140">
        <v>46080</v>
      </c>
      <c r="J191" s="162">
        <f>IF(I191="", "", DATE(YEAR(I191)+3, MONTH(I191), DAY(I191)))</f>
        <v>47176</v>
      </c>
      <c r="K191" s="89">
        <v>42478</v>
      </c>
      <c r="L191" s="111">
        <v>46079</v>
      </c>
      <c r="M191" s="163">
        <f>IF(L191="", "", DATE(YEAR(L191)+3, MONTH(L191), DAY(L191)))</f>
        <v>47175</v>
      </c>
      <c r="N191" s="89">
        <v>46076</v>
      </c>
      <c r="O191" s="89">
        <v>46077</v>
      </c>
      <c r="P191" s="89">
        <v>46078</v>
      </c>
      <c r="Q191" s="167" t="s">
        <v>70</v>
      </c>
      <c r="R191" s="167" t="s">
        <v>70</v>
      </c>
      <c r="S191" s="167" t="s">
        <v>70</v>
      </c>
      <c r="T191" s="167" t="s">
        <v>70</v>
      </c>
      <c r="U191" s="167" t="s">
        <v>70</v>
      </c>
      <c r="V191" s="167" t="s">
        <v>70</v>
      </c>
      <c r="W191" s="167" t="s">
        <v>70</v>
      </c>
      <c r="X191" s="167" t="s">
        <v>70</v>
      </c>
      <c r="Y191" s="167" t="s">
        <v>70</v>
      </c>
      <c r="Z191" s="167" t="s">
        <v>70</v>
      </c>
      <c r="AA191" s="167" t="s">
        <v>70</v>
      </c>
      <c r="AB191" s="167" t="s">
        <v>70</v>
      </c>
      <c r="AC191" s="167" t="s">
        <v>70</v>
      </c>
      <c r="AD191" s="167" t="s">
        <v>70</v>
      </c>
      <c r="AE191" s="167" t="s">
        <v>70</v>
      </c>
      <c r="AF191" s="167" t="s">
        <v>70</v>
      </c>
      <c r="AG191" s="167" t="s">
        <v>70</v>
      </c>
      <c r="AH191" s="167" t="s">
        <v>70</v>
      </c>
      <c r="AI191" s="111">
        <v>45919</v>
      </c>
      <c r="AJ191" s="94">
        <v>45360</v>
      </c>
      <c r="AK191" s="167" t="s">
        <v>70</v>
      </c>
      <c r="AL191" s="167" t="s">
        <v>70</v>
      </c>
      <c r="AM191" s="167"/>
      <c r="AN191" s="167" t="s">
        <v>70</v>
      </c>
      <c r="AO191" s="167" t="s">
        <v>70</v>
      </c>
      <c r="AP191" s="167" t="s">
        <v>70</v>
      </c>
      <c r="AQ191" s="167" t="s">
        <v>70</v>
      </c>
      <c r="AR191" s="166" t="s">
        <v>69</v>
      </c>
      <c r="AS191" s="167" t="s">
        <v>70</v>
      </c>
      <c r="AT191" s="167" t="s">
        <v>70</v>
      </c>
      <c r="AU191" s="167" t="s">
        <v>70</v>
      </c>
      <c r="AV191" s="167" t="s">
        <v>70</v>
      </c>
      <c r="AW191" s="167" t="s">
        <v>70</v>
      </c>
      <c r="AX191" s="167" t="s">
        <v>70</v>
      </c>
      <c r="AY191" s="167" t="s">
        <v>70</v>
      </c>
      <c r="AZ191" s="167" t="s">
        <v>70</v>
      </c>
      <c r="BA191" s="167" t="s">
        <v>70</v>
      </c>
      <c r="BB191" s="167" t="s">
        <v>70</v>
      </c>
      <c r="BC191" s="167" t="s">
        <v>70</v>
      </c>
      <c r="BD191" s="167" t="s">
        <v>70</v>
      </c>
      <c r="BE191" s="167" t="s">
        <v>70</v>
      </c>
      <c r="BF191" s="167" t="s">
        <v>70</v>
      </c>
      <c r="BG191" s="167" t="s">
        <v>70</v>
      </c>
      <c r="BH191" s="167" t="s">
        <v>70</v>
      </c>
      <c r="BI191" s="167" t="s">
        <v>70</v>
      </c>
      <c r="BJ191" s="167" t="s">
        <v>70</v>
      </c>
      <c r="BK191" s="167" t="s">
        <v>70</v>
      </c>
      <c r="BL191" s="167" t="s">
        <v>70</v>
      </c>
      <c r="BM191" s="167" t="s">
        <v>70</v>
      </c>
      <c r="BN191" s="167" t="s">
        <v>70</v>
      </c>
      <c r="BO191" s="167" t="s">
        <v>70</v>
      </c>
      <c r="BP191" s="167" t="s">
        <v>70</v>
      </c>
      <c r="BQ191" s="151" t="s">
        <v>208</v>
      </c>
      <c r="BR191" s="142"/>
      <c r="BS191" s="142"/>
      <c r="BT191" s="142"/>
      <c r="BU191" s="142"/>
      <c r="BV191" s="142"/>
      <c r="BW191" s="142"/>
      <c r="BX191" s="142"/>
      <c r="BY191" s="142"/>
      <c r="BZ191" s="142"/>
      <c r="CA191" s="142"/>
      <c r="CB191" s="142"/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2"/>
      <c r="DL191" s="142"/>
      <c r="DM191" s="142"/>
      <c r="DN191" s="142"/>
      <c r="DO191" s="142"/>
      <c r="DP191" s="142"/>
      <c r="DQ191" s="142"/>
      <c r="DR191" s="142"/>
      <c r="DS191" s="142"/>
      <c r="DT191" s="142"/>
      <c r="DU191" s="142"/>
      <c r="DV191" s="142"/>
      <c r="DW191" s="142"/>
      <c r="DX191" s="142"/>
      <c r="DY191" s="142"/>
      <c r="DZ191" s="142"/>
      <c r="EA191" s="142"/>
      <c r="EB191" s="142"/>
      <c r="EC191" s="142"/>
      <c r="ED191" s="142"/>
      <c r="EE191" s="142"/>
      <c r="EF191" s="142"/>
    </row>
    <row r="192" spans="1:136" s="151" customFormat="1" ht="19.5" customHeight="1" x14ac:dyDescent="0.2">
      <c r="A192" s="117">
        <v>189</v>
      </c>
      <c r="B192" s="123" t="s">
        <v>233</v>
      </c>
      <c r="C192" s="123">
        <v>83102177</v>
      </c>
      <c r="D192" s="117" t="s">
        <v>212</v>
      </c>
      <c r="E192" s="123" t="s">
        <v>68</v>
      </c>
      <c r="F192" s="146" t="s">
        <v>256</v>
      </c>
      <c r="G192" s="124">
        <v>40750</v>
      </c>
      <c r="H192" s="89">
        <v>42317</v>
      </c>
      <c r="I192" s="89"/>
      <c r="J192" s="162"/>
      <c r="K192" s="89"/>
      <c r="L192" s="89"/>
      <c r="M192" s="163"/>
      <c r="N192" s="89"/>
      <c r="O192" s="89"/>
      <c r="P192" s="89"/>
      <c r="Q192" s="167" t="s">
        <v>70</v>
      </c>
      <c r="R192" s="167" t="s">
        <v>70</v>
      </c>
      <c r="S192" s="167" t="s">
        <v>70</v>
      </c>
      <c r="T192" s="167" t="s">
        <v>70</v>
      </c>
      <c r="U192" s="167" t="s">
        <v>70</v>
      </c>
      <c r="V192" s="167" t="s">
        <v>70</v>
      </c>
      <c r="W192" s="167" t="s">
        <v>70</v>
      </c>
      <c r="X192" s="167" t="s">
        <v>70</v>
      </c>
      <c r="Y192" s="167" t="s">
        <v>70</v>
      </c>
      <c r="Z192" s="167" t="s">
        <v>70</v>
      </c>
      <c r="AA192" s="167" t="s">
        <v>70</v>
      </c>
      <c r="AB192" s="167" t="s">
        <v>70</v>
      </c>
      <c r="AC192" s="167" t="s">
        <v>70</v>
      </c>
      <c r="AD192" s="167" t="s">
        <v>70</v>
      </c>
      <c r="AE192" s="167" t="s">
        <v>70</v>
      </c>
      <c r="AF192" s="167" t="s">
        <v>70</v>
      </c>
      <c r="AG192" s="167" t="s">
        <v>70</v>
      </c>
      <c r="AH192" s="167" t="s">
        <v>70</v>
      </c>
      <c r="AI192" s="111">
        <v>45975</v>
      </c>
      <c r="AJ192" s="94">
        <v>45353</v>
      </c>
      <c r="AK192" s="167" t="s">
        <v>70</v>
      </c>
      <c r="AL192" s="167" t="s">
        <v>70</v>
      </c>
      <c r="AM192" s="167"/>
      <c r="AN192" s="167" t="s">
        <v>70</v>
      </c>
      <c r="AO192" s="167" t="s">
        <v>70</v>
      </c>
      <c r="AP192" s="167" t="s">
        <v>70</v>
      </c>
      <c r="AQ192" s="167" t="s">
        <v>70</v>
      </c>
      <c r="AR192" s="166" t="s">
        <v>69</v>
      </c>
      <c r="AS192" s="167" t="s">
        <v>70</v>
      </c>
      <c r="AT192" s="167" t="s">
        <v>70</v>
      </c>
      <c r="AU192" s="167" t="s">
        <v>70</v>
      </c>
      <c r="AV192" s="167" t="s">
        <v>70</v>
      </c>
      <c r="AW192" s="167" t="s">
        <v>70</v>
      </c>
      <c r="AX192" s="167" t="s">
        <v>70</v>
      </c>
      <c r="AY192" s="167" t="s">
        <v>70</v>
      </c>
      <c r="AZ192" s="167" t="s">
        <v>70</v>
      </c>
      <c r="BA192" s="167" t="s">
        <v>70</v>
      </c>
      <c r="BB192" s="167" t="s">
        <v>70</v>
      </c>
      <c r="BC192" s="167" t="s">
        <v>70</v>
      </c>
      <c r="BD192" s="167" t="s">
        <v>70</v>
      </c>
      <c r="BE192" s="167" t="s">
        <v>70</v>
      </c>
      <c r="BF192" s="167" t="s">
        <v>70</v>
      </c>
      <c r="BG192" s="167" t="s">
        <v>70</v>
      </c>
      <c r="BH192" s="167" t="s">
        <v>70</v>
      </c>
      <c r="BI192" s="167" t="s">
        <v>70</v>
      </c>
      <c r="BJ192" s="167" t="s">
        <v>70</v>
      </c>
      <c r="BK192" s="167" t="s">
        <v>70</v>
      </c>
      <c r="BL192" s="167" t="s">
        <v>70</v>
      </c>
      <c r="BM192" s="167" t="s">
        <v>70</v>
      </c>
      <c r="BN192" s="167" t="s">
        <v>70</v>
      </c>
      <c r="BO192" s="167" t="s">
        <v>70</v>
      </c>
      <c r="BP192" s="167" t="s">
        <v>70</v>
      </c>
      <c r="BQ192" s="151" t="s">
        <v>224</v>
      </c>
      <c r="BR192" s="142"/>
      <c r="BS192" s="142"/>
      <c r="BT192" s="142"/>
      <c r="BU192" s="142"/>
      <c r="BV192" s="142"/>
      <c r="BW192" s="142"/>
      <c r="BX192" s="142"/>
      <c r="BY192" s="142"/>
      <c r="BZ192" s="142"/>
      <c r="CA192" s="142"/>
      <c r="CB192" s="142"/>
      <c r="CC192" s="142"/>
      <c r="CD192" s="142"/>
      <c r="CE192" s="142"/>
      <c r="CF192" s="142"/>
      <c r="CG192" s="142"/>
      <c r="CH192" s="142"/>
      <c r="CI192" s="142"/>
      <c r="CJ192" s="142"/>
      <c r="CK192" s="142"/>
      <c r="CL192" s="142"/>
      <c r="CM192" s="142"/>
      <c r="CN192" s="142"/>
      <c r="CO192" s="142"/>
      <c r="CP192" s="142"/>
      <c r="CQ192" s="142"/>
      <c r="CR192" s="142"/>
      <c r="CS192" s="142"/>
      <c r="CT192" s="142"/>
      <c r="CU192" s="142"/>
      <c r="CV192" s="142"/>
      <c r="CW192" s="142"/>
      <c r="CX192" s="142"/>
      <c r="CY192" s="142"/>
      <c r="CZ192" s="142"/>
      <c r="DA192" s="142"/>
      <c r="DB192" s="142"/>
      <c r="DC192" s="142"/>
      <c r="DD192" s="142"/>
      <c r="DE192" s="142"/>
      <c r="DF192" s="142"/>
      <c r="DG192" s="142"/>
      <c r="DH192" s="142"/>
      <c r="DI192" s="142"/>
      <c r="DJ192" s="142"/>
      <c r="DK192" s="142"/>
      <c r="DL192" s="142"/>
      <c r="DM192" s="142"/>
      <c r="DN192" s="142"/>
      <c r="DO192" s="142"/>
      <c r="DP192" s="142"/>
      <c r="DQ192" s="142"/>
      <c r="DR192" s="142"/>
      <c r="DS192" s="142"/>
      <c r="DT192" s="142"/>
      <c r="DU192" s="142"/>
      <c r="DV192" s="142"/>
      <c r="DW192" s="142"/>
      <c r="DX192" s="142"/>
      <c r="DY192" s="142"/>
      <c r="DZ192" s="142"/>
      <c r="EA192" s="142"/>
      <c r="EB192" s="142"/>
      <c r="EC192" s="142"/>
      <c r="ED192" s="142"/>
      <c r="EE192" s="142"/>
      <c r="EF192" s="142"/>
    </row>
    <row r="193" spans="1:136" s="151" customFormat="1" ht="19.5" customHeight="1" x14ac:dyDescent="0.2">
      <c r="A193" s="117">
        <v>190</v>
      </c>
      <c r="B193" s="161" t="s">
        <v>209</v>
      </c>
      <c r="C193" s="161">
        <v>83075871</v>
      </c>
      <c r="D193" s="171" t="s">
        <v>210</v>
      </c>
      <c r="E193" s="123" t="s">
        <v>68</v>
      </c>
      <c r="F193" s="146" t="s">
        <v>256</v>
      </c>
      <c r="G193" s="92">
        <v>40959</v>
      </c>
      <c r="H193" s="89">
        <v>42324</v>
      </c>
      <c r="I193" s="163"/>
      <c r="J193" s="162"/>
      <c r="K193" s="89"/>
      <c r="L193" s="140"/>
      <c r="M193" s="163"/>
      <c r="N193" s="89"/>
      <c r="O193" s="89"/>
      <c r="P193" s="89"/>
      <c r="Q193" s="167" t="s">
        <v>70</v>
      </c>
      <c r="R193" s="167" t="s">
        <v>70</v>
      </c>
      <c r="S193" s="167" t="s">
        <v>70</v>
      </c>
      <c r="T193" s="167" t="s">
        <v>70</v>
      </c>
      <c r="U193" s="167" t="s">
        <v>70</v>
      </c>
      <c r="V193" s="167" t="s">
        <v>70</v>
      </c>
      <c r="W193" s="167" t="s">
        <v>70</v>
      </c>
      <c r="X193" s="167" t="s">
        <v>70</v>
      </c>
      <c r="Y193" s="167" t="s">
        <v>70</v>
      </c>
      <c r="Z193" s="167" t="s">
        <v>70</v>
      </c>
      <c r="AA193" s="167" t="s">
        <v>70</v>
      </c>
      <c r="AB193" s="167" t="s">
        <v>70</v>
      </c>
      <c r="AC193" s="167" t="s">
        <v>70</v>
      </c>
      <c r="AD193" s="167" t="s">
        <v>70</v>
      </c>
      <c r="AE193" s="167" t="s">
        <v>70</v>
      </c>
      <c r="AF193" s="167" t="s">
        <v>70</v>
      </c>
      <c r="AG193" s="167" t="s">
        <v>70</v>
      </c>
      <c r="AH193" s="167" t="s">
        <v>70</v>
      </c>
      <c r="AI193" s="111">
        <v>45912</v>
      </c>
      <c r="AJ193" s="94">
        <v>45342</v>
      </c>
      <c r="AK193" s="167" t="s">
        <v>70</v>
      </c>
      <c r="AL193" s="167" t="s">
        <v>70</v>
      </c>
      <c r="AM193" s="167"/>
      <c r="AN193" s="167" t="s">
        <v>70</v>
      </c>
      <c r="AO193" s="167" t="s">
        <v>70</v>
      </c>
      <c r="AP193" s="167" t="s">
        <v>70</v>
      </c>
      <c r="AQ193" s="167" t="s">
        <v>70</v>
      </c>
      <c r="AR193" s="168">
        <v>46220</v>
      </c>
      <c r="AS193" s="167" t="s">
        <v>70</v>
      </c>
      <c r="AT193" s="167" t="s">
        <v>70</v>
      </c>
      <c r="AU193" s="167" t="s">
        <v>70</v>
      </c>
      <c r="AV193" s="167" t="s">
        <v>70</v>
      </c>
      <c r="AW193" s="167" t="s">
        <v>70</v>
      </c>
      <c r="AX193" s="167" t="s">
        <v>70</v>
      </c>
      <c r="AY193" s="167" t="s">
        <v>70</v>
      </c>
      <c r="AZ193" s="167" t="s">
        <v>70</v>
      </c>
      <c r="BA193" s="167" t="s">
        <v>70</v>
      </c>
      <c r="BB193" s="167" t="s">
        <v>70</v>
      </c>
      <c r="BC193" s="167" t="s">
        <v>70</v>
      </c>
      <c r="BD193" s="167" t="s">
        <v>70</v>
      </c>
      <c r="BE193" s="167" t="s">
        <v>70</v>
      </c>
      <c r="BF193" s="167" t="s">
        <v>70</v>
      </c>
      <c r="BG193" s="167" t="s">
        <v>70</v>
      </c>
      <c r="BH193" s="167" t="s">
        <v>70</v>
      </c>
      <c r="BI193" s="167" t="s">
        <v>70</v>
      </c>
      <c r="BJ193" s="167" t="s">
        <v>70</v>
      </c>
      <c r="BK193" s="167" t="s">
        <v>70</v>
      </c>
      <c r="BL193" s="167" t="s">
        <v>70</v>
      </c>
      <c r="BM193" s="167" t="s">
        <v>70</v>
      </c>
      <c r="BN193" s="167" t="s">
        <v>70</v>
      </c>
      <c r="BO193" s="167" t="s">
        <v>70</v>
      </c>
      <c r="BP193" s="167" t="s">
        <v>70</v>
      </c>
      <c r="BQ193" s="151" t="s">
        <v>208</v>
      </c>
      <c r="BR193" s="142"/>
      <c r="BS193" s="142"/>
      <c r="BT193" s="142"/>
      <c r="BU193" s="142"/>
      <c r="BV193" s="142"/>
      <c r="BW193" s="142"/>
      <c r="BX193" s="142"/>
      <c r="BY193" s="142"/>
      <c r="BZ193" s="142"/>
      <c r="CA193" s="142"/>
      <c r="CB193" s="142"/>
      <c r="CC193" s="142"/>
      <c r="CD193" s="142"/>
      <c r="CE193" s="142"/>
      <c r="CF193" s="142"/>
      <c r="CG193" s="142"/>
      <c r="CH193" s="142"/>
      <c r="CI193" s="142"/>
      <c r="CJ193" s="142"/>
      <c r="CK193" s="142"/>
      <c r="CL193" s="142"/>
      <c r="CM193" s="142"/>
      <c r="CN193" s="142"/>
      <c r="CO193" s="142"/>
      <c r="CP193" s="142"/>
      <c r="CQ193" s="142"/>
      <c r="CR193" s="142"/>
      <c r="CS193" s="142"/>
      <c r="CT193" s="142"/>
      <c r="CU193" s="142"/>
      <c r="CV193" s="142"/>
      <c r="CW193" s="142"/>
      <c r="CX193" s="142"/>
      <c r="CY193" s="142"/>
      <c r="CZ193" s="142"/>
      <c r="DA193" s="142"/>
      <c r="DB193" s="142"/>
      <c r="DC193" s="142"/>
      <c r="DD193" s="142"/>
      <c r="DE193" s="142"/>
      <c r="DF193" s="142"/>
      <c r="DG193" s="142"/>
      <c r="DH193" s="142"/>
      <c r="DI193" s="142"/>
      <c r="DJ193" s="142"/>
      <c r="DK193" s="142"/>
      <c r="DL193" s="142"/>
      <c r="DM193" s="142"/>
      <c r="DN193" s="142"/>
      <c r="DO193" s="142"/>
      <c r="DP193" s="142"/>
      <c r="DQ193" s="142"/>
      <c r="DR193" s="142"/>
      <c r="DS193" s="142"/>
      <c r="DT193" s="142"/>
      <c r="DU193" s="142"/>
      <c r="DV193" s="142"/>
      <c r="DW193" s="142"/>
      <c r="DX193" s="142"/>
      <c r="DY193" s="142"/>
      <c r="DZ193" s="142"/>
      <c r="EA193" s="142"/>
      <c r="EB193" s="142"/>
      <c r="EC193" s="142"/>
      <c r="ED193" s="142"/>
      <c r="EE193" s="142"/>
      <c r="EF193" s="142"/>
    </row>
    <row r="194" spans="1:136" s="151" customFormat="1" ht="19.5" customHeight="1" x14ac:dyDescent="0.2">
      <c r="A194" s="117">
        <v>191</v>
      </c>
      <c r="B194" s="161" t="s">
        <v>249</v>
      </c>
      <c r="C194" s="161">
        <v>83086810</v>
      </c>
      <c r="D194" s="171" t="s">
        <v>250</v>
      </c>
      <c r="E194" s="123" t="s">
        <v>68</v>
      </c>
      <c r="F194" s="146" t="s">
        <v>256</v>
      </c>
      <c r="G194" s="111">
        <v>44882</v>
      </c>
      <c r="H194" s="111"/>
      <c r="I194" s="111"/>
      <c r="J194" s="162"/>
      <c r="K194" s="111"/>
      <c r="L194" s="111"/>
      <c r="M194" s="163"/>
      <c r="N194" s="111"/>
      <c r="O194" s="112"/>
      <c r="P194" s="111"/>
      <c r="Q194" s="167" t="s">
        <v>70</v>
      </c>
      <c r="R194" s="167" t="s">
        <v>70</v>
      </c>
      <c r="S194" s="167" t="s">
        <v>70</v>
      </c>
      <c r="T194" s="167" t="s">
        <v>70</v>
      </c>
      <c r="U194" s="167" t="s">
        <v>70</v>
      </c>
      <c r="V194" s="167" t="s">
        <v>70</v>
      </c>
      <c r="W194" s="167" t="s">
        <v>70</v>
      </c>
      <c r="X194" s="167" t="s">
        <v>70</v>
      </c>
      <c r="Y194" s="167" t="s">
        <v>70</v>
      </c>
      <c r="Z194" s="167" t="s">
        <v>70</v>
      </c>
      <c r="AA194" s="167" t="s">
        <v>70</v>
      </c>
      <c r="AB194" s="167" t="s">
        <v>70</v>
      </c>
      <c r="AC194" s="167" t="s">
        <v>70</v>
      </c>
      <c r="AD194" s="167" t="s">
        <v>70</v>
      </c>
      <c r="AE194" s="167" t="s">
        <v>70</v>
      </c>
      <c r="AF194" s="167" t="s">
        <v>70</v>
      </c>
      <c r="AG194" s="167" t="s">
        <v>70</v>
      </c>
      <c r="AH194" s="167" t="s">
        <v>70</v>
      </c>
      <c r="AI194" s="111">
        <v>45946</v>
      </c>
      <c r="AJ194" s="94">
        <v>45360</v>
      </c>
      <c r="AK194" s="167" t="s">
        <v>70</v>
      </c>
      <c r="AL194" s="167" t="s">
        <v>70</v>
      </c>
      <c r="AM194" s="167"/>
      <c r="AN194" s="167" t="s">
        <v>70</v>
      </c>
      <c r="AO194" s="167" t="s">
        <v>70</v>
      </c>
      <c r="AP194" s="167" t="s">
        <v>70</v>
      </c>
      <c r="AQ194" s="167" t="s">
        <v>70</v>
      </c>
      <c r="AR194" s="168">
        <v>46184</v>
      </c>
      <c r="AS194" s="167" t="s">
        <v>70</v>
      </c>
      <c r="AT194" s="167" t="s">
        <v>70</v>
      </c>
      <c r="AU194" s="167" t="s">
        <v>70</v>
      </c>
      <c r="AV194" s="167" t="s">
        <v>70</v>
      </c>
      <c r="AW194" s="167" t="s">
        <v>70</v>
      </c>
      <c r="AX194" s="167" t="s">
        <v>70</v>
      </c>
      <c r="AY194" s="167" t="s">
        <v>70</v>
      </c>
      <c r="AZ194" s="167" t="s">
        <v>70</v>
      </c>
      <c r="BA194" s="167" t="s">
        <v>70</v>
      </c>
      <c r="BB194" s="167" t="s">
        <v>70</v>
      </c>
      <c r="BC194" s="167" t="s">
        <v>70</v>
      </c>
      <c r="BD194" s="167" t="s">
        <v>70</v>
      </c>
      <c r="BE194" s="167" t="s">
        <v>70</v>
      </c>
      <c r="BF194" s="167" t="s">
        <v>70</v>
      </c>
      <c r="BG194" s="167" t="s">
        <v>70</v>
      </c>
      <c r="BH194" s="167" t="s">
        <v>70</v>
      </c>
      <c r="BI194" s="167" t="s">
        <v>70</v>
      </c>
      <c r="BJ194" s="167" t="s">
        <v>70</v>
      </c>
      <c r="BK194" s="167" t="s">
        <v>70</v>
      </c>
      <c r="BL194" s="167" t="s">
        <v>70</v>
      </c>
      <c r="BM194" s="167" t="s">
        <v>70</v>
      </c>
      <c r="BN194" s="167" t="s">
        <v>70</v>
      </c>
      <c r="BO194" s="167" t="s">
        <v>70</v>
      </c>
      <c r="BP194" s="167" t="s">
        <v>70</v>
      </c>
      <c r="BQ194" s="151" t="s">
        <v>224</v>
      </c>
      <c r="BR194" s="142"/>
      <c r="BS194" s="142"/>
      <c r="BT194" s="142"/>
      <c r="BU194" s="142"/>
      <c r="BV194" s="142"/>
      <c r="BW194" s="142"/>
      <c r="BX194" s="142"/>
      <c r="BY194" s="142"/>
      <c r="BZ194" s="142"/>
      <c r="CA194" s="142"/>
      <c r="CB194" s="142"/>
      <c r="CC194" s="142"/>
      <c r="CD194" s="142"/>
      <c r="CE194" s="142"/>
      <c r="CF194" s="142"/>
      <c r="CG194" s="142"/>
      <c r="CH194" s="142"/>
      <c r="CI194" s="142"/>
      <c r="CJ194" s="142"/>
      <c r="CK194" s="142"/>
      <c r="CL194" s="142"/>
      <c r="CM194" s="142"/>
      <c r="CN194" s="142"/>
      <c r="CO194" s="142"/>
      <c r="CP194" s="142"/>
      <c r="CQ194" s="142"/>
      <c r="CR194" s="142"/>
      <c r="CS194" s="142"/>
      <c r="CT194" s="142"/>
      <c r="CU194" s="142"/>
      <c r="CV194" s="142"/>
      <c r="CW194" s="142"/>
      <c r="CX194" s="142"/>
      <c r="CY194" s="142"/>
      <c r="CZ194" s="142"/>
      <c r="DA194" s="142"/>
      <c r="DB194" s="142"/>
      <c r="DC194" s="142"/>
      <c r="DD194" s="142"/>
      <c r="DE194" s="142"/>
      <c r="DF194" s="142"/>
      <c r="DG194" s="142"/>
      <c r="DH194" s="142"/>
      <c r="DI194" s="142"/>
      <c r="DJ194" s="142"/>
      <c r="DK194" s="142"/>
      <c r="DL194" s="142"/>
      <c r="DM194" s="142"/>
      <c r="DN194" s="142"/>
      <c r="DO194" s="142"/>
      <c r="DP194" s="142"/>
      <c r="DQ194" s="142"/>
      <c r="DR194" s="142"/>
      <c r="DS194" s="142"/>
      <c r="DT194" s="142"/>
      <c r="DU194" s="142"/>
      <c r="DV194" s="142"/>
      <c r="DW194" s="142"/>
      <c r="DX194" s="142"/>
      <c r="DY194" s="142"/>
      <c r="DZ194" s="142"/>
      <c r="EA194" s="142"/>
      <c r="EB194" s="142"/>
      <c r="EC194" s="142"/>
      <c r="ED194" s="142"/>
      <c r="EE194" s="142"/>
      <c r="EF194" s="142"/>
    </row>
    <row r="195" spans="1:136" s="151" customFormat="1" ht="19.5" customHeight="1" x14ac:dyDescent="0.2">
      <c r="A195" s="117">
        <v>192</v>
      </c>
      <c r="B195" s="123" t="s">
        <v>213</v>
      </c>
      <c r="C195" s="123">
        <v>83117969</v>
      </c>
      <c r="D195" s="117" t="s">
        <v>212</v>
      </c>
      <c r="E195" s="123" t="s">
        <v>68</v>
      </c>
      <c r="F195" s="146" t="s">
        <v>256</v>
      </c>
      <c r="G195" s="124" t="s">
        <v>69</v>
      </c>
      <c r="H195" s="89">
        <v>42254</v>
      </c>
      <c r="I195" s="140"/>
      <c r="J195" s="162"/>
      <c r="K195" s="89"/>
      <c r="L195" s="140"/>
      <c r="M195" s="163"/>
      <c r="N195" s="89"/>
      <c r="O195" s="89"/>
      <c r="P195" s="89"/>
      <c r="Q195" s="167" t="s">
        <v>70</v>
      </c>
      <c r="R195" s="167" t="s">
        <v>70</v>
      </c>
      <c r="S195" s="167" t="s">
        <v>70</v>
      </c>
      <c r="T195" s="167" t="s">
        <v>70</v>
      </c>
      <c r="U195" s="167" t="s">
        <v>70</v>
      </c>
      <c r="V195" s="167" t="s">
        <v>70</v>
      </c>
      <c r="W195" s="167" t="s">
        <v>70</v>
      </c>
      <c r="X195" s="167" t="s">
        <v>70</v>
      </c>
      <c r="Y195" s="167" t="s">
        <v>70</v>
      </c>
      <c r="Z195" s="167" t="s">
        <v>70</v>
      </c>
      <c r="AA195" s="167" t="s">
        <v>70</v>
      </c>
      <c r="AB195" s="167" t="s">
        <v>70</v>
      </c>
      <c r="AC195" s="167" t="s">
        <v>70</v>
      </c>
      <c r="AD195" s="167" t="s">
        <v>70</v>
      </c>
      <c r="AE195" s="167" t="s">
        <v>70</v>
      </c>
      <c r="AF195" s="167" t="s">
        <v>70</v>
      </c>
      <c r="AG195" s="167" t="s">
        <v>70</v>
      </c>
      <c r="AH195" s="167" t="s">
        <v>70</v>
      </c>
      <c r="AI195" s="111">
        <v>45785</v>
      </c>
      <c r="AJ195" s="94">
        <v>45342</v>
      </c>
      <c r="AK195" s="167" t="s">
        <v>70</v>
      </c>
      <c r="AL195" s="167" t="s">
        <v>70</v>
      </c>
      <c r="AM195" s="167"/>
      <c r="AN195" s="167" t="s">
        <v>70</v>
      </c>
      <c r="AO195" s="167" t="s">
        <v>70</v>
      </c>
      <c r="AP195" s="167" t="s">
        <v>70</v>
      </c>
      <c r="AQ195" s="167" t="s">
        <v>70</v>
      </c>
      <c r="AR195" s="166" t="s">
        <v>69</v>
      </c>
      <c r="AS195" s="167" t="s">
        <v>70</v>
      </c>
      <c r="AT195" s="167" t="s">
        <v>70</v>
      </c>
      <c r="AU195" s="167" t="s">
        <v>70</v>
      </c>
      <c r="AV195" s="167" t="s">
        <v>70</v>
      </c>
      <c r="AW195" s="167" t="s">
        <v>70</v>
      </c>
      <c r="AX195" s="167" t="s">
        <v>70</v>
      </c>
      <c r="AY195" s="167" t="s">
        <v>70</v>
      </c>
      <c r="AZ195" s="167" t="s">
        <v>70</v>
      </c>
      <c r="BA195" s="167" t="s">
        <v>70</v>
      </c>
      <c r="BB195" s="167" t="s">
        <v>70</v>
      </c>
      <c r="BC195" s="167" t="s">
        <v>70</v>
      </c>
      <c r="BD195" s="167" t="s">
        <v>70</v>
      </c>
      <c r="BE195" s="167" t="s">
        <v>70</v>
      </c>
      <c r="BF195" s="167" t="s">
        <v>70</v>
      </c>
      <c r="BG195" s="167" t="s">
        <v>70</v>
      </c>
      <c r="BH195" s="167" t="s">
        <v>70</v>
      </c>
      <c r="BI195" s="167" t="s">
        <v>70</v>
      </c>
      <c r="BJ195" s="167" t="s">
        <v>70</v>
      </c>
      <c r="BK195" s="167" t="s">
        <v>70</v>
      </c>
      <c r="BL195" s="167" t="s">
        <v>70</v>
      </c>
      <c r="BM195" s="167" t="s">
        <v>70</v>
      </c>
      <c r="BN195" s="167" t="s">
        <v>70</v>
      </c>
      <c r="BO195" s="167" t="s">
        <v>70</v>
      </c>
      <c r="BP195" s="167" t="s">
        <v>70</v>
      </c>
      <c r="BQ195" s="151" t="s">
        <v>208</v>
      </c>
      <c r="BR195" s="142"/>
      <c r="BS195" s="142"/>
      <c r="BT195" s="142"/>
      <c r="BU195" s="142"/>
      <c r="BV195" s="142"/>
      <c r="BW195" s="142"/>
      <c r="BX195" s="142"/>
      <c r="BY195" s="142"/>
      <c r="BZ195" s="142"/>
      <c r="CA195" s="142"/>
      <c r="CB195" s="142"/>
      <c r="CC195" s="142"/>
      <c r="CD195" s="142"/>
      <c r="CE195" s="142"/>
      <c r="CF195" s="142"/>
      <c r="CG195" s="142"/>
      <c r="CH195" s="142"/>
      <c r="CI195" s="142"/>
      <c r="CJ195" s="142"/>
      <c r="CK195" s="142"/>
      <c r="CL195" s="142"/>
      <c r="CM195" s="142"/>
      <c r="CN195" s="142"/>
      <c r="CO195" s="142"/>
      <c r="CP195" s="142"/>
      <c r="CQ195" s="142"/>
      <c r="CR195" s="142"/>
      <c r="CS195" s="142"/>
      <c r="CT195" s="142"/>
      <c r="CU195" s="142"/>
      <c r="CV195" s="142"/>
      <c r="CW195" s="142"/>
      <c r="CX195" s="142"/>
      <c r="CY195" s="142"/>
      <c r="CZ195" s="142"/>
      <c r="DA195" s="142"/>
      <c r="DB195" s="142"/>
      <c r="DC195" s="142"/>
      <c r="DD195" s="142"/>
      <c r="DE195" s="142"/>
      <c r="DF195" s="142"/>
      <c r="DG195" s="142"/>
      <c r="DH195" s="142"/>
      <c r="DI195" s="142"/>
      <c r="DJ195" s="142"/>
      <c r="DK195" s="142"/>
      <c r="DL195" s="142"/>
      <c r="DM195" s="142"/>
      <c r="DN195" s="142"/>
      <c r="DO195" s="142"/>
      <c r="DP195" s="142"/>
      <c r="DQ195" s="142"/>
      <c r="DR195" s="142"/>
      <c r="DS195" s="142"/>
      <c r="DT195" s="142"/>
      <c r="DU195" s="142"/>
      <c r="DV195" s="142"/>
      <c r="DW195" s="142"/>
      <c r="DX195" s="142"/>
      <c r="DY195" s="142"/>
      <c r="DZ195" s="142"/>
      <c r="EA195" s="142"/>
      <c r="EB195" s="142"/>
      <c r="EC195" s="142"/>
      <c r="ED195" s="142"/>
      <c r="EE195" s="142"/>
      <c r="EF195" s="142"/>
    </row>
    <row r="196" spans="1:136" s="151" customFormat="1" ht="19.5" customHeight="1" x14ac:dyDescent="0.2">
      <c r="A196" s="117">
        <v>193</v>
      </c>
      <c r="B196" s="220" t="s">
        <v>218</v>
      </c>
      <c r="C196" s="123">
        <v>83104434</v>
      </c>
      <c r="D196" s="117" t="s">
        <v>212</v>
      </c>
      <c r="E196" s="123" t="s">
        <v>68</v>
      </c>
      <c r="F196" s="146" t="s">
        <v>256</v>
      </c>
      <c r="G196" s="124">
        <v>1</v>
      </c>
      <c r="H196" s="89"/>
      <c r="I196" s="140"/>
      <c r="J196" s="162"/>
      <c r="K196" s="89"/>
      <c r="L196" s="140"/>
      <c r="M196" s="163"/>
      <c r="N196" s="89"/>
      <c r="O196" s="89"/>
      <c r="P196" s="89"/>
      <c r="Q196" s="167" t="s">
        <v>70</v>
      </c>
      <c r="R196" s="167" t="s">
        <v>70</v>
      </c>
      <c r="S196" s="167" t="s">
        <v>70</v>
      </c>
      <c r="T196" s="167" t="s">
        <v>70</v>
      </c>
      <c r="U196" s="167" t="s">
        <v>70</v>
      </c>
      <c r="V196" s="167" t="s">
        <v>70</v>
      </c>
      <c r="W196" s="167" t="s">
        <v>70</v>
      </c>
      <c r="X196" s="167" t="s">
        <v>70</v>
      </c>
      <c r="Y196" s="167" t="s">
        <v>70</v>
      </c>
      <c r="Z196" s="167" t="s">
        <v>70</v>
      </c>
      <c r="AA196" s="167" t="s">
        <v>70</v>
      </c>
      <c r="AB196" s="167" t="s">
        <v>70</v>
      </c>
      <c r="AC196" s="167" t="s">
        <v>70</v>
      </c>
      <c r="AD196" s="167" t="s">
        <v>70</v>
      </c>
      <c r="AE196" s="167" t="s">
        <v>70</v>
      </c>
      <c r="AF196" s="167" t="s">
        <v>70</v>
      </c>
      <c r="AG196" s="167" t="s">
        <v>70</v>
      </c>
      <c r="AH196" s="167" t="s">
        <v>70</v>
      </c>
      <c r="AI196" s="111">
        <v>45939</v>
      </c>
      <c r="AJ196" s="94">
        <v>45349</v>
      </c>
      <c r="AK196" s="167" t="s">
        <v>70</v>
      </c>
      <c r="AL196" s="167" t="s">
        <v>70</v>
      </c>
      <c r="AM196" s="167"/>
      <c r="AN196" s="167" t="s">
        <v>70</v>
      </c>
      <c r="AO196" s="167" t="s">
        <v>70</v>
      </c>
      <c r="AP196" s="167" t="s">
        <v>70</v>
      </c>
      <c r="AQ196" s="167" t="s">
        <v>70</v>
      </c>
      <c r="AR196" s="166" t="s">
        <v>69</v>
      </c>
      <c r="AS196" s="167" t="s">
        <v>70</v>
      </c>
      <c r="AT196" s="167" t="s">
        <v>70</v>
      </c>
      <c r="AU196" s="167" t="s">
        <v>70</v>
      </c>
      <c r="AV196" s="167" t="s">
        <v>70</v>
      </c>
      <c r="AW196" s="167" t="s">
        <v>70</v>
      </c>
      <c r="AX196" s="167" t="s">
        <v>70</v>
      </c>
      <c r="AY196" s="167" t="s">
        <v>70</v>
      </c>
      <c r="AZ196" s="167" t="s">
        <v>70</v>
      </c>
      <c r="BA196" s="167" t="s">
        <v>70</v>
      </c>
      <c r="BB196" s="167" t="s">
        <v>70</v>
      </c>
      <c r="BC196" s="167" t="s">
        <v>70</v>
      </c>
      <c r="BD196" s="167" t="s">
        <v>70</v>
      </c>
      <c r="BE196" s="167" t="s">
        <v>70</v>
      </c>
      <c r="BF196" s="167" t="s">
        <v>70</v>
      </c>
      <c r="BG196" s="167" t="s">
        <v>70</v>
      </c>
      <c r="BH196" s="167" t="s">
        <v>70</v>
      </c>
      <c r="BI196" s="167" t="s">
        <v>70</v>
      </c>
      <c r="BJ196" s="167" t="s">
        <v>70</v>
      </c>
      <c r="BK196" s="167" t="s">
        <v>70</v>
      </c>
      <c r="BL196" s="167" t="s">
        <v>70</v>
      </c>
      <c r="BM196" s="167" t="s">
        <v>70</v>
      </c>
      <c r="BN196" s="167" t="s">
        <v>70</v>
      </c>
      <c r="BO196" s="167" t="s">
        <v>70</v>
      </c>
      <c r="BP196" s="167" t="s">
        <v>70</v>
      </c>
      <c r="BQ196" s="151" t="s">
        <v>208</v>
      </c>
      <c r="BR196" s="142"/>
      <c r="BS196" s="142"/>
      <c r="BT196" s="142"/>
      <c r="BU196" s="142"/>
      <c r="BV196" s="142"/>
      <c r="BW196" s="142"/>
      <c r="BX196" s="142"/>
      <c r="BY196" s="142"/>
      <c r="BZ196" s="142"/>
      <c r="CA196" s="142"/>
      <c r="CB196" s="142"/>
      <c r="CC196" s="142"/>
      <c r="CD196" s="142"/>
      <c r="CE196" s="142"/>
      <c r="CF196" s="142"/>
      <c r="CG196" s="142"/>
      <c r="CH196" s="142"/>
      <c r="CI196" s="142"/>
      <c r="CJ196" s="142"/>
      <c r="CK196" s="142"/>
      <c r="CL196" s="142"/>
      <c r="CM196" s="142"/>
      <c r="CN196" s="142"/>
      <c r="CO196" s="142"/>
      <c r="CP196" s="142"/>
      <c r="CQ196" s="142"/>
      <c r="CR196" s="142"/>
      <c r="CS196" s="142"/>
      <c r="CT196" s="142"/>
      <c r="CU196" s="142"/>
      <c r="CV196" s="142"/>
      <c r="CW196" s="142"/>
      <c r="CX196" s="142"/>
      <c r="CY196" s="142"/>
      <c r="CZ196" s="142"/>
      <c r="DA196" s="142"/>
      <c r="DB196" s="142"/>
      <c r="DC196" s="142"/>
      <c r="DD196" s="142"/>
      <c r="DE196" s="142"/>
      <c r="DF196" s="142"/>
      <c r="DG196" s="142"/>
      <c r="DH196" s="142"/>
      <c r="DI196" s="142"/>
      <c r="DJ196" s="142"/>
      <c r="DK196" s="142"/>
      <c r="DL196" s="142"/>
      <c r="DM196" s="142"/>
      <c r="DN196" s="142"/>
      <c r="DO196" s="142"/>
      <c r="DP196" s="142"/>
      <c r="DQ196" s="142"/>
      <c r="DR196" s="142"/>
      <c r="DS196" s="142"/>
      <c r="DT196" s="142"/>
      <c r="DU196" s="142"/>
      <c r="DV196" s="142"/>
      <c r="DW196" s="142"/>
      <c r="DX196" s="142"/>
      <c r="DY196" s="142"/>
      <c r="DZ196" s="142"/>
      <c r="EA196" s="142"/>
      <c r="EB196" s="142"/>
      <c r="EC196" s="142"/>
      <c r="ED196" s="142"/>
      <c r="EE196" s="142"/>
      <c r="EF196" s="142"/>
    </row>
    <row r="197" spans="1:136" s="151" customFormat="1" ht="19.5" customHeight="1" x14ac:dyDescent="0.2">
      <c r="A197" s="117">
        <v>194</v>
      </c>
      <c r="B197" s="123" t="s">
        <v>219</v>
      </c>
      <c r="C197" s="123">
        <v>83075242</v>
      </c>
      <c r="D197" s="117" t="s">
        <v>212</v>
      </c>
      <c r="E197" s="123" t="s">
        <v>68</v>
      </c>
      <c r="F197" s="146" t="s">
        <v>256</v>
      </c>
      <c r="G197" s="124" t="s">
        <v>69</v>
      </c>
      <c r="H197" s="89"/>
      <c r="I197" s="140"/>
      <c r="J197" s="162"/>
      <c r="K197" s="89"/>
      <c r="L197" s="140"/>
      <c r="M197" s="163"/>
      <c r="N197" s="89"/>
      <c r="O197" s="89"/>
      <c r="P197" s="89"/>
      <c r="Q197" s="167" t="s">
        <v>70</v>
      </c>
      <c r="R197" s="167" t="s">
        <v>70</v>
      </c>
      <c r="S197" s="167" t="s">
        <v>70</v>
      </c>
      <c r="T197" s="167" t="s">
        <v>70</v>
      </c>
      <c r="U197" s="167" t="s">
        <v>70</v>
      </c>
      <c r="V197" s="167" t="s">
        <v>70</v>
      </c>
      <c r="W197" s="167" t="s">
        <v>70</v>
      </c>
      <c r="X197" s="167" t="s">
        <v>70</v>
      </c>
      <c r="Y197" s="167" t="s">
        <v>70</v>
      </c>
      <c r="Z197" s="167" t="s">
        <v>70</v>
      </c>
      <c r="AA197" s="167" t="s">
        <v>70</v>
      </c>
      <c r="AB197" s="167" t="s">
        <v>70</v>
      </c>
      <c r="AC197" s="167" t="s">
        <v>70</v>
      </c>
      <c r="AD197" s="167" t="s">
        <v>70</v>
      </c>
      <c r="AE197" s="167" t="s">
        <v>70</v>
      </c>
      <c r="AF197" s="167" t="s">
        <v>70</v>
      </c>
      <c r="AG197" s="167" t="s">
        <v>70</v>
      </c>
      <c r="AH197" s="167" t="s">
        <v>70</v>
      </c>
      <c r="AI197" s="111">
        <v>45785</v>
      </c>
      <c r="AJ197" s="94">
        <v>45349</v>
      </c>
      <c r="AK197" s="167" t="s">
        <v>70</v>
      </c>
      <c r="AL197" s="167" t="s">
        <v>70</v>
      </c>
      <c r="AM197" s="167"/>
      <c r="AN197" s="167" t="s">
        <v>70</v>
      </c>
      <c r="AO197" s="167" t="s">
        <v>70</v>
      </c>
      <c r="AP197" s="167" t="s">
        <v>70</v>
      </c>
      <c r="AQ197" s="167" t="s">
        <v>70</v>
      </c>
      <c r="AR197" s="166" t="s">
        <v>69</v>
      </c>
      <c r="AS197" s="167" t="s">
        <v>70</v>
      </c>
      <c r="AT197" s="167" t="s">
        <v>70</v>
      </c>
      <c r="AU197" s="167" t="s">
        <v>70</v>
      </c>
      <c r="AV197" s="167" t="s">
        <v>70</v>
      </c>
      <c r="AW197" s="167" t="s">
        <v>70</v>
      </c>
      <c r="AX197" s="167" t="s">
        <v>70</v>
      </c>
      <c r="AY197" s="167" t="s">
        <v>70</v>
      </c>
      <c r="AZ197" s="167" t="s">
        <v>70</v>
      </c>
      <c r="BA197" s="167" t="s">
        <v>70</v>
      </c>
      <c r="BB197" s="167" t="s">
        <v>70</v>
      </c>
      <c r="BC197" s="167" t="s">
        <v>70</v>
      </c>
      <c r="BD197" s="167" t="s">
        <v>70</v>
      </c>
      <c r="BE197" s="167" t="s">
        <v>70</v>
      </c>
      <c r="BF197" s="167" t="s">
        <v>70</v>
      </c>
      <c r="BG197" s="167" t="s">
        <v>70</v>
      </c>
      <c r="BH197" s="167" t="s">
        <v>70</v>
      </c>
      <c r="BI197" s="167" t="s">
        <v>70</v>
      </c>
      <c r="BJ197" s="167" t="s">
        <v>70</v>
      </c>
      <c r="BK197" s="167" t="s">
        <v>70</v>
      </c>
      <c r="BL197" s="167" t="s">
        <v>70</v>
      </c>
      <c r="BM197" s="167" t="s">
        <v>70</v>
      </c>
      <c r="BN197" s="167" t="s">
        <v>70</v>
      </c>
      <c r="BO197" s="167" t="s">
        <v>70</v>
      </c>
      <c r="BP197" s="167" t="s">
        <v>70</v>
      </c>
      <c r="BQ197" s="151" t="s">
        <v>208</v>
      </c>
      <c r="BR197" s="142"/>
      <c r="BS197" s="142"/>
      <c r="BT197" s="142"/>
      <c r="BU197" s="142"/>
      <c r="BV197" s="142"/>
      <c r="BW197" s="142"/>
      <c r="BX197" s="142"/>
      <c r="BY197" s="142"/>
      <c r="BZ197" s="142"/>
      <c r="CA197" s="142"/>
      <c r="CB197" s="142"/>
      <c r="CC197" s="142"/>
      <c r="CD197" s="142"/>
      <c r="CE197" s="142"/>
      <c r="CF197" s="142"/>
      <c r="CG197" s="142"/>
      <c r="CH197" s="142"/>
      <c r="CI197" s="142"/>
      <c r="CJ197" s="142"/>
      <c r="CK197" s="142"/>
      <c r="CL197" s="142"/>
      <c r="CM197" s="142"/>
      <c r="CN197" s="142"/>
      <c r="CO197" s="142"/>
      <c r="CP197" s="142"/>
      <c r="CQ197" s="142"/>
      <c r="CR197" s="142"/>
      <c r="CS197" s="142"/>
      <c r="CT197" s="142"/>
      <c r="CU197" s="142"/>
      <c r="CV197" s="142"/>
      <c r="CW197" s="142"/>
      <c r="CX197" s="142"/>
      <c r="CY197" s="142"/>
      <c r="CZ197" s="142"/>
      <c r="DA197" s="142"/>
      <c r="DB197" s="142"/>
      <c r="DC197" s="142"/>
      <c r="DD197" s="142"/>
      <c r="DE197" s="142"/>
      <c r="DF197" s="142"/>
      <c r="DG197" s="142"/>
      <c r="DH197" s="142"/>
      <c r="DI197" s="142"/>
      <c r="DJ197" s="142"/>
      <c r="DK197" s="142"/>
      <c r="DL197" s="142"/>
      <c r="DM197" s="142"/>
      <c r="DN197" s="142"/>
      <c r="DO197" s="142"/>
      <c r="DP197" s="142"/>
      <c r="DQ197" s="142"/>
      <c r="DR197" s="142"/>
      <c r="DS197" s="142"/>
      <c r="DT197" s="142"/>
      <c r="DU197" s="142"/>
      <c r="DV197" s="142"/>
      <c r="DW197" s="142"/>
      <c r="DX197" s="142"/>
      <c r="DY197" s="142"/>
      <c r="DZ197" s="142"/>
      <c r="EA197" s="142"/>
      <c r="EB197" s="142"/>
      <c r="EC197" s="142"/>
      <c r="ED197" s="142"/>
      <c r="EE197" s="142"/>
      <c r="EF197" s="142"/>
    </row>
    <row r="198" spans="1:136" s="151" customFormat="1" ht="19.5" customHeight="1" x14ac:dyDescent="0.2">
      <c r="A198" s="117">
        <v>195</v>
      </c>
      <c r="B198" s="123" t="s">
        <v>220</v>
      </c>
      <c r="C198" s="123">
        <v>84122965</v>
      </c>
      <c r="D198" s="117" t="s">
        <v>212</v>
      </c>
      <c r="E198" s="123" t="s">
        <v>68</v>
      </c>
      <c r="F198" s="146" t="s">
        <v>256</v>
      </c>
      <c r="G198" s="124" t="s">
        <v>69</v>
      </c>
      <c r="H198" s="89">
        <v>46003</v>
      </c>
      <c r="I198" s="89">
        <v>46003</v>
      </c>
      <c r="J198" s="162">
        <f>IF(I198="", "", DATE(YEAR(I198)+3, MONTH(I198), DAY(I198)))</f>
        <v>47099</v>
      </c>
      <c r="K198" s="89">
        <v>42146</v>
      </c>
      <c r="L198" s="140">
        <v>46001</v>
      </c>
      <c r="M198" s="163">
        <f>IF(L198="", "", DATE(YEAR(L198)+3, MONTH(L198), DAY(L198)))</f>
        <v>47097</v>
      </c>
      <c r="N198" s="140">
        <v>45999</v>
      </c>
      <c r="O198" s="140"/>
      <c r="P198" s="140">
        <v>46000</v>
      </c>
      <c r="Q198" s="167" t="s">
        <v>70</v>
      </c>
      <c r="R198" s="167" t="s">
        <v>70</v>
      </c>
      <c r="S198" s="167" t="s">
        <v>70</v>
      </c>
      <c r="T198" s="167" t="s">
        <v>70</v>
      </c>
      <c r="U198" s="167" t="s">
        <v>70</v>
      </c>
      <c r="V198" s="167" t="s">
        <v>70</v>
      </c>
      <c r="W198" s="167" t="s">
        <v>70</v>
      </c>
      <c r="X198" s="167" t="s">
        <v>70</v>
      </c>
      <c r="Y198" s="167" t="s">
        <v>70</v>
      </c>
      <c r="Z198" s="167" t="s">
        <v>70</v>
      </c>
      <c r="AA198" s="167" t="s">
        <v>70</v>
      </c>
      <c r="AB198" s="167" t="s">
        <v>70</v>
      </c>
      <c r="AC198" s="167" t="s">
        <v>70</v>
      </c>
      <c r="AD198" s="167" t="s">
        <v>70</v>
      </c>
      <c r="AE198" s="167" t="s">
        <v>70</v>
      </c>
      <c r="AF198" s="167" t="s">
        <v>70</v>
      </c>
      <c r="AG198" s="167" t="s">
        <v>70</v>
      </c>
      <c r="AH198" s="167" t="s">
        <v>70</v>
      </c>
      <c r="AI198" s="111">
        <v>45799</v>
      </c>
      <c r="AJ198" s="94">
        <v>45342</v>
      </c>
      <c r="AK198" s="167" t="s">
        <v>70</v>
      </c>
      <c r="AL198" s="167" t="s">
        <v>70</v>
      </c>
      <c r="AM198" s="167"/>
      <c r="AN198" s="167" t="s">
        <v>70</v>
      </c>
      <c r="AO198" s="167" t="s">
        <v>70</v>
      </c>
      <c r="AP198" s="167" t="s">
        <v>70</v>
      </c>
      <c r="AQ198" s="167" t="s">
        <v>70</v>
      </c>
      <c r="AR198" s="166" t="s">
        <v>69</v>
      </c>
      <c r="AS198" s="167" t="s">
        <v>70</v>
      </c>
      <c r="AT198" s="167" t="s">
        <v>70</v>
      </c>
      <c r="AU198" s="167" t="s">
        <v>70</v>
      </c>
      <c r="AV198" s="167" t="s">
        <v>70</v>
      </c>
      <c r="AW198" s="167" t="s">
        <v>70</v>
      </c>
      <c r="AX198" s="167" t="s">
        <v>70</v>
      </c>
      <c r="AY198" s="167" t="s">
        <v>70</v>
      </c>
      <c r="AZ198" s="167" t="s">
        <v>70</v>
      </c>
      <c r="BA198" s="167" t="s">
        <v>70</v>
      </c>
      <c r="BB198" s="167" t="s">
        <v>70</v>
      </c>
      <c r="BC198" s="167" t="s">
        <v>70</v>
      </c>
      <c r="BD198" s="167" t="s">
        <v>70</v>
      </c>
      <c r="BE198" s="167" t="s">
        <v>70</v>
      </c>
      <c r="BF198" s="167" t="s">
        <v>70</v>
      </c>
      <c r="BG198" s="167" t="s">
        <v>70</v>
      </c>
      <c r="BH198" s="167" t="s">
        <v>70</v>
      </c>
      <c r="BI198" s="167" t="s">
        <v>70</v>
      </c>
      <c r="BJ198" s="167" t="s">
        <v>70</v>
      </c>
      <c r="BK198" s="167" t="s">
        <v>70</v>
      </c>
      <c r="BL198" s="167" t="s">
        <v>70</v>
      </c>
      <c r="BM198" s="167" t="s">
        <v>70</v>
      </c>
      <c r="BN198" s="167" t="s">
        <v>70</v>
      </c>
      <c r="BO198" s="167" t="s">
        <v>70</v>
      </c>
      <c r="BP198" s="167" t="s">
        <v>70</v>
      </c>
      <c r="BQ198" s="151" t="s">
        <v>208</v>
      </c>
      <c r="BR198" s="142"/>
      <c r="BS198" s="142"/>
      <c r="BT198" s="142"/>
      <c r="BU198" s="142"/>
      <c r="BV198" s="142"/>
      <c r="BW198" s="142"/>
      <c r="BX198" s="142"/>
      <c r="BY198" s="142"/>
      <c r="BZ198" s="142"/>
      <c r="CA198" s="142"/>
      <c r="CB198" s="142"/>
      <c r="CC198" s="142"/>
      <c r="CD198" s="142"/>
      <c r="CE198" s="142"/>
      <c r="CF198" s="142"/>
      <c r="CG198" s="142"/>
      <c r="CH198" s="142"/>
      <c r="CI198" s="142"/>
      <c r="CJ198" s="142"/>
      <c r="CK198" s="142"/>
      <c r="CL198" s="142"/>
      <c r="CM198" s="142"/>
      <c r="CN198" s="142"/>
      <c r="CO198" s="142"/>
      <c r="CP198" s="142"/>
      <c r="CQ198" s="142"/>
      <c r="CR198" s="142"/>
      <c r="CS198" s="142"/>
      <c r="CT198" s="142"/>
      <c r="CU198" s="142"/>
      <c r="CV198" s="142"/>
      <c r="CW198" s="142"/>
      <c r="CX198" s="142"/>
      <c r="CY198" s="142"/>
      <c r="CZ198" s="142"/>
      <c r="DA198" s="142"/>
      <c r="DB198" s="142"/>
      <c r="DC198" s="142"/>
      <c r="DD198" s="142"/>
      <c r="DE198" s="142"/>
      <c r="DF198" s="142"/>
      <c r="DG198" s="142"/>
      <c r="DH198" s="142"/>
      <c r="DI198" s="142"/>
      <c r="DJ198" s="142"/>
      <c r="DK198" s="142"/>
      <c r="DL198" s="142"/>
      <c r="DM198" s="142"/>
      <c r="DN198" s="142"/>
      <c r="DO198" s="142"/>
      <c r="DP198" s="142"/>
      <c r="DQ198" s="142"/>
      <c r="DR198" s="142"/>
      <c r="DS198" s="142"/>
      <c r="DT198" s="142"/>
      <c r="DU198" s="142"/>
      <c r="DV198" s="142"/>
      <c r="DW198" s="142"/>
      <c r="DX198" s="142"/>
      <c r="DY198" s="142"/>
      <c r="DZ198" s="142"/>
      <c r="EA198" s="142"/>
      <c r="EB198" s="142"/>
      <c r="EC198" s="142"/>
      <c r="ED198" s="142"/>
      <c r="EE198" s="142"/>
      <c r="EF198" s="142"/>
    </row>
    <row r="199" spans="1:136" s="151" customFormat="1" ht="19.5" customHeight="1" x14ac:dyDescent="0.2">
      <c r="A199" s="117">
        <v>196</v>
      </c>
      <c r="B199" s="123" t="s">
        <v>221</v>
      </c>
      <c r="C199" s="123">
        <v>83105168</v>
      </c>
      <c r="D199" s="117" t="s">
        <v>212</v>
      </c>
      <c r="E199" s="123" t="s">
        <v>68</v>
      </c>
      <c r="F199" s="146" t="s">
        <v>256</v>
      </c>
      <c r="G199" s="124" t="s">
        <v>69</v>
      </c>
      <c r="H199" s="89">
        <v>42548</v>
      </c>
      <c r="I199" s="89">
        <v>45709</v>
      </c>
      <c r="J199" s="162">
        <f>IF(I199="", "", DATE(YEAR(I199)+3, MONTH(I199), DAY(I199)))</f>
        <v>46804</v>
      </c>
      <c r="K199" s="89">
        <v>45351</v>
      </c>
      <c r="L199" s="89">
        <v>45706</v>
      </c>
      <c r="M199" s="163">
        <f>IF(L199="", "", DATE(YEAR(L199)+3, MONTH(L199), DAY(L199)))</f>
        <v>46801</v>
      </c>
      <c r="N199" s="89">
        <v>45707</v>
      </c>
      <c r="O199" s="89"/>
      <c r="P199" s="89">
        <v>45705</v>
      </c>
      <c r="Q199" s="167" t="s">
        <v>70</v>
      </c>
      <c r="R199" s="167" t="s">
        <v>70</v>
      </c>
      <c r="S199" s="167" t="s">
        <v>70</v>
      </c>
      <c r="T199" s="167" t="s">
        <v>70</v>
      </c>
      <c r="U199" s="167" t="s">
        <v>70</v>
      </c>
      <c r="V199" s="167" t="s">
        <v>70</v>
      </c>
      <c r="W199" s="167" t="s">
        <v>70</v>
      </c>
      <c r="X199" s="167" t="s">
        <v>70</v>
      </c>
      <c r="Y199" s="167" t="s">
        <v>70</v>
      </c>
      <c r="Z199" s="167" t="s">
        <v>70</v>
      </c>
      <c r="AA199" s="167" t="s">
        <v>70</v>
      </c>
      <c r="AB199" s="167" t="s">
        <v>70</v>
      </c>
      <c r="AC199" s="167" t="s">
        <v>70</v>
      </c>
      <c r="AD199" s="167" t="s">
        <v>70</v>
      </c>
      <c r="AE199" s="167" t="s">
        <v>70</v>
      </c>
      <c r="AF199" s="167" t="s">
        <v>70</v>
      </c>
      <c r="AG199" s="167" t="s">
        <v>70</v>
      </c>
      <c r="AH199" s="167" t="s">
        <v>70</v>
      </c>
      <c r="AI199" s="111">
        <v>45967</v>
      </c>
      <c r="AJ199" s="94">
        <v>45491</v>
      </c>
      <c r="AK199" s="167" t="s">
        <v>70</v>
      </c>
      <c r="AL199" s="167" t="s">
        <v>70</v>
      </c>
      <c r="AM199" s="167"/>
      <c r="AN199" s="167" t="s">
        <v>70</v>
      </c>
      <c r="AO199" s="167" t="s">
        <v>70</v>
      </c>
      <c r="AP199" s="167" t="s">
        <v>70</v>
      </c>
      <c r="AQ199" s="167" t="s">
        <v>70</v>
      </c>
      <c r="AR199" s="166" t="s">
        <v>69</v>
      </c>
      <c r="AS199" s="167" t="s">
        <v>70</v>
      </c>
      <c r="AT199" s="167" t="s">
        <v>70</v>
      </c>
      <c r="AU199" s="167" t="s">
        <v>70</v>
      </c>
      <c r="AV199" s="167" t="s">
        <v>70</v>
      </c>
      <c r="AW199" s="167" t="s">
        <v>70</v>
      </c>
      <c r="AX199" s="167" t="s">
        <v>70</v>
      </c>
      <c r="AY199" s="167" t="s">
        <v>70</v>
      </c>
      <c r="AZ199" s="167" t="s">
        <v>70</v>
      </c>
      <c r="BA199" s="167" t="s">
        <v>70</v>
      </c>
      <c r="BB199" s="167" t="s">
        <v>70</v>
      </c>
      <c r="BC199" s="167" t="s">
        <v>70</v>
      </c>
      <c r="BD199" s="167" t="s">
        <v>70</v>
      </c>
      <c r="BE199" s="167" t="s">
        <v>70</v>
      </c>
      <c r="BF199" s="167" t="s">
        <v>70</v>
      </c>
      <c r="BG199" s="167" t="s">
        <v>70</v>
      </c>
      <c r="BH199" s="167" t="s">
        <v>70</v>
      </c>
      <c r="BI199" s="167" t="s">
        <v>70</v>
      </c>
      <c r="BJ199" s="167" t="s">
        <v>70</v>
      </c>
      <c r="BK199" s="167" t="s">
        <v>70</v>
      </c>
      <c r="BL199" s="167" t="s">
        <v>70</v>
      </c>
      <c r="BM199" s="167" t="s">
        <v>70</v>
      </c>
      <c r="BN199" s="167" t="s">
        <v>70</v>
      </c>
      <c r="BO199" s="167" t="s">
        <v>70</v>
      </c>
      <c r="BP199" s="167" t="s">
        <v>70</v>
      </c>
      <c r="BQ199" s="151" t="s">
        <v>208</v>
      </c>
      <c r="BR199" s="142"/>
      <c r="BS199" s="142"/>
      <c r="BT199" s="142"/>
      <c r="BU199" s="142"/>
      <c r="BV199" s="142"/>
      <c r="BW199" s="142"/>
      <c r="BX199" s="142"/>
      <c r="BY199" s="142"/>
      <c r="BZ199" s="142"/>
      <c r="CA199" s="142"/>
      <c r="CB199" s="142"/>
      <c r="CC199" s="142"/>
      <c r="CD199" s="142"/>
      <c r="CE199" s="142"/>
      <c r="CF199" s="142"/>
      <c r="CG199" s="142"/>
      <c r="CH199" s="142"/>
      <c r="CI199" s="142"/>
      <c r="CJ199" s="142"/>
      <c r="CK199" s="142"/>
      <c r="CL199" s="142"/>
      <c r="CM199" s="142"/>
      <c r="CN199" s="142"/>
      <c r="CO199" s="142"/>
      <c r="CP199" s="142"/>
      <c r="CQ199" s="142"/>
      <c r="CR199" s="142"/>
      <c r="CS199" s="142"/>
      <c r="CT199" s="142"/>
      <c r="CU199" s="142"/>
      <c r="CV199" s="142"/>
      <c r="CW199" s="142"/>
      <c r="CX199" s="142"/>
      <c r="CY199" s="142"/>
      <c r="CZ199" s="142"/>
      <c r="DA199" s="142"/>
      <c r="DB199" s="142"/>
      <c r="DC199" s="142"/>
      <c r="DD199" s="142"/>
      <c r="DE199" s="142"/>
      <c r="DF199" s="142"/>
      <c r="DG199" s="142"/>
      <c r="DH199" s="142"/>
      <c r="DI199" s="142"/>
      <c r="DJ199" s="142"/>
      <c r="DK199" s="142"/>
      <c r="DL199" s="142"/>
      <c r="DM199" s="142"/>
      <c r="DN199" s="142"/>
      <c r="DO199" s="142"/>
      <c r="DP199" s="142"/>
      <c r="DQ199" s="142"/>
      <c r="DR199" s="142"/>
      <c r="DS199" s="142"/>
      <c r="DT199" s="142"/>
      <c r="DU199" s="142"/>
      <c r="DV199" s="142"/>
      <c r="DW199" s="142"/>
      <c r="DX199" s="142"/>
      <c r="DY199" s="142"/>
      <c r="DZ199" s="142"/>
      <c r="EA199" s="142"/>
      <c r="EB199" s="142"/>
      <c r="EC199" s="142"/>
      <c r="ED199" s="142"/>
      <c r="EE199" s="142"/>
      <c r="EF199" s="142"/>
    </row>
    <row r="200" spans="1:136" s="151" customFormat="1" ht="19.5" customHeight="1" x14ac:dyDescent="0.2">
      <c r="A200" s="117">
        <v>197</v>
      </c>
      <c r="B200" s="123" t="s">
        <v>236</v>
      </c>
      <c r="C200" s="123">
        <v>83117968</v>
      </c>
      <c r="D200" s="117" t="s">
        <v>212</v>
      </c>
      <c r="E200" s="123" t="s">
        <v>68</v>
      </c>
      <c r="F200" s="146" t="s">
        <v>256</v>
      </c>
      <c r="G200" s="124" t="s">
        <v>69</v>
      </c>
      <c r="H200" s="89"/>
      <c r="I200" s="89"/>
      <c r="J200" s="162"/>
      <c r="K200" s="89"/>
      <c r="L200" s="89"/>
      <c r="M200" s="163"/>
      <c r="N200" s="89"/>
      <c r="O200" s="89"/>
      <c r="P200" s="89"/>
      <c r="Q200" s="167" t="s">
        <v>70</v>
      </c>
      <c r="R200" s="167" t="s">
        <v>70</v>
      </c>
      <c r="S200" s="167" t="s">
        <v>70</v>
      </c>
      <c r="T200" s="167" t="s">
        <v>70</v>
      </c>
      <c r="U200" s="167" t="s">
        <v>70</v>
      </c>
      <c r="V200" s="167" t="s">
        <v>70</v>
      </c>
      <c r="W200" s="167" t="s">
        <v>70</v>
      </c>
      <c r="X200" s="167" t="s">
        <v>70</v>
      </c>
      <c r="Y200" s="167" t="s">
        <v>70</v>
      </c>
      <c r="Z200" s="167" t="s">
        <v>70</v>
      </c>
      <c r="AA200" s="167" t="s">
        <v>70</v>
      </c>
      <c r="AB200" s="167" t="s">
        <v>70</v>
      </c>
      <c r="AC200" s="167" t="s">
        <v>70</v>
      </c>
      <c r="AD200" s="167" t="s">
        <v>70</v>
      </c>
      <c r="AE200" s="167" t="s">
        <v>70</v>
      </c>
      <c r="AF200" s="167" t="s">
        <v>70</v>
      </c>
      <c r="AG200" s="167" t="s">
        <v>70</v>
      </c>
      <c r="AH200" s="167" t="s">
        <v>70</v>
      </c>
      <c r="AI200" s="111">
        <v>45939</v>
      </c>
      <c r="AJ200" s="164">
        <v>45346</v>
      </c>
      <c r="AK200" s="167" t="s">
        <v>70</v>
      </c>
      <c r="AL200" s="167" t="s">
        <v>70</v>
      </c>
      <c r="AM200" s="167"/>
      <c r="AN200" s="167" t="s">
        <v>70</v>
      </c>
      <c r="AO200" s="167" t="s">
        <v>70</v>
      </c>
      <c r="AP200" s="167" t="s">
        <v>70</v>
      </c>
      <c r="AQ200" s="167" t="s">
        <v>70</v>
      </c>
      <c r="AR200" s="166" t="s">
        <v>69</v>
      </c>
      <c r="AS200" s="167" t="s">
        <v>70</v>
      </c>
      <c r="AT200" s="167" t="s">
        <v>70</v>
      </c>
      <c r="AU200" s="167" t="s">
        <v>70</v>
      </c>
      <c r="AV200" s="167" t="s">
        <v>70</v>
      </c>
      <c r="AW200" s="167" t="s">
        <v>70</v>
      </c>
      <c r="AX200" s="167" t="s">
        <v>70</v>
      </c>
      <c r="AY200" s="167" t="s">
        <v>70</v>
      </c>
      <c r="AZ200" s="167" t="s">
        <v>70</v>
      </c>
      <c r="BA200" s="167" t="s">
        <v>70</v>
      </c>
      <c r="BB200" s="167" t="s">
        <v>70</v>
      </c>
      <c r="BC200" s="167" t="s">
        <v>70</v>
      </c>
      <c r="BD200" s="167" t="s">
        <v>70</v>
      </c>
      <c r="BE200" s="167" t="s">
        <v>70</v>
      </c>
      <c r="BF200" s="167" t="s">
        <v>70</v>
      </c>
      <c r="BG200" s="167" t="s">
        <v>70</v>
      </c>
      <c r="BH200" s="167" t="s">
        <v>70</v>
      </c>
      <c r="BI200" s="167" t="s">
        <v>70</v>
      </c>
      <c r="BJ200" s="167" t="s">
        <v>70</v>
      </c>
      <c r="BK200" s="167" t="s">
        <v>70</v>
      </c>
      <c r="BL200" s="167" t="s">
        <v>70</v>
      </c>
      <c r="BM200" s="167" t="s">
        <v>70</v>
      </c>
      <c r="BN200" s="167" t="s">
        <v>70</v>
      </c>
      <c r="BO200" s="167" t="s">
        <v>70</v>
      </c>
      <c r="BP200" s="167" t="s">
        <v>70</v>
      </c>
      <c r="BQ200" s="151" t="s">
        <v>208</v>
      </c>
      <c r="BR200" s="142"/>
      <c r="BS200" s="142"/>
      <c r="BT200" s="142"/>
      <c r="BU200" s="142"/>
      <c r="BV200" s="142"/>
      <c r="BW200" s="142"/>
      <c r="BX200" s="142"/>
      <c r="BY200" s="142"/>
      <c r="BZ200" s="142"/>
      <c r="CA200" s="142"/>
      <c r="CB200" s="142"/>
      <c r="CC200" s="142"/>
      <c r="CD200" s="142"/>
      <c r="CE200" s="142"/>
      <c r="CF200" s="142"/>
      <c r="CG200" s="142"/>
      <c r="CH200" s="142"/>
      <c r="CI200" s="142"/>
      <c r="CJ200" s="142"/>
      <c r="CK200" s="142"/>
      <c r="CL200" s="142"/>
      <c r="CM200" s="142"/>
      <c r="CN200" s="142"/>
      <c r="CO200" s="142"/>
      <c r="CP200" s="142"/>
      <c r="CQ200" s="142"/>
      <c r="CR200" s="142"/>
      <c r="CS200" s="142"/>
      <c r="CT200" s="142"/>
      <c r="CU200" s="142"/>
      <c r="CV200" s="142"/>
      <c r="CW200" s="142"/>
      <c r="CX200" s="142"/>
      <c r="CY200" s="142"/>
      <c r="CZ200" s="142"/>
      <c r="DA200" s="142"/>
      <c r="DB200" s="142"/>
      <c r="DC200" s="142"/>
      <c r="DD200" s="142"/>
      <c r="DE200" s="142"/>
      <c r="DF200" s="142"/>
      <c r="DG200" s="142"/>
      <c r="DH200" s="142"/>
      <c r="DI200" s="142"/>
      <c r="DJ200" s="142"/>
      <c r="DK200" s="142"/>
      <c r="DL200" s="142"/>
      <c r="DM200" s="142"/>
      <c r="DN200" s="142"/>
      <c r="DO200" s="142"/>
      <c r="DP200" s="142"/>
      <c r="DQ200" s="142"/>
      <c r="DR200" s="142"/>
      <c r="DS200" s="142"/>
      <c r="DT200" s="142"/>
      <c r="DU200" s="142"/>
      <c r="DV200" s="142"/>
      <c r="DW200" s="142"/>
      <c r="DX200" s="142"/>
      <c r="DY200" s="142"/>
      <c r="DZ200" s="142"/>
      <c r="EA200" s="142"/>
      <c r="EB200" s="142"/>
      <c r="EC200" s="142"/>
      <c r="ED200" s="142"/>
      <c r="EE200" s="142"/>
      <c r="EF200" s="142"/>
    </row>
    <row r="201" spans="1:136" s="151" customFormat="1" ht="19.5" customHeight="1" x14ac:dyDescent="0.2">
      <c r="A201" s="117">
        <v>198</v>
      </c>
      <c r="B201" s="117" t="s">
        <v>235</v>
      </c>
      <c r="C201" s="117">
        <v>83040133</v>
      </c>
      <c r="D201" s="117" t="s">
        <v>212</v>
      </c>
      <c r="E201" s="123" t="s">
        <v>68</v>
      </c>
      <c r="F201" s="146" t="s">
        <v>256</v>
      </c>
      <c r="G201" s="124">
        <v>38118</v>
      </c>
      <c r="H201" s="89">
        <v>42415</v>
      </c>
      <c r="I201" s="89"/>
      <c r="J201" s="162"/>
      <c r="K201" s="89"/>
      <c r="L201" s="89"/>
      <c r="M201" s="163"/>
      <c r="N201" s="89"/>
      <c r="O201" s="89"/>
      <c r="P201" s="89"/>
      <c r="Q201" s="167" t="s">
        <v>70</v>
      </c>
      <c r="R201" s="167" t="s">
        <v>70</v>
      </c>
      <c r="S201" s="167" t="s">
        <v>70</v>
      </c>
      <c r="T201" s="167" t="s">
        <v>70</v>
      </c>
      <c r="U201" s="167" t="s">
        <v>70</v>
      </c>
      <c r="V201" s="167" t="s">
        <v>70</v>
      </c>
      <c r="W201" s="167" t="s">
        <v>70</v>
      </c>
      <c r="X201" s="167" t="s">
        <v>70</v>
      </c>
      <c r="Y201" s="167" t="s">
        <v>70</v>
      </c>
      <c r="Z201" s="167" t="s">
        <v>70</v>
      </c>
      <c r="AA201" s="167" t="s">
        <v>70</v>
      </c>
      <c r="AB201" s="167" t="s">
        <v>70</v>
      </c>
      <c r="AC201" s="167" t="s">
        <v>70</v>
      </c>
      <c r="AD201" s="167" t="s">
        <v>70</v>
      </c>
      <c r="AE201" s="167" t="s">
        <v>70</v>
      </c>
      <c r="AF201" s="167" t="s">
        <v>70</v>
      </c>
      <c r="AG201" s="167" t="s">
        <v>70</v>
      </c>
      <c r="AH201" s="167" t="s">
        <v>70</v>
      </c>
      <c r="AI201" s="111">
        <v>45919</v>
      </c>
      <c r="AJ201" s="94">
        <v>45358</v>
      </c>
      <c r="AK201" s="167" t="s">
        <v>70</v>
      </c>
      <c r="AL201" s="167" t="s">
        <v>70</v>
      </c>
      <c r="AM201" s="167"/>
      <c r="AN201" s="167" t="s">
        <v>70</v>
      </c>
      <c r="AO201" s="167" t="s">
        <v>70</v>
      </c>
      <c r="AP201" s="167" t="s">
        <v>70</v>
      </c>
      <c r="AQ201" s="167" t="s">
        <v>70</v>
      </c>
      <c r="AR201" s="166" t="s">
        <v>69</v>
      </c>
      <c r="AS201" s="167" t="s">
        <v>70</v>
      </c>
      <c r="AT201" s="167" t="s">
        <v>70</v>
      </c>
      <c r="AU201" s="167" t="s">
        <v>70</v>
      </c>
      <c r="AV201" s="167" t="s">
        <v>70</v>
      </c>
      <c r="AW201" s="167" t="s">
        <v>70</v>
      </c>
      <c r="AX201" s="167" t="s">
        <v>70</v>
      </c>
      <c r="AY201" s="167" t="s">
        <v>70</v>
      </c>
      <c r="AZ201" s="167" t="s">
        <v>70</v>
      </c>
      <c r="BA201" s="167" t="s">
        <v>70</v>
      </c>
      <c r="BB201" s="167" t="s">
        <v>70</v>
      </c>
      <c r="BC201" s="167" t="s">
        <v>70</v>
      </c>
      <c r="BD201" s="167" t="s">
        <v>70</v>
      </c>
      <c r="BE201" s="167" t="s">
        <v>70</v>
      </c>
      <c r="BF201" s="167" t="s">
        <v>70</v>
      </c>
      <c r="BG201" s="167" t="s">
        <v>70</v>
      </c>
      <c r="BH201" s="167" t="s">
        <v>70</v>
      </c>
      <c r="BI201" s="167" t="s">
        <v>70</v>
      </c>
      <c r="BJ201" s="167" t="s">
        <v>70</v>
      </c>
      <c r="BK201" s="167" t="s">
        <v>70</v>
      </c>
      <c r="BL201" s="167" t="s">
        <v>70</v>
      </c>
      <c r="BM201" s="167" t="s">
        <v>70</v>
      </c>
      <c r="BN201" s="167" t="s">
        <v>70</v>
      </c>
      <c r="BO201" s="167" t="s">
        <v>70</v>
      </c>
      <c r="BP201" s="167" t="s">
        <v>70</v>
      </c>
      <c r="BQ201" s="151" t="s">
        <v>208</v>
      </c>
      <c r="BR201" s="142"/>
      <c r="BS201" s="142"/>
      <c r="BT201" s="142"/>
      <c r="BU201" s="142"/>
      <c r="BV201" s="142"/>
      <c r="BW201" s="142"/>
      <c r="BX201" s="142"/>
      <c r="BY201" s="142"/>
      <c r="BZ201" s="142"/>
      <c r="CA201" s="142"/>
      <c r="CB201" s="142"/>
      <c r="CC201" s="142"/>
      <c r="CD201" s="142"/>
      <c r="CE201" s="142"/>
      <c r="CF201" s="142"/>
      <c r="CG201" s="142"/>
      <c r="CH201" s="142"/>
      <c r="CI201" s="142"/>
      <c r="CJ201" s="142"/>
      <c r="CK201" s="142"/>
      <c r="CL201" s="142"/>
      <c r="CM201" s="142"/>
      <c r="CN201" s="142"/>
      <c r="CO201" s="142"/>
      <c r="CP201" s="142"/>
      <c r="CQ201" s="142"/>
      <c r="CR201" s="142"/>
      <c r="CS201" s="142"/>
      <c r="CT201" s="142"/>
      <c r="CU201" s="142"/>
      <c r="CV201" s="142"/>
      <c r="CW201" s="142"/>
      <c r="CX201" s="142"/>
      <c r="CY201" s="142"/>
      <c r="CZ201" s="142"/>
      <c r="DA201" s="142"/>
      <c r="DB201" s="142"/>
      <c r="DC201" s="142"/>
      <c r="DD201" s="142"/>
      <c r="DE201" s="142"/>
      <c r="DF201" s="142"/>
      <c r="DG201" s="142"/>
      <c r="DH201" s="142"/>
      <c r="DI201" s="142"/>
      <c r="DJ201" s="142"/>
      <c r="DK201" s="142"/>
      <c r="DL201" s="142"/>
      <c r="DM201" s="142"/>
      <c r="DN201" s="142"/>
      <c r="DO201" s="142"/>
      <c r="DP201" s="142"/>
      <c r="DQ201" s="142"/>
      <c r="DR201" s="142"/>
      <c r="DS201" s="142"/>
      <c r="DT201" s="142"/>
      <c r="DU201" s="142"/>
      <c r="DV201" s="142"/>
      <c r="DW201" s="142"/>
      <c r="DX201" s="142"/>
      <c r="DY201" s="142"/>
      <c r="DZ201" s="142"/>
      <c r="EA201" s="142"/>
      <c r="EB201" s="142"/>
      <c r="EC201" s="142"/>
      <c r="ED201" s="142"/>
      <c r="EE201" s="142"/>
      <c r="EF201" s="142"/>
    </row>
    <row r="202" spans="1:136" s="151" customFormat="1" ht="19.5" customHeight="1" x14ac:dyDescent="0.2">
      <c r="A202" s="117">
        <v>199</v>
      </c>
      <c r="B202" s="123" t="s">
        <v>241</v>
      </c>
      <c r="C202" s="123">
        <v>83102181</v>
      </c>
      <c r="D202" s="117" t="s">
        <v>212</v>
      </c>
      <c r="E202" s="123" t="s">
        <v>68</v>
      </c>
      <c r="F202" s="146" t="s">
        <v>256</v>
      </c>
      <c r="G202" s="124">
        <v>40778</v>
      </c>
      <c r="H202" s="89">
        <v>42972</v>
      </c>
      <c r="I202" s="89"/>
      <c r="J202" s="162"/>
      <c r="K202" s="89"/>
      <c r="L202" s="89"/>
      <c r="M202" s="163"/>
      <c r="N202" s="89"/>
      <c r="O202" s="89"/>
      <c r="P202" s="89"/>
      <c r="Q202" s="167" t="s">
        <v>70</v>
      </c>
      <c r="R202" s="167" t="s">
        <v>70</v>
      </c>
      <c r="S202" s="167" t="s">
        <v>70</v>
      </c>
      <c r="T202" s="167" t="s">
        <v>70</v>
      </c>
      <c r="U202" s="167" t="s">
        <v>70</v>
      </c>
      <c r="V202" s="167" t="s">
        <v>70</v>
      </c>
      <c r="W202" s="167" t="s">
        <v>70</v>
      </c>
      <c r="X202" s="167" t="s">
        <v>70</v>
      </c>
      <c r="Y202" s="167" t="s">
        <v>70</v>
      </c>
      <c r="Z202" s="167" t="s">
        <v>70</v>
      </c>
      <c r="AA202" s="167" t="s">
        <v>70</v>
      </c>
      <c r="AB202" s="167" t="s">
        <v>70</v>
      </c>
      <c r="AC202" s="167" t="s">
        <v>70</v>
      </c>
      <c r="AD202" s="167" t="s">
        <v>70</v>
      </c>
      <c r="AE202" s="167" t="s">
        <v>70</v>
      </c>
      <c r="AF202" s="167" t="s">
        <v>70</v>
      </c>
      <c r="AG202" s="167" t="s">
        <v>70</v>
      </c>
      <c r="AH202" s="167" t="s">
        <v>70</v>
      </c>
      <c r="AI202" s="163">
        <v>45995</v>
      </c>
      <c r="AJ202" s="164">
        <v>45346</v>
      </c>
      <c r="AK202" s="167" t="s">
        <v>70</v>
      </c>
      <c r="AL202" s="167" t="s">
        <v>70</v>
      </c>
      <c r="AM202" s="167"/>
      <c r="AN202" s="167" t="s">
        <v>70</v>
      </c>
      <c r="AO202" s="167" t="s">
        <v>70</v>
      </c>
      <c r="AP202" s="167" t="s">
        <v>70</v>
      </c>
      <c r="AQ202" s="167" t="s">
        <v>70</v>
      </c>
      <c r="AR202" s="166" t="s">
        <v>69</v>
      </c>
      <c r="AS202" s="167" t="s">
        <v>70</v>
      </c>
      <c r="AT202" s="167" t="s">
        <v>70</v>
      </c>
      <c r="AU202" s="167" t="s">
        <v>70</v>
      </c>
      <c r="AV202" s="167" t="s">
        <v>70</v>
      </c>
      <c r="AW202" s="167" t="s">
        <v>70</v>
      </c>
      <c r="AX202" s="167" t="s">
        <v>70</v>
      </c>
      <c r="AY202" s="167" t="s">
        <v>70</v>
      </c>
      <c r="AZ202" s="167" t="s">
        <v>70</v>
      </c>
      <c r="BA202" s="167" t="s">
        <v>70</v>
      </c>
      <c r="BB202" s="167" t="s">
        <v>70</v>
      </c>
      <c r="BC202" s="167" t="s">
        <v>70</v>
      </c>
      <c r="BD202" s="167" t="s">
        <v>70</v>
      </c>
      <c r="BE202" s="167" t="s">
        <v>70</v>
      </c>
      <c r="BF202" s="167" t="s">
        <v>70</v>
      </c>
      <c r="BG202" s="167" t="s">
        <v>70</v>
      </c>
      <c r="BH202" s="167" t="s">
        <v>70</v>
      </c>
      <c r="BI202" s="167" t="s">
        <v>70</v>
      </c>
      <c r="BJ202" s="167" t="s">
        <v>70</v>
      </c>
      <c r="BK202" s="167" t="s">
        <v>70</v>
      </c>
      <c r="BL202" s="167" t="s">
        <v>70</v>
      </c>
      <c r="BM202" s="167" t="s">
        <v>70</v>
      </c>
      <c r="BN202" s="167" t="s">
        <v>70</v>
      </c>
      <c r="BO202" s="167" t="s">
        <v>70</v>
      </c>
      <c r="BP202" s="167" t="s">
        <v>70</v>
      </c>
      <c r="BQ202" s="151" t="s">
        <v>208</v>
      </c>
      <c r="BR202" s="142"/>
      <c r="BS202" s="142"/>
      <c r="BT202" s="142"/>
      <c r="BU202" s="142"/>
      <c r="BV202" s="142"/>
      <c r="BW202" s="142"/>
      <c r="BX202" s="142"/>
      <c r="BY202" s="142"/>
      <c r="BZ202" s="142"/>
      <c r="CA202" s="142"/>
      <c r="CB202" s="142"/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2"/>
      <c r="DL202" s="142"/>
      <c r="DM202" s="142"/>
      <c r="DN202" s="142"/>
      <c r="DO202" s="142"/>
      <c r="DP202" s="142"/>
      <c r="DQ202" s="142"/>
      <c r="DR202" s="142"/>
      <c r="DS202" s="142"/>
      <c r="DT202" s="142"/>
      <c r="DU202" s="142"/>
      <c r="DV202" s="142"/>
      <c r="DW202" s="142"/>
      <c r="DX202" s="142"/>
      <c r="DY202" s="142"/>
      <c r="DZ202" s="142"/>
      <c r="EA202" s="142"/>
      <c r="EB202" s="142"/>
      <c r="EC202" s="142"/>
      <c r="ED202" s="142"/>
      <c r="EE202" s="142"/>
      <c r="EF202" s="142"/>
    </row>
    <row r="203" spans="1:136" s="151" customFormat="1" ht="19.5" customHeight="1" x14ac:dyDescent="0.2">
      <c r="A203" s="117">
        <v>200</v>
      </c>
      <c r="B203" s="123" t="s">
        <v>239</v>
      </c>
      <c r="C203" s="123">
        <v>83086322</v>
      </c>
      <c r="D203" s="117" t="s">
        <v>212</v>
      </c>
      <c r="E203" s="123" t="s">
        <v>68</v>
      </c>
      <c r="F203" s="146" t="s">
        <v>256</v>
      </c>
      <c r="G203" s="124" t="s">
        <v>69</v>
      </c>
      <c r="H203" s="89">
        <v>46003</v>
      </c>
      <c r="I203" s="89">
        <v>46003</v>
      </c>
      <c r="J203" s="162">
        <f>IF(I203="", "", DATE(YEAR(I203)+3, MONTH(I203), DAY(I203)))</f>
        <v>47099</v>
      </c>
      <c r="K203" s="89">
        <v>42146</v>
      </c>
      <c r="L203" s="140">
        <v>46001</v>
      </c>
      <c r="M203" s="163">
        <f>IF(L203="", "", DATE(YEAR(L203)+3, MONTH(L203), DAY(L203)))</f>
        <v>47097</v>
      </c>
      <c r="N203" s="89">
        <v>45999</v>
      </c>
      <c r="O203" s="89">
        <v>46286</v>
      </c>
      <c r="P203" s="140">
        <v>46000</v>
      </c>
      <c r="Q203" s="167" t="s">
        <v>70</v>
      </c>
      <c r="R203" s="167" t="s">
        <v>70</v>
      </c>
      <c r="S203" s="167" t="s">
        <v>70</v>
      </c>
      <c r="T203" s="167" t="s">
        <v>70</v>
      </c>
      <c r="U203" s="167" t="s">
        <v>70</v>
      </c>
      <c r="V203" s="167" t="s">
        <v>70</v>
      </c>
      <c r="W203" s="167" t="s">
        <v>70</v>
      </c>
      <c r="X203" s="167" t="s">
        <v>70</v>
      </c>
      <c r="Y203" s="167" t="s">
        <v>70</v>
      </c>
      <c r="Z203" s="167" t="s">
        <v>70</v>
      </c>
      <c r="AA203" s="167" t="s">
        <v>70</v>
      </c>
      <c r="AB203" s="167" t="s">
        <v>70</v>
      </c>
      <c r="AC203" s="167" t="s">
        <v>70</v>
      </c>
      <c r="AD203" s="167" t="s">
        <v>70</v>
      </c>
      <c r="AE203" s="167" t="s">
        <v>70</v>
      </c>
      <c r="AF203" s="167" t="s">
        <v>70</v>
      </c>
      <c r="AG203" s="167" t="s">
        <v>70</v>
      </c>
      <c r="AH203" s="167" t="s">
        <v>70</v>
      </c>
      <c r="AI203" s="111">
        <v>46255</v>
      </c>
      <c r="AJ203" s="94">
        <v>45360</v>
      </c>
      <c r="AK203" s="167" t="s">
        <v>70</v>
      </c>
      <c r="AL203" s="167" t="s">
        <v>70</v>
      </c>
      <c r="AM203" s="167"/>
      <c r="AN203" s="167" t="s">
        <v>70</v>
      </c>
      <c r="AO203" s="167" t="s">
        <v>70</v>
      </c>
      <c r="AP203" s="167" t="s">
        <v>70</v>
      </c>
      <c r="AQ203" s="167" t="s">
        <v>70</v>
      </c>
      <c r="AR203" s="166" t="s">
        <v>69</v>
      </c>
      <c r="AS203" s="167" t="s">
        <v>70</v>
      </c>
      <c r="AT203" s="167" t="s">
        <v>70</v>
      </c>
      <c r="AU203" s="167" t="s">
        <v>70</v>
      </c>
      <c r="AV203" s="167" t="s">
        <v>70</v>
      </c>
      <c r="AW203" s="167" t="s">
        <v>70</v>
      </c>
      <c r="AX203" s="167" t="s">
        <v>70</v>
      </c>
      <c r="AY203" s="167" t="s">
        <v>70</v>
      </c>
      <c r="AZ203" s="167" t="s">
        <v>70</v>
      </c>
      <c r="BA203" s="167" t="s">
        <v>70</v>
      </c>
      <c r="BB203" s="167" t="s">
        <v>70</v>
      </c>
      <c r="BC203" s="167" t="s">
        <v>70</v>
      </c>
      <c r="BD203" s="167" t="s">
        <v>70</v>
      </c>
      <c r="BE203" s="167" t="s">
        <v>70</v>
      </c>
      <c r="BF203" s="167" t="s">
        <v>70</v>
      </c>
      <c r="BG203" s="167" t="s">
        <v>70</v>
      </c>
      <c r="BH203" s="167" t="s">
        <v>70</v>
      </c>
      <c r="BI203" s="167" t="s">
        <v>70</v>
      </c>
      <c r="BJ203" s="167" t="s">
        <v>70</v>
      </c>
      <c r="BK203" s="167" t="s">
        <v>70</v>
      </c>
      <c r="BL203" s="167" t="s">
        <v>70</v>
      </c>
      <c r="BM203" s="167" t="s">
        <v>70</v>
      </c>
      <c r="BN203" s="167" t="s">
        <v>70</v>
      </c>
      <c r="BO203" s="167" t="s">
        <v>70</v>
      </c>
      <c r="BP203" s="167" t="s">
        <v>70</v>
      </c>
      <c r="BQ203" s="151" t="s">
        <v>208</v>
      </c>
      <c r="BR203" s="142"/>
      <c r="BS203" s="142"/>
      <c r="BT203" s="142"/>
      <c r="BU203" s="142"/>
      <c r="BV203" s="142"/>
      <c r="BW203" s="142"/>
      <c r="BX203" s="142"/>
      <c r="BY203" s="142"/>
      <c r="BZ203" s="142"/>
      <c r="CA203" s="142"/>
      <c r="CB203" s="142"/>
      <c r="CC203" s="142"/>
      <c r="CD203" s="142"/>
      <c r="CE203" s="142"/>
      <c r="CF203" s="142"/>
      <c r="CG203" s="142"/>
      <c r="CH203" s="142"/>
      <c r="CI203" s="142"/>
      <c r="CJ203" s="142"/>
      <c r="CK203" s="142"/>
      <c r="CL203" s="142"/>
      <c r="CM203" s="142"/>
      <c r="CN203" s="142"/>
      <c r="CO203" s="142"/>
      <c r="CP203" s="142"/>
      <c r="CQ203" s="142"/>
      <c r="CR203" s="142"/>
      <c r="CS203" s="142"/>
      <c r="CT203" s="142"/>
      <c r="CU203" s="142"/>
      <c r="CV203" s="142"/>
      <c r="CW203" s="142"/>
      <c r="CX203" s="142"/>
      <c r="CY203" s="142"/>
      <c r="CZ203" s="142"/>
      <c r="DA203" s="142"/>
      <c r="DB203" s="142"/>
      <c r="DC203" s="142"/>
      <c r="DD203" s="142"/>
      <c r="DE203" s="142"/>
      <c r="DF203" s="142"/>
      <c r="DG203" s="142"/>
      <c r="DH203" s="142"/>
      <c r="DI203" s="142"/>
      <c r="DJ203" s="142"/>
      <c r="DK203" s="142"/>
      <c r="DL203" s="142"/>
      <c r="DM203" s="142"/>
      <c r="DN203" s="142"/>
      <c r="DO203" s="142"/>
      <c r="DP203" s="142"/>
      <c r="DQ203" s="142"/>
      <c r="DR203" s="142"/>
      <c r="DS203" s="142"/>
      <c r="DT203" s="142"/>
      <c r="DU203" s="142"/>
      <c r="DV203" s="142"/>
      <c r="DW203" s="142"/>
      <c r="DX203" s="142"/>
      <c r="DY203" s="142"/>
      <c r="DZ203" s="142"/>
      <c r="EA203" s="142"/>
      <c r="EB203" s="142"/>
      <c r="EC203" s="142"/>
      <c r="ED203" s="142"/>
      <c r="EE203" s="142"/>
      <c r="EF203" s="142"/>
    </row>
    <row r="204" spans="1:136" s="151" customFormat="1" ht="19.5" customHeight="1" x14ac:dyDescent="0.2">
      <c r="A204" s="117">
        <v>201</v>
      </c>
      <c r="B204" s="123" t="s">
        <v>240</v>
      </c>
      <c r="C204" s="123">
        <v>84122957</v>
      </c>
      <c r="D204" s="117" t="s">
        <v>212</v>
      </c>
      <c r="E204" s="123" t="s">
        <v>68</v>
      </c>
      <c r="F204" s="146" t="s">
        <v>256</v>
      </c>
      <c r="G204" s="124" t="s">
        <v>69</v>
      </c>
      <c r="H204" s="89">
        <v>46282</v>
      </c>
      <c r="I204" s="89">
        <v>46282</v>
      </c>
      <c r="J204" s="89">
        <v>47378</v>
      </c>
      <c r="K204" s="89">
        <v>46281</v>
      </c>
      <c r="L204" s="89">
        <v>46281</v>
      </c>
      <c r="M204" s="89">
        <v>47377</v>
      </c>
      <c r="N204" s="89">
        <v>46279</v>
      </c>
      <c r="O204" s="89">
        <v>46286</v>
      </c>
      <c r="P204" s="89">
        <v>46280</v>
      </c>
      <c r="Q204" s="167" t="s">
        <v>70</v>
      </c>
      <c r="R204" s="167" t="s">
        <v>70</v>
      </c>
      <c r="S204" s="167" t="s">
        <v>70</v>
      </c>
      <c r="T204" s="167" t="s">
        <v>70</v>
      </c>
      <c r="U204" s="167" t="s">
        <v>70</v>
      </c>
      <c r="V204" s="167" t="s">
        <v>70</v>
      </c>
      <c r="W204" s="167" t="s">
        <v>70</v>
      </c>
      <c r="X204" s="167" t="s">
        <v>70</v>
      </c>
      <c r="Y204" s="167" t="s">
        <v>70</v>
      </c>
      <c r="Z204" s="167" t="s">
        <v>70</v>
      </c>
      <c r="AA204" s="167" t="s">
        <v>70</v>
      </c>
      <c r="AB204" s="167" t="s">
        <v>70</v>
      </c>
      <c r="AC204" s="167" t="s">
        <v>70</v>
      </c>
      <c r="AD204" s="167" t="s">
        <v>70</v>
      </c>
      <c r="AE204" s="167" t="s">
        <v>70</v>
      </c>
      <c r="AF204" s="167" t="s">
        <v>70</v>
      </c>
      <c r="AG204" s="167" t="s">
        <v>70</v>
      </c>
      <c r="AH204" s="167" t="s">
        <v>70</v>
      </c>
      <c r="AI204" s="111">
        <v>45491</v>
      </c>
      <c r="AJ204" s="94">
        <v>45491</v>
      </c>
      <c r="AK204" s="167" t="s">
        <v>70</v>
      </c>
      <c r="AL204" s="167" t="s">
        <v>70</v>
      </c>
      <c r="AM204" s="167"/>
      <c r="AN204" s="167" t="s">
        <v>70</v>
      </c>
      <c r="AO204" s="167" t="s">
        <v>70</v>
      </c>
      <c r="AP204" s="167" t="s">
        <v>70</v>
      </c>
      <c r="AQ204" s="167" t="s">
        <v>70</v>
      </c>
      <c r="AR204" s="166" t="s">
        <v>69</v>
      </c>
      <c r="AS204" s="167" t="s">
        <v>70</v>
      </c>
      <c r="AT204" s="167" t="s">
        <v>70</v>
      </c>
      <c r="AU204" s="167" t="s">
        <v>70</v>
      </c>
      <c r="AV204" s="167" t="s">
        <v>70</v>
      </c>
      <c r="AW204" s="167" t="s">
        <v>70</v>
      </c>
      <c r="AX204" s="167" t="s">
        <v>70</v>
      </c>
      <c r="AY204" s="167" t="s">
        <v>70</v>
      </c>
      <c r="AZ204" s="167" t="s">
        <v>70</v>
      </c>
      <c r="BA204" s="167" t="s">
        <v>70</v>
      </c>
      <c r="BB204" s="167" t="s">
        <v>70</v>
      </c>
      <c r="BC204" s="167" t="s">
        <v>70</v>
      </c>
      <c r="BD204" s="167" t="s">
        <v>70</v>
      </c>
      <c r="BE204" s="167" t="s">
        <v>70</v>
      </c>
      <c r="BF204" s="167" t="s">
        <v>70</v>
      </c>
      <c r="BG204" s="167" t="s">
        <v>70</v>
      </c>
      <c r="BH204" s="167" t="s">
        <v>70</v>
      </c>
      <c r="BI204" s="167" t="s">
        <v>70</v>
      </c>
      <c r="BJ204" s="167" t="s">
        <v>70</v>
      </c>
      <c r="BK204" s="167" t="s">
        <v>70</v>
      </c>
      <c r="BL204" s="167" t="s">
        <v>70</v>
      </c>
      <c r="BM204" s="167" t="s">
        <v>70</v>
      </c>
      <c r="BN204" s="167" t="s">
        <v>70</v>
      </c>
      <c r="BO204" s="167" t="s">
        <v>70</v>
      </c>
      <c r="BP204" s="167" t="s">
        <v>70</v>
      </c>
      <c r="BQ204" s="151" t="s">
        <v>208</v>
      </c>
      <c r="BR204" s="142"/>
      <c r="BS204" s="142"/>
      <c r="BT204" s="142"/>
      <c r="BU204" s="142"/>
      <c r="BV204" s="142"/>
      <c r="BW204" s="142"/>
      <c r="BX204" s="142"/>
      <c r="BY204" s="142"/>
      <c r="BZ204" s="142"/>
      <c r="CA204" s="142"/>
      <c r="CB204" s="142"/>
      <c r="CC204" s="142"/>
      <c r="CD204" s="142"/>
      <c r="CE204" s="142"/>
      <c r="CF204" s="142"/>
      <c r="CG204" s="142"/>
      <c r="CH204" s="142"/>
      <c r="CI204" s="142"/>
      <c r="CJ204" s="142"/>
      <c r="CK204" s="142"/>
      <c r="CL204" s="142"/>
      <c r="CM204" s="142"/>
      <c r="CN204" s="142"/>
      <c r="CO204" s="142"/>
      <c r="CP204" s="142"/>
      <c r="CQ204" s="142"/>
      <c r="CR204" s="142"/>
      <c r="CS204" s="142"/>
      <c r="CT204" s="142"/>
      <c r="CU204" s="142"/>
      <c r="CV204" s="142"/>
      <c r="CW204" s="142"/>
      <c r="CX204" s="142"/>
      <c r="CY204" s="142"/>
      <c r="CZ204" s="142"/>
      <c r="DA204" s="142"/>
      <c r="DB204" s="142"/>
      <c r="DC204" s="142"/>
      <c r="DD204" s="142"/>
      <c r="DE204" s="142"/>
      <c r="DF204" s="142"/>
      <c r="DG204" s="142"/>
      <c r="DH204" s="142"/>
      <c r="DI204" s="142"/>
      <c r="DJ204" s="142"/>
      <c r="DK204" s="142"/>
      <c r="DL204" s="142"/>
      <c r="DM204" s="142"/>
      <c r="DN204" s="142"/>
      <c r="DO204" s="142"/>
      <c r="DP204" s="142"/>
      <c r="DQ204" s="142"/>
      <c r="DR204" s="142"/>
      <c r="DS204" s="142"/>
      <c r="DT204" s="142"/>
      <c r="DU204" s="142"/>
      <c r="DV204" s="142"/>
      <c r="DW204" s="142"/>
      <c r="DX204" s="142"/>
      <c r="DY204" s="142"/>
      <c r="DZ204" s="142"/>
      <c r="EA204" s="142"/>
      <c r="EB204" s="142"/>
      <c r="EC204" s="142"/>
      <c r="ED204" s="142"/>
      <c r="EE204" s="142"/>
      <c r="EF204" s="142"/>
    </row>
    <row r="205" spans="1:136" s="151" customFormat="1" ht="19.5" customHeight="1" x14ac:dyDescent="0.2">
      <c r="A205" s="117">
        <v>202</v>
      </c>
      <c r="B205" s="161" t="s">
        <v>242</v>
      </c>
      <c r="C205" s="161">
        <v>83075245</v>
      </c>
      <c r="D205" s="161" t="s">
        <v>837</v>
      </c>
      <c r="E205" s="123" t="s">
        <v>68</v>
      </c>
      <c r="F205" s="146" t="s">
        <v>208</v>
      </c>
      <c r="G205" s="163">
        <v>42768</v>
      </c>
      <c r="H205" s="89">
        <v>42128</v>
      </c>
      <c r="I205" s="89">
        <v>46157</v>
      </c>
      <c r="J205" s="162">
        <f>IF(I205="", "", DATE(YEAR(I205)+2, MONTH(I205), DAY(I205)))</f>
        <v>46888</v>
      </c>
      <c r="K205" s="89">
        <v>42097</v>
      </c>
      <c r="L205" s="163">
        <v>46168</v>
      </c>
      <c r="M205" s="163">
        <f>IF(L205="", "", DATE(YEAR(L205)+2, MONTH(L205), DAY(L205)))</f>
        <v>46899</v>
      </c>
      <c r="N205" s="89">
        <v>40906</v>
      </c>
      <c r="O205" s="89"/>
      <c r="P205" s="89"/>
      <c r="Q205" s="167" t="s">
        <v>70</v>
      </c>
      <c r="R205" s="167" t="s">
        <v>70</v>
      </c>
      <c r="S205" s="167" t="s">
        <v>70</v>
      </c>
      <c r="T205" s="167" t="s">
        <v>70</v>
      </c>
      <c r="U205" s="167" t="s">
        <v>70</v>
      </c>
      <c r="V205" s="167" t="s">
        <v>70</v>
      </c>
      <c r="W205" s="167" t="s">
        <v>70</v>
      </c>
      <c r="X205" s="167" t="s">
        <v>70</v>
      </c>
      <c r="Y205" s="167" t="s">
        <v>70</v>
      </c>
      <c r="Z205" s="167" t="s">
        <v>70</v>
      </c>
      <c r="AA205" s="167" t="s">
        <v>70</v>
      </c>
      <c r="AB205" s="167" t="s">
        <v>70</v>
      </c>
      <c r="AC205" s="167" t="s">
        <v>70</v>
      </c>
      <c r="AD205" s="167" t="s">
        <v>70</v>
      </c>
      <c r="AE205" s="167" t="s">
        <v>70</v>
      </c>
      <c r="AF205" s="167" t="s">
        <v>70</v>
      </c>
      <c r="AG205" s="167" t="s">
        <v>70</v>
      </c>
      <c r="AH205" s="167" t="s">
        <v>70</v>
      </c>
      <c r="AI205" s="111">
        <v>45939</v>
      </c>
      <c r="AJ205" s="94">
        <v>45351</v>
      </c>
      <c r="AK205" s="167" t="s">
        <v>70</v>
      </c>
      <c r="AL205" s="167" t="s">
        <v>70</v>
      </c>
      <c r="AM205" s="167"/>
      <c r="AN205" s="167" t="s">
        <v>70</v>
      </c>
      <c r="AO205" s="167" t="s">
        <v>70</v>
      </c>
      <c r="AP205" s="167" t="s">
        <v>70</v>
      </c>
      <c r="AQ205" s="167" t="s">
        <v>70</v>
      </c>
      <c r="AR205" s="166" t="s">
        <v>69</v>
      </c>
      <c r="AS205" s="167" t="s">
        <v>70</v>
      </c>
      <c r="AT205" s="167" t="s">
        <v>70</v>
      </c>
      <c r="AU205" s="167" t="s">
        <v>70</v>
      </c>
      <c r="AV205" s="167" t="s">
        <v>70</v>
      </c>
      <c r="AW205" s="167" t="s">
        <v>70</v>
      </c>
      <c r="AX205" s="167" t="s">
        <v>70</v>
      </c>
      <c r="AY205" s="167" t="s">
        <v>70</v>
      </c>
      <c r="AZ205" s="167" t="s">
        <v>70</v>
      </c>
      <c r="BA205" s="167" t="s">
        <v>70</v>
      </c>
      <c r="BB205" s="167" t="s">
        <v>70</v>
      </c>
      <c r="BC205" s="167" t="s">
        <v>70</v>
      </c>
      <c r="BD205" s="167" t="s">
        <v>70</v>
      </c>
      <c r="BE205" s="167" t="s">
        <v>70</v>
      </c>
      <c r="BF205" s="167" t="s">
        <v>70</v>
      </c>
      <c r="BG205" s="167" t="s">
        <v>70</v>
      </c>
      <c r="BH205" s="167" t="s">
        <v>70</v>
      </c>
      <c r="BI205" s="167" t="s">
        <v>70</v>
      </c>
      <c r="BJ205" s="167" t="s">
        <v>70</v>
      </c>
      <c r="BK205" s="167" t="s">
        <v>70</v>
      </c>
      <c r="BL205" s="167" t="s">
        <v>70</v>
      </c>
      <c r="BM205" s="167" t="s">
        <v>70</v>
      </c>
      <c r="BN205" s="167" t="s">
        <v>70</v>
      </c>
      <c r="BO205" s="167" t="s">
        <v>70</v>
      </c>
      <c r="BP205" s="167" t="s">
        <v>70</v>
      </c>
      <c r="BQ205" s="151" t="s">
        <v>208</v>
      </c>
      <c r="BR205" s="142"/>
      <c r="BS205" s="142"/>
      <c r="BT205" s="142"/>
      <c r="BU205" s="142"/>
      <c r="BV205" s="142"/>
      <c r="BW205" s="142"/>
      <c r="BX205" s="142"/>
      <c r="BY205" s="142"/>
      <c r="BZ205" s="142"/>
      <c r="CA205" s="142"/>
      <c r="CB205" s="142"/>
      <c r="CC205" s="142"/>
      <c r="CD205" s="142"/>
      <c r="CE205" s="142"/>
      <c r="CF205" s="142"/>
      <c r="CG205" s="142"/>
      <c r="CH205" s="142"/>
      <c r="CI205" s="142"/>
      <c r="CJ205" s="142"/>
      <c r="CK205" s="142"/>
      <c r="CL205" s="142"/>
      <c r="CM205" s="142"/>
      <c r="CN205" s="142"/>
      <c r="CO205" s="142"/>
      <c r="CP205" s="142"/>
      <c r="CQ205" s="142"/>
      <c r="CR205" s="142"/>
      <c r="CS205" s="142"/>
      <c r="CT205" s="142"/>
      <c r="CU205" s="142"/>
      <c r="CV205" s="142"/>
      <c r="CW205" s="142"/>
      <c r="CX205" s="142"/>
      <c r="CY205" s="142"/>
      <c r="CZ205" s="142"/>
      <c r="DA205" s="142"/>
      <c r="DB205" s="142"/>
      <c r="DC205" s="142"/>
      <c r="DD205" s="142"/>
      <c r="DE205" s="142"/>
      <c r="DF205" s="142"/>
      <c r="DG205" s="142"/>
      <c r="DH205" s="142"/>
      <c r="DI205" s="142"/>
      <c r="DJ205" s="142"/>
      <c r="DK205" s="142"/>
      <c r="DL205" s="142"/>
      <c r="DM205" s="142"/>
      <c r="DN205" s="142"/>
      <c r="DO205" s="142"/>
      <c r="DP205" s="142"/>
      <c r="DQ205" s="142"/>
      <c r="DR205" s="142"/>
      <c r="DS205" s="142"/>
      <c r="DT205" s="142"/>
      <c r="DU205" s="142"/>
      <c r="DV205" s="142"/>
      <c r="DW205" s="142"/>
      <c r="DX205" s="142"/>
      <c r="DY205" s="142"/>
      <c r="DZ205" s="142"/>
      <c r="EA205" s="142"/>
      <c r="EB205" s="142"/>
      <c r="EC205" s="142"/>
      <c r="ED205" s="142"/>
      <c r="EE205" s="142"/>
      <c r="EF205" s="142"/>
    </row>
    <row r="206" spans="1:136" s="151" customFormat="1" ht="19.5" customHeight="1" x14ac:dyDescent="0.2">
      <c r="A206" s="117">
        <v>203</v>
      </c>
      <c r="B206" s="221" t="s">
        <v>225</v>
      </c>
      <c r="C206" s="221">
        <v>141878</v>
      </c>
      <c r="D206" s="117" t="s">
        <v>212</v>
      </c>
      <c r="E206" s="123" t="s">
        <v>68</v>
      </c>
      <c r="F206" s="146" t="s">
        <v>256</v>
      </c>
      <c r="G206" s="92">
        <v>44544</v>
      </c>
      <c r="H206" s="93">
        <v>46248</v>
      </c>
      <c r="I206" s="93">
        <v>46248</v>
      </c>
      <c r="J206" s="92">
        <f>IF(I206="", "", DATE(YEAR(I206)+3, MONTH(I206), DAY(I206)))</f>
        <v>47344</v>
      </c>
      <c r="K206" s="93">
        <v>46247</v>
      </c>
      <c r="L206" s="93">
        <v>46247</v>
      </c>
      <c r="M206" s="140">
        <f>IF(L206="", "", DATE(YEAR(L206)+3, MONTH(L206), DAY(L206)))</f>
        <v>47343</v>
      </c>
      <c r="N206" s="93">
        <v>46245</v>
      </c>
      <c r="O206" s="93">
        <v>46258</v>
      </c>
      <c r="P206" s="93">
        <v>46246</v>
      </c>
      <c r="Q206" s="167" t="s">
        <v>70</v>
      </c>
      <c r="R206" s="167" t="s">
        <v>70</v>
      </c>
      <c r="S206" s="167" t="s">
        <v>70</v>
      </c>
      <c r="T206" s="167" t="s">
        <v>70</v>
      </c>
      <c r="U206" s="167" t="s">
        <v>70</v>
      </c>
      <c r="V206" s="167" t="s">
        <v>70</v>
      </c>
      <c r="W206" s="167" t="s">
        <v>70</v>
      </c>
      <c r="X206" s="167" t="s">
        <v>70</v>
      </c>
      <c r="Y206" s="167" t="s">
        <v>70</v>
      </c>
      <c r="Z206" s="167" t="s">
        <v>70</v>
      </c>
      <c r="AA206" s="167" t="s">
        <v>70</v>
      </c>
      <c r="AB206" s="167" t="s">
        <v>70</v>
      </c>
      <c r="AC206" s="167" t="s">
        <v>70</v>
      </c>
      <c r="AD206" s="167" t="s">
        <v>70</v>
      </c>
      <c r="AE206" s="167" t="s">
        <v>70</v>
      </c>
      <c r="AF206" s="167" t="s">
        <v>70</v>
      </c>
      <c r="AG206" s="167" t="s">
        <v>70</v>
      </c>
      <c r="AH206" s="167" t="s">
        <v>70</v>
      </c>
      <c r="AI206" s="111">
        <v>45919</v>
      </c>
      <c r="AJ206" s="94">
        <v>45349</v>
      </c>
      <c r="AK206" s="167" t="s">
        <v>70</v>
      </c>
      <c r="AL206" s="167" t="s">
        <v>70</v>
      </c>
      <c r="AM206" s="167"/>
      <c r="AN206" s="167" t="s">
        <v>70</v>
      </c>
      <c r="AO206" s="167" t="s">
        <v>70</v>
      </c>
      <c r="AP206" s="167" t="s">
        <v>70</v>
      </c>
      <c r="AQ206" s="167" t="s">
        <v>70</v>
      </c>
      <c r="AR206" s="166" t="s">
        <v>69</v>
      </c>
      <c r="AS206" s="167" t="s">
        <v>70</v>
      </c>
      <c r="AT206" s="167" t="s">
        <v>70</v>
      </c>
      <c r="AU206" s="167" t="s">
        <v>70</v>
      </c>
      <c r="AV206" s="167" t="s">
        <v>70</v>
      </c>
      <c r="AW206" s="167" t="s">
        <v>70</v>
      </c>
      <c r="AX206" s="167" t="s">
        <v>70</v>
      </c>
      <c r="AY206" s="167" t="s">
        <v>70</v>
      </c>
      <c r="AZ206" s="167" t="s">
        <v>70</v>
      </c>
      <c r="BA206" s="167" t="s">
        <v>70</v>
      </c>
      <c r="BB206" s="167" t="s">
        <v>70</v>
      </c>
      <c r="BC206" s="167" t="s">
        <v>70</v>
      </c>
      <c r="BD206" s="167" t="s">
        <v>70</v>
      </c>
      <c r="BE206" s="167" t="s">
        <v>70</v>
      </c>
      <c r="BF206" s="167" t="s">
        <v>70</v>
      </c>
      <c r="BG206" s="167" t="s">
        <v>70</v>
      </c>
      <c r="BH206" s="167" t="s">
        <v>70</v>
      </c>
      <c r="BI206" s="167" t="s">
        <v>70</v>
      </c>
      <c r="BJ206" s="167" t="s">
        <v>70</v>
      </c>
      <c r="BK206" s="167" t="s">
        <v>70</v>
      </c>
      <c r="BL206" s="167" t="s">
        <v>70</v>
      </c>
      <c r="BM206" s="167" t="s">
        <v>70</v>
      </c>
      <c r="BN206" s="167" t="s">
        <v>70</v>
      </c>
      <c r="BO206" s="167" t="s">
        <v>70</v>
      </c>
      <c r="BP206" s="167" t="s">
        <v>70</v>
      </c>
      <c r="BQ206" s="151" t="s">
        <v>208</v>
      </c>
      <c r="BR206" s="142"/>
      <c r="BS206" s="142"/>
      <c r="BT206" s="142"/>
      <c r="BU206" s="142"/>
      <c r="BV206" s="142"/>
      <c r="BW206" s="142"/>
      <c r="BX206" s="142"/>
      <c r="BY206" s="142"/>
      <c r="BZ206" s="142"/>
      <c r="CA206" s="142"/>
      <c r="CB206" s="142"/>
      <c r="CC206" s="142"/>
      <c r="CD206" s="142"/>
      <c r="CE206" s="142"/>
      <c r="CF206" s="142"/>
      <c r="CG206" s="142"/>
      <c r="CH206" s="142"/>
      <c r="CI206" s="142"/>
      <c r="CJ206" s="142"/>
      <c r="CK206" s="142"/>
      <c r="CL206" s="142"/>
      <c r="CM206" s="142"/>
      <c r="CN206" s="142"/>
      <c r="CO206" s="142"/>
      <c r="CP206" s="142"/>
      <c r="CQ206" s="142"/>
      <c r="CR206" s="142"/>
      <c r="CS206" s="142"/>
      <c r="CT206" s="142"/>
      <c r="CU206" s="142"/>
      <c r="CV206" s="142"/>
      <c r="CW206" s="142"/>
      <c r="CX206" s="142"/>
      <c r="CY206" s="142"/>
      <c r="CZ206" s="142"/>
      <c r="DA206" s="142"/>
      <c r="DB206" s="142"/>
      <c r="DC206" s="142"/>
      <c r="DD206" s="142"/>
      <c r="DE206" s="142"/>
      <c r="DF206" s="142"/>
      <c r="DG206" s="142"/>
      <c r="DH206" s="142"/>
      <c r="DI206" s="142"/>
      <c r="DJ206" s="142"/>
      <c r="DK206" s="142"/>
      <c r="DL206" s="142"/>
      <c r="DM206" s="142"/>
      <c r="DN206" s="142"/>
      <c r="DO206" s="142"/>
      <c r="DP206" s="142"/>
      <c r="DQ206" s="142"/>
      <c r="DR206" s="142"/>
      <c r="DS206" s="142"/>
      <c r="DT206" s="142"/>
      <c r="DU206" s="142"/>
      <c r="DV206" s="142"/>
      <c r="DW206" s="142"/>
      <c r="DX206" s="142"/>
      <c r="DY206" s="142"/>
      <c r="DZ206" s="142"/>
      <c r="EA206" s="142"/>
      <c r="EB206" s="142"/>
      <c r="EC206" s="142"/>
      <c r="ED206" s="142"/>
      <c r="EE206" s="142"/>
      <c r="EF206" s="142"/>
    </row>
    <row r="207" spans="1:136" s="151" customFormat="1" ht="19.5" customHeight="1" x14ac:dyDescent="0.2">
      <c r="A207" s="117">
        <v>204</v>
      </c>
      <c r="B207" s="144" t="s">
        <v>226</v>
      </c>
      <c r="C207" s="117">
        <v>152600</v>
      </c>
      <c r="D207" s="117" t="s">
        <v>212</v>
      </c>
      <c r="E207" s="123" t="s">
        <v>68</v>
      </c>
      <c r="F207" s="146" t="s">
        <v>256</v>
      </c>
      <c r="G207" s="124" t="s">
        <v>69</v>
      </c>
      <c r="H207" s="89"/>
      <c r="I207" s="140"/>
      <c r="J207" s="162"/>
      <c r="K207" s="89"/>
      <c r="L207" s="111"/>
      <c r="M207" s="163"/>
      <c r="N207" s="89"/>
      <c r="O207" s="89"/>
      <c r="P207" s="89"/>
      <c r="Q207" s="167" t="s">
        <v>70</v>
      </c>
      <c r="R207" s="167" t="s">
        <v>70</v>
      </c>
      <c r="S207" s="167" t="s">
        <v>70</v>
      </c>
      <c r="T207" s="167" t="s">
        <v>70</v>
      </c>
      <c r="U207" s="167" t="s">
        <v>70</v>
      </c>
      <c r="V207" s="167" t="s">
        <v>70</v>
      </c>
      <c r="W207" s="167" t="s">
        <v>70</v>
      </c>
      <c r="X207" s="167" t="s">
        <v>70</v>
      </c>
      <c r="Y207" s="167" t="s">
        <v>70</v>
      </c>
      <c r="Z207" s="167" t="s">
        <v>70</v>
      </c>
      <c r="AA207" s="167" t="s">
        <v>70</v>
      </c>
      <c r="AB207" s="167" t="s">
        <v>70</v>
      </c>
      <c r="AC207" s="167" t="s">
        <v>70</v>
      </c>
      <c r="AD207" s="167" t="s">
        <v>70</v>
      </c>
      <c r="AE207" s="167" t="s">
        <v>70</v>
      </c>
      <c r="AF207" s="167" t="s">
        <v>70</v>
      </c>
      <c r="AG207" s="167" t="s">
        <v>70</v>
      </c>
      <c r="AH207" s="167" t="s">
        <v>70</v>
      </c>
      <c r="AI207" s="111">
        <v>45967</v>
      </c>
      <c r="AJ207" s="94">
        <v>45351</v>
      </c>
      <c r="AK207" s="167" t="s">
        <v>70</v>
      </c>
      <c r="AL207" s="167" t="s">
        <v>70</v>
      </c>
      <c r="AM207" s="167"/>
      <c r="AN207" s="167" t="s">
        <v>70</v>
      </c>
      <c r="AO207" s="167" t="s">
        <v>70</v>
      </c>
      <c r="AP207" s="167" t="s">
        <v>70</v>
      </c>
      <c r="AQ207" s="167" t="s">
        <v>70</v>
      </c>
      <c r="AR207" s="166" t="s">
        <v>69</v>
      </c>
      <c r="AS207" s="167" t="s">
        <v>70</v>
      </c>
      <c r="AT207" s="167" t="s">
        <v>70</v>
      </c>
      <c r="AU207" s="167" t="s">
        <v>70</v>
      </c>
      <c r="AV207" s="167" t="s">
        <v>70</v>
      </c>
      <c r="AW207" s="167" t="s">
        <v>70</v>
      </c>
      <c r="AX207" s="167" t="s">
        <v>70</v>
      </c>
      <c r="AY207" s="167" t="s">
        <v>70</v>
      </c>
      <c r="AZ207" s="167" t="s">
        <v>70</v>
      </c>
      <c r="BA207" s="167" t="s">
        <v>70</v>
      </c>
      <c r="BB207" s="167" t="s">
        <v>70</v>
      </c>
      <c r="BC207" s="167" t="s">
        <v>70</v>
      </c>
      <c r="BD207" s="167" t="s">
        <v>70</v>
      </c>
      <c r="BE207" s="167" t="s">
        <v>70</v>
      </c>
      <c r="BF207" s="167" t="s">
        <v>70</v>
      </c>
      <c r="BG207" s="167" t="s">
        <v>70</v>
      </c>
      <c r="BH207" s="167" t="s">
        <v>70</v>
      </c>
      <c r="BI207" s="167" t="s">
        <v>70</v>
      </c>
      <c r="BJ207" s="167" t="s">
        <v>70</v>
      </c>
      <c r="BK207" s="167" t="s">
        <v>70</v>
      </c>
      <c r="BL207" s="167" t="s">
        <v>70</v>
      </c>
      <c r="BM207" s="167" t="s">
        <v>70</v>
      </c>
      <c r="BN207" s="167" t="s">
        <v>70</v>
      </c>
      <c r="BO207" s="167" t="s">
        <v>70</v>
      </c>
      <c r="BP207" s="167" t="s">
        <v>70</v>
      </c>
      <c r="BQ207" s="151" t="s">
        <v>208</v>
      </c>
      <c r="BR207" s="142"/>
      <c r="BS207" s="142"/>
      <c r="BT207" s="142"/>
      <c r="BU207" s="142"/>
      <c r="BV207" s="142"/>
      <c r="BW207" s="142"/>
      <c r="BX207" s="142"/>
      <c r="BY207" s="142"/>
      <c r="BZ207" s="142"/>
      <c r="CA207" s="142"/>
      <c r="CB207" s="142"/>
      <c r="CC207" s="142"/>
      <c r="CD207" s="142"/>
      <c r="CE207" s="142"/>
      <c r="CF207" s="142"/>
      <c r="CG207" s="142"/>
      <c r="CH207" s="142"/>
      <c r="CI207" s="142"/>
      <c r="CJ207" s="142"/>
      <c r="CK207" s="142"/>
      <c r="CL207" s="142"/>
      <c r="CM207" s="142"/>
      <c r="CN207" s="142"/>
      <c r="CO207" s="142"/>
      <c r="CP207" s="142"/>
      <c r="CQ207" s="142"/>
      <c r="CR207" s="142"/>
      <c r="CS207" s="142"/>
      <c r="CT207" s="142"/>
      <c r="CU207" s="142"/>
      <c r="CV207" s="142"/>
      <c r="CW207" s="142"/>
      <c r="CX207" s="142"/>
      <c r="CY207" s="142"/>
      <c r="CZ207" s="142"/>
      <c r="DA207" s="142"/>
      <c r="DB207" s="142"/>
      <c r="DC207" s="142"/>
      <c r="DD207" s="142"/>
      <c r="DE207" s="142"/>
      <c r="DF207" s="142"/>
      <c r="DG207" s="142"/>
      <c r="DH207" s="142"/>
      <c r="DI207" s="142"/>
      <c r="DJ207" s="142"/>
      <c r="DK207" s="142"/>
      <c r="DL207" s="142"/>
      <c r="DM207" s="142"/>
      <c r="DN207" s="142"/>
      <c r="DO207" s="142"/>
      <c r="DP207" s="142"/>
      <c r="DQ207" s="142"/>
      <c r="DR207" s="142"/>
      <c r="DS207" s="142"/>
      <c r="DT207" s="142"/>
      <c r="DU207" s="142"/>
      <c r="DV207" s="142"/>
      <c r="DW207" s="142"/>
      <c r="DX207" s="142"/>
      <c r="DY207" s="142"/>
      <c r="DZ207" s="142"/>
      <c r="EA207" s="142"/>
      <c r="EB207" s="142"/>
      <c r="EC207" s="142"/>
      <c r="ED207" s="142"/>
      <c r="EE207" s="142"/>
      <c r="EF207" s="142"/>
    </row>
    <row r="208" spans="1:136" s="151" customFormat="1" ht="19.5" customHeight="1" x14ac:dyDescent="0.2">
      <c r="A208" s="117">
        <v>205</v>
      </c>
      <c r="B208" s="222" t="s">
        <v>227</v>
      </c>
      <c r="C208" s="123">
        <v>132513</v>
      </c>
      <c r="D208" s="117" t="s">
        <v>212</v>
      </c>
      <c r="E208" s="123" t="s">
        <v>68</v>
      </c>
      <c r="F208" s="146" t="s">
        <v>208</v>
      </c>
      <c r="G208" s="111">
        <v>44519</v>
      </c>
      <c r="H208" s="89">
        <v>41474</v>
      </c>
      <c r="I208" s="140">
        <v>46183</v>
      </c>
      <c r="J208" s="162">
        <f>IF(I208="", "", DATE(YEAR(I208)+2, MONTH(I208), DAY(I208)))</f>
        <v>46914</v>
      </c>
      <c r="K208" s="89">
        <v>43019</v>
      </c>
      <c r="L208" s="140">
        <v>46176</v>
      </c>
      <c r="M208" s="163">
        <f>IF(L208="", "", DATE(YEAR(L208)+2, MONTH(L208), DAY(L208)))</f>
        <v>46907</v>
      </c>
      <c r="N208" s="140">
        <v>45999</v>
      </c>
      <c r="O208" s="140">
        <v>41474</v>
      </c>
      <c r="P208" s="140">
        <v>46000</v>
      </c>
      <c r="Q208" s="167" t="s">
        <v>70</v>
      </c>
      <c r="R208" s="167" t="s">
        <v>70</v>
      </c>
      <c r="S208" s="167" t="s">
        <v>70</v>
      </c>
      <c r="T208" s="167" t="s">
        <v>70</v>
      </c>
      <c r="U208" s="167" t="s">
        <v>70</v>
      </c>
      <c r="V208" s="167" t="s">
        <v>70</v>
      </c>
      <c r="W208" s="167" t="s">
        <v>70</v>
      </c>
      <c r="X208" s="167" t="s">
        <v>70</v>
      </c>
      <c r="Y208" s="167" t="s">
        <v>70</v>
      </c>
      <c r="Z208" s="167" t="s">
        <v>70</v>
      </c>
      <c r="AA208" s="167" t="s">
        <v>70</v>
      </c>
      <c r="AB208" s="167" t="s">
        <v>70</v>
      </c>
      <c r="AC208" s="167" t="s">
        <v>70</v>
      </c>
      <c r="AD208" s="167" t="s">
        <v>70</v>
      </c>
      <c r="AE208" s="167" t="s">
        <v>70</v>
      </c>
      <c r="AF208" s="167" t="s">
        <v>70</v>
      </c>
      <c r="AG208" s="167" t="s">
        <v>70</v>
      </c>
      <c r="AH208" s="167" t="s">
        <v>70</v>
      </c>
      <c r="AI208" s="111">
        <v>45975</v>
      </c>
      <c r="AJ208" s="94">
        <v>45356</v>
      </c>
      <c r="AK208" s="167" t="s">
        <v>70</v>
      </c>
      <c r="AL208" s="167" t="s">
        <v>70</v>
      </c>
      <c r="AM208" s="167"/>
      <c r="AN208" s="167" t="s">
        <v>70</v>
      </c>
      <c r="AO208" s="167" t="s">
        <v>70</v>
      </c>
      <c r="AP208" s="167" t="s">
        <v>70</v>
      </c>
      <c r="AQ208" s="167" t="s">
        <v>70</v>
      </c>
      <c r="AR208" s="166" t="s">
        <v>69</v>
      </c>
      <c r="AS208" s="167" t="s">
        <v>70</v>
      </c>
      <c r="AT208" s="167" t="s">
        <v>70</v>
      </c>
      <c r="AU208" s="167" t="s">
        <v>70</v>
      </c>
      <c r="AV208" s="167" t="s">
        <v>70</v>
      </c>
      <c r="AW208" s="167" t="s">
        <v>70</v>
      </c>
      <c r="AX208" s="167" t="s">
        <v>70</v>
      </c>
      <c r="AY208" s="167" t="s">
        <v>70</v>
      </c>
      <c r="AZ208" s="167" t="s">
        <v>70</v>
      </c>
      <c r="BA208" s="167" t="s">
        <v>70</v>
      </c>
      <c r="BB208" s="167" t="s">
        <v>70</v>
      </c>
      <c r="BC208" s="167" t="s">
        <v>70</v>
      </c>
      <c r="BD208" s="167" t="s">
        <v>70</v>
      </c>
      <c r="BE208" s="167" t="s">
        <v>70</v>
      </c>
      <c r="BF208" s="167" t="s">
        <v>70</v>
      </c>
      <c r="BG208" s="167" t="s">
        <v>70</v>
      </c>
      <c r="BH208" s="167" t="s">
        <v>70</v>
      </c>
      <c r="BI208" s="167" t="s">
        <v>70</v>
      </c>
      <c r="BJ208" s="167" t="s">
        <v>70</v>
      </c>
      <c r="BK208" s="167" t="s">
        <v>70</v>
      </c>
      <c r="BL208" s="167" t="s">
        <v>70</v>
      </c>
      <c r="BM208" s="167" t="s">
        <v>70</v>
      </c>
      <c r="BN208" s="167" t="s">
        <v>70</v>
      </c>
      <c r="BO208" s="167" t="s">
        <v>70</v>
      </c>
      <c r="BP208" s="167" t="s">
        <v>70</v>
      </c>
      <c r="BQ208" s="151" t="s">
        <v>208</v>
      </c>
      <c r="BR208" s="142"/>
      <c r="BS208" s="142"/>
      <c r="BT208" s="142"/>
      <c r="BU208" s="142"/>
      <c r="BV208" s="142"/>
      <c r="BW208" s="142"/>
      <c r="BX208" s="142"/>
      <c r="BY208" s="142"/>
      <c r="BZ208" s="142"/>
      <c r="CA208" s="142"/>
      <c r="CB208" s="142"/>
      <c r="CC208" s="142"/>
      <c r="CD208" s="142"/>
      <c r="CE208" s="142"/>
      <c r="CF208" s="142"/>
      <c r="CG208" s="142"/>
      <c r="CH208" s="142"/>
      <c r="CI208" s="142"/>
      <c r="CJ208" s="142"/>
      <c r="CK208" s="142"/>
      <c r="CL208" s="142"/>
      <c r="CM208" s="142"/>
      <c r="CN208" s="142"/>
      <c r="CO208" s="142"/>
      <c r="CP208" s="142"/>
      <c r="CQ208" s="142"/>
      <c r="CR208" s="142"/>
      <c r="CS208" s="142"/>
      <c r="CT208" s="142"/>
      <c r="CU208" s="142"/>
      <c r="CV208" s="142"/>
      <c r="CW208" s="142"/>
      <c r="CX208" s="142"/>
      <c r="CY208" s="142"/>
      <c r="CZ208" s="142"/>
      <c r="DA208" s="142"/>
      <c r="DB208" s="142"/>
      <c r="DC208" s="142"/>
      <c r="DD208" s="142"/>
      <c r="DE208" s="142"/>
      <c r="DF208" s="142"/>
      <c r="DG208" s="142"/>
      <c r="DH208" s="142"/>
      <c r="DI208" s="142"/>
      <c r="DJ208" s="142"/>
      <c r="DK208" s="142"/>
      <c r="DL208" s="142"/>
      <c r="DM208" s="142"/>
      <c r="DN208" s="142"/>
      <c r="DO208" s="142"/>
      <c r="DP208" s="142"/>
      <c r="DQ208" s="142"/>
      <c r="DR208" s="142"/>
      <c r="DS208" s="142"/>
      <c r="DT208" s="142"/>
      <c r="DU208" s="142"/>
      <c r="DV208" s="142"/>
      <c r="DW208" s="142"/>
      <c r="DX208" s="142"/>
      <c r="DY208" s="142"/>
      <c r="DZ208" s="142"/>
      <c r="EA208" s="142"/>
      <c r="EB208" s="142"/>
      <c r="EC208" s="142"/>
      <c r="ED208" s="142"/>
      <c r="EE208" s="142"/>
      <c r="EF208" s="142"/>
    </row>
    <row r="209" spans="1:136" s="151" customFormat="1" ht="19.5" customHeight="1" x14ac:dyDescent="0.2">
      <c r="A209" s="117">
        <v>206</v>
      </c>
      <c r="B209" s="123" t="s">
        <v>234</v>
      </c>
      <c r="C209" s="123">
        <v>140219</v>
      </c>
      <c r="D209" s="117" t="s">
        <v>212</v>
      </c>
      <c r="E209" s="123" t="s">
        <v>68</v>
      </c>
      <c r="F209" s="146" t="s">
        <v>256</v>
      </c>
      <c r="G209" s="124" t="s">
        <v>69</v>
      </c>
      <c r="H209" s="89">
        <v>46003</v>
      </c>
      <c r="I209" s="89">
        <v>46003</v>
      </c>
      <c r="J209" s="162">
        <f>IF(I209="", "", DATE(YEAR(I209)+3, MONTH(I209), DAY(I209)))</f>
        <v>47099</v>
      </c>
      <c r="K209" s="89">
        <v>46001</v>
      </c>
      <c r="L209" s="89">
        <v>46001</v>
      </c>
      <c r="M209" s="89">
        <v>47097</v>
      </c>
      <c r="N209" s="89">
        <v>45999</v>
      </c>
      <c r="O209" s="89"/>
      <c r="P209" s="89">
        <v>46000</v>
      </c>
      <c r="Q209" s="167" t="s">
        <v>70</v>
      </c>
      <c r="R209" s="167" t="s">
        <v>70</v>
      </c>
      <c r="S209" s="167" t="s">
        <v>70</v>
      </c>
      <c r="T209" s="167" t="s">
        <v>70</v>
      </c>
      <c r="U209" s="167" t="s">
        <v>70</v>
      </c>
      <c r="V209" s="167" t="s">
        <v>70</v>
      </c>
      <c r="W209" s="167" t="s">
        <v>70</v>
      </c>
      <c r="X209" s="167" t="s">
        <v>70</v>
      </c>
      <c r="Y209" s="167" t="s">
        <v>70</v>
      </c>
      <c r="Z209" s="167" t="s">
        <v>70</v>
      </c>
      <c r="AA209" s="167" t="s">
        <v>70</v>
      </c>
      <c r="AB209" s="167" t="s">
        <v>70</v>
      </c>
      <c r="AC209" s="167" t="s">
        <v>70</v>
      </c>
      <c r="AD209" s="167" t="s">
        <v>70</v>
      </c>
      <c r="AE209" s="167" t="s">
        <v>70</v>
      </c>
      <c r="AF209" s="167" t="s">
        <v>70</v>
      </c>
      <c r="AG209" s="167" t="s">
        <v>70</v>
      </c>
      <c r="AH209" s="167" t="s">
        <v>70</v>
      </c>
      <c r="AI209" s="163">
        <v>45995</v>
      </c>
      <c r="AJ209" s="94">
        <v>45351</v>
      </c>
      <c r="AK209" s="167" t="s">
        <v>70</v>
      </c>
      <c r="AL209" s="167" t="s">
        <v>70</v>
      </c>
      <c r="AM209" s="167"/>
      <c r="AN209" s="167" t="s">
        <v>70</v>
      </c>
      <c r="AO209" s="167" t="s">
        <v>70</v>
      </c>
      <c r="AP209" s="167" t="s">
        <v>70</v>
      </c>
      <c r="AQ209" s="167" t="s">
        <v>70</v>
      </c>
      <c r="AR209" s="166" t="s">
        <v>69</v>
      </c>
      <c r="AS209" s="167" t="s">
        <v>70</v>
      </c>
      <c r="AT209" s="167" t="s">
        <v>70</v>
      </c>
      <c r="AU209" s="167" t="s">
        <v>70</v>
      </c>
      <c r="AV209" s="167" t="s">
        <v>70</v>
      </c>
      <c r="AW209" s="167" t="s">
        <v>70</v>
      </c>
      <c r="AX209" s="167" t="s">
        <v>70</v>
      </c>
      <c r="AY209" s="167" t="s">
        <v>70</v>
      </c>
      <c r="AZ209" s="167" t="s">
        <v>70</v>
      </c>
      <c r="BA209" s="167" t="s">
        <v>70</v>
      </c>
      <c r="BB209" s="167" t="s">
        <v>70</v>
      </c>
      <c r="BC209" s="167" t="s">
        <v>70</v>
      </c>
      <c r="BD209" s="167" t="s">
        <v>70</v>
      </c>
      <c r="BE209" s="167" t="s">
        <v>70</v>
      </c>
      <c r="BF209" s="167" t="s">
        <v>70</v>
      </c>
      <c r="BG209" s="167" t="s">
        <v>70</v>
      </c>
      <c r="BH209" s="167" t="s">
        <v>70</v>
      </c>
      <c r="BI209" s="167" t="s">
        <v>70</v>
      </c>
      <c r="BJ209" s="167" t="s">
        <v>70</v>
      </c>
      <c r="BK209" s="167" t="s">
        <v>70</v>
      </c>
      <c r="BL209" s="167" t="s">
        <v>70</v>
      </c>
      <c r="BM209" s="167" t="s">
        <v>70</v>
      </c>
      <c r="BN209" s="167" t="s">
        <v>70</v>
      </c>
      <c r="BO209" s="167" t="s">
        <v>70</v>
      </c>
      <c r="BP209" s="167" t="s">
        <v>70</v>
      </c>
      <c r="BQ209" s="151" t="s">
        <v>208</v>
      </c>
      <c r="BR209" s="142"/>
      <c r="BS209" s="142"/>
      <c r="BT209" s="142"/>
      <c r="BU209" s="142"/>
      <c r="BV209" s="142"/>
      <c r="BW209" s="142"/>
      <c r="BX209" s="142"/>
      <c r="BY209" s="142"/>
      <c r="BZ209" s="142"/>
      <c r="CA209" s="142"/>
      <c r="CB209" s="142"/>
      <c r="CC209" s="142"/>
      <c r="CD209" s="142"/>
      <c r="CE209" s="142"/>
      <c r="CF209" s="142"/>
      <c r="CG209" s="142"/>
      <c r="CH209" s="142"/>
      <c r="CI209" s="142"/>
      <c r="CJ209" s="142"/>
      <c r="CK209" s="142"/>
      <c r="CL209" s="142"/>
      <c r="CM209" s="142"/>
      <c r="CN209" s="142"/>
      <c r="CO209" s="142"/>
      <c r="CP209" s="142"/>
      <c r="CQ209" s="142"/>
      <c r="CR209" s="142"/>
      <c r="CS209" s="142"/>
      <c r="CT209" s="142"/>
      <c r="CU209" s="142"/>
      <c r="CV209" s="142"/>
      <c r="CW209" s="142"/>
      <c r="CX209" s="142"/>
      <c r="CY209" s="142"/>
      <c r="CZ209" s="142"/>
      <c r="DA209" s="142"/>
      <c r="DB209" s="142"/>
      <c r="DC209" s="142"/>
      <c r="DD209" s="142"/>
      <c r="DE209" s="142"/>
      <c r="DF209" s="142"/>
      <c r="DG209" s="142"/>
      <c r="DH209" s="142"/>
      <c r="DI209" s="142"/>
      <c r="DJ209" s="142"/>
      <c r="DK209" s="142"/>
      <c r="DL209" s="142"/>
      <c r="DM209" s="142"/>
      <c r="DN209" s="142"/>
      <c r="DO209" s="142"/>
      <c r="DP209" s="142"/>
      <c r="DQ209" s="142"/>
      <c r="DR209" s="142"/>
      <c r="DS209" s="142"/>
      <c r="DT209" s="142"/>
      <c r="DU209" s="142"/>
      <c r="DV209" s="142"/>
      <c r="DW209" s="142"/>
      <c r="DX209" s="142"/>
      <c r="DY209" s="142"/>
      <c r="DZ209" s="142"/>
      <c r="EA209" s="142"/>
      <c r="EB209" s="142"/>
      <c r="EC209" s="142"/>
      <c r="ED209" s="142"/>
      <c r="EE209" s="142"/>
      <c r="EF209" s="142"/>
    </row>
    <row r="210" spans="1:136" s="151" customFormat="1" ht="19.5" customHeight="1" x14ac:dyDescent="0.2">
      <c r="A210" s="117">
        <v>207</v>
      </c>
      <c r="B210" s="117" t="s">
        <v>248</v>
      </c>
      <c r="C210" s="117">
        <v>83102758</v>
      </c>
      <c r="D210" s="117" t="s">
        <v>212</v>
      </c>
      <c r="E210" s="123" t="s">
        <v>68</v>
      </c>
      <c r="F210" s="146" t="s">
        <v>256</v>
      </c>
      <c r="G210" s="111">
        <v>44882</v>
      </c>
      <c r="H210" s="111"/>
      <c r="I210" s="111"/>
      <c r="J210" s="162"/>
      <c r="K210" s="111"/>
      <c r="L210" s="111"/>
      <c r="M210" s="163"/>
      <c r="N210" s="111"/>
      <c r="O210" s="112">
        <v>45320</v>
      </c>
      <c r="P210" s="111"/>
      <c r="Q210" s="167" t="s">
        <v>70</v>
      </c>
      <c r="R210" s="167" t="s">
        <v>70</v>
      </c>
      <c r="S210" s="167" t="s">
        <v>70</v>
      </c>
      <c r="T210" s="167" t="s">
        <v>70</v>
      </c>
      <c r="U210" s="167" t="s">
        <v>70</v>
      </c>
      <c r="V210" s="167" t="s">
        <v>70</v>
      </c>
      <c r="W210" s="167" t="s">
        <v>70</v>
      </c>
      <c r="X210" s="167" t="s">
        <v>70</v>
      </c>
      <c r="Y210" s="167" t="s">
        <v>70</v>
      </c>
      <c r="Z210" s="167" t="s">
        <v>70</v>
      </c>
      <c r="AA210" s="167" t="s">
        <v>70</v>
      </c>
      <c r="AB210" s="167" t="s">
        <v>70</v>
      </c>
      <c r="AC210" s="167" t="s">
        <v>70</v>
      </c>
      <c r="AD210" s="167" t="s">
        <v>70</v>
      </c>
      <c r="AE210" s="167" t="s">
        <v>70</v>
      </c>
      <c r="AF210" s="167" t="s">
        <v>70</v>
      </c>
      <c r="AG210" s="167" t="s">
        <v>70</v>
      </c>
      <c r="AH210" s="167" t="s">
        <v>70</v>
      </c>
      <c r="AI210" s="111">
        <v>45673</v>
      </c>
      <c r="AJ210" s="166" t="s">
        <v>69</v>
      </c>
      <c r="AK210" s="167" t="s">
        <v>70</v>
      </c>
      <c r="AL210" s="167" t="s">
        <v>70</v>
      </c>
      <c r="AM210" s="167"/>
      <c r="AN210" s="167" t="s">
        <v>70</v>
      </c>
      <c r="AO210" s="167" t="s">
        <v>70</v>
      </c>
      <c r="AP210" s="167" t="s">
        <v>70</v>
      </c>
      <c r="AQ210" s="167" t="s">
        <v>70</v>
      </c>
      <c r="AR210" s="166" t="s">
        <v>69</v>
      </c>
      <c r="AS210" s="167" t="s">
        <v>70</v>
      </c>
      <c r="AT210" s="167" t="s">
        <v>70</v>
      </c>
      <c r="AU210" s="167" t="s">
        <v>70</v>
      </c>
      <c r="AV210" s="167" t="s">
        <v>70</v>
      </c>
      <c r="AW210" s="167" t="s">
        <v>70</v>
      </c>
      <c r="AX210" s="167" t="s">
        <v>70</v>
      </c>
      <c r="AY210" s="167" t="s">
        <v>70</v>
      </c>
      <c r="AZ210" s="167" t="s">
        <v>70</v>
      </c>
      <c r="BA210" s="167" t="s">
        <v>70</v>
      </c>
      <c r="BB210" s="167" t="s">
        <v>70</v>
      </c>
      <c r="BC210" s="167" t="s">
        <v>70</v>
      </c>
      <c r="BD210" s="167" t="s">
        <v>70</v>
      </c>
      <c r="BE210" s="167" t="s">
        <v>70</v>
      </c>
      <c r="BF210" s="167" t="s">
        <v>70</v>
      </c>
      <c r="BG210" s="167" t="s">
        <v>70</v>
      </c>
      <c r="BH210" s="167" t="s">
        <v>70</v>
      </c>
      <c r="BI210" s="167" t="s">
        <v>70</v>
      </c>
      <c r="BJ210" s="167" t="s">
        <v>70</v>
      </c>
      <c r="BK210" s="167" t="s">
        <v>70</v>
      </c>
      <c r="BL210" s="167" t="s">
        <v>70</v>
      </c>
      <c r="BM210" s="167" t="s">
        <v>70</v>
      </c>
      <c r="BN210" s="167" t="s">
        <v>70</v>
      </c>
      <c r="BO210" s="167" t="s">
        <v>70</v>
      </c>
      <c r="BP210" s="167" t="s">
        <v>70</v>
      </c>
      <c r="BQ210" s="151" t="s">
        <v>224</v>
      </c>
      <c r="BR210" s="142"/>
      <c r="BS210" s="142"/>
      <c r="BT210" s="142"/>
      <c r="BU210" s="142"/>
      <c r="BV210" s="142"/>
      <c r="BW210" s="142"/>
      <c r="BX210" s="142"/>
      <c r="BY210" s="142"/>
      <c r="BZ210" s="142"/>
      <c r="CA210" s="142"/>
      <c r="CB210" s="142"/>
      <c r="CC210" s="142"/>
      <c r="CD210" s="142"/>
      <c r="CE210" s="142"/>
      <c r="CF210" s="142"/>
      <c r="CG210" s="142"/>
      <c r="CH210" s="142"/>
      <c r="CI210" s="142"/>
      <c r="CJ210" s="142"/>
      <c r="CK210" s="142"/>
      <c r="CL210" s="142"/>
      <c r="CM210" s="142"/>
      <c r="CN210" s="142"/>
      <c r="CO210" s="142"/>
      <c r="CP210" s="142"/>
      <c r="CQ210" s="142"/>
      <c r="CR210" s="142"/>
      <c r="CS210" s="142"/>
      <c r="CT210" s="142"/>
      <c r="CU210" s="142"/>
      <c r="CV210" s="142"/>
      <c r="CW210" s="142"/>
      <c r="CX210" s="142"/>
      <c r="CY210" s="142"/>
      <c r="CZ210" s="142"/>
      <c r="DA210" s="142"/>
      <c r="DB210" s="142"/>
      <c r="DC210" s="142"/>
      <c r="DD210" s="142"/>
      <c r="DE210" s="142"/>
      <c r="DF210" s="142"/>
      <c r="DG210" s="142"/>
      <c r="DH210" s="142"/>
      <c r="DI210" s="142"/>
      <c r="DJ210" s="142"/>
      <c r="DK210" s="142"/>
      <c r="DL210" s="142"/>
      <c r="DM210" s="142"/>
      <c r="DN210" s="142"/>
      <c r="DO210" s="142"/>
      <c r="DP210" s="142"/>
      <c r="DQ210" s="142"/>
      <c r="DR210" s="142"/>
      <c r="DS210" s="142"/>
      <c r="DT210" s="142"/>
      <c r="DU210" s="142"/>
      <c r="DV210" s="142"/>
      <c r="DW210" s="142"/>
      <c r="DX210" s="142"/>
      <c r="DY210" s="142"/>
      <c r="DZ210" s="142"/>
      <c r="EA210" s="142"/>
      <c r="EB210" s="142"/>
      <c r="EC210" s="142"/>
      <c r="ED210" s="142"/>
      <c r="EE210" s="142"/>
      <c r="EF210" s="142"/>
    </row>
    <row r="211" spans="1:136" s="151" customFormat="1" ht="19.5" customHeight="1" x14ac:dyDescent="0.2">
      <c r="A211" s="117">
        <v>208</v>
      </c>
      <c r="B211" s="223" t="s">
        <v>190</v>
      </c>
      <c r="C211" s="123">
        <v>140296</v>
      </c>
      <c r="D211" s="117" t="s">
        <v>212</v>
      </c>
      <c r="E211" s="123" t="s">
        <v>68</v>
      </c>
      <c r="F211" s="146" t="s">
        <v>256</v>
      </c>
      <c r="G211" s="124" t="s">
        <v>69</v>
      </c>
      <c r="H211" s="89">
        <v>42478</v>
      </c>
      <c r="I211" s="140">
        <v>46080</v>
      </c>
      <c r="J211" s="162">
        <f>IF(I211="", "", DATE(YEAR(I211)+3, MONTH(I211), DAY(I211)))</f>
        <v>47176</v>
      </c>
      <c r="K211" s="89">
        <v>42478</v>
      </c>
      <c r="L211" s="111">
        <v>46079</v>
      </c>
      <c r="M211" s="163">
        <f>IF(L211="", "", DATE(YEAR(L211)+3, MONTH(L211), DAY(L211)))</f>
        <v>47175</v>
      </c>
      <c r="N211" s="89">
        <v>46076</v>
      </c>
      <c r="O211" s="89">
        <v>46077</v>
      </c>
      <c r="P211" s="89">
        <v>46078</v>
      </c>
      <c r="Q211" s="167" t="s">
        <v>70</v>
      </c>
      <c r="R211" s="167" t="s">
        <v>70</v>
      </c>
      <c r="S211" s="167" t="s">
        <v>70</v>
      </c>
      <c r="T211" s="167" t="s">
        <v>70</v>
      </c>
      <c r="U211" s="167" t="s">
        <v>70</v>
      </c>
      <c r="V211" s="167" t="s">
        <v>70</v>
      </c>
      <c r="W211" s="167" t="s">
        <v>70</v>
      </c>
      <c r="X211" s="167" t="s">
        <v>70</v>
      </c>
      <c r="Y211" s="167" t="s">
        <v>70</v>
      </c>
      <c r="Z211" s="167" t="s">
        <v>70</v>
      </c>
      <c r="AA211" s="167" t="s">
        <v>70</v>
      </c>
      <c r="AB211" s="167" t="s">
        <v>70</v>
      </c>
      <c r="AC211" s="167" t="s">
        <v>70</v>
      </c>
      <c r="AD211" s="167" t="s">
        <v>70</v>
      </c>
      <c r="AE211" s="167" t="s">
        <v>70</v>
      </c>
      <c r="AF211" s="167" t="s">
        <v>70</v>
      </c>
      <c r="AG211" s="167" t="s">
        <v>70</v>
      </c>
      <c r="AH211" s="167" t="s">
        <v>70</v>
      </c>
      <c r="AI211" s="111">
        <v>45919</v>
      </c>
      <c r="AJ211" s="94">
        <v>45360</v>
      </c>
      <c r="AK211" s="167" t="s">
        <v>70</v>
      </c>
      <c r="AL211" s="167" t="s">
        <v>70</v>
      </c>
      <c r="AM211" s="167"/>
      <c r="AN211" s="167" t="s">
        <v>70</v>
      </c>
      <c r="AO211" s="167" t="s">
        <v>70</v>
      </c>
      <c r="AP211" s="167" t="s">
        <v>70</v>
      </c>
      <c r="AQ211" s="167" t="s">
        <v>70</v>
      </c>
      <c r="AR211" s="166" t="s">
        <v>69</v>
      </c>
      <c r="AS211" s="167" t="s">
        <v>70</v>
      </c>
      <c r="AT211" s="167" t="s">
        <v>70</v>
      </c>
      <c r="AU211" s="167" t="s">
        <v>70</v>
      </c>
      <c r="AV211" s="167" t="s">
        <v>70</v>
      </c>
      <c r="AW211" s="167" t="s">
        <v>70</v>
      </c>
      <c r="AX211" s="167" t="s">
        <v>70</v>
      </c>
      <c r="AY211" s="167" t="s">
        <v>70</v>
      </c>
      <c r="AZ211" s="167" t="s">
        <v>70</v>
      </c>
      <c r="BA211" s="167" t="s">
        <v>70</v>
      </c>
      <c r="BB211" s="167" t="s">
        <v>70</v>
      </c>
      <c r="BC211" s="167" t="s">
        <v>70</v>
      </c>
      <c r="BD211" s="167" t="s">
        <v>70</v>
      </c>
      <c r="BE211" s="167" t="s">
        <v>70</v>
      </c>
      <c r="BF211" s="167" t="s">
        <v>70</v>
      </c>
      <c r="BG211" s="167" t="s">
        <v>70</v>
      </c>
      <c r="BH211" s="167" t="s">
        <v>70</v>
      </c>
      <c r="BI211" s="167" t="s">
        <v>70</v>
      </c>
      <c r="BJ211" s="167" t="s">
        <v>70</v>
      </c>
      <c r="BK211" s="167" t="s">
        <v>70</v>
      </c>
      <c r="BL211" s="167" t="s">
        <v>70</v>
      </c>
      <c r="BM211" s="167" t="s">
        <v>70</v>
      </c>
      <c r="BN211" s="167" t="s">
        <v>70</v>
      </c>
      <c r="BO211" s="167" t="s">
        <v>70</v>
      </c>
      <c r="BP211" s="167" t="s">
        <v>70</v>
      </c>
      <c r="BQ211" s="151" t="s">
        <v>208</v>
      </c>
      <c r="BR211" s="142"/>
      <c r="BS211" s="142"/>
      <c r="BT211" s="142"/>
      <c r="BU211" s="142"/>
      <c r="BV211" s="142"/>
      <c r="BW211" s="142"/>
      <c r="BX211" s="142"/>
      <c r="BY211" s="142"/>
      <c r="BZ211" s="142"/>
      <c r="CA211" s="142"/>
      <c r="CB211" s="142"/>
      <c r="CC211" s="142"/>
      <c r="CD211" s="142"/>
      <c r="CE211" s="142"/>
      <c r="CF211" s="142"/>
      <c r="CG211" s="142"/>
      <c r="CH211" s="142"/>
      <c r="CI211" s="142"/>
      <c r="CJ211" s="142"/>
      <c r="CK211" s="142"/>
      <c r="CL211" s="142"/>
      <c r="CM211" s="142"/>
      <c r="CN211" s="142"/>
      <c r="CO211" s="142"/>
      <c r="CP211" s="142"/>
      <c r="CQ211" s="142"/>
      <c r="CR211" s="142"/>
      <c r="CS211" s="142"/>
      <c r="CT211" s="142"/>
      <c r="CU211" s="142"/>
      <c r="CV211" s="142"/>
      <c r="CW211" s="142"/>
      <c r="CX211" s="142"/>
      <c r="CY211" s="142"/>
      <c r="CZ211" s="142"/>
      <c r="DA211" s="142"/>
      <c r="DB211" s="142"/>
      <c r="DC211" s="142"/>
      <c r="DD211" s="142"/>
      <c r="DE211" s="142"/>
      <c r="DF211" s="142"/>
      <c r="DG211" s="142"/>
      <c r="DH211" s="142"/>
      <c r="DI211" s="142"/>
      <c r="DJ211" s="142"/>
      <c r="DK211" s="142"/>
      <c r="DL211" s="142"/>
      <c r="DM211" s="142"/>
      <c r="DN211" s="142"/>
      <c r="DO211" s="142"/>
      <c r="DP211" s="142"/>
      <c r="DQ211" s="142"/>
      <c r="DR211" s="142"/>
      <c r="DS211" s="142"/>
      <c r="DT211" s="142"/>
      <c r="DU211" s="142"/>
      <c r="DV211" s="142"/>
      <c r="DW211" s="142"/>
      <c r="DX211" s="142"/>
      <c r="DY211" s="142"/>
      <c r="DZ211" s="142"/>
      <c r="EA211" s="142"/>
      <c r="EB211" s="142"/>
      <c r="EC211" s="142"/>
      <c r="ED211" s="142"/>
      <c r="EE211" s="142"/>
      <c r="EF211" s="142"/>
    </row>
    <row r="212" spans="1:136" s="151" customFormat="1" ht="19.5" customHeight="1" x14ac:dyDescent="0.2">
      <c r="A212" s="117">
        <v>209</v>
      </c>
      <c r="B212" s="123" t="s">
        <v>222</v>
      </c>
      <c r="C212" s="123">
        <v>84122947</v>
      </c>
      <c r="D212" s="117" t="s">
        <v>212</v>
      </c>
      <c r="E212" s="123" t="s">
        <v>68</v>
      </c>
      <c r="F212" s="146" t="s">
        <v>256</v>
      </c>
      <c r="G212" s="124" t="s">
        <v>69</v>
      </c>
      <c r="H212" s="89">
        <v>42478</v>
      </c>
      <c r="I212" s="140">
        <v>46080</v>
      </c>
      <c r="J212" s="162">
        <f>IF(I212="", "", DATE(YEAR(I212)+3, MONTH(I212), DAY(I212)))</f>
        <v>47176</v>
      </c>
      <c r="K212" s="89">
        <v>42478</v>
      </c>
      <c r="L212" s="111">
        <v>46079</v>
      </c>
      <c r="M212" s="163">
        <f>IF(L212="", "", DATE(YEAR(L212)+3, MONTH(L212), DAY(L212)))</f>
        <v>47175</v>
      </c>
      <c r="N212" s="89">
        <v>46076</v>
      </c>
      <c r="O212" s="89">
        <v>46077</v>
      </c>
      <c r="P212" s="89">
        <v>46078</v>
      </c>
      <c r="Q212" s="167" t="s">
        <v>70</v>
      </c>
      <c r="R212" s="167" t="s">
        <v>70</v>
      </c>
      <c r="S212" s="167" t="s">
        <v>70</v>
      </c>
      <c r="T212" s="167" t="s">
        <v>70</v>
      </c>
      <c r="U212" s="167" t="s">
        <v>70</v>
      </c>
      <c r="V212" s="167" t="s">
        <v>70</v>
      </c>
      <c r="W212" s="167" t="s">
        <v>70</v>
      </c>
      <c r="X212" s="167" t="s">
        <v>70</v>
      </c>
      <c r="Y212" s="167" t="s">
        <v>70</v>
      </c>
      <c r="Z212" s="167" t="s">
        <v>70</v>
      </c>
      <c r="AA212" s="167" t="s">
        <v>70</v>
      </c>
      <c r="AB212" s="167" t="s">
        <v>70</v>
      </c>
      <c r="AC212" s="167" t="s">
        <v>70</v>
      </c>
      <c r="AD212" s="167" t="s">
        <v>70</v>
      </c>
      <c r="AE212" s="167" t="s">
        <v>70</v>
      </c>
      <c r="AF212" s="167" t="s">
        <v>70</v>
      </c>
      <c r="AG212" s="167" t="s">
        <v>70</v>
      </c>
      <c r="AH212" s="167" t="s">
        <v>70</v>
      </c>
      <c r="AI212" s="111">
        <v>45939</v>
      </c>
      <c r="AJ212" s="94">
        <v>45351</v>
      </c>
      <c r="AK212" s="167" t="s">
        <v>70</v>
      </c>
      <c r="AL212" s="167" t="s">
        <v>70</v>
      </c>
      <c r="AM212" s="167"/>
      <c r="AN212" s="167" t="s">
        <v>70</v>
      </c>
      <c r="AO212" s="167" t="s">
        <v>70</v>
      </c>
      <c r="AP212" s="167" t="s">
        <v>70</v>
      </c>
      <c r="AQ212" s="167" t="s">
        <v>70</v>
      </c>
      <c r="AR212" s="166" t="s">
        <v>69</v>
      </c>
      <c r="AS212" s="167" t="s">
        <v>70</v>
      </c>
      <c r="AT212" s="167" t="s">
        <v>70</v>
      </c>
      <c r="AU212" s="167" t="s">
        <v>70</v>
      </c>
      <c r="AV212" s="167" t="s">
        <v>70</v>
      </c>
      <c r="AW212" s="167" t="s">
        <v>70</v>
      </c>
      <c r="AX212" s="167" t="s">
        <v>70</v>
      </c>
      <c r="AY212" s="167" t="s">
        <v>70</v>
      </c>
      <c r="AZ212" s="167" t="s">
        <v>70</v>
      </c>
      <c r="BA212" s="167" t="s">
        <v>70</v>
      </c>
      <c r="BB212" s="167" t="s">
        <v>70</v>
      </c>
      <c r="BC212" s="167" t="s">
        <v>70</v>
      </c>
      <c r="BD212" s="167" t="s">
        <v>70</v>
      </c>
      <c r="BE212" s="167" t="s">
        <v>70</v>
      </c>
      <c r="BF212" s="167" t="s">
        <v>70</v>
      </c>
      <c r="BG212" s="167" t="s">
        <v>70</v>
      </c>
      <c r="BH212" s="167" t="s">
        <v>70</v>
      </c>
      <c r="BI212" s="167" t="s">
        <v>70</v>
      </c>
      <c r="BJ212" s="167" t="s">
        <v>70</v>
      </c>
      <c r="BK212" s="167" t="s">
        <v>70</v>
      </c>
      <c r="BL212" s="167" t="s">
        <v>70</v>
      </c>
      <c r="BM212" s="167" t="s">
        <v>70</v>
      </c>
      <c r="BN212" s="167" t="s">
        <v>70</v>
      </c>
      <c r="BO212" s="167" t="s">
        <v>70</v>
      </c>
      <c r="BP212" s="167" t="s">
        <v>70</v>
      </c>
      <c r="BQ212" s="151" t="s">
        <v>208</v>
      </c>
      <c r="BR212" s="142"/>
      <c r="BS212" s="142"/>
      <c r="BT212" s="142"/>
      <c r="BU212" s="142"/>
      <c r="BV212" s="142"/>
      <c r="BW212" s="142"/>
      <c r="BX212" s="142"/>
      <c r="BY212" s="142"/>
      <c r="BZ212" s="142"/>
      <c r="CA212" s="142"/>
      <c r="CB212" s="142"/>
      <c r="CC212" s="142"/>
      <c r="CD212" s="142"/>
      <c r="CE212" s="142"/>
      <c r="CF212" s="142"/>
      <c r="CG212" s="142"/>
      <c r="CH212" s="142"/>
      <c r="CI212" s="142"/>
      <c r="CJ212" s="142"/>
      <c r="CK212" s="142"/>
      <c r="CL212" s="142"/>
      <c r="CM212" s="142"/>
      <c r="CN212" s="142"/>
      <c r="CO212" s="142"/>
      <c r="CP212" s="142"/>
      <c r="CQ212" s="142"/>
      <c r="CR212" s="142"/>
      <c r="CS212" s="142"/>
      <c r="CT212" s="142"/>
      <c r="CU212" s="142"/>
      <c r="CV212" s="142"/>
      <c r="CW212" s="142"/>
      <c r="CX212" s="142"/>
      <c r="CY212" s="142"/>
      <c r="CZ212" s="142"/>
      <c r="DA212" s="142"/>
      <c r="DB212" s="142"/>
      <c r="DC212" s="142"/>
      <c r="DD212" s="142"/>
      <c r="DE212" s="142"/>
      <c r="DF212" s="142"/>
      <c r="DG212" s="142"/>
      <c r="DH212" s="142"/>
      <c r="DI212" s="142"/>
      <c r="DJ212" s="142"/>
      <c r="DK212" s="142"/>
      <c r="DL212" s="142"/>
      <c r="DM212" s="142"/>
      <c r="DN212" s="142"/>
      <c r="DO212" s="142"/>
      <c r="DP212" s="142"/>
      <c r="DQ212" s="142"/>
      <c r="DR212" s="142"/>
      <c r="DS212" s="142"/>
      <c r="DT212" s="142"/>
      <c r="DU212" s="142"/>
      <c r="DV212" s="142"/>
      <c r="DW212" s="142"/>
      <c r="DX212" s="142"/>
      <c r="DY212" s="142"/>
      <c r="DZ212" s="142"/>
      <c r="EA212" s="142"/>
      <c r="EB212" s="142"/>
      <c r="EC212" s="142"/>
      <c r="ED212" s="142"/>
      <c r="EE212" s="142"/>
      <c r="EF212" s="142"/>
    </row>
    <row r="213" spans="1:136" s="151" customFormat="1" ht="19.5" customHeight="1" x14ac:dyDescent="0.2">
      <c r="A213" s="117">
        <v>210</v>
      </c>
      <c r="B213" s="117" t="s">
        <v>77</v>
      </c>
      <c r="C213" s="117">
        <v>83074622</v>
      </c>
      <c r="D213" s="117" t="s">
        <v>212</v>
      </c>
      <c r="E213" s="123" t="s">
        <v>68</v>
      </c>
      <c r="F213" s="146" t="s">
        <v>256</v>
      </c>
      <c r="G213" s="124">
        <v>42724</v>
      </c>
      <c r="H213" s="89"/>
      <c r="I213" s="92"/>
      <c r="J213" s="162"/>
      <c r="K213" s="89"/>
      <c r="L213" s="140"/>
      <c r="M213" s="163"/>
      <c r="N213" s="89"/>
      <c r="O213" s="89"/>
      <c r="P213" s="89"/>
      <c r="Q213" s="167" t="s">
        <v>70</v>
      </c>
      <c r="R213" s="167" t="s">
        <v>70</v>
      </c>
      <c r="S213" s="167" t="s">
        <v>70</v>
      </c>
      <c r="T213" s="167" t="s">
        <v>70</v>
      </c>
      <c r="U213" s="167" t="s">
        <v>70</v>
      </c>
      <c r="V213" s="167" t="s">
        <v>70</v>
      </c>
      <c r="W213" s="167" t="s">
        <v>70</v>
      </c>
      <c r="X213" s="167" t="s">
        <v>70</v>
      </c>
      <c r="Y213" s="167" t="s">
        <v>70</v>
      </c>
      <c r="Z213" s="167" t="s">
        <v>70</v>
      </c>
      <c r="AA213" s="167" t="s">
        <v>70</v>
      </c>
      <c r="AB213" s="167" t="s">
        <v>70</v>
      </c>
      <c r="AC213" s="167" t="s">
        <v>70</v>
      </c>
      <c r="AD213" s="167" t="s">
        <v>70</v>
      </c>
      <c r="AE213" s="167" t="s">
        <v>70</v>
      </c>
      <c r="AF213" s="167" t="s">
        <v>70</v>
      </c>
      <c r="AG213" s="167" t="s">
        <v>70</v>
      </c>
      <c r="AH213" s="167" t="s">
        <v>70</v>
      </c>
      <c r="AI213" s="111">
        <v>45946</v>
      </c>
      <c r="AJ213" s="94">
        <v>45353</v>
      </c>
      <c r="AK213" s="167" t="s">
        <v>70</v>
      </c>
      <c r="AL213" s="167" t="s">
        <v>70</v>
      </c>
      <c r="AM213" s="167"/>
      <c r="AN213" s="167" t="s">
        <v>70</v>
      </c>
      <c r="AO213" s="167" t="s">
        <v>70</v>
      </c>
      <c r="AP213" s="167" t="s">
        <v>70</v>
      </c>
      <c r="AQ213" s="167" t="s">
        <v>70</v>
      </c>
      <c r="AR213" s="168">
        <v>46055</v>
      </c>
      <c r="AS213" s="167" t="s">
        <v>70</v>
      </c>
      <c r="AT213" s="167" t="s">
        <v>70</v>
      </c>
      <c r="AU213" s="167" t="s">
        <v>70</v>
      </c>
      <c r="AV213" s="167" t="s">
        <v>70</v>
      </c>
      <c r="AW213" s="167" t="s">
        <v>70</v>
      </c>
      <c r="AX213" s="167" t="s">
        <v>70</v>
      </c>
      <c r="AY213" s="167" t="s">
        <v>70</v>
      </c>
      <c r="AZ213" s="167" t="s">
        <v>70</v>
      </c>
      <c r="BA213" s="167" t="s">
        <v>70</v>
      </c>
      <c r="BB213" s="167" t="s">
        <v>70</v>
      </c>
      <c r="BC213" s="167" t="s">
        <v>70</v>
      </c>
      <c r="BD213" s="167" t="s">
        <v>70</v>
      </c>
      <c r="BE213" s="167" t="s">
        <v>70</v>
      </c>
      <c r="BF213" s="167" t="s">
        <v>70</v>
      </c>
      <c r="BG213" s="167" t="s">
        <v>70</v>
      </c>
      <c r="BH213" s="167" t="s">
        <v>70</v>
      </c>
      <c r="BI213" s="167" t="s">
        <v>70</v>
      </c>
      <c r="BJ213" s="167" t="s">
        <v>70</v>
      </c>
      <c r="BK213" s="167" t="s">
        <v>70</v>
      </c>
      <c r="BL213" s="167" t="s">
        <v>70</v>
      </c>
      <c r="BM213" s="167" t="s">
        <v>70</v>
      </c>
      <c r="BN213" s="167" t="s">
        <v>70</v>
      </c>
      <c r="BO213" s="167" t="s">
        <v>70</v>
      </c>
      <c r="BP213" s="167" t="s">
        <v>70</v>
      </c>
      <c r="BQ213" s="151" t="s">
        <v>208</v>
      </c>
      <c r="BR213" s="142"/>
      <c r="BS213" s="142"/>
      <c r="BT213" s="142"/>
      <c r="BU213" s="142"/>
      <c r="BV213" s="142"/>
      <c r="BW213" s="142"/>
      <c r="BX213" s="142"/>
      <c r="BY213" s="142"/>
      <c r="BZ213" s="142"/>
      <c r="CA213" s="142"/>
      <c r="CB213" s="142"/>
      <c r="CC213" s="142"/>
      <c r="CD213" s="142"/>
      <c r="CE213" s="142"/>
      <c r="CF213" s="142"/>
      <c r="CG213" s="142"/>
      <c r="CH213" s="142"/>
      <c r="CI213" s="142"/>
      <c r="CJ213" s="142"/>
      <c r="CK213" s="142"/>
      <c r="CL213" s="142"/>
      <c r="CM213" s="142"/>
      <c r="CN213" s="142"/>
      <c r="CO213" s="142"/>
      <c r="CP213" s="142"/>
      <c r="CQ213" s="142"/>
      <c r="CR213" s="142"/>
      <c r="CS213" s="142"/>
      <c r="CT213" s="142"/>
      <c r="CU213" s="142"/>
      <c r="CV213" s="142"/>
      <c r="CW213" s="142"/>
      <c r="CX213" s="142"/>
      <c r="CY213" s="142"/>
      <c r="CZ213" s="142"/>
      <c r="DA213" s="142"/>
      <c r="DB213" s="142"/>
      <c r="DC213" s="142"/>
      <c r="DD213" s="142"/>
      <c r="DE213" s="142"/>
      <c r="DF213" s="142"/>
      <c r="DG213" s="142"/>
      <c r="DH213" s="142"/>
      <c r="DI213" s="142"/>
      <c r="DJ213" s="142"/>
      <c r="DK213" s="142"/>
      <c r="DL213" s="142"/>
      <c r="DM213" s="142"/>
      <c r="DN213" s="142"/>
      <c r="DO213" s="142"/>
      <c r="DP213" s="142"/>
      <c r="DQ213" s="142"/>
      <c r="DR213" s="142"/>
      <c r="DS213" s="142"/>
      <c r="DT213" s="142"/>
      <c r="DU213" s="142"/>
      <c r="DV213" s="142"/>
      <c r="DW213" s="142"/>
      <c r="DX213" s="142"/>
      <c r="DY213" s="142"/>
      <c r="DZ213" s="142"/>
      <c r="EA213" s="142"/>
      <c r="EB213" s="142"/>
      <c r="EC213" s="142"/>
      <c r="ED213" s="142"/>
      <c r="EE213" s="142"/>
      <c r="EF213" s="142"/>
    </row>
    <row r="214" spans="1:136" s="151" customFormat="1" ht="19.5" customHeight="1" x14ac:dyDescent="0.2">
      <c r="A214" s="117">
        <v>211</v>
      </c>
      <c r="B214" s="123" t="s">
        <v>223</v>
      </c>
      <c r="C214" s="123">
        <v>83117959</v>
      </c>
      <c r="D214" s="117" t="s">
        <v>212</v>
      </c>
      <c r="E214" s="123" t="s">
        <v>68</v>
      </c>
      <c r="F214" s="146" t="s">
        <v>256</v>
      </c>
      <c r="G214" s="124" t="s">
        <v>69</v>
      </c>
      <c r="H214" s="89"/>
      <c r="I214" s="140"/>
      <c r="J214" s="162"/>
      <c r="K214" s="89"/>
      <c r="L214" s="140"/>
      <c r="M214" s="163"/>
      <c r="N214" s="89"/>
      <c r="O214" s="89"/>
      <c r="P214" s="89"/>
      <c r="Q214" s="167" t="s">
        <v>70</v>
      </c>
      <c r="R214" s="167" t="s">
        <v>70</v>
      </c>
      <c r="S214" s="167" t="s">
        <v>70</v>
      </c>
      <c r="T214" s="167" t="s">
        <v>70</v>
      </c>
      <c r="U214" s="167" t="s">
        <v>70</v>
      </c>
      <c r="V214" s="167" t="s">
        <v>70</v>
      </c>
      <c r="W214" s="167" t="s">
        <v>70</v>
      </c>
      <c r="X214" s="167" t="s">
        <v>70</v>
      </c>
      <c r="Y214" s="167" t="s">
        <v>70</v>
      </c>
      <c r="Z214" s="167" t="s">
        <v>70</v>
      </c>
      <c r="AA214" s="167" t="s">
        <v>70</v>
      </c>
      <c r="AB214" s="167" t="s">
        <v>70</v>
      </c>
      <c r="AC214" s="167" t="s">
        <v>70</v>
      </c>
      <c r="AD214" s="167" t="s">
        <v>70</v>
      </c>
      <c r="AE214" s="167" t="s">
        <v>70</v>
      </c>
      <c r="AF214" s="167" t="s">
        <v>70</v>
      </c>
      <c r="AG214" s="167" t="s">
        <v>70</v>
      </c>
      <c r="AH214" s="167" t="s">
        <v>70</v>
      </c>
      <c r="AI214" s="111">
        <v>45939</v>
      </c>
      <c r="AJ214" s="166" t="s">
        <v>69</v>
      </c>
      <c r="AK214" s="167" t="s">
        <v>70</v>
      </c>
      <c r="AL214" s="167" t="s">
        <v>70</v>
      </c>
      <c r="AM214" s="167"/>
      <c r="AN214" s="167" t="s">
        <v>70</v>
      </c>
      <c r="AO214" s="167" t="s">
        <v>70</v>
      </c>
      <c r="AP214" s="167" t="s">
        <v>70</v>
      </c>
      <c r="AQ214" s="167" t="s">
        <v>70</v>
      </c>
      <c r="AR214" s="166" t="s">
        <v>69</v>
      </c>
      <c r="AS214" s="167" t="s">
        <v>70</v>
      </c>
      <c r="AT214" s="167" t="s">
        <v>70</v>
      </c>
      <c r="AU214" s="167" t="s">
        <v>70</v>
      </c>
      <c r="AV214" s="167" t="s">
        <v>70</v>
      </c>
      <c r="AW214" s="167" t="s">
        <v>70</v>
      </c>
      <c r="AX214" s="167" t="s">
        <v>70</v>
      </c>
      <c r="AY214" s="167" t="s">
        <v>70</v>
      </c>
      <c r="AZ214" s="167" t="s">
        <v>70</v>
      </c>
      <c r="BA214" s="167" t="s">
        <v>70</v>
      </c>
      <c r="BB214" s="167" t="s">
        <v>70</v>
      </c>
      <c r="BC214" s="167" t="s">
        <v>70</v>
      </c>
      <c r="BD214" s="167" t="s">
        <v>70</v>
      </c>
      <c r="BE214" s="167" t="s">
        <v>70</v>
      </c>
      <c r="BF214" s="167" t="s">
        <v>70</v>
      </c>
      <c r="BG214" s="167" t="s">
        <v>70</v>
      </c>
      <c r="BH214" s="167" t="s">
        <v>70</v>
      </c>
      <c r="BI214" s="167" t="s">
        <v>70</v>
      </c>
      <c r="BJ214" s="167" t="s">
        <v>70</v>
      </c>
      <c r="BK214" s="167" t="s">
        <v>70</v>
      </c>
      <c r="BL214" s="167" t="s">
        <v>70</v>
      </c>
      <c r="BM214" s="167" t="s">
        <v>70</v>
      </c>
      <c r="BN214" s="167" t="s">
        <v>70</v>
      </c>
      <c r="BO214" s="167" t="s">
        <v>70</v>
      </c>
      <c r="BP214" s="167" t="s">
        <v>70</v>
      </c>
      <c r="BQ214" s="151" t="s">
        <v>224</v>
      </c>
      <c r="BR214" s="142"/>
      <c r="BS214" s="142"/>
      <c r="BT214" s="142"/>
      <c r="BU214" s="142"/>
      <c r="BV214" s="142"/>
      <c r="BW214" s="142"/>
      <c r="BX214" s="142"/>
      <c r="BY214" s="142"/>
      <c r="BZ214" s="142"/>
      <c r="CA214" s="142"/>
      <c r="CB214" s="142"/>
      <c r="CC214" s="142"/>
      <c r="CD214" s="142"/>
      <c r="CE214" s="142"/>
      <c r="CF214" s="142"/>
      <c r="CG214" s="142"/>
      <c r="CH214" s="142"/>
      <c r="CI214" s="142"/>
      <c r="CJ214" s="142"/>
      <c r="CK214" s="142"/>
      <c r="CL214" s="142"/>
      <c r="CM214" s="142"/>
      <c r="CN214" s="142"/>
      <c r="CO214" s="142"/>
      <c r="CP214" s="142"/>
      <c r="CQ214" s="142"/>
      <c r="CR214" s="142"/>
      <c r="CS214" s="142"/>
      <c r="CT214" s="142"/>
      <c r="CU214" s="142"/>
      <c r="CV214" s="142"/>
      <c r="CW214" s="142"/>
      <c r="CX214" s="142"/>
      <c r="CY214" s="142"/>
      <c r="CZ214" s="142"/>
      <c r="DA214" s="142"/>
      <c r="DB214" s="142"/>
      <c r="DC214" s="142"/>
      <c r="DD214" s="142"/>
      <c r="DE214" s="142"/>
      <c r="DF214" s="142"/>
      <c r="DG214" s="142"/>
      <c r="DH214" s="142"/>
      <c r="DI214" s="142"/>
      <c r="DJ214" s="142"/>
      <c r="DK214" s="142"/>
      <c r="DL214" s="142"/>
      <c r="DM214" s="142"/>
      <c r="DN214" s="142"/>
      <c r="DO214" s="142"/>
      <c r="DP214" s="142"/>
      <c r="DQ214" s="142"/>
      <c r="DR214" s="142"/>
      <c r="DS214" s="142"/>
      <c r="DT214" s="142"/>
      <c r="DU214" s="142"/>
      <c r="DV214" s="142"/>
      <c r="DW214" s="142"/>
      <c r="DX214" s="142"/>
      <c r="DY214" s="142"/>
      <c r="DZ214" s="142"/>
      <c r="EA214" s="142"/>
      <c r="EB214" s="142"/>
      <c r="EC214" s="142"/>
      <c r="ED214" s="142"/>
      <c r="EE214" s="142"/>
      <c r="EF214" s="142"/>
    </row>
    <row r="215" spans="1:136" s="151" customFormat="1" ht="19.5" customHeight="1" x14ac:dyDescent="0.2">
      <c r="A215" s="117">
        <v>212</v>
      </c>
      <c r="B215" s="177" t="s">
        <v>230</v>
      </c>
      <c r="C215" s="177">
        <v>83040124</v>
      </c>
      <c r="D215" s="161" t="s">
        <v>836</v>
      </c>
      <c r="E215" s="123" t="s">
        <v>68</v>
      </c>
      <c r="F215" s="146" t="s">
        <v>256</v>
      </c>
      <c r="G215" s="163">
        <v>38118</v>
      </c>
      <c r="H215" s="89"/>
      <c r="I215" s="140"/>
      <c r="J215" s="162"/>
      <c r="K215" s="89">
        <v>45989</v>
      </c>
      <c r="L215" s="89">
        <v>45989</v>
      </c>
      <c r="M215" s="163">
        <f>IF(L215="", "", DATE(YEAR(L215)+3, MONTH(L215), DAY(L215)))</f>
        <v>47085</v>
      </c>
      <c r="N215" s="89"/>
      <c r="O215" s="89"/>
      <c r="P215" s="175">
        <v>46006</v>
      </c>
      <c r="Q215" s="167" t="s">
        <v>70</v>
      </c>
      <c r="R215" s="167" t="s">
        <v>70</v>
      </c>
      <c r="S215" s="167" t="s">
        <v>70</v>
      </c>
      <c r="T215" s="167" t="s">
        <v>70</v>
      </c>
      <c r="U215" s="167" t="s">
        <v>70</v>
      </c>
      <c r="V215" s="167" t="s">
        <v>70</v>
      </c>
      <c r="W215" s="167" t="s">
        <v>70</v>
      </c>
      <c r="X215" s="167" t="s">
        <v>70</v>
      </c>
      <c r="Y215" s="167" t="s">
        <v>70</v>
      </c>
      <c r="Z215" s="167" t="s">
        <v>70</v>
      </c>
      <c r="AA215" s="167" t="s">
        <v>70</v>
      </c>
      <c r="AB215" s="167" t="s">
        <v>70</v>
      </c>
      <c r="AC215" s="167" t="s">
        <v>70</v>
      </c>
      <c r="AD215" s="167" t="s">
        <v>70</v>
      </c>
      <c r="AE215" s="167" t="s">
        <v>70</v>
      </c>
      <c r="AF215" s="167" t="s">
        <v>70</v>
      </c>
      <c r="AG215" s="167" t="s">
        <v>70</v>
      </c>
      <c r="AH215" s="167" t="s">
        <v>70</v>
      </c>
      <c r="AI215" s="111">
        <v>45785</v>
      </c>
      <c r="AJ215" s="94">
        <v>45360</v>
      </c>
      <c r="AK215" s="167" t="s">
        <v>70</v>
      </c>
      <c r="AL215" s="167" t="s">
        <v>70</v>
      </c>
      <c r="AM215" s="167"/>
      <c r="AN215" s="167" t="s">
        <v>70</v>
      </c>
      <c r="AO215" s="167" t="s">
        <v>70</v>
      </c>
      <c r="AP215" s="167" t="s">
        <v>70</v>
      </c>
      <c r="AQ215" s="167" t="s">
        <v>70</v>
      </c>
      <c r="AR215" s="166" t="s">
        <v>69</v>
      </c>
      <c r="AS215" s="167" t="s">
        <v>70</v>
      </c>
      <c r="AT215" s="167" t="s">
        <v>70</v>
      </c>
      <c r="AU215" s="167" t="s">
        <v>70</v>
      </c>
      <c r="AV215" s="167" t="s">
        <v>70</v>
      </c>
      <c r="AW215" s="167" t="s">
        <v>70</v>
      </c>
      <c r="AX215" s="167" t="s">
        <v>70</v>
      </c>
      <c r="AY215" s="167" t="s">
        <v>70</v>
      </c>
      <c r="AZ215" s="167" t="s">
        <v>70</v>
      </c>
      <c r="BA215" s="167" t="s">
        <v>70</v>
      </c>
      <c r="BB215" s="167" t="s">
        <v>70</v>
      </c>
      <c r="BC215" s="167" t="s">
        <v>70</v>
      </c>
      <c r="BD215" s="167" t="s">
        <v>70</v>
      </c>
      <c r="BE215" s="167" t="s">
        <v>70</v>
      </c>
      <c r="BF215" s="167" t="s">
        <v>70</v>
      </c>
      <c r="BG215" s="167" t="s">
        <v>70</v>
      </c>
      <c r="BH215" s="167" t="s">
        <v>70</v>
      </c>
      <c r="BI215" s="167" t="s">
        <v>70</v>
      </c>
      <c r="BJ215" s="167" t="s">
        <v>70</v>
      </c>
      <c r="BK215" s="167" t="s">
        <v>70</v>
      </c>
      <c r="BL215" s="167" t="s">
        <v>70</v>
      </c>
      <c r="BM215" s="167" t="s">
        <v>70</v>
      </c>
      <c r="BN215" s="167" t="s">
        <v>70</v>
      </c>
      <c r="BO215" s="167" t="s">
        <v>70</v>
      </c>
      <c r="BP215" s="167" t="s">
        <v>70</v>
      </c>
      <c r="BQ215" s="151" t="s">
        <v>208</v>
      </c>
      <c r="BR215" s="142"/>
      <c r="BS215" s="142"/>
      <c r="BT215" s="142"/>
      <c r="BU215" s="142"/>
      <c r="BV215" s="142"/>
      <c r="BW215" s="142"/>
      <c r="BX215" s="142"/>
      <c r="BY215" s="142"/>
      <c r="BZ215" s="142"/>
      <c r="CA215" s="142"/>
      <c r="CB215" s="142"/>
      <c r="CC215" s="142"/>
      <c r="CD215" s="142"/>
      <c r="CE215" s="142"/>
      <c r="CF215" s="142"/>
      <c r="CG215" s="142"/>
      <c r="CH215" s="142"/>
      <c r="CI215" s="142"/>
      <c r="CJ215" s="142"/>
      <c r="CK215" s="142"/>
      <c r="CL215" s="142"/>
      <c r="CM215" s="142"/>
      <c r="CN215" s="142"/>
      <c r="CO215" s="142"/>
      <c r="CP215" s="142"/>
      <c r="CQ215" s="142"/>
      <c r="CR215" s="142"/>
      <c r="CS215" s="142"/>
      <c r="CT215" s="142"/>
      <c r="CU215" s="142"/>
      <c r="CV215" s="142"/>
      <c r="CW215" s="142"/>
      <c r="CX215" s="142"/>
      <c r="CY215" s="142"/>
      <c r="CZ215" s="142"/>
      <c r="DA215" s="142"/>
      <c r="DB215" s="142"/>
      <c r="DC215" s="142"/>
      <c r="DD215" s="142"/>
      <c r="DE215" s="142"/>
      <c r="DF215" s="142"/>
      <c r="DG215" s="142"/>
      <c r="DH215" s="142"/>
      <c r="DI215" s="142"/>
      <c r="DJ215" s="142"/>
      <c r="DK215" s="142"/>
      <c r="DL215" s="142"/>
      <c r="DM215" s="142"/>
      <c r="DN215" s="142"/>
      <c r="DO215" s="142"/>
      <c r="DP215" s="142"/>
      <c r="DQ215" s="142"/>
      <c r="DR215" s="142"/>
      <c r="DS215" s="142"/>
      <c r="DT215" s="142"/>
      <c r="DU215" s="142"/>
      <c r="DV215" s="142"/>
      <c r="DW215" s="142"/>
      <c r="DX215" s="142"/>
      <c r="DY215" s="142"/>
      <c r="DZ215" s="142"/>
      <c r="EA215" s="142"/>
      <c r="EB215" s="142"/>
      <c r="EC215" s="142"/>
      <c r="ED215" s="142"/>
      <c r="EE215" s="142"/>
      <c r="EF215" s="142"/>
    </row>
    <row r="216" spans="1:136" s="151" customFormat="1" ht="19.5" customHeight="1" x14ac:dyDescent="0.2">
      <c r="A216" s="117">
        <v>213</v>
      </c>
      <c r="B216" s="161" t="s">
        <v>252</v>
      </c>
      <c r="C216" s="161">
        <v>83087494</v>
      </c>
      <c r="D216" s="171" t="s">
        <v>253</v>
      </c>
      <c r="E216" s="123" t="s">
        <v>68</v>
      </c>
      <c r="F216" s="146" t="s">
        <v>256</v>
      </c>
      <c r="G216" s="111">
        <v>44882</v>
      </c>
      <c r="H216" s="111"/>
      <c r="I216" s="111"/>
      <c r="J216" s="162"/>
      <c r="K216" s="111"/>
      <c r="L216" s="111"/>
      <c r="M216" s="163"/>
      <c r="N216" s="111"/>
      <c r="O216" s="111"/>
      <c r="P216" s="112" t="s">
        <v>69</v>
      </c>
      <c r="Q216" s="167" t="s">
        <v>70</v>
      </c>
      <c r="R216" s="167" t="s">
        <v>70</v>
      </c>
      <c r="S216" s="167" t="s">
        <v>70</v>
      </c>
      <c r="T216" s="167" t="s">
        <v>70</v>
      </c>
      <c r="U216" s="167" t="s">
        <v>70</v>
      </c>
      <c r="V216" s="167" t="s">
        <v>70</v>
      </c>
      <c r="W216" s="167" t="s">
        <v>70</v>
      </c>
      <c r="X216" s="167" t="s">
        <v>70</v>
      </c>
      <c r="Y216" s="167" t="s">
        <v>70</v>
      </c>
      <c r="Z216" s="167" t="s">
        <v>70</v>
      </c>
      <c r="AA216" s="167" t="s">
        <v>70</v>
      </c>
      <c r="AB216" s="167" t="s">
        <v>70</v>
      </c>
      <c r="AC216" s="167" t="s">
        <v>70</v>
      </c>
      <c r="AD216" s="167" t="s">
        <v>70</v>
      </c>
      <c r="AE216" s="167" t="s">
        <v>70</v>
      </c>
      <c r="AF216" s="167" t="s">
        <v>70</v>
      </c>
      <c r="AG216" s="167" t="s">
        <v>70</v>
      </c>
      <c r="AH216" s="167" t="s">
        <v>70</v>
      </c>
      <c r="AI216" s="111">
        <v>45897</v>
      </c>
      <c r="AJ216" s="166" t="s">
        <v>69</v>
      </c>
      <c r="AK216" s="167" t="s">
        <v>70</v>
      </c>
      <c r="AL216" s="167" t="s">
        <v>70</v>
      </c>
      <c r="AM216" s="167"/>
      <c r="AN216" s="167" t="s">
        <v>70</v>
      </c>
      <c r="AO216" s="167" t="s">
        <v>70</v>
      </c>
      <c r="AP216" s="167" t="s">
        <v>70</v>
      </c>
      <c r="AQ216" s="167" t="s">
        <v>70</v>
      </c>
      <c r="AR216" s="168">
        <v>46244</v>
      </c>
      <c r="AS216" s="167" t="s">
        <v>70</v>
      </c>
      <c r="AT216" s="167" t="s">
        <v>70</v>
      </c>
      <c r="AU216" s="167" t="s">
        <v>70</v>
      </c>
      <c r="AV216" s="167" t="s">
        <v>70</v>
      </c>
      <c r="AW216" s="167" t="s">
        <v>70</v>
      </c>
      <c r="AX216" s="167" t="s">
        <v>70</v>
      </c>
      <c r="AY216" s="167" t="s">
        <v>70</v>
      </c>
      <c r="AZ216" s="167" t="s">
        <v>70</v>
      </c>
      <c r="BA216" s="167" t="s">
        <v>70</v>
      </c>
      <c r="BB216" s="167" t="s">
        <v>70</v>
      </c>
      <c r="BC216" s="167" t="s">
        <v>70</v>
      </c>
      <c r="BD216" s="167" t="s">
        <v>70</v>
      </c>
      <c r="BE216" s="167" t="s">
        <v>70</v>
      </c>
      <c r="BF216" s="167" t="s">
        <v>70</v>
      </c>
      <c r="BG216" s="167" t="s">
        <v>70</v>
      </c>
      <c r="BH216" s="167" t="s">
        <v>70</v>
      </c>
      <c r="BI216" s="167" t="s">
        <v>70</v>
      </c>
      <c r="BJ216" s="167" t="s">
        <v>70</v>
      </c>
      <c r="BK216" s="167" t="s">
        <v>70</v>
      </c>
      <c r="BL216" s="167" t="s">
        <v>70</v>
      </c>
      <c r="BM216" s="167" t="s">
        <v>70</v>
      </c>
      <c r="BN216" s="167" t="s">
        <v>70</v>
      </c>
      <c r="BO216" s="167" t="s">
        <v>70</v>
      </c>
      <c r="BP216" s="167" t="s">
        <v>70</v>
      </c>
      <c r="BQ216" s="151" t="s">
        <v>208</v>
      </c>
      <c r="BR216" s="142"/>
      <c r="BS216" s="142"/>
      <c r="BT216" s="142"/>
      <c r="BU216" s="142"/>
      <c r="BV216" s="142"/>
      <c r="BW216" s="142"/>
      <c r="BX216" s="142"/>
      <c r="BY216" s="142"/>
      <c r="BZ216" s="142"/>
      <c r="CA216" s="142"/>
      <c r="CB216" s="142"/>
      <c r="CC216" s="142"/>
      <c r="CD216" s="142"/>
      <c r="CE216" s="142"/>
      <c r="CF216" s="142"/>
      <c r="CG216" s="142"/>
      <c r="CH216" s="142"/>
      <c r="CI216" s="142"/>
      <c r="CJ216" s="142"/>
      <c r="CK216" s="142"/>
      <c r="CL216" s="142"/>
      <c r="CM216" s="142"/>
      <c r="CN216" s="142"/>
      <c r="CO216" s="142"/>
      <c r="CP216" s="142"/>
      <c r="CQ216" s="142"/>
      <c r="CR216" s="142"/>
      <c r="CS216" s="142"/>
      <c r="CT216" s="142"/>
      <c r="CU216" s="142"/>
      <c r="CV216" s="142"/>
      <c r="CW216" s="142"/>
      <c r="CX216" s="142"/>
      <c r="CY216" s="142"/>
      <c r="CZ216" s="142"/>
      <c r="DA216" s="142"/>
      <c r="DB216" s="142"/>
      <c r="DC216" s="142"/>
      <c r="DD216" s="142"/>
      <c r="DE216" s="142"/>
      <c r="DF216" s="142"/>
      <c r="DG216" s="142"/>
      <c r="DH216" s="142"/>
      <c r="DI216" s="142"/>
      <c r="DJ216" s="142"/>
      <c r="DK216" s="142"/>
      <c r="DL216" s="142"/>
      <c r="DM216" s="142"/>
      <c r="DN216" s="142"/>
      <c r="DO216" s="142"/>
      <c r="DP216" s="142"/>
      <c r="DQ216" s="142"/>
      <c r="DR216" s="142"/>
      <c r="DS216" s="142"/>
      <c r="DT216" s="142"/>
      <c r="DU216" s="142"/>
      <c r="DV216" s="142"/>
      <c r="DW216" s="142"/>
      <c r="DX216" s="142"/>
      <c r="DY216" s="142"/>
      <c r="DZ216" s="142"/>
      <c r="EA216" s="142"/>
      <c r="EB216" s="142"/>
      <c r="EC216" s="142"/>
      <c r="ED216" s="142"/>
      <c r="EE216" s="142"/>
      <c r="EF216" s="142"/>
    </row>
    <row r="217" spans="1:136" s="151" customFormat="1" ht="19.5" customHeight="1" x14ac:dyDescent="0.2">
      <c r="A217" s="117">
        <v>214</v>
      </c>
      <c r="B217" s="123" t="s">
        <v>237</v>
      </c>
      <c r="C217" s="123">
        <v>83105157</v>
      </c>
      <c r="D217" s="117" t="s">
        <v>212</v>
      </c>
      <c r="E217" s="123" t="s">
        <v>68</v>
      </c>
      <c r="F217" s="146" t="s">
        <v>256</v>
      </c>
      <c r="G217" s="124" t="s">
        <v>69</v>
      </c>
      <c r="H217" s="89">
        <v>42331</v>
      </c>
      <c r="I217" s="89"/>
      <c r="J217" s="162"/>
      <c r="K217" s="89"/>
      <c r="L217" s="89"/>
      <c r="M217" s="163"/>
      <c r="N217" s="89"/>
      <c r="O217" s="89"/>
      <c r="P217" s="89"/>
      <c r="Q217" s="167" t="s">
        <v>70</v>
      </c>
      <c r="R217" s="167" t="s">
        <v>70</v>
      </c>
      <c r="S217" s="167" t="s">
        <v>70</v>
      </c>
      <c r="T217" s="167" t="s">
        <v>70</v>
      </c>
      <c r="U217" s="167" t="s">
        <v>70</v>
      </c>
      <c r="V217" s="167" t="s">
        <v>70</v>
      </c>
      <c r="W217" s="167" t="s">
        <v>70</v>
      </c>
      <c r="X217" s="167" t="s">
        <v>70</v>
      </c>
      <c r="Y217" s="167" t="s">
        <v>70</v>
      </c>
      <c r="Z217" s="167" t="s">
        <v>70</v>
      </c>
      <c r="AA217" s="167" t="s">
        <v>70</v>
      </c>
      <c r="AB217" s="167" t="s">
        <v>70</v>
      </c>
      <c r="AC217" s="167" t="s">
        <v>70</v>
      </c>
      <c r="AD217" s="167" t="s">
        <v>70</v>
      </c>
      <c r="AE217" s="167" t="s">
        <v>70</v>
      </c>
      <c r="AF217" s="167" t="s">
        <v>70</v>
      </c>
      <c r="AG217" s="167" t="s">
        <v>70</v>
      </c>
      <c r="AH217" s="167" t="s">
        <v>70</v>
      </c>
      <c r="AI217" s="111">
        <v>45919</v>
      </c>
      <c r="AJ217" s="94">
        <v>45344</v>
      </c>
      <c r="AK217" s="167" t="s">
        <v>70</v>
      </c>
      <c r="AL217" s="167" t="s">
        <v>70</v>
      </c>
      <c r="AM217" s="167"/>
      <c r="AN217" s="167" t="s">
        <v>70</v>
      </c>
      <c r="AO217" s="167" t="s">
        <v>70</v>
      </c>
      <c r="AP217" s="167" t="s">
        <v>70</v>
      </c>
      <c r="AQ217" s="167" t="s">
        <v>70</v>
      </c>
      <c r="AR217" s="166" t="s">
        <v>69</v>
      </c>
      <c r="AS217" s="167" t="s">
        <v>70</v>
      </c>
      <c r="AT217" s="167" t="s">
        <v>70</v>
      </c>
      <c r="AU217" s="167" t="s">
        <v>70</v>
      </c>
      <c r="AV217" s="167" t="s">
        <v>70</v>
      </c>
      <c r="AW217" s="167" t="s">
        <v>70</v>
      </c>
      <c r="AX217" s="167" t="s">
        <v>70</v>
      </c>
      <c r="AY217" s="167" t="s">
        <v>70</v>
      </c>
      <c r="AZ217" s="167" t="s">
        <v>70</v>
      </c>
      <c r="BA217" s="167" t="s">
        <v>70</v>
      </c>
      <c r="BB217" s="167" t="s">
        <v>70</v>
      </c>
      <c r="BC217" s="167" t="s">
        <v>70</v>
      </c>
      <c r="BD217" s="167" t="s">
        <v>70</v>
      </c>
      <c r="BE217" s="167" t="s">
        <v>70</v>
      </c>
      <c r="BF217" s="167" t="s">
        <v>70</v>
      </c>
      <c r="BG217" s="167" t="s">
        <v>70</v>
      </c>
      <c r="BH217" s="167" t="s">
        <v>70</v>
      </c>
      <c r="BI217" s="167" t="s">
        <v>70</v>
      </c>
      <c r="BJ217" s="167" t="s">
        <v>70</v>
      </c>
      <c r="BK217" s="167" t="s">
        <v>70</v>
      </c>
      <c r="BL217" s="167" t="s">
        <v>70</v>
      </c>
      <c r="BM217" s="167" t="s">
        <v>70</v>
      </c>
      <c r="BN217" s="167" t="s">
        <v>70</v>
      </c>
      <c r="BO217" s="167" t="s">
        <v>70</v>
      </c>
      <c r="BP217" s="167" t="s">
        <v>70</v>
      </c>
      <c r="BQ217" s="151" t="s">
        <v>208</v>
      </c>
      <c r="BR217" s="142"/>
      <c r="BS217" s="142"/>
      <c r="BT217" s="142"/>
      <c r="BU217" s="142"/>
      <c r="BV217" s="142"/>
      <c r="BW217" s="142"/>
      <c r="BX217" s="142"/>
      <c r="BY217" s="142"/>
      <c r="BZ217" s="142"/>
      <c r="CA217" s="142"/>
      <c r="CB217" s="142"/>
      <c r="CC217" s="142"/>
      <c r="CD217" s="142"/>
      <c r="CE217" s="142"/>
      <c r="CF217" s="142"/>
      <c r="CG217" s="142"/>
      <c r="CH217" s="142"/>
      <c r="CI217" s="142"/>
      <c r="CJ217" s="142"/>
      <c r="CK217" s="142"/>
      <c r="CL217" s="142"/>
      <c r="CM217" s="142"/>
      <c r="CN217" s="142"/>
      <c r="CO217" s="142"/>
      <c r="CP217" s="142"/>
      <c r="CQ217" s="142"/>
      <c r="CR217" s="142"/>
      <c r="CS217" s="142"/>
      <c r="CT217" s="142"/>
      <c r="CU217" s="142"/>
      <c r="CV217" s="142"/>
      <c r="CW217" s="142"/>
      <c r="CX217" s="142"/>
      <c r="CY217" s="142"/>
      <c r="CZ217" s="142"/>
      <c r="DA217" s="142"/>
      <c r="DB217" s="142"/>
      <c r="DC217" s="142"/>
      <c r="DD217" s="142"/>
      <c r="DE217" s="142"/>
      <c r="DF217" s="142"/>
      <c r="DG217" s="142"/>
      <c r="DH217" s="142"/>
      <c r="DI217" s="142"/>
      <c r="DJ217" s="142"/>
      <c r="DK217" s="142"/>
      <c r="DL217" s="142"/>
      <c r="DM217" s="142"/>
      <c r="DN217" s="142"/>
      <c r="DO217" s="142"/>
      <c r="DP217" s="142"/>
      <c r="DQ217" s="142"/>
      <c r="DR217" s="142"/>
      <c r="DS217" s="142"/>
      <c r="DT217" s="142"/>
      <c r="DU217" s="142"/>
      <c r="DV217" s="142"/>
      <c r="DW217" s="142"/>
      <c r="DX217" s="142"/>
      <c r="DY217" s="142"/>
      <c r="DZ217" s="142"/>
      <c r="EA217" s="142"/>
      <c r="EB217" s="142"/>
      <c r="EC217" s="142"/>
      <c r="ED217" s="142"/>
      <c r="EE217" s="142"/>
      <c r="EF217" s="142"/>
    </row>
    <row r="218" spans="1:136" s="151" customFormat="1" ht="19.5" customHeight="1" x14ac:dyDescent="0.2">
      <c r="A218" s="117">
        <v>215</v>
      </c>
      <c r="B218" s="123" t="s">
        <v>238</v>
      </c>
      <c r="C218" s="123">
        <v>83086316</v>
      </c>
      <c r="D218" s="117" t="s">
        <v>212</v>
      </c>
      <c r="E218" s="123" t="s">
        <v>68</v>
      </c>
      <c r="F218" s="146" t="s">
        <v>256</v>
      </c>
      <c r="G218" s="124" t="s">
        <v>69</v>
      </c>
      <c r="H218" s="89">
        <v>46282</v>
      </c>
      <c r="I218" s="89">
        <v>46282</v>
      </c>
      <c r="J218" s="162">
        <v>47378</v>
      </c>
      <c r="K218" s="89">
        <v>46281</v>
      </c>
      <c r="L218" s="89">
        <v>46281</v>
      </c>
      <c r="M218" s="163">
        <v>47377</v>
      </c>
      <c r="N218" s="89">
        <v>46279</v>
      </c>
      <c r="O218" s="89">
        <v>46286</v>
      </c>
      <c r="P218" s="89">
        <v>46280</v>
      </c>
      <c r="Q218" s="167" t="s">
        <v>70</v>
      </c>
      <c r="R218" s="167" t="s">
        <v>70</v>
      </c>
      <c r="S218" s="167" t="s">
        <v>70</v>
      </c>
      <c r="T218" s="167" t="s">
        <v>70</v>
      </c>
      <c r="U218" s="167" t="s">
        <v>70</v>
      </c>
      <c r="V218" s="167" t="s">
        <v>70</v>
      </c>
      <c r="W218" s="167" t="s">
        <v>70</v>
      </c>
      <c r="X218" s="167" t="s">
        <v>70</v>
      </c>
      <c r="Y218" s="167" t="s">
        <v>70</v>
      </c>
      <c r="Z218" s="167" t="s">
        <v>70</v>
      </c>
      <c r="AA218" s="167" t="s">
        <v>70</v>
      </c>
      <c r="AB218" s="167" t="s">
        <v>70</v>
      </c>
      <c r="AC218" s="167" t="s">
        <v>70</v>
      </c>
      <c r="AD218" s="167" t="s">
        <v>70</v>
      </c>
      <c r="AE218" s="167" t="s">
        <v>70</v>
      </c>
      <c r="AF218" s="167" t="s">
        <v>70</v>
      </c>
      <c r="AG218" s="167" t="s">
        <v>70</v>
      </c>
      <c r="AH218" s="167" t="s">
        <v>70</v>
      </c>
      <c r="AI218" s="111">
        <v>46065</v>
      </c>
      <c r="AJ218" s="94">
        <v>45491</v>
      </c>
      <c r="AK218" s="167" t="s">
        <v>70</v>
      </c>
      <c r="AL218" s="167" t="s">
        <v>70</v>
      </c>
      <c r="AM218" s="167"/>
      <c r="AN218" s="167" t="s">
        <v>70</v>
      </c>
      <c r="AO218" s="167" t="s">
        <v>70</v>
      </c>
      <c r="AP218" s="167" t="s">
        <v>70</v>
      </c>
      <c r="AQ218" s="167" t="s">
        <v>70</v>
      </c>
      <c r="AR218" s="166" t="s">
        <v>69</v>
      </c>
      <c r="AS218" s="167" t="s">
        <v>70</v>
      </c>
      <c r="AT218" s="167" t="s">
        <v>70</v>
      </c>
      <c r="AU218" s="167" t="s">
        <v>70</v>
      </c>
      <c r="AV218" s="167" t="s">
        <v>70</v>
      </c>
      <c r="AW218" s="167" t="s">
        <v>70</v>
      </c>
      <c r="AX218" s="167" t="s">
        <v>70</v>
      </c>
      <c r="AY218" s="167" t="s">
        <v>70</v>
      </c>
      <c r="AZ218" s="167" t="s">
        <v>70</v>
      </c>
      <c r="BA218" s="167" t="s">
        <v>70</v>
      </c>
      <c r="BB218" s="167" t="s">
        <v>70</v>
      </c>
      <c r="BC218" s="167" t="s">
        <v>70</v>
      </c>
      <c r="BD218" s="167" t="s">
        <v>70</v>
      </c>
      <c r="BE218" s="167" t="s">
        <v>70</v>
      </c>
      <c r="BF218" s="167" t="s">
        <v>70</v>
      </c>
      <c r="BG218" s="167" t="s">
        <v>70</v>
      </c>
      <c r="BH218" s="167" t="s">
        <v>70</v>
      </c>
      <c r="BI218" s="167" t="s">
        <v>70</v>
      </c>
      <c r="BJ218" s="167" t="s">
        <v>70</v>
      </c>
      <c r="BK218" s="167" t="s">
        <v>70</v>
      </c>
      <c r="BL218" s="167" t="s">
        <v>70</v>
      </c>
      <c r="BM218" s="167" t="s">
        <v>70</v>
      </c>
      <c r="BN218" s="167" t="s">
        <v>70</v>
      </c>
      <c r="BO218" s="167" t="s">
        <v>70</v>
      </c>
      <c r="BP218" s="167" t="s">
        <v>70</v>
      </c>
      <c r="BQ218" s="151" t="s">
        <v>208</v>
      </c>
      <c r="BR218" s="142"/>
      <c r="BS218" s="142"/>
      <c r="BT218" s="142"/>
      <c r="BU218" s="142"/>
      <c r="BV218" s="142"/>
      <c r="BW218" s="142"/>
      <c r="BX218" s="142"/>
      <c r="BY218" s="142"/>
      <c r="BZ218" s="142"/>
      <c r="CA218" s="142"/>
      <c r="CB218" s="142"/>
      <c r="CC218" s="142"/>
      <c r="CD218" s="142"/>
      <c r="CE218" s="142"/>
      <c r="CF218" s="142"/>
      <c r="CG218" s="142"/>
      <c r="CH218" s="142"/>
      <c r="CI218" s="142"/>
      <c r="CJ218" s="142"/>
      <c r="CK218" s="142"/>
      <c r="CL218" s="142"/>
      <c r="CM218" s="142"/>
      <c r="CN218" s="142"/>
      <c r="CO218" s="142"/>
      <c r="CP218" s="142"/>
      <c r="CQ218" s="142"/>
      <c r="CR218" s="142"/>
      <c r="CS218" s="142"/>
      <c r="CT218" s="142"/>
      <c r="CU218" s="142"/>
      <c r="CV218" s="142"/>
      <c r="CW218" s="142"/>
      <c r="CX218" s="142"/>
      <c r="CY218" s="142"/>
      <c r="CZ218" s="142"/>
      <c r="DA218" s="142"/>
      <c r="DB218" s="142"/>
      <c r="DC218" s="142"/>
      <c r="DD218" s="142"/>
      <c r="DE218" s="142"/>
      <c r="DF218" s="142"/>
      <c r="DG218" s="142"/>
      <c r="DH218" s="142"/>
      <c r="DI218" s="142"/>
      <c r="DJ218" s="142"/>
      <c r="DK218" s="142"/>
      <c r="DL218" s="142"/>
      <c r="DM218" s="142"/>
      <c r="DN218" s="142"/>
      <c r="DO218" s="142"/>
      <c r="DP218" s="142"/>
      <c r="DQ218" s="142"/>
      <c r="DR218" s="142"/>
      <c r="DS218" s="142"/>
      <c r="DT218" s="142"/>
      <c r="DU218" s="142"/>
      <c r="DV218" s="142"/>
      <c r="DW218" s="142"/>
      <c r="DX218" s="142"/>
      <c r="DY218" s="142"/>
      <c r="DZ218" s="142"/>
      <c r="EA218" s="142"/>
      <c r="EB218" s="142"/>
      <c r="EC218" s="142"/>
      <c r="ED218" s="142"/>
      <c r="EE218" s="142"/>
      <c r="EF218" s="142"/>
    </row>
    <row r="219" spans="1:136" s="151" customFormat="1" ht="19.5" customHeight="1" x14ac:dyDescent="0.2">
      <c r="A219" s="117">
        <v>216</v>
      </c>
      <c r="B219" s="123" t="s">
        <v>243</v>
      </c>
      <c r="C219" s="123">
        <v>84122956</v>
      </c>
      <c r="D219" s="117" t="s">
        <v>212</v>
      </c>
      <c r="E219" s="123" t="s">
        <v>68</v>
      </c>
      <c r="F219" s="146" t="s">
        <v>256</v>
      </c>
      <c r="G219" s="124" t="s">
        <v>69</v>
      </c>
      <c r="H219" s="89">
        <v>46052</v>
      </c>
      <c r="I219" s="89">
        <v>46052</v>
      </c>
      <c r="J219" s="162">
        <f>IF(I219="", "", DATE(YEAR(I219)+3, MONTH(I219), DAY(I219)))</f>
        <v>47148</v>
      </c>
      <c r="K219" s="89">
        <v>46051</v>
      </c>
      <c r="L219" s="89">
        <v>46051</v>
      </c>
      <c r="M219" s="162">
        <f>IF(L219="", "", DATE(YEAR(L219)+3, MONTH(L219), DAY(L219)))</f>
        <v>47147</v>
      </c>
      <c r="N219" s="89">
        <v>46048</v>
      </c>
      <c r="O219" s="89">
        <v>46049</v>
      </c>
      <c r="P219" s="89">
        <v>46050</v>
      </c>
      <c r="Q219" s="167" t="s">
        <v>70</v>
      </c>
      <c r="R219" s="167" t="s">
        <v>70</v>
      </c>
      <c r="S219" s="167" t="s">
        <v>70</v>
      </c>
      <c r="T219" s="167" t="s">
        <v>70</v>
      </c>
      <c r="U219" s="167" t="s">
        <v>70</v>
      </c>
      <c r="V219" s="167" t="s">
        <v>70</v>
      </c>
      <c r="W219" s="167" t="s">
        <v>70</v>
      </c>
      <c r="X219" s="167" t="s">
        <v>70</v>
      </c>
      <c r="Y219" s="167" t="s">
        <v>70</v>
      </c>
      <c r="Z219" s="167" t="s">
        <v>70</v>
      </c>
      <c r="AA219" s="167" t="s">
        <v>70</v>
      </c>
      <c r="AB219" s="167" t="s">
        <v>70</v>
      </c>
      <c r="AC219" s="167" t="s">
        <v>70</v>
      </c>
      <c r="AD219" s="167" t="s">
        <v>70</v>
      </c>
      <c r="AE219" s="167" t="s">
        <v>70</v>
      </c>
      <c r="AF219" s="167" t="s">
        <v>70</v>
      </c>
      <c r="AG219" s="167" t="s">
        <v>70</v>
      </c>
      <c r="AH219" s="167" t="s">
        <v>70</v>
      </c>
      <c r="AI219" s="111">
        <v>45946</v>
      </c>
      <c r="AJ219" s="94">
        <v>45349</v>
      </c>
      <c r="AK219" s="167" t="s">
        <v>70</v>
      </c>
      <c r="AL219" s="167" t="s">
        <v>70</v>
      </c>
      <c r="AM219" s="167"/>
      <c r="AN219" s="167" t="s">
        <v>70</v>
      </c>
      <c r="AO219" s="167" t="s">
        <v>70</v>
      </c>
      <c r="AP219" s="167" t="s">
        <v>70</v>
      </c>
      <c r="AQ219" s="167" t="s">
        <v>70</v>
      </c>
      <c r="AR219" s="166" t="s">
        <v>69</v>
      </c>
      <c r="AS219" s="167" t="s">
        <v>70</v>
      </c>
      <c r="AT219" s="167" t="s">
        <v>70</v>
      </c>
      <c r="AU219" s="167" t="s">
        <v>70</v>
      </c>
      <c r="AV219" s="167" t="s">
        <v>70</v>
      </c>
      <c r="AW219" s="167" t="s">
        <v>70</v>
      </c>
      <c r="AX219" s="167" t="s">
        <v>70</v>
      </c>
      <c r="AY219" s="167" t="s">
        <v>70</v>
      </c>
      <c r="AZ219" s="167" t="s">
        <v>70</v>
      </c>
      <c r="BA219" s="167" t="s">
        <v>70</v>
      </c>
      <c r="BB219" s="167" t="s">
        <v>70</v>
      </c>
      <c r="BC219" s="167" t="s">
        <v>70</v>
      </c>
      <c r="BD219" s="167" t="s">
        <v>70</v>
      </c>
      <c r="BE219" s="167" t="s">
        <v>70</v>
      </c>
      <c r="BF219" s="167" t="s">
        <v>70</v>
      </c>
      <c r="BG219" s="167" t="s">
        <v>70</v>
      </c>
      <c r="BH219" s="167" t="s">
        <v>70</v>
      </c>
      <c r="BI219" s="167" t="s">
        <v>70</v>
      </c>
      <c r="BJ219" s="167" t="s">
        <v>70</v>
      </c>
      <c r="BK219" s="167" t="s">
        <v>70</v>
      </c>
      <c r="BL219" s="167" t="s">
        <v>70</v>
      </c>
      <c r="BM219" s="167" t="s">
        <v>70</v>
      </c>
      <c r="BN219" s="167" t="s">
        <v>70</v>
      </c>
      <c r="BO219" s="167" t="s">
        <v>70</v>
      </c>
      <c r="BP219" s="167" t="s">
        <v>70</v>
      </c>
      <c r="BQ219" s="151" t="s">
        <v>224</v>
      </c>
      <c r="BR219" s="142"/>
      <c r="BS219" s="142"/>
      <c r="BT219" s="142"/>
      <c r="BU219" s="142"/>
      <c r="BV219" s="142"/>
      <c r="BW219" s="142"/>
      <c r="BX219" s="142"/>
      <c r="BY219" s="142"/>
      <c r="BZ219" s="142"/>
      <c r="CA219" s="142"/>
      <c r="CB219" s="142"/>
      <c r="CC219" s="142"/>
      <c r="CD219" s="142"/>
      <c r="CE219" s="142"/>
      <c r="CF219" s="142"/>
      <c r="CG219" s="142"/>
      <c r="CH219" s="142"/>
      <c r="CI219" s="142"/>
      <c r="CJ219" s="142"/>
      <c r="CK219" s="142"/>
      <c r="CL219" s="142"/>
      <c r="CM219" s="142"/>
      <c r="CN219" s="142"/>
      <c r="CO219" s="142"/>
      <c r="CP219" s="142"/>
      <c r="CQ219" s="142"/>
      <c r="CR219" s="142"/>
      <c r="CS219" s="142"/>
      <c r="CT219" s="142"/>
      <c r="CU219" s="142"/>
      <c r="CV219" s="142"/>
      <c r="CW219" s="142"/>
      <c r="CX219" s="142"/>
      <c r="CY219" s="142"/>
      <c r="CZ219" s="142"/>
      <c r="DA219" s="142"/>
      <c r="DB219" s="142"/>
      <c r="DC219" s="142"/>
      <c r="DD219" s="142"/>
      <c r="DE219" s="142"/>
      <c r="DF219" s="142"/>
      <c r="DG219" s="142"/>
      <c r="DH219" s="142"/>
      <c r="DI219" s="142"/>
      <c r="DJ219" s="142"/>
      <c r="DK219" s="142"/>
      <c r="DL219" s="142"/>
      <c r="DM219" s="142"/>
      <c r="DN219" s="142"/>
      <c r="DO219" s="142"/>
      <c r="DP219" s="142"/>
      <c r="DQ219" s="142"/>
      <c r="DR219" s="142"/>
      <c r="DS219" s="142"/>
      <c r="DT219" s="142"/>
      <c r="DU219" s="142"/>
      <c r="DV219" s="142"/>
      <c r="DW219" s="142"/>
      <c r="DX219" s="142"/>
      <c r="DY219" s="142"/>
      <c r="DZ219" s="142"/>
      <c r="EA219" s="142"/>
      <c r="EB219" s="142"/>
      <c r="EC219" s="142"/>
      <c r="ED219" s="142"/>
      <c r="EE219" s="142"/>
      <c r="EF219" s="142"/>
    </row>
    <row r="220" spans="1:136" s="151" customFormat="1" ht="19.5" customHeight="1" x14ac:dyDescent="0.2">
      <c r="A220" s="117">
        <v>217</v>
      </c>
      <c r="B220" s="117" t="s">
        <v>251</v>
      </c>
      <c r="C220" s="117">
        <v>171982</v>
      </c>
      <c r="D220" s="117" t="s">
        <v>212</v>
      </c>
      <c r="E220" s="123" t="s">
        <v>68</v>
      </c>
      <c r="F220" s="146" t="s">
        <v>256</v>
      </c>
      <c r="G220" s="111">
        <v>44882</v>
      </c>
      <c r="H220" s="111"/>
      <c r="I220" s="111"/>
      <c r="J220" s="162"/>
      <c r="K220" s="111"/>
      <c r="L220" s="111"/>
      <c r="M220" s="163"/>
      <c r="N220" s="165"/>
      <c r="O220" s="111"/>
      <c r="P220" s="165"/>
      <c r="Q220" s="167" t="s">
        <v>70</v>
      </c>
      <c r="R220" s="167" t="s">
        <v>70</v>
      </c>
      <c r="S220" s="167" t="s">
        <v>70</v>
      </c>
      <c r="T220" s="167" t="s">
        <v>70</v>
      </c>
      <c r="U220" s="167" t="s">
        <v>70</v>
      </c>
      <c r="V220" s="167" t="s">
        <v>70</v>
      </c>
      <c r="W220" s="167" t="s">
        <v>70</v>
      </c>
      <c r="X220" s="167" t="s">
        <v>70</v>
      </c>
      <c r="Y220" s="167" t="s">
        <v>70</v>
      </c>
      <c r="Z220" s="167" t="s">
        <v>70</v>
      </c>
      <c r="AA220" s="167" t="s">
        <v>70</v>
      </c>
      <c r="AB220" s="167" t="s">
        <v>70</v>
      </c>
      <c r="AC220" s="167" t="s">
        <v>70</v>
      </c>
      <c r="AD220" s="167" t="s">
        <v>70</v>
      </c>
      <c r="AE220" s="167" t="s">
        <v>70</v>
      </c>
      <c r="AF220" s="167" t="s">
        <v>70</v>
      </c>
      <c r="AG220" s="167" t="s">
        <v>70</v>
      </c>
      <c r="AH220" s="167" t="s">
        <v>70</v>
      </c>
      <c r="AI220" s="111">
        <v>45897</v>
      </c>
      <c r="AJ220" s="94">
        <v>45491</v>
      </c>
      <c r="AK220" s="167" t="s">
        <v>70</v>
      </c>
      <c r="AL220" s="167" t="s">
        <v>70</v>
      </c>
      <c r="AM220" s="167"/>
      <c r="AN220" s="167" t="s">
        <v>70</v>
      </c>
      <c r="AO220" s="167" t="s">
        <v>70</v>
      </c>
      <c r="AP220" s="167" t="s">
        <v>70</v>
      </c>
      <c r="AQ220" s="167" t="s">
        <v>70</v>
      </c>
      <c r="AR220" s="166" t="s">
        <v>69</v>
      </c>
      <c r="AS220" s="167" t="s">
        <v>70</v>
      </c>
      <c r="AT220" s="167" t="s">
        <v>70</v>
      </c>
      <c r="AU220" s="167" t="s">
        <v>70</v>
      </c>
      <c r="AV220" s="167" t="s">
        <v>70</v>
      </c>
      <c r="AW220" s="167" t="s">
        <v>70</v>
      </c>
      <c r="AX220" s="167" t="s">
        <v>70</v>
      </c>
      <c r="AY220" s="167" t="s">
        <v>70</v>
      </c>
      <c r="AZ220" s="167" t="s">
        <v>70</v>
      </c>
      <c r="BA220" s="167" t="s">
        <v>70</v>
      </c>
      <c r="BB220" s="167" t="s">
        <v>70</v>
      </c>
      <c r="BC220" s="167" t="s">
        <v>70</v>
      </c>
      <c r="BD220" s="167" t="s">
        <v>70</v>
      </c>
      <c r="BE220" s="167" t="s">
        <v>70</v>
      </c>
      <c r="BF220" s="167" t="s">
        <v>70</v>
      </c>
      <c r="BG220" s="167" t="s">
        <v>70</v>
      </c>
      <c r="BH220" s="167" t="s">
        <v>70</v>
      </c>
      <c r="BI220" s="167" t="s">
        <v>70</v>
      </c>
      <c r="BJ220" s="167" t="s">
        <v>70</v>
      </c>
      <c r="BK220" s="167" t="s">
        <v>70</v>
      </c>
      <c r="BL220" s="167" t="s">
        <v>70</v>
      </c>
      <c r="BM220" s="167" t="s">
        <v>70</v>
      </c>
      <c r="BN220" s="167" t="s">
        <v>70</v>
      </c>
      <c r="BO220" s="167" t="s">
        <v>70</v>
      </c>
      <c r="BP220" s="167" t="s">
        <v>70</v>
      </c>
      <c r="BQ220" s="151" t="s">
        <v>224</v>
      </c>
      <c r="BR220" s="142"/>
      <c r="BS220" s="142"/>
      <c r="BT220" s="142"/>
      <c r="BU220" s="142"/>
      <c r="BV220" s="142"/>
      <c r="BW220" s="142"/>
      <c r="BX220" s="142"/>
      <c r="BY220" s="142"/>
      <c r="BZ220" s="142"/>
      <c r="CA220" s="142"/>
      <c r="CB220" s="142"/>
      <c r="CC220" s="142"/>
      <c r="CD220" s="142"/>
      <c r="CE220" s="142"/>
      <c r="CF220" s="142"/>
      <c r="CG220" s="142"/>
      <c r="CH220" s="142"/>
      <c r="CI220" s="142"/>
      <c r="CJ220" s="142"/>
      <c r="CK220" s="142"/>
      <c r="CL220" s="142"/>
      <c r="CM220" s="142"/>
      <c r="CN220" s="142"/>
      <c r="CO220" s="142"/>
      <c r="CP220" s="142"/>
      <c r="CQ220" s="142"/>
      <c r="CR220" s="142"/>
      <c r="CS220" s="142"/>
      <c r="CT220" s="142"/>
      <c r="CU220" s="142"/>
      <c r="CV220" s="142"/>
      <c r="CW220" s="142"/>
      <c r="CX220" s="142"/>
      <c r="CY220" s="142"/>
      <c r="CZ220" s="142"/>
      <c r="DA220" s="142"/>
      <c r="DB220" s="142"/>
      <c r="DC220" s="142"/>
      <c r="DD220" s="142"/>
      <c r="DE220" s="142"/>
      <c r="DF220" s="142"/>
      <c r="DG220" s="142"/>
      <c r="DH220" s="142"/>
      <c r="DI220" s="142"/>
      <c r="DJ220" s="142"/>
      <c r="DK220" s="142"/>
      <c r="DL220" s="142"/>
      <c r="DM220" s="142"/>
      <c r="DN220" s="142"/>
      <c r="DO220" s="142"/>
      <c r="DP220" s="142"/>
      <c r="DQ220" s="142"/>
      <c r="DR220" s="142"/>
      <c r="DS220" s="142"/>
      <c r="DT220" s="142"/>
      <c r="DU220" s="142"/>
      <c r="DV220" s="142"/>
      <c r="DW220" s="142"/>
      <c r="DX220" s="142"/>
      <c r="DY220" s="142"/>
      <c r="DZ220" s="142"/>
      <c r="EA220" s="142"/>
      <c r="EB220" s="142"/>
      <c r="EC220" s="142"/>
      <c r="ED220" s="142"/>
      <c r="EE220" s="142"/>
      <c r="EF220" s="142"/>
    </row>
    <row r="221" spans="1:136" s="151" customFormat="1" ht="19.5" customHeight="1" x14ac:dyDescent="0.2">
      <c r="A221" s="117">
        <v>218</v>
      </c>
      <c r="B221" s="188" t="s">
        <v>254</v>
      </c>
      <c r="C221" s="189">
        <v>83075877</v>
      </c>
      <c r="D221" s="171" t="s">
        <v>255</v>
      </c>
      <c r="E221" s="117" t="s">
        <v>68</v>
      </c>
      <c r="F221" s="146" t="s">
        <v>256</v>
      </c>
      <c r="G221" s="124" t="s">
        <v>69</v>
      </c>
      <c r="H221" s="93">
        <v>46218</v>
      </c>
      <c r="I221" s="93">
        <v>46218</v>
      </c>
      <c r="J221" s="92">
        <f>IF(I221="", "", DATE(YEAR(I221)+3, MONTH(I221), DAY(I221)))</f>
        <v>47314</v>
      </c>
      <c r="K221" s="93"/>
      <c r="L221" s="93"/>
      <c r="M221" s="140"/>
      <c r="N221" s="93">
        <v>45681</v>
      </c>
      <c r="O221" s="93"/>
      <c r="P221" s="93">
        <v>46217</v>
      </c>
      <c r="Q221" s="167" t="s">
        <v>70</v>
      </c>
      <c r="R221" s="167" t="s">
        <v>70</v>
      </c>
      <c r="S221" s="167" t="s">
        <v>70</v>
      </c>
      <c r="T221" s="167" t="s">
        <v>70</v>
      </c>
      <c r="U221" s="167" t="s">
        <v>70</v>
      </c>
      <c r="V221" s="167" t="s">
        <v>70</v>
      </c>
      <c r="W221" s="167" t="s">
        <v>70</v>
      </c>
      <c r="X221" s="167" t="s">
        <v>70</v>
      </c>
      <c r="Y221" s="167" t="s">
        <v>70</v>
      </c>
      <c r="Z221" s="167" t="s">
        <v>70</v>
      </c>
      <c r="AA221" s="167" t="s">
        <v>70</v>
      </c>
      <c r="AB221" s="167" t="s">
        <v>70</v>
      </c>
      <c r="AC221" s="167" t="s">
        <v>70</v>
      </c>
      <c r="AD221" s="167" t="s">
        <v>70</v>
      </c>
      <c r="AE221" s="167" t="s">
        <v>70</v>
      </c>
      <c r="AF221" s="167" t="s">
        <v>70</v>
      </c>
      <c r="AG221" s="167" t="s">
        <v>70</v>
      </c>
      <c r="AH221" s="167" t="s">
        <v>70</v>
      </c>
      <c r="AI221" s="186">
        <v>45967</v>
      </c>
      <c r="AJ221" s="163">
        <v>45355</v>
      </c>
      <c r="AK221" s="167" t="s">
        <v>70</v>
      </c>
      <c r="AL221" s="167" t="s">
        <v>70</v>
      </c>
      <c r="AM221" s="167"/>
      <c r="AN221" s="167" t="s">
        <v>70</v>
      </c>
      <c r="AO221" s="167" t="s">
        <v>70</v>
      </c>
      <c r="AP221" s="167" t="s">
        <v>70</v>
      </c>
      <c r="AQ221" s="167" t="s">
        <v>70</v>
      </c>
      <c r="AR221" s="168">
        <v>46153</v>
      </c>
      <c r="AS221" s="167" t="s">
        <v>70</v>
      </c>
      <c r="AT221" s="167" t="s">
        <v>70</v>
      </c>
      <c r="AU221" s="167" t="s">
        <v>70</v>
      </c>
      <c r="AV221" s="167" t="s">
        <v>70</v>
      </c>
      <c r="AW221" s="167" t="s">
        <v>70</v>
      </c>
      <c r="AX221" s="167" t="s">
        <v>70</v>
      </c>
      <c r="AY221" s="167" t="s">
        <v>70</v>
      </c>
      <c r="AZ221" s="167" t="s">
        <v>70</v>
      </c>
      <c r="BA221" s="167" t="s">
        <v>70</v>
      </c>
      <c r="BB221" s="167" t="s">
        <v>70</v>
      </c>
      <c r="BC221" s="167" t="s">
        <v>70</v>
      </c>
      <c r="BD221" s="167" t="s">
        <v>70</v>
      </c>
      <c r="BE221" s="167" t="s">
        <v>70</v>
      </c>
      <c r="BF221" s="167" t="s">
        <v>70</v>
      </c>
      <c r="BG221" s="167" t="s">
        <v>70</v>
      </c>
      <c r="BH221" s="167" t="s">
        <v>70</v>
      </c>
      <c r="BI221" s="167" t="s">
        <v>70</v>
      </c>
      <c r="BJ221" s="167" t="s">
        <v>70</v>
      </c>
      <c r="BK221" s="167" t="s">
        <v>70</v>
      </c>
      <c r="BL221" s="167" t="s">
        <v>70</v>
      </c>
      <c r="BM221" s="167" t="s">
        <v>70</v>
      </c>
      <c r="BN221" s="167" t="s">
        <v>70</v>
      </c>
      <c r="BO221" s="167" t="s">
        <v>70</v>
      </c>
      <c r="BP221" s="167" t="s">
        <v>70</v>
      </c>
      <c r="BQ221" s="151" t="s">
        <v>256</v>
      </c>
      <c r="BR221" s="142"/>
      <c r="BS221" s="142"/>
      <c r="BT221" s="142"/>
      <c r="BU221" s="142"/>
      <c r="BV221" s="142"/>
      <c r="BW221" s="142"/>
      <c r="BX221" s="142"/>
      <c r="BY221" s="142"/>
      <c r="BZ221" s="142"/>
      <c r="CA221" s="142"/>
      <c r="CB221" s="142"/>
      <c r="CC221" s="142"/>
      <c r="CD221" s="142"/>
      <c r="CE221" s="142"/>
      <c r="CF221" s="142"/>
      <c r="CG221" s="142"/>
      <c r="CH221" s="142"/>
      <c r="CI221" s="142"/>
      <c r="CJ221" s="142"/>
      <c r="CK221" s="142"/>
      <c r="CL221" s="142"/>
      <c r="CM221" s="142"/>
      <c r="CN221" s="142"/>
      <c r="CO221" s="142"/>
      <c r="CP221" s="142"/>
      <c r="CQ221" s="142"/>
      <c r="CR221" s="142"/>
      <c r="CS221" s="142"/>
      <c r="CT221" s="142"/>
      <c r="CU221" s="142"/>
      <c r="CV221" s="142"/>
      <c r="CW221" s="142"/>
      <c r="CX221" s="142"/>
      <c r="CY221" s="142"/>
      <c r="CZ221" s="142"/>
      <c r="DA221" s="142"/>
      <c r="DB221" s="142"/>
      <c r="DC221" s="142"/>
      <c r="DD221" s="142"/>
      <c r="DE221" s="142"/>
      <c r="DF221" s="142"/>
      <c r="DG221" s="142"/>
      <c r="DH221" s="142"/>
      <c r="DI221" s="142"/>
      <c r="DJ221" s="142"/>
      <c r="DK221" s="142"/>
      <c r="DL221" s="142"/>
      <c r="DM221" s="142"/>
      <c r="DN221" s="142"/>
      <c r="DO221" s="142"/>
      <c r="DP221" s="142"/>
      <c r="DQ221" s="142"/>
      <c r="DR221" s="142"/>
      <c r="DS221" s="142"/>
      <c r="DT221" s="142"/>
      <c r="DU221" s="142"/>
      <c r="DV221" s="142"/>
      <c r="DW221" s="142"/>
      <c r="DX221" s="142"/>
      <c r="DY221" s="142"/>
      <c r="DZ221" s="142"/>
      <c r="EA221" s="142"/>
      <c r="EB221" s="142"/>
      <c r="EC221" s="142"/>
      <c r="ED221" s="142"/>
      <c r="EE221" s="142"/>
      <c r="EF221" s="142"/>
    </row>
    <row r="222" spans="1:136" s="151" customFormat="1" ht="19.5" customHeight="1" x14ac:dyDescent="0.2">
      <c r="A222" s="117">
        <v>219</v>
      </c>
      <c r="B222" s="188" t="s">
        <v>257</v>
      </c>
      <c r="C222" s="189">
        <v>83040090</v>
      </c>
      <c r="D222" s="171" t="s">
        <v>258</v>
      </c>
      <c r="E222" s="117" t="s">
        <v>68</v>
      </c>
      <c r="F222" s="146" t="s">
        <v>256</v>
      </c>
      <c r="G222" s="124" t="s">
        <v>69</v>
      </c>
      <c r="H222" s="93">
        <v>46199</v>
      </c>
      <c r="I222" s="93">
        <v>46199</v>
      </c>
      <c r="J222" s="92">
        <f>IF(I222="", "", DATE(YEAR(I222)+3, MONTH(I222), DAY(I222)))</f>
        <v>47295</v>
      </c>
      <c r="K222" s="93">
        <v>46198</v>
      </c>
      <c r="L222" s="93">
        <v>46198</v>
      </c>
      <c r="M222" s="140">
        <f t="shared" ref="M222:M253" si="15">IF(L222="", "", DATE(YEAR(L222)+3, MONTH(L222), DAY(L222)))</f>
        <v>47294</v>
      </c>
      <c r="N222" s="93">
        <v>46195</v>
      </c>
      <c r="O222" s="93">
        <v>46196</v>
      </c>
      <c r="P222" s="93">
        <v>46197</v>
      </c>
      <c r="Q222" s="167" t="s">
        <v>70</v>
      </c>
      <c r="R222" s="167" t="s">
        <v>70</v>
      </c>
      <c r="S222" s="167" t="s">
        <v>70</v>
      </c>
      <c r="T222" s="167" t="s">
        <v>70</v>
      </c>
      <c r="U222" s="167" t="s">
        <v>70</v>
      </c>
      <c r="V222" s="167" t="s">
        <v>70</v>
      </c>
      <c r="W222" s="167" t="s">
        <v>70</v>
      </c>
      <c r="X222" s="167" t="s">
        <v>70</v>
      </c>
      <c r="Y222" s="167" t="s">
        <v>70</v>
      </c>
      <c r="Z222" s="167" t="s">
        <v>70</v>
      </c>
      <c r="AA222" s="167" t="s">
        <v>70</v>
      </c>
      <c r="AB222" s="167" t="s">
        <v>70</v>
      </c>
      <c r="AC222" s="167" t="s">
        <v>70</v>
      </c>
      <c r="AD222" s="167" t="s">
        <v>70</v>
      </c>
      <c r="AE222" s="167" t="s">
        <v>70</v>
      </c>
      <c r="AF222" s="167" t="s">
        <v>70</v>
      </c>
      <c r="AG222" s="167" t="s">
        <v>70</v>
      </c>
      <c r="AH222" s="167" t="s">
        <v>70</v>
      </c>
      <c r="AI222" s="181">
        <v>46149</v>
      </c>
      <c r="AJ222" s="163">
        <v>45343</v>
      </c>
      <c r="AK222" s="167" t="s">
        <v>70</v>
      </c>
      <c r="AL222" s="167" t="s">
        <v>70</v>
      </c>
      <c r="AM222" s="167"/>
      <c r="AN222" s="167" t="s">
        <v>70</v>
      </c>
      <c r="AO222" s="167" t="s">
        <v>70</v>
      </c>
      <c r="AP222" s="167" t="s">
        <v>70</v>
      </c>
      <c r="AQ222" s="167" t="s">
        <v>70</v>
      </c>
      <c r="AR222" s="166" t="s">
        <v>69</v>
      </c>
      <c r="AS222" s="167" t="s">
        <v>70</v>
      </c>
      <c r="AT222" s="167" t="s">
        <v>70</v>
      </c>
      <c r="AU222" s="167" t="s">
        <v>70</v>
      </c>
      <c r="AV222" s="167" t="s">
        <v>70</v>
      </c>
      <c r="AW222" s="167" t="s">
        <v>70</v>
      </c>
      <c r="AX222" s="167" t="s">
        <v>70</v>
      </c>
      <c r="AY222" s="167" t="s">
        <v>70</v>
      </c>
      <c r="AZ222" s="167" t="s">
        <v>70</v>
      </c>
      <c r="BA222" s="167" t="s">
        <v>70</v>
      </c>
      <c r="BB222" s="167" t="s">
        <v>70</v>
      </c>
      <c r="BC222" s="167" t="s">
        <v>70</v>
      </c>
      <c r="BD222" s="167" t="s">
        <v>70</v>
      </c>
      <c r="BE222" s="167" t="s">
        <v>70</v>
      </c>
      <c r="BF222" s="167" t="s">
        <v>70</v>
      </c>
      <c r="BG222" s="167" t="s">
        <v>70</v>
      </c>
      <c r="BH222" s="167" t="s">
        <v>70</v>
      </c>
      <c r="BI222" s="167" t="s">
        <v>70</v>
      </c>
      <c r="BJ222" s="167" t="s">
        <v>70</v>
      </c>
      <c r="BK222" s="167" t="s">
        <v>70</v>
      </c>
      <c r="BL222" s="167" t="s">
        <v>70</v>
      </c>
      <c r="BM222" s="167" t="s">
        <v>70</v>
      </c>
      <c r="BN222" s="167" t="s">
        <v>70</v>
      </c>
      <c r="BO222" s="167" t="s">
        <v>70</v>
      </c>
      <c r="BP222" s="167" t="s">
        <v>70</v>
      </c>
      <c r="BQ222" s="151" t="s">
        <v>256</v>
      </c>
      <c r="BR222" s="142"/>
      <c r="BS222" s="142"/>
      <c r="BT222" s="142"/>
      <c r="BU222" s="142"/>
      <c r="BV222" s="142"/>
      <c r="BW222" s="142"/>
      <c r="BX222" s="142"/>
      <c r="BY222" s="142"/>
      <c r="BZ222" s="142"/>
      <c r="CA222" s="142"/>
      <c r="CB222" s="142"/>
      <c r="CC222" s="142"/>
      <c r="CD222" s="142"/>
      <c r="CE222" s="142"/>
      <c r="CF222" s="142"/>
      <c r="CG222" s="142"/>
      <c r="CH222" s="142"/>
      <c r="CI222" s="142"/>
      <c r="CJ222" s="142"/>
      <c r="CK222" s="142"/>
      <c r="CL222" s="142"/>
      <c r="CM222" s="142"/>
      <c r="CN222" s="142"/>
      <c r="CO222" s="142"/>
      <c r="CP222" s="142"/>
      <c r="CQ222" s="142"/>
      <c r="CR222" s="142"/>
      <c r="CS222" s="142"/>
      <c r="CT222" s="142"/>
      <c r="CU222" s="142"/>
      <c r="CV222" s="142"/>
      <c r="CW222" s="142"/>
      <c r="CX222" s="142"/>
      <c r="CY222" s="142"/>
      <c r="CZ222" s="142"/>
      <c r="DA222" s="142"/>
      <c r="DB222" s="142"/>
      <c r="DC222" s="142"/>
      <c r="DD222" s="142"/>
      <c r="DE222" s="142"/>
      <c r="DF222" s="142"/>
      <c r="DG222" s="142"/>
      <c r="DH222" s="142"/>
      <c r="DI222" s="142"/>
      <c r="DJ222" s="142"/>
      <c r="DK222" s="142"/>
      <c r="DL222" s="142"/>
      <c r="DM222" s="142"/>
      <c r="DN222" s="142"/>
      <c r="DO222" s="142"/>
      <c r="DP222" s="142"/>
      <c r="DQ222" s="142"/>
      <c r="DR222" s="142"/>
      <c r="DS222" s="142"/>
      <c r="DT222" s="142"/>
      <c r="DU222" s="142"/>
      <c r="DV222" s="142"/>
      <c r="DW222" s="142"/>
      <c r="DX222" s="142"/>
      <c r="DY222" s="142"/>
      <c r="DZ222" s="142"/>
      <c r="EA222" s="142"/>
      <c r="EB222" s="142"/>
      <c r="EC222" s="142"/>
      <c r="ED222" s="142"/>
      <c r="EE222" s="142"/>
      <c r="EF222" s="142"/>
    </row>
    <row r="223" spans="1:136" s="151" customFormat="1" ht="19.5" customHeight="1" x14ac:dyDescent="0.2">
      <c r="A223" s="117">
        <v>220</v>
      </c>
      <c r="B223" s="121" t="s">
        <v>259</v>
      </c>
      <c r="C223" s="122">
        <v>83040048</v>
      </c>
      <c r="D223" s="117" t="s">
        <v>212</v>
      </c>
      <c r="E223" s="117" t="s">
        <v>68</v>
      </c>
      <c r="F223" s="146" t="s">
        <v>256</v>
      </c>
      <c r="G223" s="124" t="s">
        <v>69</v>
      </c>
      <c r="H223" s="93">
        <v>42317</v>
      </c>
      <c r="I223" s="93">
        <v>45961</v>
      </c>
      <c r="J223" s="92">
        <f>IF(I223="", "", DATE(YEAR(I223)+3, MONTH(I223), DAY(L223)))</f>
        <v>47056</v>
      </c>
      <c r="K223" s="93">
        <v>42317</v>
      </c>
      <c r="L223" s="93">
        <v>45960</v>
      </c>
      <c r="M223" s="140">
        <f t="shared" si="15"/>
        <v>47056</v>
      </c>
      <c r="N223" s="93">
        <v>45959</v>
      </c>
      <c r="O223" s="93">
        <v>45958</v>
      </c>
      <c r="P223" s="93">
        <v>45957</v>
      </c>
      <c r="Q223" s="167" t="s">
        <v>70</v>
      </c>
      <c r="R223" s="167" t="s">
        <v>70</v>
      </c>
      <c r="S223" s="167" t="s">
        <v>70</v>
      </c>
      <c r="T223" s="167" t="s">
        <v>70</v>
      </c>
      <c r="U223" s="167" t="s">
        <v>70</v>
      </c>
      <c r="V223" s="167" t="s">
        <v>70</v>
      </c>
      <c r="W223" s="167" t="s">
        <v>70</v>
      </c>
      <c r="X223" s="167" t="s">
        <v>70</v>
      </c>
      <c r="Y223" s="167" t="s">
        <v>70</v>
      </c>
      <c r="Z223" s="167" t="s">
        <v>70</v>
      </c>
      <c r="AA223" s="167" t="s">
        <v>70</v>
      </c>
      <c r="AB223" s="167" t="s">
        <v>70</v>
      </c>
      <c r="AC223" s="167" t="s">
        <v>70</v>
      </c>
      <c r="AD223" s="167" t="s">
        <v>70</v>
      </c>
      <c r="AE223" s="167" t="s">
        <v>70</v>
      </c>
      <c r="AF223" s="167" t="s">
        <v>70</v>
      </c>
      <c r="AG223" s="167" t="s">
        <v>70</v>
      </c>
      <c r="AH223" s="167" t="s">
        <v>70</v>
      </c>
      <c r="AI223" s="181">
        <v>46065</v>
      </c>
      <c r="AJ223" s="163">
        <v>45348</v>
      </c>
      <c r="AK223" s="167" t="s">
        <v>70</v>
      </c>
      <c r="AL223" s="167" t="s">
        <v>70</v>
      </c>
      <c r="AM223" s="167"/>
      <c r="AN223" s="167" t="s">
        <v>70</v>
      </c>
      <c r="AO223" s="167" t="s">
        <v>70</v>
      </c>
      <c r="AP223" s="167" t="s">
        <v>70</v>
      </c>
      <c r="AQ223" s="167" t="s">
        <v>70</v>
      </c>
      <c r="AR223" s="168">
        <v>46034</v>
      </c>
      <c r="AS223" s="167" t="s">
        <v>70</v>
      </c>
      <c r="AT223" s="167" t="s">
        <v>70</v>
      </c>
      <c r="AU223" s="167" t="s">
        <v>70</v>
      </c>
      <c r="AV223" s="167" t="s">
        <v>70</v>
      </c>
      <c r="AW223" s="167" t="s">
        <v>70</v>
      </c>
      <c r="AX223" s="167" t="s">
        <v>70</v>
      </c>
      <c r="AY223" s="167" t="s">
        <v>70</v>
      </c>
      <c r="AZ223" s="167" t="s">
        <v>70</v>
      </c>
      <c r="BA223" s="167" t="s">
        <v>70</v>
      </c>
      <c r="BB223" s="167" t="s">
        <v>70</v>
      </c>
      <c r="BC223" s="167" t="s">
        <v>70</v>
      </c>
      <c r="BD223" s="167" t="s">
        <v>70</v>
      </c>
      <c r="BE223" s="167" t="s">
        <v>70</v>
      </c>
      <c r="BF223" s="167" t="s">
        <v>70</v>
      </c>
      <c r="BG223" s="167" t="s">
        <v>70</v>
      </c>
      <c r="BH223" s="167" t="s">
        <v>70</v>
      </c>
      <c r="BI223" s="167" t="s">
        <v>70</v>
      </c>
      <c r="BJ223" s="167" t="s">
        <v>70</v>
      </c>
      <c r="BK223" s="167" t="s">
        <v>70</v>
      </c>
      <c r="BL223" s="167" t="s">
        <v>70</v>
      </c>
      <c r="BM223" s="167" t="s">
        <v>70</v>
      </c>
      <c r="BN223" s="167" t="s">
        <v>70</v>
      </c>
      <c r="BO223" s="167" t="s">
        <v>70</v>
      </c>
      <c r="BP223" s="167" t="s">
        <v>70</v>
      </c>
      <c r="BQ223" s="151" t="s">
        <v>256</v>
      </c>
      <c r="BR223" s="142"/>
      <c r="BS223" s="142"/>
      <c r="BT223" s="142"/>
      <c r="BU223" s="142"/>
      <c r="BV223" s="142"/>
      <c r="BW223" s="142"/>
      <c r="BX223" s="142"/>
      <c r="BY223" s="142"/>
      <c r="BZ223" s="142"/>
      <c r="CA223" s="142"/>
      <c r="CB223" s="142"/>
      <c r="CC223" s="142"/>
      <c r="CD223" s="142"/>
      <c r="CE223" s="142"/>
      <c r="CF223" s="142"/>
      <c r="CG223" s="142"/>
      <c r="CH223" s="142"/>
      <c r="CI223" s="142"/>
      <c r="CJ223" s="142"/>
      <c r="CK223" s="142"/>
      <c r="CL223" s="142"/>
      <c r="CM223" s="142"/>
      <c r="CN223" s="142"/>
      <c r="CO223" s="142"/>
      <c r="CP223" s="142"/>
      <c r="CQ223" s="142"/>
      <c r="CR223" s="142"/>
      <c r="CS223" s="142"/>
      <c r="CT223" s="142"/>
      <c r="CU223" s="142"/>
      <c r="CV223" s="142"/>
      <c r="CW223" s="142"/>
      <c r="CX223" s="142"/>
      <c r="CY223" s="142"/>
      <c r="CZ223" s="142"/>
      <c r="DA223" s="142"/>
      <c r="DB223" s="142"/>
      <c r="DC223" s="142"/>
      <c r="DD223" s="142"/>
      <c r="DE223" s="142"/>
      <c r="DF223" s="142"/>
      <c r="DG223" s="142"/>
      <c r="DH223" s="142"/>
      <c r="DI223" s="142"/>
      <c r="DJ223" s="142"/>
      <c r="DK223" s="142"/>
      <c r="DL223" s="142"/>
      <c r="DM223" s="142"/>
      <c r="DN223" s="142"/>
      <c r="DO223" s="142"/>
      <c r="DP223" s="142"/>
      <c r="DQ223" s="142"/>
      <c r="DR223" s="142"/>
      <c r="DS223" s="142"/>
      <c r="DT223" s="142"/>
      <c r="DU223" s="142"/>
      <c r="DV223" s="142"/>
      <c r="DW223" s="142"/>
      <c r="DX223" s="142"/>
      <c r="DY223" s="142"/>
      <c r="DZ223" s="142"/>
      <c r="EA223" s="142"/>
      <c r="EB223" s="142"/>
      <c r="EC223" s="142"/>
      <c r="ED223" s="142"/>
      <c r="EE223" s="142"/>
      <c r="EF223" s="142"/>
    </row>
    <row r="224" spans="1:136" s="151" customFormat="1" ht="19.5" customHeight="1" x14ac:dyDescent="0.2">
      <c r="A224" s="117">
        <v>221</v>
      </c>
      <c r="B224" s="121" t="s">
        <v>260</v>
      </c>
      <c r="C224" s="122">
        <v>154176</v>
      </c>
      <c r="D224" s="117" t="s">
        <v>212</v>
      </c>
      <c r="E224" s="117" t="s">
        <v>68</v>
      </c>
      <c r="F224" s="146" t="s">
        <v>256</v>
      </c>
      <c r="G224" s="124" t="s">
        <v>69</v>
      </c>
      <c r="H224" s="93">
        <v>46227</v>
      </c>
      <c r="I224" s="93">
        <v>46227</v>
      </c>
      <c r="J224" s="92">
        <f>IF(I224="", "", DATE(YEAR(I224)+3, MONTH(I224), DAY(L224)))</f>
        <v>47322</v>
      </c>
      <c r="K224" s="93">
        <v>46226</v>
      </c>
      <c r="L224" s="93">
        <v>46226</v>
      </c>
      <c r="M224" s="140">
        <f t="shared" si="15"/>
        <v>47322</v>
      </c>
      <c r="N224" s="93">
        <v>46223</v>
      </c>
      <c r="O224" s="93">
        <v>46224</v>
      </c>
      <c r="P224" s="93">
        <v>46225</v>
      </c>
      <c r="Q224" s="167" t="s">
        <v>70</v>
      </c>
      <c r="R224" s="167" t="s">
        <v>70</v>
      </c>
      <c r="S224" s="167" t="s">
        <v>70</v>
      </c>
      <c r="T224" s="167" t="s">
        <v>70</v>
      </c>
      <c r="U224" s="167" t="s">
        <v>70</v>
      </c>
      <c r="V224" s="167" t="s">
        <v>70</v>
      </c>
      <c r="W224" s="167" t="s">
        <v>70</v>
      </c>
      <c r="X224" s="167" t="s">
        <v>70</v>
      </c>
      <c r="Y224" s="167" t="s">
        <v>70</v>
      </c>
      <c r="Z224" s="167" t="s">
        <v>70</v>
      </c>
      <c r="AA224" s="167" t="s">
        <v>70</v>
      </c>
      <c r="AB224" s="167" t="s">
        <v>70</v>
      </c>
      <c r="AC224" s="167" t="s">
        <v>70</v>
      </c>
      <c r="AD224" s="167" t="s">
        <v>70</v>
      </c>
      <c r="AE224" s="167" t="s">
        <v>70</v>
      </c>
      <c r="AF224" s="167" t="s">
        <v>70</v>
      </c>
      <c r="AG224" s="167" t="s">
        <v>70</v>
      </c>
      <c r="AH224" s="167" t="s">
        <v>70</v>
      </c>
      <c r="AI224" s="181">
        <v>46149</v>
      </c>
      <c r="AJ224" s="163">
        <v>45345</v>
      </c>
      <c r="AK224" s="167" t="s">
        <v>70</v>
      </c>
      <c r="AL224" s="167" t="s">
        <v>70</v>
      </c>
      <c r="AM224" s="167"/>
      <c r="AN224" s="167" t="s">
        <v>70</v>
      </c>
      <c r="AO224" s="167" t="s">
        <v>70</v>
      </c>
      <c r="AP224" s="167" t="s">
        <v>70</v>
      </c>
      <c r="AQ224" s="167" t="s">
        <v>70</v>
      </c>
      <c r="AR224" s="166" t="s">
        <v>69</v>
      </c>
      <c r="AS224" s="167" t="s">
        <v>70</v>
      </c>
      <c r="AT224" s="167" t="s">
        <v>70</v>
      </c>
      <c r="AU224" s="167" t="s">
        <v>70</v>
      </c>
      <c r="AV224" s="167" t="s">
        <v>70</v>
      </c>
      <c r="AW224" s="167" t="s">
        <v>70</v>
      </c>
      <c r="AX224" s="167" t="s">
        <v>70</v>
      </c>
      <c r="AY224" s="167" t="s">
        <v>70</v>
      </c>
      <c r="AZ224" s="167" t="s">
        <v>70</v>
      </c>
      <c r="BA224" s="167" t="s">
        <v>70</v>
      </c>
      <c r="BB224" s="167" t="s">
        <v>70</v>
      </c>
      <c r="BC224" s="167" t="s">
        <v>70</v>
      </c>
      <c r="BD224" s="167" t="s">
        <v>70</v>
      </c>
      <c r="BE224" s="167" t="s">
        <v>70</v>
      </c>
      <c r="BF224" s="167" t="s">
        <v>70</v>
      </c>
      <c r="BG224" s="167" t="s">
        <v>70</v>
      </c>
      <c r="BH224" s="167" t="s">
        <v>70</v>
      </c>
      <c r="BI224" s="167" t="s">
        <v>70</v>
      </c>
      <c r="BJ224" s="167" t="s">
        <v>70</v>
      </c>
      <c r="BK224" s="167" t="s">
        <v>70</v>
      </c>
      <c r="BL224" s="167" t="s">
        <v>70</v>
      </c>
      <c r="BM224" s="167" t="s">
        <v>70</v>
      </c>
      <c r="BN224" s="167" t="s">
        <v>70</v>
      </c>
      <c r="BO224" s="167" t="s">
        <v>70</v>
      </c>
      <c r="BP224" s="167" t="s">
        <v>70</v>
      </c>
      <c r="BQ224" s="151" t="s">
        <v>256</v>
      </c>
      <c r="BR224" s="142"/>
      <c r="BS224" s="142"/>
      <c r="BT224" s="142"/>
      <c r="BU224" s="142"/>
      <c r="BV224" s="142"/>
      <c r="BW224" s="142"/>
      <c r="BX224" s="142"/>
      <c r="BY224" s="142"/>
      <c r="BZ224" s="142"/>
      <c r="CA224" s="142"/>
      <c r="CB224" s="142"/>
      <c r="CC224" s="142"/>
      <c r="CD224" s="142"/>
      <c r="CE224" s="142"/>
      <c r="CF224" s="142"/>
      <c r="CG224" s="142"/>
      <c r="CH224" s="142"/>
      <c r="CI224" s="142"/>
      <c r="CJ224" s="142"/>
      <c r="CK224" s="142"/>
      <c r="CL224" s="142"/>
      <c r="CM224" s="142"/>
      <c r="CN224" s="142"/>
      <c r="CO224" s="142"/>
      <c r="CP224" s="142"/>
      <c r="CQ224" s="142"/>
      <c r="CR224" s="142"/>
      <c r="CS224" s="142"/>
      <c r="CT224" s="142"/>
      <c r="CU224" s="142"/>
      <c r="CV224" s="142"/>
      <c r="CW224" s="142"/>
      <c r="CX224" s="142"/>
      <c r="CY224" s="142"/>
      <c r="CZ224" s="142"/>
      <c r="DA224" s="142"/>
      <c r="DB224" s="142"/>
      <c r="DC224" s="142"/>
      <c r="DD224" s="142"/>
      <c r="DE224" s="142"/>
      <c r="DF224" s="142"/>
      <c r="DG224" s="142"/>
      <c r="DH224" s="142"/>
      <c r="DI224" s="142"/>
      <c r="DJ224" s="142"/>
      <c r="DK224" s="142"/>
      <c r="DL224" s="142"/>
      <c r="DM224" s="142"/>
      <c r="DN224" s="142"/>
      <c r="DO224" s="142"/>
      <c r="DP224" s="142"/>
      <c r="DQ224" s="142"/>
      <c r="DR224" s="142"/>
      <c r="DS224" s="142"/>
      <c r="DT224" s="142"/>
      <c r="DU224" s="142"/>
      <c r="DV224" s="142"/>
      <c r="DW224" s="142"/>
      <c r="DX224" s="142"/>
      <c r="DY224" s="142"/>
      <c r="DZ224" s="142"/>
      <c r="EA224" s="142"/>
      <c r="EB224" s="142"/>
      <c r="EC224" s="142"/>
      <c r="ED224" s="142"/>
      <c r="EE224" s="142"/>
      <c r="EF224" s="142"/>
    </row>
    <row r="225" spans="1:136" s="151" customFormat="1" ht="19.5" customHeight="1" x14ac:dyDescent="0.2">
      <c r="A225" s="117">
        <v>222</v>
      </c>
      <c r="B225" s="121" t="s">
        <v>261</v>
      </c>
      <c r="C225" s="122">
        <v>221925</v>
      </c>
      <c r="D225" s="117" t="s">
        <v>212</v>
      </c>
      <c r="E225" s="117" t="s">
        <v>68</v>
      </c>
      <c r="F225" s="146" t="s">
        <v>256</v>
      </c>
      <c r="G225" s="124" t="s">
        <v>69</v>
      </c>
      <c r="H225" s="93">
        <v>44749</v>
      </c>
      <c r="I225" s="93">
        <v>46051</v>
      </c>
      <c r="J225" s="92">
        <f>IF(I225="", "", DATE(YEAR(I225)+3, MONTH(I225), DAY(L225)))</f>
        <v>47148</v>
      </c>
      <c r="K225" s="93">
        <v>44749</v>
      </c>
      <c r="L225" s="93">
        <v>46052</v>
      </c>
      <c r="M225" s="140">
        <f t="shared" si="15"/>
        <v>47148</v>
      </c>
      <c r="N225" s="93">
        <v>46048</v>
      </c>
      <c r="O225" s="93">
        <v>46049</v>
      </c>
      <c r="P225" s="93">
        <v>46050</v>
      </c>
      <c r="Q225" s="167" t="s">
        <v>70</v>
      </c>
      <c r="R225" s="167" t="s">
        <v>70</v>
      </c>
      <c r="S225" s="167" t="s">
        <v>70</v>
      </c>
      <c r="T225" s="167" t="s">
        <v>70</v>
      </c>
      <c r="U225" s="167" t="s">
        <v>70</v>
      </c>
      <c r="V225" s="167" t="s">
        <v>70</v>
      </c>
      <c r="W225" s="167" t="s">
        <v>70</v>
      </c>
      <c r="X225" s="167" t="s">
        <v>70</v>
      </c>
      <c r="Y225" s="167" t="s">
        <v>70</v>
      </c>
      <c r="Z225" s="167" t="s">
        <v>70</v>
      </c>
      <c r="AA225" s="167" t="s">
        <v>70</v>
      </c>
      <c r="AB225" s="167" t="s">
        <v>70</v>
      </c>
      <c r="AC225" s="167" t="s">
        <v>70</v>
      </c>
      <c r="AD225" s="167" t="s">
        <v>70</v>
      </c>
      <c r="AE225" s="167" t="s">
        <v>70</v>
      </c>
      <c r="AF225" s="167" t="s">
        <v>70</v>
      </c>
      <c r="AG225" s="167" t="s">
        <v>70</v>
      </c>
      <c r="AH225" s="167" t="s">
        <v>70</v>
      </c>
      <c r="AI225" s="163">
        <v>46086</v>
      </c>
      <c r="AJ225" s="163">
        <v>45348</v>
      </c>
      <c r="AK225" s="167" t="s">
        <v>70</v>
      </c>
      <c r="AL225" s="167" t="s">
        <v>70</v>
      </c>
      <c r="AM225" s="167"/>
      <c r="AN225" s="167" t="s">
        <v>70</v>
      </c>
      <c r="AO225" s="167" t="s">
        <v>70</v>
      </c>
      <c r="AP225" s="167" t="s">
        <v>70</v>
      </c>
      <c r="AQ225" s="167" t="s">
        <v>70</v>
      </c>
      <c r="AR225" s="166" t="s">
        <v>69</v>
      </c>
      <c r="AS225" s="167" t="s">
        <v>70</v>
      </c>
      <c r="AT225" s="167" t="s">
        <v>70</v>
      </c>
      <c r="AU225" s="167" t="s">
        <v>70</v>
      </c>
      <c r="AV225" s="167" t="s">
        <v>70</v>
      </c>
      <c r="AW225" s="167" t="s">
        <v>70</v>
      </c>
      <c r="AX225" s="167" t="s">
        <v>70</v>
      </c>
      <c r="AY225" s="167" t="s">
        <v>70</v>
      </c>
      <c r="AZ225" s="167" t="s">
        <v>70</v>
      </c>
      <c r="BA225" s="167" t="s">
        <v>70</v>
      </c>
      <c r="BB225" s="167" t="s">
        <v>70</v>
      </c>
      <c r="BC225" s="167" t="s">
        <v>70</v>
      </c>
      <c r="BD225" s="167" t="s">
        <v>70</v>
      </c>
      <c r="BE225" s="167" t="s">
        <v>70</v>
      </c>
      <c r="BF225" s="167" t="s">
        <v>70</v>
      </c>
      <c r="BG225" s="167" t="s">
        <v>70</v>
      </c>
      <c r="BH225" s="167" t="s">
        <v>70</v>
      </c>
      <c r="BI225" s="167" t="s">
        <v>70</v>
      </c>
      <c r="BJ225" s="167" t="s">
        <v>70</v>
      </c>
      <c r="BK225" s="167" t="s">
        <v>70</v>
      </c>
      <c r="BL225" s="167" t="s">
        <v>70</v>
      </c>
      <c r="BM225" s="167" t="s">
        <v>70</v>
      </c>
      <c r="BN225" s="167" t="s">
        <v>70</v>
      </c>
      <c r="BO225" s="167" t="s">
        <v>70</v>
      </c>
      <c r="BP225" s="167" t="s">
        <v>70</v>
      </c>
      <c r="BQ225" s="151" t="s">
        <v>256</v>
      </c>
      <c r="BR225" s="142"/>
      <c r="BS225" s="142"/>
      <c r="BT225" s="142"/>
      <c r="BU225" s="142"/>
      <c r="BV225" s="142"/>
      <c r="BW225" s="142"/>
      <c r="BX225" s="142"/>
      <c r="BY225" s="142"/>
      <c r="BZ225" s="142"/>
      <c r="CA225" s="142"/>
      <c r="CB225" s="142"/>
      <c r="CC225" s="142"/>
      <c r="CD225" s="142"/>
      <c r="CE225" s="142"/>
      <c r="CF225" s="142"/>
      <c r="CG225" s="142"/>
      <c r="CH225" s="142"/>
      <c r="CI225" s="142"/>
      <c r="CJ225" s="142"/>
      <c r="CK225" s="142"/>
      <c r="CL225" s="142"/>
      <c r="CM225" s="142"/>
      <c r="CN225" s="142"/>
      <c r="CO225" s="142"/>
      <c r="CP225" s="142"/>
      <c r="CQ225" s="142"/>
      <c r="CR225" s="142"/>
      <c r="CS225" s="142"/>
      <c r="CT225" s="142"/>
      <c r="CU225" s="142"/>
      <c r="CV225" s="142"/>
      <c r="CW225" s="142"/>
      <c r="CX225" s="142"/>
      <c r="CY225" s="142"/>
      <c r="CZ225" s="142"/>
      <c r="DA225" s="142"/>
      <c r="DB225" s="142"/>
      <c r="DC225" s="142"/>
      <c r="DD225" s="142"/>
      <c r="DE225" s="142"/>
      <c r="DF225" s="142"/>
      <c r="DG225" s="142"/>
      <c r="DH225" s="142"/>
      <c r="DI225" s="142"/>
      <c r="DJ225" s="142"/>
      <c r="DK225" s="142"/>
      <c r="DL225" s="142"/>
      <c r="DM225" s="142"/>
      <c r="DN225" s="142"/>
      <c r="DO225" s="142"/>
      <c r="DP225" s="142"/>
      <c r="DQ225" s="142"/>
      <c r="DR225" s="142"/>
      <c r="DS225" s="142"/>
      <c r="DT225" s="142"/>
      <c r="DU225" s="142"/>
      <c r="DV225" s="142"/>
      <c r="DW225" s="142"/>
      <c r="DX225" s="142"/>
      <c r="DY225" s="142"/>
      <c r="DZ225" s="142"/>
      <c r="EA225" s="142"/>
      <c r="EB225" s="142"/>
      <c r="EC225" s="142"/>
      <c r="ED225" s="142"/>
      <c r="EE225" s="142"/>
      <c r="EF225" s="142"/>
    </row>
    <row r="226" spans="1:136" s="151" customFormat="1" ht="19.5" customHeight="1" x14ac:dyDescent="0.2">
      <c r="A226" s="117">
        <v>223</v>
      </c>
      <c r="B226" s="121" t="s">
        <v>262</v>
      </c>
      <c r="C226" s="122">
        <v>83104431</v>
      </c>
      <c r="D226" s="117" t="s">
        <v>212</v>
      </c>
      <c r="E226" s="117" t="s">
        <v>68</v>
      </c>
      <c r="F226" s="146" t="s">
        <v>256</v>
      </c>
      <c r="G226" s="124" t="s">
        <v>69</v>
      </c>
      <c r="H226" s="93">
        <v>46218</v>
      </c>
      <c r="I226" s="93">
        <v>46218</v>
      </c>
      <c r="J226" s="92">
        <f>IF(I226="", "", DATE(YEAR(I226)+3, MONTH(I226), DAY(L226)))</f>
        <v>47327</v>
      </c>
      <c r="K226" s="93">
        <v>45685</v>
      </c>
      <c r="L226" s="93">
        <v>45685</v>
      </c>
      <c r="M226" s="140">
        <f t="shared" si="15"/>
        <v>46780</v>
      </c>
      <c r="N226" s="93">
        <v>46185</v>
      </c>
      <c r="O226" s="93">
        <v>46216</v>
      </c>
      <c r="P226" s="93">
        <v>46217</v>
      </c>
      <c r="Q226" s="167" t="s">
        <v>70</v>
      </c>
      <c r="R226" s="167" t="s">
        <v>70</v>
      </c>
      <c r="S226" s="167" t="s">
        <v>70</v>
      </c>
      <c r="T226" s="167" t="s">
        <v>70</v>
      </c>
      <c r="U226" s="167" t="s">
        <v>70</v>
      </c>
      <c r="V226" s="167" t="s">
        <v>70</v>
      </c>
      <c r="W226" s="167" t="s">
        <v>70</v>
      </c>
      <c r="X226" s="167" t="s">
        <v>70</v>
      </c>
      <c r="Y226" s="167" t="s">
        <v>70</v>
      </c>
      <c r="Z226" s="167" t="s">
        <v>70</v>
      </c>
      <c r="AA226" s="167" t="s">
        <v>70</v>
      </c>
      <c r="AB226" s="167" t="s">
        <v>70</v>
      </c>
      <c r="AC226" s="167" t="s">
        <v>70</v>
      </c>
      <c r="AD226" s="167" t="s">
        <v>70</v>
      </c>
      <c r="AE226" s="167" t="s">
        <v>70</v>
      </c>
      <c r="AF226" s="167" t="s">
        <v>70</v>
      </c>
      <c r="AG226" s="167" t="s">
        <v>70</v>
      </c>
      <c r="AH226" s="167" t="s">
        <v>70</v>
      </c>
      <c r="AI226" s="181">
        <v>46272</v>
      </c>
      <c r="AJ226" s="163">
        <v>45352</v>
      </c>
      <c r="AK226" s="167" t="s">
        <v>70</v>
      </c>
      <c r="AL226" s="167" t="s">
        <v>70</v>
      </c>
      <c r="AM226" s="167"/>
      <c r="AN226" s="167" t="s">
        <v>70</v>
      </c>
      <c r="AO226" s="167" t="s">
        <v>70</v>
      </c>
      <c r="AP226" s="167" t="s">
        <v>70</v>
      </c>
      <c r="AQ226" s="167" t="s">
        <v>70</v>
      </c>
      <c r="AR226" s="166" t="s">
        <v>69</v>
      </c>
      <c r="AS226" s="167" t="s">
        <v>70</v>
      </c>
      <c r="AT226" s="167" t="s">
        <v>70</v>
      </c>
      <c r="AU226" s="167" t="s">
        <v>70</v>
      </c>
      <c r="AV226" s="167" t="s">
        <v>70</v>
      </c>
      <c r="AW226" s="167" t="s">
        <v>70</v>
      </c>
      <c r="AX226" s="167" t="s">
        <v>70</v>
      </c>
      <c r="AY226" s="167" t="s">
        <v>70</v>
      </c>
      <c r="AZ226" s="167" t="s">
        <v>70</v>
      </c>
      <c r="BA226" s="167" t="s">
        <v>70</v>
      </c>
      <c r="BB226" s="167" t="s">
        <v>70</v>
      </c>
      <c r="BC226" s="167" t="s">
        <v>70</v>
      </c>
      <c r="BD226" s="167" t="s">
        <v>70</v>
      </c>
      <c r="BE226" s="167" t="s">
        <v>70</v>
      </c>
      <c r="BF226" s="167" t="s">
        <v>70</v>
      </c>
      <c r="BG226" s="167" t="s">
        <v>70</v>
      </c>
      <c r="BH226" s="167" t="s">
        <v>70</v>
      </c>
      <c r="BI226" s="167" t="s">
        <v>70</v>
      </c>
      <c r="BJ226" s="167" t="s">
        <v>70</v>
      </c>
      <c r="BK226" s="167" t="s">
        <v>70</v>
      </c>
      <c r="BL226" s="167" t="s">
        <v>70</v>
      </c>
      <c r="BM226" s="167" t="s">
        <v>70</v>
      </c>
      <c r="BN226" s="167" t="s">
        <v>70</v>
      </c>
      <c r="BO226" s="167" t="s">
        <v>70</v>
      </c>
      <c r="BP226" s="167" t="s">
        <v>70</v>
      </c>
      <c r="BQ226" s="151" t="s">
        <v>256</v>
      </c>
      <c r="BR226" s="142"/>
      <c r="BS226" s="142"/>
      <c r="BT226" s="142"/>
      <c r="BU226" s="142"/>
      <c r="BV226" s="142"/>
      <c r="BW226" s="142"/>
      <c r="BX226" s="142"/>
      <c r="BY226" s="142"/>
      <c r="BZ226" s="142"/>
      <c r="CA226" s="142"/>
      <c r="CB226" s="142"/>
      <c r="CC226" s="142"/>
      <c r="CD226" s="142"/>
      <c r="CE226" s="142"/>
      <c r="CF226" s="142"/>
      <c r="CG226" s="142"/>
      <c r="CH226" s="142"/>
      <c r="CI226" s="142"/>
      <c r="CJ226" s="142"/>
      <c r="CK226" s="142"/>
      <c r="CL226" s="142"/>
      <c r="CM226" s="142"/>
      <c r="CN226" s="142"/>
      <c r="CO226" s="142"/>
      <c r="CP226" s="142"/>
      <c r="CQ226" s="142"/>
      <c r="CR226" s="142"/>
      <c r="CS226" s="142"/>
      <c r="CT226" s="142"/>
      <c r="CU226" s="142"/>
      <c r="CV226" s="142"/>
      <c r="CW226" s="142"/>
      <c r="CX226" s="142"/>
      <c r="CY226" s="142"/>
      <c r="CZ226" s="142"/>
      <c r="DA226" s="142"/>
      <c r="DB226" s="142"/>
      <c r="DC226" s="142"/>
      <c r="DD226" s="142"/>
      <c r="DE226" s="142"/>
      <c r="DF226" s="142"/>
      <c r="DG226" s="142"/>
      <c r="DH226" s="142"/>
      <c r="DI226" s="142"/>
      <c r="DJ226" s="142"/>
      <c r="DK226" s="142"/>
      <c r="DL226" s="142"/>
      <c r="DM226" s="142"/>
      <c r="DN226" s="142"/>
      <c r="DO226" s="142"/>
      <c r="DP226" s="142"/>
      <c r="DQ226" s="142"/>
      <c r="DR226" s="142"/>
      <c r="DS226" s="142"/>
      <c r="DT226" s="142"/>
      <c r="DU226" s="142"/>
      <c r="DV226" s="142"/>
      <c r="DW226" s="142"/>
      <c r="DX226" s="142"/>
      <c r="DY226" s="142"/>
      <c r="DZ226" s="142"/>
      <c r="EA226" s="142"/>
      <c r="EB226" s="142"/>
      <c r="EC226" s="142"/>
      <c r="ED226" s="142"/>
      <c r="EE226" s="142"/>
      <c r="EF226" s="142"/>
    </row>
    <row r="227" spans="1:136" s="151" customFormat="1" ht="19.5" customHeight="1" x14ac:dyDescent="0.2">
      <c r="A227" s="117">
        <v>224</v>
      </c>
      <c r="B227" s="121" t="s">
        <v>263</v>
      </c>
      <c r="C227" s="122">
        <v>147322</v>
      </c>
      <c r="D227" s="117" t="s">
        <v>212</v>
      </c>
      <c r="E227" s="117" t="s">
        <v>68</v>
      </c>
      <c r="F227" s="146" t="s">
        <v>256</v>
      </c>
      <c r="G227" s="124" t="s">
        <v>69</v>
      </c>
      <c r="H227" s="93">
        <v>46164</v>
      </c>
      <c r="I227" s="93">
        <v>46164</v>
      </c>
      <c r="J227" s="92">
        <f>IF(I227="", "", DATE(YEAR(I227)+3, MONTH(I227), DAY(L227)))</f>
        <v>47259</v>
      </c>
      <c r="K227" s="93">
        <v>46163</v>
      </c>
      <c r="L227" s="93">
        <v>46163</v>
      </c>
      <c r="M227" s="140">
        <f t="shared" si="15"/>
        <v>47259</v>
      </c>
      <c r="N227" s="93">
        <v>46167</v>
      </c>
      <c r="O227" s="93">
        <v>46161</v>
      </c>
      <c r="P227" s="93">
        <v>46162</v>
      </c>
      <c r="Q227" s="167" t="s">
        <v>70</v>
      </c>
      <c r="R227" s="167" t="s">
        <v>70</v>
      </c>
      <c r="S227" s="167" t="s">
        <v>70</v>
      </c>
      <c r="T227" s="167" t="s">
        <v>70</v>
      </c>
      <c r="U227" s="167" t="s">
        <v>70</v>
      </c>
      <c r="V227" s="167" t="s">
        <v>70</v>
      </c>
      <c r="W227" s="167" t="s">
        <v>70</v>
      </c>
      <c r="X227" s="167" t="s">
        <v>70</v>
      </c>
      <c r="Y227" s="167" t="s">
        <v>70</v>
      </c>
      <c r="Z227" s="167" t="s">
        <v>70</v>
      </c>
      <c r="AA227" s="167" t="s">
        <v>70</v>
      </c>
      <c r="AB227" s="167" t="s">
        <v>70</v>
      </c>
      <c r="AC227" s="167" t="s">
        <v>70</v>
      </c>
      <c r="AD227" s="167" t="s">
        <v>70</v>
      </c>
      <c r="AE227" s="167" t="s">
        <v>70</v>
      </c>
      <c r="AF227" s="167" t="s">
        <v>70</v>
      </c>
      <c r="AG227" s="167" t="s">
        <v>70</v>
      </c>
      <c r="AH227" s="167" t="s">
        <v>70</v>
      </c>
      <c r="AI227" s="181">
        <v>46128</v>
      </c>
      <c r="AJ227" s="163">
        <v>45359</v>
      </c>
      <c r="AK227" s="167" t="s">
        <v>70</v>
      </c>
      <c r="AL227" s="167" t="s">
        <v>70</v>
      </c>
      <c r="AM227" s="167"/>
      <c r="AN227" s="167" t="s">
        <v>70</v>
      </c>
      <c r="AO227" s="167" t="s">
        <v>70</v>
      </c>
      <c r="AP227" s="167" t="s">
        <v>70</v>
      </c>
      <c r="AQ227" s="167" t="s">
        <v>70</v>
      </c>
      <c r="AR227" s="166" t="s">
        <v>69</v>
      </c>
      <c r="AS227" s="167" t="s">
        <v>70</v>
      </c>
      <c r="AT227" s="167" t="s">
        <v>70</v>
      </c>
      <c r="AU227" s="167" t="s">
        <v>70</v>
      </c>
      <c r="AV227" s="167" t="s">
        <v>70</v>
      </c>
      <c r="AW227" s="167" t="s">
        <v>70</v>
      </c>
      <c r="AX227" s="167" t="s">
        <v>70</v>
      </c>
      <c r="AY227" s="167" t="s">
        <v>70</v>
      </c>
      <c r="AZ227" s="167" t="s">
        <v>70</v>
      </c>
      <c r="BA227" s="167" t="s">
        <v>70</v>
      </c>
      <c r="BB227" s="167" t="s">
        <v>70</v>
      </c>
      <c r="BC227" s="167" t="s">
        <v>70</v>
      </c>
      <c r="BD227" s="167" t="s">
        <v>70</v>
      </c>
      <c r="BE227" s="167" t="s">
        <v>70</v>
      </c>
      <c r="BF227" s="167" t="s">
        <v>70</v>
      </c>
      <c r="BG227" s="167" t="s">
        <v>70</v>
      </c>
      <c r="BH227" s="167" t="s">
        <v>70</v>
      </c>
      <c r="BI227" s="167" t="s">
        <v>70</v>
      </c>
      <c r="BJ227" s="167" t="s">
        <v>70</v>
      </c>
      <c r="BK227" s="167" t="s">
        <v>70</v>
      </c>
      <c r="BL227" s="167" t="s">
        <v>70</v>
      </c>
      <c r="BM227" s="167" t="s">
        <v>70</v>
      </c>
      <c r="BN227" s="167" t="s">
        <v>70</v>
      </c>
      <c r="BO227" s="167" t="s">
        <v>70</v>
      </c>
      <c r="BP227" s="167" t="s">
        <v>70</v>
      </c>
      <c r="BQ227" s="151" t="s">
        <v>256</v>
      </c>
      <c r="BR227" s="142"/>
      <c r="BS227" s="142"/>
      <c r="BT227" s="142"/>
      <c r="BU227" s="142"/>
      <c r="BV227" s="142"/>
      <c r="BW227" s="142"/>
      <c r="BX227" s="142"/>
      <c r="BY227" s="142"/>
      <c r="BZ227" s="142"/>
      <c r="CA227" s="142"/>
      <c r="CB227" s="142"/>
      <c r="CC227" s="142"/>
      <c r="CD227" s="142"/>
      <c r="CE227" s="142"/>
      <c r="CF227" s="142"/>
      <c r="CG227" s="142"/>
      <c r="CH227" s="142"/>
      <c r="CI227" s="142"/>
      <c r="CJ227" s="142"/>
      <c r="CK227" s="142"/>
      <c r="CL227" s="142"/>
      <c r="CM227" s="142"/>
      <c r="CN227" s="142"/>
      <c r="CO227" s="142"/>
      <c r="CP227" s="142"/>
      <c r="CQ227" s="142"/>
      <c r="CR227" s="142"/>
      <c r="CS227" s="142"/>
      <c r="CT227" s="142"/>
      <c r="CU227" s="142"/>
      <c r="CV227" s="142"/>
      <c r="CW227" s="142"/>
      <c r="CX227" s="142"/>
      <c r="CY227" s="142"/>
      <c r="CZ227" s="142"/>
      <c r="DA227" s="142"/>
      <c r="DB227" s="142"/>
      <c r="DC227" s="142"/>
      <c r="DD227" s="142"/>
      <c r="DE227" s="142"/>
      <c r="DF227" s="142"/>
      <c r="DG227" s="142"/>
      <c r="DH227" s="142"/>
      <c r="DI227" s="142"/>
      <c r="DJ227" s="142"/>
      <c r="DK227" s="142"/>
      <c r="DL227" s="142"/>
      <c r="DM227" s="142"/>
      <c r="DN227" s="142"/>
      <c r="DO227" s="142"/>
      <c r="DP227" s="142"/>
      <c r="DQ227" s="142"/>
      <c r="DR227" s="142"/>
      <c r="DS227" s="142"/>
      <c r="DT227" s="142"/>
      <c r="DU227" s="142"/>
      <c r="DV227" s="142"/>
      <c r="DW227" s="142"/>
      <c r="DX227" s="142"/>
      <c r="DY227" s="142"/>
      <c r="DZ227" s="142"/>
      <c r="EA227" s="142"/>
      <c r="EB227" s="142"/>
      <c r="EC227" s="142"/>
      <c r="ED227" s="142"/>
      <c r="EE227" s="142"/>
      <c r="EF227" s="142"/>
    </row>
    <row r="228" spans="1:136" s="151" customFormat="1" ht="19.5" customHeight="1" x14ac:dyDescent="0.2">
      <c r="A228" s="117">
        <v>225</v>
      </c>
      <c r="B228" s="121" t="s">
        <v>264</v>
      </c>
      <c r="C228" s="122">
        <v>83119917</v>
      </c>
      <c r="D228" s="117" t="s">
        <v>212</v>
      </c>
      <c r="E228" s="117" t="s">
        <v>68</v>
      </c>
      <c r="F228" s="146" t="s">
        <v>256</v>
      </c>
      <c r="G228" s="124" t="s">
        <v>69</v>
      </c>
      <c r="H228" s="93">
        <v>46248</v>
      </c>
      <c r="I228" s="93">
        <v>46248</v>
      </c>
      <c r="J228" s="92">
        <f>IF(I228="", "", DATE(YEAR(I228)+3, MONTH(I228), DAY(I228)))</f>
        <v>47344</v>
      </c>
      <c r="K228" s="93">
        <v>46247</v>
      </c>
      <c r="L228" s="93">
        <v>46247</v>
      </c>
      <c r="M228" s="140">
        <f t="shared" si="15"/>
        <v>47343</v>
      </c>
      <c r="N228" s="93">
        <v>46245</v>
      </c>
      <c r="O228" s="93"/>
      <c r="P228" s="93">
        <v>46246</v>
      </c>
      <c r="Q228" s="167" t="s">
        <v>70</v>
      </c>
      <c r="R228" s="167" t="s">
        <v>70</v>
      </c>
      <c r="S228" s="167" t="s">
        <v>70</v>
      </c>
      <c r="T228" s="167" t="s">
        <v>70</v>
      </c>
      <c r="U228" s="167" t="s">
        <v>70</v>
      </c>
      <c r="V228" s="167" t="s">
        <v>70</v>
      </c>
      <c r="W228" s="167" t="s">
        <v>70</v>
      </c>
      <c r="X228" s="167" t="s">
        <v>70</v>
      </c>
      <c r="Y228" s="167" t="s">
        <v>70</v>
      </c>
      <c r="Z228" s="167" t="s">
        <v>70</v>
      </c>
      <c r="AA228" s="167" t="s">
        <v>70</v>
      </c>
      <c r="AB228" s="167" t="s">
        <v>70</v>
      </c>
      <c r="AC228" s="167" t="s">
        <v>70</v>
      </c>
      <c r="AD228" s="167" t="s">
        <v>70</v>
      </c>
      <c r="AE228" s="167" t="s">
        <v>70</v>
      </c>
      <c r="AF228" s="167" t="s">
        <v>70</v>
      </c>
      <c r="AG228" s="167" t="s">
        <v>70</v>
      </c>
      <c r="AH228" s="167" t="s">
        <v>70</v>
      </c>
      <c r="AI228" s="187">
        <v>45995</v>
      </c>
      <c r="AJ228" s="163">
        <v>45355</v>
      </c>
      <c r="AK228" s="167" t="s">
        <v>70</v>
      </c>
      <c r="AL228" s="167" t="s">
        <v>70</v>
      </c>
      <c r="AM228" s="167"/>
      <c r="AN228" s="167" t="s">
        <v>70</v>
      </c>
      <c r="AO228" s="167" t="s">
        <v>70</v>
      </c>
      <c r="AP228" s="167" t="s">
        <v>70</v>
      </c>
      <c r="AQ228" s="167" t="s">
        <v>70</v>
      </c>
      <c r="AR228" s="166" t="s">
        <v>69</v>
      </c>
      <c r="AS228" s="167" t="s">
        <v>70</v>
      </c>
      <c r="AT228" s="167" t="s">
        <v>70</v>
      </c>
      <c r="AU228" s="167" t="s">
        <v>70</v>
      </c>
      <c r="AV228" s="167" t="s">
        <v>70</v>
      </c>
      <c r="AW228" s="167" t="s">
        <v>70</v>
      </c>
      <c r="AX228" s="167" t="s">
        <v>70</v>
      </c>
      <c r="AY228" s="167" t="s">
        <v>70</v>
      </c>
      <c r="AZ228" s="167" t="s">
        <v>70</v>
      </c>
      <c r="BA228" s="167" t="s">
        <v>70</v>
      </c>
      <c r="BB228" s="167" t="s">
        <v>70</v>
      </c>
      <c r="BC228" s="167" t="s">
        <v>70</v>
      </c>
      <c r="BD228" s="167" t="s">
        <v>70</v>
      </c>
      <c r="BE228" s="167" t="s">
        <v>70</v>
      </c>
      <c r="BF228" s="167" t="s">
        <v>70</v>
      </c>
      <c r="BG228" s="167" t="s">
        <v>70</v>
      </c>
      <c r="BH228" s="167" t="s">
        <v>70</v>
      </c>
      <c r="BI228" s="167" t="s">
        <v>70</v>
      </c>
      <c r="BJ228" s="167" t="s">
        <v>70</v>
      </c>
      <c r="BK228" s="167" t="s">
        <v>70</v>
      </c>
      <c r="BL228" s="167" t="s">
        <v>70</v>
      </c>
      <c r="BM228" s="167" t="s">
        <v>70</v>
      </c>
      <c r="BN228" s="167" t="s">
        <v>70</v>
      </c>
      <c r="BO228" s="167" t="s">
        <v>70</v>
      </c>
      <c r="BP228" s="167" t="s">
        <v>70</v>
      </c>
      <c r="BQ228" s="151" t="s">
        <v>256</v>
      </c>
    </row>
    <row r="229" spans="1:136" s="151" customFormat="1" ht="19.5" customHeight="1" x14ac:dyDescent="0.2">
      <c r="A229" s="117">
        <v>226</v>
      </c>
      <c r="B229" s="121" t="s">
        <v>265</v>
      </c>
      <c r="C229" s="122">
        <v>83102553</v>
      </c>
      <c r="D229" s="117" t="s">
        <v>212</v>
      </c>
      <c r="E229" s="117" t="s">
        <v>68</v>
      </c>
      <c r="F229" s="146" t="s">
        <v>256</v>
      </c>
      <c r="G229" s="124" t="s">
        <v>69</v>
      </c>
      <c r="H229" s="93">
        <v>46282</v>
      </c>
      <c r="I229" s="93">
        <v>46282</v>
      </c>
      <c r="J229" s="92">
        <f>IF(I229="", "", DATE(YEAR(I229)+3, MONTH(I229), DAY(L229)))</f>
        <v>47377</v>
      </c>
      <c r="K229" s="93">
        <v>46281</v>
      </c>
      <c r="L229" s="93">
        <v>46281</v>
      </c>
      <c r="M229" s="140">
        <f t="shared" si="15"/>
        <v>47377</v>
      </c>
      <c r="N229" s="93">
        <v>46279</v>
      </c>
      <c r="O229" s="93">
        <v>46286</v>
      </c>
      <c r="P229" s="93">
        <v>46280</v>
      </c>
      <c r="Q229" s="167" t="s">
        <v>70</v>
      </c>
      <c r="R229" s="167" t="s">
        <v>70</v>
      </c>
      <c r="S229" s="167" t="s">
        <v>70</v>
      </c>
      <c r="T229" s="167" t="s">
        <v>70</v>
      </c>
      <c r="U229" s="167" t="s">
        <v>70</v>
      </c>
      <c r="V229" s="167" t="s">
        <v>70</v>
      </c>
      <c r="W229" s="167" t="s">
        <v>70</v>
      </c>
      <c r="X229" s="167" t="s">
        <v>70</v>
      </c>
      <c r="Y229" s="167" t="s">
        <v>70</v>
      </c>
      <c r="Z229" s="167" t="s">
        <v>70</v>
      </c>
      <c r="AA229" s="167" t="s">
        <v>70</v>
      </c>
      <c r="AB229" s="167" t="s">
        <v>70</v>
      </c>
      <c r="AC229" s="167" t="s">
        <v>70</v>
      </c>
      <c r="AD229" s="167" t="s">
        <v>70</v>
      </c>
      <c r="AE229" s="167" t="s">
        <v>70</v>
      </c>
      <c r="AF229" s="167" t="s">
        <v>70</v>
      </c>
      <c r="AG229" s="167" t="s">
        <v>70</v>
      </c>
      <c r="AH229" s="167" t="s">
        <v>70</v>
      </c>
      <c r="AI229" s="111">
        <v>45939</v>
      </c>
      <c r="AJ229" s="163">
        <v>45345</v>
      </c>
      <c r="AK229" s="167" t="s">
        <v>70</v>
      </c>
      <c r="AL229" s="167" t="s">
        <v>70</v>
      </c>
      <c r="AM229" s="167"/>
      <c r="AN229" s="167" t="s">
        <v>70</v>
      </c>
      <c r="AO229" s="167" t="s">
        <v>70</v>
      </c>
      <c r="AP229" s="167" t="s">
        <v>70</v>
      </c>
      <c r="AQ229" s="167" t="s">
        <v>70</v>
      </c>
      <c r="AR229" s="166" t="s">
        <v>69</v>
      </c>
      <c r="AS229" s="167" t="s">
        <v>70</v>
      </c>
      <c r="AT229" s="167" t="s">
        <v>70</v>
      </c>
      <c r="AU229" s="167" t="s">
        <v>70</v>
      </c>
      <c r="AV229" s="167" t="s">
        <v>70</v>
      </c>
      <c r="AW229" s="167" t="s">
        <v>70</v>
      </c>
      <c r="AX229" s="167" t="s">
        <v>70</v>
      </c>
      <c r="AY229" s="167" t="s">
        <v>70</v>
      </c>
      <c r="AZ229" s="167" t="s">
        <v>70</v>
      </c>
      <c r="BA229" s="167" t="s">
        <v>70</v>
      </c>
      <c r="BB229" s="167" t="s">
        <v>70</v>
      </c>
      <c r="BC229" s="167" t="s">
        <v>70</v>
      </c>
      <c r="BD229" s="167" t="s">
        <v>70</v>
      </c>
      <c r="BE229" s="167" t="s">
        <v>70</v>
      </c>
      <c r="BF229" s="167" t="s">
        <v>70</v>
      </c>
      <c r="BG229" s="167" t="s">
        <v>70</v>
      </c>
      <c r="BH229" s="167" t="s">
        <v>70</v>
      </c>
      <c r="BI229" s="167" t="s">
        <v>70</v>
      </c>
      <c r="BJ229" s="167" t="s">
        <v>70</v>
      </c>
      <c r="BK229" s="167" t="s">
        <v>70</v>
      </c>
      <c r="BL229" s="167" t="s">
        <v>70</v>
      </c>
      <c r="BM229" s="167" t="s">
        <v>70</v>
      </c>
      <c r="BN229" s="167" t="s">
        <v>70</v>
      </c>
      <c r="BO229" s="167" t="s">
        <v>70</v>
      </c>
      <c r="BP229" s="167" t="s">
        <v>70</v>
      </c>
      <c r="BQ229" s="151" t="s">
        <v>256</v>
      </c>
    </row>
    <row r="230" spans="1:136" s="151" customFormat="1" ht="19.5" customHeight="1" x14ac:dyDescent="0.2">
      <c r="A230" s="117">
        <v>227</v>
      </c>
      <c r="B230" s="121" t="s">
        <v>266</v>
      </c>
      <c r="C230" s="122">
        <v>83105165</v>
      </c>
      <c r="D230" s="117" t="s">
        <v>212</v>
      </c>
      <c r="E230" s="117" t="s">
        <v>68</v>
      </c>
      <c r="F230" s="146" t="s">
        <v>256</v>
      </c>
      <c r="G230" s="124" t="s">
        <v>69</v>
      </c>
      <c r="H230" s="93"/>
      <c r="I230" s="93"/>
      <c r="J230" s="92" t="str">
        <f>IF(I230="", "", DATE(YEAR(I230)+3, MONTH(I230), DAY(L230)))</f>
        <v/>
      </c>
      <c r="K230" s="93"/>
      <c r="L230" s="93"/>
      <c r="M230" s="140" t="str">
        <f t="shared" si="15"/>
        <v/>
      </c>
      <c r="N230" s="93"/>
      <c r="O230" s="93"/>
      <c r="P230" s="93"/>
      <c r="Q230" s="167" t="s">
        <v>70</v>
      </c>
      <c r="R230" s="167" t="s">
        <v>70</v>
      </c>
      <c r="S230" s="167" t="s">
        <v>70</v>
      </c>
      <c r="T230" s="167" t="s">
        <v>70</v>
      </c>
      <c r="U230" s="167" t="s">
        <v>70</v>
      </c>
      <c r="V230" s="167" t="s">
        <v>70</v>
      </c>
      <c r="W230" s="167" t="s">
        <v>70</v>
      </c>
      <c r="X230" s="167" t="s">
        <v>70</v>
      </c>
      <c r="Y230" s="167" t="s">
        <v>70</v>
      </c>
      <c r="Z230" s="167" t="s">
        <v>70</v>
      </c>
      <c r="AA230" s="167" t="s">
        <v>70</v>
      </c>
      <c r="AB230" s="167" t="s">
        <v>70</v>
      </c>
      <c r="AC230" s="167" t="s">
        <v>70</v>
      </c>
      <c r="AD230" s="167" t="s">
        <v>70</v>
      </c>
      <c r="AE230" s="167" t="s">
        <v>70</v>
      </c>
      <c r="AF230" s="167" t="s">
        <v>70</v>
      </c>
      <c r="AG230" s="167" t="s">
        <v>70</v>
      </c>
      <c r="AH230" s="167" t="s">
        <v>70</v>
      </c>
      <c r="AI230" s="181">
        <v>46255</v>
      </c>
      <c r="AJ230" s="163">
        <v>45352</v>
      </c>
      <c r="AK230" s="167" t="s">
        <v>70</v>
      </c>
      <c r="AL230" s="167" t="s">
        <v>70</v>
      </c>
      <c r="AM230" s="167"/>
      <c r="AN230" s="167" t="s">
        <v>70</v>
      </c>
      <c r="AO230" s="167" t="s">
        <v>70</v>
      </c>
      <c r="AP230" s="167" t="s">
        <v>70</v>
      </c>
      <c r="AQ230" s="167" t="s">
        <v>70</v>
      </c>
      <c r="AR230" s="166" t="s">
        <v>69</v>
      </c>
      <c r="AS230" s="167" t="s">
        <v>70</v>
      </c>
      <c r="AT230" s="167" t="s">
        <v>70</v>
      </c>
      <c r="AU230" s="167" t="s">
        <v>70</v>
      </c>
      <c r="AV230" s="167" t="s">
        <v>70</v>
      </c>
      <c r="AW230" s="167" t="s">
        <v>70</v>
      </c>
      <c r="AX230" s="167" t="s">
        <v>70</v>
      </c>
      <c r="AY230" s="167" t="s">
        <v>70</v>
      </c>
      <c r="AZ230" s="167" t="s">
        <v>70</v>
      </c>
      <c r="BA230" s="167" t="s">
        <v>70</v>
      </c>
      <c r="BB230" s="167" t="s">
        <v>70</v>
      </c>
      <c r="BC230" s="167" t="s">
        <v>70</v>
      </c>
      <c r="BD230" s="167" t="s">
        <v>70</v>
      </c>
      <c r="BE230" s="167" t="s">
        <v>70</v>
      </c>
      <c r="BF230" s="167" t="s">
        <v>70</v>
      </c>
      <c r="BG230" s="167" t="s">
        <v>70</v>
      </c>
      <c r="BH230" s="167" t="s">
        <v>70</v>
      </c>
      <c r="BI230" s="167" t="s">
        <v>70</v>
      </c>
      <c r="BJ230" s="167" t="s">
        <v>70</v>
      </c>
      <c r="BK230" s="167" t="s">
        <v>70</v>
      </c>
      <c r="BL230" s="167" t="s">
        <v>70</v>
      </c>
      <c r="BM230" s="167" t="s">
        <v>70</v>
      </c>
      <c r="BN230" s="167" t="s">
        <v>70</v>
      </c>
      <c r="BO230" s="167" t="s">
        <v>70</v>
      </c>
      <c r="BP230" s="167" t="s">
        <v>70</v>
      </c>
      <c r="BQ230" s="151" t="s">
        <v>256</v>
      </c>
    </row>
    <row r="231" spans="1:136" s="151" customFormat="1" ht="19.5" customHeight="1" x14ac:dyDescent="0.2">
      <c r="A231" s="117">
        <v>228</v>
      </c>
      <c r="B231" s="121" t="s">
        <v>267</v>
      </c>
      <c r="C231" s="122">
        <v>84122949</v>
      </c>
      <c r="D231" s="117" t="s">
        <v>212</v>
      </c>
      <c r="E231" s="117" t="s">
        <v>68</v>
      </c>
      <c r="F231" s="146" t="s">
        <v>256</v>
      </c>
      <c r="G231" s="124" t="s">
        <v>69</v>
      </c>
      <c r="H231" s="93">
        <v>42534</v>
      </c>
      <c r="I231" s="93">
        <v>46134</v>
      </c>
      <c r="J231" s="92">
        <f>IF(I231="", "", DATE(YEAR(I231)+3, MONTH(I231), DAY(L231)))</f>
        <v>47229</v>
      </c>
      <c r="K231" s="93">
        <v>42534</v>
      </c>
      <c r="L231" s="93">
        <v>46133</v>
      </c>
      <c r="M231" s="140">
        <f t="shared" si="15"/>
        <v>47229</v>
      </c>
      <c r="N231" s="93">
        <v>46130</v>
      </c>
      <c r="O231" s="93">
        <v>46131</v>
      </c>
      <c r="P231" s="93">
        <v>46132</v>
      </c>
      <c r="Q231" s="167" t="s">
        <v>70</v>
      </c>
      <c r="R231" s="167" t="s">
        <v>70</v>
      </c>
      <c r="S231" s="167" t="s">
        <v>70</v>
      </c>
      <c r="T231" s="167" t="s">
        <v>70</v>
      </c>
      <c r="U231" s="167" t="s">
        <v>70</v>
      </c>
      <c r="V231" s="167" t="s">
        <v>70</v>
      </c>
      <c r="W231" s="167" t="s">
        <v>70</v>
      </c>
      <c r="X231" s="167" t="s">
        <v>70</v>
      </c>
      <c r="Y231" s="167" t="s">
        <v>70</v>
      </c>
      <c r="Z231" s="167" t="s">
        <v>70</v>
      </c>
      <c r="AA231" s="167" t="s">
        <v>70</v>
      </c>
      <c r="AB231" s="167" t="s">
        <v>70</v>
      </c>
      <c r="AC231" s="167" t="s">
        <v>70</v>
      </c>
      <c r="AD231" s="167" t="s">
        <v>70</v>
      </c>
      <c r="AE231" s="167" t="s">
        <v>70</v>
      </c>
      <c r="AF231" s="167" t="s">
        <v>70</v>
      </c>
      <c r="AG231" s="167" t="s">
        <v>70</v>
      </c>
      <c r="AH231" s="167" t="s">
        <v>70</v>
      </c>
      <c r="AI231" s="181">
        <v>46233</v>
      </c>
      <c r="AJ231" s="163">
        <v>45341</v>
      </c>
      <c r="AK231" s="167" t="s">
        <v>70</v>
      </c>
      <c r="AL231" s="167" t="s">
        <v>70</v>
      </c>
      <c r="AM231" s="167"/>
      <c r="AN231" s="167" t="s">
        <v>70</v>
      </c>
      <c r="AO231" s="167" t="s">
        <v>70</v>
      </c>
      <c r="AP231" s="167" t="s">
        <v>70</v>
      </c>
      <c r="AQ231" s="167" t="s">
        <v>70</v>
      </c>
      <c r="AR231" s="166" t="s">
        <v>69</v>
      </c>
      <c r="AS231" s="167" t="s">
        <v>70</v>
      </c>
      <c r="AT231" s="167" t="s">
        <v>70</v>
      </c>
      <c r="AU231" s="167" t="s">
        <v>70</v>
      </c>
      <c r="AV231" s="167" t="s">
        <v>70</v>
      </c>
      <c r="AW231" s="167" t="s">
        <v>70</v>
      </c>
      <c r="AX231" s="167" t="s">
        <v>70</v>
      </c>
      <c r="AY231" s="167" t="s">
        <v>70</v>
      </c>
      <c r="AZ231" s="167" t="s">
        <v>70</v>
      </c>
      <c r="BA231" s="167" t="s">
        <v>70</v>
      </c>
      <c r="BB231" s="167" t="s">
        <v>70</v>
      </c>
      <c r="BC231" s="167" t="s">
        <v>70</v>
      </c>
      <c r="BD231" s="167" t="s">
        <v>70</v>
      </c>
      <c r="BE231" s="167" t="s">
        <v>70</v>
      </c>
      <c r="BF231" s="167" t="s">
        <v>70</v>
      </c>
      <c r="BG231" s="167" t="s">
        <v>70</v>
      </c>
      <c r="BH231" s="167" t="s">
        <v>70</v>
      </c>
      <c r="BI231" s="167" t="s">
        <v>70</v>
      </c>
      <c r="BJ231" s="167" t="s">
        <v>70</v>
      </c>
      <c r="BK231" s="167" t="s">
        <v>70</v>
      </c>
      <c r="BL231" s="167" t="s">
        <v>70</v>
      </c>
      <c r="BM231" s="167" t="s">
        <v>70</v>
      </c>
      <c r="BN231" s="167" t="s">
        <v>70</v>
      </c>
      <c r="BO231" s="167" t="s">
        <v>70</v>
      </c>
      <c r="BP231" s="167" t="s">
        <v>70</v>
      </c>
      <c r="BQ231" s="151" t="s">
        <v>256</v>
      </c>
    </row>
    <row r="232" spans="1:136" s="151" customFormat="1" ht="19.5" customHeight="1" x14ac:dyDescent="0.2">
      <c r="A232" s="117">
        <v>229</v>
      </c>
      <c r="B232" s="121" t="s">
        <v>268</v>
      </c>
      <c r="C232" s="122">
        <v>83103415</v>
      </c>
      <c r="D232" s="117" t="s">
        <v>212</v>
      </c>
      <c r="E232" s="117" t="s">
        <v>68</v>
      </c>
      <c r="F232" s="146" t="s">
        <v>256</v>
      </c>
      <c r="G232" s="124" t="s">
        <v>69</v>
      </c>
      <c r="H232" s="93">
        <v>46248</v>
      </c>
      <c r="I232" s="93">
        <v>46248</v>
      </c>
      <c r="J232" s="92">
        <f>IF(I232="", "", DATE(YEAR(I232)+3, MONTH(I232), DAY(I232)))</f>
        <v>47344</v>
      </c>
      <c r="K232" s="93">
        <v>46247</v>
      </c>
      <c r="L232" s="93">
        <v>46247</v>
      </c>
      <c r="M232" s="140">
        <f t="shared" si="15"/>
        <v>47343</v>
      </c>
      <c r="N232" s="93">
        <v>46245</v>
      </c>
      <c r="O232" s="93">
        <v>46258</v>
      </c>
      <c r="P232" s="93">
        <v>46246</v>
      </c>
      <c r="Q232" s="167" t="s">
        <v>70</v>
      </c>
      <c r="R232" s="167" t="s">
        <v>70</v>
      </c>
      <c r="S232" s="167" t="s">
        <v>70</v>
      </c>
      <c r="T232" s="167" t="s">
        <v>70</v>
      </c>
      <c r="U232" s="167" t="s">
        <v>70</v>
      </c>
      <c r="V232" s="167" t="s">
        <v>70</v>
      </c>
      <c r="W232" s="167" t="s">
        <v>70</v>
      </c>
      <c r="X232" s="167" t="s">
        <v>70</v>
      </c>
      <c r="Y232" s="167" t="s">
        <v>70</v>
      </c>
      <c r="Z232" s="167" t="s">
        <v>70</v>
      </c>
      <c r="AA232" s="167" t="s">
        <v>70</v>
      </c>
      <c r="AB232" s="167" t="s">
        <v>70</v>
      </c>
      <c r="AC232" s="167" t="s">
        <v>70</v>
      </c>
      <c r="AD232" s="167" t="s">
        <v>70</v>
      </c>
      <c r="AE232" s="167" t="s">
        <v>70</v>
      </c>
      <c r="AF232" s="167" t="s">
        <v>70</v>
      </c>
      <c r="AG232" s="167" t="s">
        <v>70</v>
      </c>
      <c r="AH232" s="167" t="s">
        <v>70</v>
      </c>
      <c r="AI232" s="181">
        <v>46044</v>
      </c>
      <c r="AJ232" s="163">
        <v>45348</v>
      </c>
      <c r="AK232" s="167" t="s">
        <v>70</v>
      </c>
      <c r="AL232" s="167" t="s">
        <v>70</v>
      </c>
      <c r="AM232" s="167"/>
      <c r="AN232" s="167" t="s">
        <v>70</v>
      </c>
      <c r="AO232" s="167" t="s">
        <v>70</v>
      </c>
      <c r="AP232" s="167" t="s">
        <v>70</v>
      </c>
      <c r="AQ232" s="167" t="s">
        <v>70</v>
      </c>
      <c r="AR232" s="166" t="s">
        <v>69</v>
      </c>
      <c r="AS232" s="167" t="s">
        <v>70</v>
      </c>
      <c r="AT232" s="167" t="s">
        <v>70</v>
      </c>
      <c r="AU232" s="167" t="s">
        <v>70</v>
      </c>
      <c r="AV232" s="167" t="s">
        <v>70</v>
      </c>
      <c r="AW232" s="167" t="s">
        <v>70</v>
      </c>
      <c r="AX232" s="167" t="s">
        <v>70</v>
      </c>
      <c r="AY232" s="167" t="s">
        <v>70</v>
      </c>
      <c r="AZ232" s="167" t="s">
        <v>70</v>
      </c>
      <c r="BA232" s="167" t="s">
        <v>70</v>
      </c>
      <c r="BB232" s="167" t="s">
        <v>70</v>
      </c>
      <c r="BC232" s="167" t="s">
        <v>70</v>
      </c>
      <c r="BD232" s="167" t="s">
        <v>70</v>
      </c>
      <c r="BE232" s="167" t="s">
        <v>70</v>
      </c>
      <c r="BF232" s="167" t="s">
        <v>70</v>
      </c>
      <c r="BG232" s="167" t="s">
        <v>70</v>
      </c>
      <c r="BH232" s="167" t="s">
        <v>70</v>
      </c>
      <c r="BI232" s="167" t="s">
        <v>70</v>
      </c>
      <c r="BJ232" s="167" t="s">
        <v>70</v>
      </c>
      <c r="BK232" s="167" t="s">
        <v>70</v>
      </c>
      <c r="BL232" s="167" t="s">
        <v>70</v>
      </c>
      <c r="BM232" s="167" t="s">
        <v>70</v>
      </c>
      <c r="BN232" s="167" t="s">
        <v>70</v>
      </c>
      <c r="BO232" s="167" t="s">
        <v>70</v>
      </c>
      <c r="BP232" s="167" t="s">
        <v>70</v>
      </c>
      <c r="BQ232" s="151" t="s">
        <v>256</v>
      </c>
    </row>
    <row r="233" spans="1:136" s="151" customFormat="1" ht="19.5" customHeight="1" x14ac:dyDescent="0.2">
      <c r="A233" s="117">
        <v>230</v>
      </c>
      <c r="B233" s="121" t="s">
        <v>269</v>
      </c>
      <c r="C233" s="122">
        <v>83102200</v>
      </c>
      <c r="D233" s="117" t="s">
        <v>212</v>
      </c>
      <c r="E233" s="117" t="s">
        <v>68</v>
      </c>
      <c r="F233" s="146" t="s">
        <v>256</v>
      </c>
      <c r="G233" s="124" t="s">
        <v>69</v>
      </c>
      <c r="H233" s="93">
        <v>46227</v>
      </c>
      <c r="I233" s="93">
        <v>46227</v>
      </c>
      <c r="J233" s="92">
        <f t="shared" ref="J233:J250" si="16">IF(I233="", "", DATE(YEAR(I233)+3, MONTH(I233), DAY(L233)))</f>
        <v>47322</v>
      </c>
      <c r="K233" s="93">
        <v>46226</v>
      </c>
      <c r="L233" s="93">
        <v>46226</v>
      </c>
      <c r="M233" s="140">
        <f t="shared" si="15"/>
        <v>47322</v>
      </c>
      <c r="N233" s="93">
        <v>46223</v>
      </c>
      <c r="O233" s="93">
        <v>46224</v>
      </c>
      <c r="P233" s="93">
        <v>46225</v>
      </c>
      <c r="Q233" s="167" t="s">
        <v>70</v>
      </c>
      <c r="R233" s="167" t="s">
        <v>70</v>
      </c>
      <c r="S233" s="167" t="s">
        <v>70</v>
      </c>
      <c r="T233" s="167" t="s">
        <v>70</v>
      </c>
      <c r="U233" s="167" t="s">
        <v>70</v>
      </c>
      <c r="V233" s="167" t="s">
        <v>70</v>
      </c>
      <c r="W233" s="167" t="s">
        <v>70</v>
      </c>
      <c r="X233" s="167" t="s">
        <v>70</v>
      </c>
      <c r="Y233" s="167" t="s">
        <v>70</v>
      </c>
      <c r="Z233" s="167" t="s">
        <v>70</v>
      </c>
      <c r="AA233" s="167" t="s">
        <v>70</v>
      </c>
      <c r="AB233" s="167" t="s">
        <v>70</v>
      </c>
      <c r="AC233" s="167" t="s">
        <v>70</v>
      </c>
      <c r="AD233" s="167" t="s">
        <v>70</v>
      </c>
      <c r="AE233" s="167" t="s">
        <v>70</v>
      </c>
      <c r="AF233" s="167" t="s">
        <v>70</v>
      </c>
      <c r="AG233" s="167" t="s">
        <v>70</v>
      </c>
      <c r="AH233" s="167" t="s">
        <v>70</v>
      </c>
      <c r="AI233" s="181">
        <v>46128</v>
      </c>
      <c r="AJ233" s="163">
        <v>45359</v>
      </c>
      <c r="AK233" s="167" t="s">
        <v>70</v>
      </c>
      <c r="AL233" s="167" t="s">
        <v>70</v>
      </c>
      <c r="AM233" s="167"/>
      <c r="AN233" s="167" t="s">
        <v>70</v>
      </c>
      <c r="AO233" s="167" t="s">
        <v>70</v>
      </c>
      <c r="AP233" s="167" t="s">
        <v>70</v>
      </c>
      <c r="AQ233" s="167" t="s">
        <v>70</v>
      </c>
      <c r="AR233" s="168">
        <v>46055</v>
      </c>
      <c r="AS233" s="167" t="s">
        <v>70</v>
      </c>
      <c r="AT233" s="167" t="s">
        <v>70</v>
      </c>
      <c r="AU233" s="167" t="s">
        <v>70</v>
      </c>
      <c r="AV233" s="167" t="s">
        <v>70</v>
      </c>
      <c r="AW233" s="167" t="s">
        <v>70</v>
      </c>
      <c r="AX233" s="167" t="s">
        <v>70</v>
      </c>
      <c r="AY233" s="167" t="s">
        <v>70</v>
      </c>
      <c r="AZ233" s="167" t="s">
        <v>70</v>
      </c>
      <c r="BA233" s="167" t="s">
        <v>70</v>
      </c>
      <c r="BB233" s="167" t="s">
        <v>70</v>
      </c>
      <c r="BC233" s="167" t="s">
        <v>70</v>
      </c>
      <c r="BD233" s="167" t="s">
        <v>70</v>
      </c>
      <c r="BE233" s="167" t="s">
        <v>70</v>
      </c>
      <c r="BF233" s="167" t="s">
        <v>70</v>
      </c>
      <c r="BG233" s="167" t="s">
        <v>70</v>
      </c>
      <c r="BH233" s="167" t="s">
        <v>70</v>
      </c>
      <c r="BI233" s="167" t="s">
        <v>70</v>
      </c>
      <c r="BJ233" s="167" t="s">
        <v>70</v>
      </c>
      <c r="BK233" s="167" t="s">
        <v>70</v>
      </c>
      <c r="BL233" s="167" t="s">
        <v>70</v>
      </c>
      <c r="BM233" s="167" t="s">
        <v>70</v>
      </c>
      <c r="BN233" s="167" t="s">
        <v>70</v>
      </c>
      <c r="BO233" s="167" t="s">
        <v>70</v>
      </c>
      <c r="BP233" s="167" t="s">
        <v>70</v>
      </c>
      <c r="BQ233" s="151" t="s">
        <v>256</v>
      </c>
    </row>
    <row r="234" spans="1:136" s="151" customFormat="1" ht="19.5" customHeight="1" x14ac:dyDescent="0.2">
      <c r="A234" s="117">
        <v>231</v>
      </c>
      <c r="B234" s="121" t="s">
        <v>270</v>
      </c>
      <c r="C234" s="122">
        <v>83119918</v>
      </c>
      <c r="D234" s="117" t="s">
        <v>212</v>
      </c>
      <c r="E234" s="117" t="s">
        <v>68</v>
      </c>
      <c r="F234" s="146" t="s">
        <v>256</v>
      </c>
      <c r="G234" s="124" t="s">
        <v>69</v>
      </c>
      <c r="H234" s="93"/>
      <c r="I234" s="93"/>
      <c r="J234" s="92" t="str">
        <f t="shared" si="16"/>
        <v/>
      </c>
      <c r="K234" s="93"/>
      <c r="L234" s="93"/>
      <c r="M234" s="140" t="str">
        <f t="shared" si="15"/>
        <v/>
      </c>
      <c r="N234" s="93"/>
      <c r="O234" s="93"/>
      <c r="P234" s="93"/>
      <c r="Q234" s="167" t="s">
        <v>70</v>
      </c>
      <c r="R234" s="167" t="s">
        <v>70</v>
      </c>
      <c r="S234" s="167" t="s">
        <v>70</v>
      </c>
      <c r="T234" s="167" t="s">
        <v>70</v>
      </c>
      <c r="U234" s="167" t="s">
        <v>70</v>
      </c>
      <c r="V234" s="167" t="s">
        <v>70</v>
      </c>
      <c r="W234" s="167" t="s">
        <v>70</v>
      </c>
      <c r="X234" s="167" t="s">
        <v>70</v>
      </c>
      <c r="Y234" s="167" t="s">
        <v>70</v>
      </c>
      <c r="Z234" s="167" t="s">
        <v>70</v>
      </c>
      <c r="AA234" s="167" t="s">
        <v>70</v>
      </c>
      <c r="AB234" s="167" t="s">
        <v>70</v>
      </c>
      <c r="AC234" s="167" t="s">
        <v>70</v>
      </c>
      <c r="AD234" s="167" t="s">
        <v>70</v>
      </c>
      <c r="AE234" s="167" t="s">
        <v>70</v>
      </c>
      <c r="AF234" s="167" t="s">
        <v>70</v>
      </c>
      <c r="AG234" s="167" t="s">
        <v>70</v>
      </c>
      <c r="AH234" s="167" t="s">
        <v>70</v>
      </c>
      <c r="AI234" s="181">
        <v>46149</v>
      </c>
      <c r="AJ234" s="163">
        <v>45343</v>
      </c>
      <c r="AK234" s="167" t="s">
        <v>70</v>
      </c>
      <c r="AL234" s="167" t="s">
        <v>70</v>
      </c>
      <c r="AM234" s="167"/>
      <c r="AN234" s="167" t="s">
        <v>70</v>
      </c>
      <c r="AO234" s="167" t="s">
        <v>70</v>
      </c>
      <c r="AP234" s="167" t="s">
        <v>70</v>
      </c>
      <c r="AQ234" s="167" t="s">
        <v>70</v>
      </c>
      <c r="AR234" s="166" t="s">
        <v>69</v>
      </c>
      <c r="AS234" s="167" t="s">
        <v>70</v>
      </c>
      <c r="AT234" s="167" t="s">
        <v>70</v>
      </c>
      <c r="AU234" s="167" t="s">
        <v>70</v>
      </c>
      <c r="AV234" s="167" t="s">
        <v>70</v>
      </c>
      <c r="AW234" s="167" t="s">
        <v>70</v>
      </c>
      <c r="AX234" s="167" t="s">
        <v>70</v>
      </c>
      <c r="AY234" s="167" t="s">
        <v>70</v>
      </c>
      <c r="AZ234" s="167" t="s">
        <v>70</v>
      </c>
      <c r="BA234" s="167" t="s">
        <v>70</v>
      </c>
      <c r="BB234" s="167" t="s">
        <v>70</v>
      </c>
      <c r="BC234" s="167" t="s">
        <v>70</v>
      </c>
      <c r="BD234" s="167" t="s">
        <v>70</v>
      </c>
      <c r="BE234" s="167" t="s">
        <v>70</v>
      </c>
      <c r="BF234" s="167" t="s">
        <v>70</v>
      </c>
      <c r="BG234" s="167" t="s">
        <v>70</v>
      </c>
      <c r="BH234" s="167" t="s">
        <v>70</v>
      </c>
      <c r="BI234" s="167" t="s">
        <v>70</v>
      </c>
      <c r="BJ234" s="167" t="s">
        <v>70</v>
      </c>
      <c r="BK234" s="167" t="s">
        <v>70</v>
      </c>
      <c r="BL234" s="167" t="s">
        <v>70</v>
      </c>
      <c r="BM234" s="167" t="s">
        <v>70</v>
      </c>
      <c r="BN234" s="167" t="s">
        <v>70</v>
      </c>
      <c r="BO234" s="167" t="s">
        <v>70</v>
      </c>
      <c r="BP234" s="167" t="s">
        <v>70</v>
      </c>
      <c r="BQ234" s="151" t="s">
        <v>256</v>
      </c>
    </row>
    <row r="235" spans="1:136" s="151" customFormat="1" ht="19.5" customHeight="1" x14ac:dyDescent="0.2">
      <c r="A235" s="117">
        <v>232</v>
      </c>
      <c r="B235" s="121" t="s">
        <v>271</v>
      </c>
      <c r="C235" s="122">
        <v>84122951</v>
      </c>
      <c r="D235" s="117" t="s">
        <v>212</v>
      </c>
      <c r="E235" s="117" t="s">
        <v>68</v>
      </c>
      <c r="F235" s="146" t="s">
        <v>256</v>
      </c>
      <c r="G235" s="124" t="s">
        <v>69</v>
      </c>
      <c r="H235" s="93">
        <v>46164</v>
      </c>
      <c r="I235" s="93">
        <v>46164</v>
      </c>
      <c r="J235" s="92">
        <f t="shared" si="16"/>
        <v>47259</v>
      </c>
      <c r="K235" s="93">
        <v>46163</v>
      </c>
      <c r="L235" s="93">
        <v>46163</v>
      </c>
      <c r="M235" s="140">
        <f t="shared" si="15"/>
        <v>47259</v>
      </c>
      <c r="N235" s="93">
        <v>46167</v>
      </c>
      <c r="O235" s="93">
        <v>46161</v>
      </c>
      <c r="P235" s="93">
        <v>46162</v>
      </c>
      <c r="Q235" s="167" t="s">
        <v>70</v>
      </c>
      <c r="R235" s="167" t="s">
        <v>70</v>
      </c>
      <c r="S235" s="167" t="s">
        <v>70</v>
      </c>
      <c r="T235" s="167" t="s">
        <v>70</v>
      </c>
      <c r="U235" s="167" t="s">
        <v>70</v>
      </c>
      <c r="V235" s="167" t="s">
        <v>70</v>
      </c>
      <c r="W235" s="167" t="s">
        <v>70</v>
      </c>
      <c r="X235" s="167" t="s">
        <v>70</v>
      </c>
      <c r="Y235" s="167" t="s">
        <v>70</v>
      </c>
      <c r="Z235" s="167" t="s">
        <v>70</v>
      </c>
      <c r="AA235" s="167" t="s">
        <v>70</v>
      </c>
      <c r="AB235" s="167" t="s">
        <v>70</v>
      </c>
      <c r="AC235" s="167" t="s">
        <v>70</v>
      </c>
      <c r="AD235" s="167" t="s">
        <v>70</v>
      </c>
      <c r="AE235" s="167" t="s">
        <v>70</v>
      </c>
      <c r="AF235" s="167" t="s">
        <v>70</v>
      </c>
      <c r="AG235" s="167" t="s">
        <v>70</v>
      </c>
      <c r="AH235" s="167" t="s">
        <v>70</v>
      </c>
      <c r="AI235" s="181">
        <v>46175</v>
      </c>
      <c r="AJ235" s="163">
        <v>45355</v>
      </c>
      <c r="AK235" s="167" t="s">
        <v>70</v>
      </c>
      <c r="AL235" s="167" t="s">
        <v>70</v>
      </c>
      <c r="AM235" s="167"/>
      <c r="AN235" s="167" t="s">
        <v>70</v>
      </c>
      <c r="AO235" s="167" t="s">
        <v>70</v>
      </c>
      <c r="AP235" s="167" t="s">
        <v>70</v>
      </c>
      <c r="AQ235" s="167" t="s">
        <v>70</v>
      </c>
      <c r="AR235" s="166" t="s">
        <v>69</v>
      </c>
      <c r="AS235" s="167" t="s">
        <v>70</v>
      </c>
      <c r="AT235" s="167" t="s">
        <v>70</v>
      </c>
      <c r="AU235" s="167" t="s">
        <v>70</v>
      </c>
      <c r="AV235" s="167" t="s">
        <v>70</v>
      </c>
      <c r="AW235" s="167" t="s">
        <v>70</v>
      </c>
      <c r="AX235" s="167" t="s">
        <v>70</v>
      </c>
      <c r="AY235" s="167" t="s">
        <v>70</v>
      </c>
      <c r="AZ235" s="167" t="s">
        <v>70</v>
      </c>
      <c r="BA235" s="167" t="s">
        <v>70</v>
      </c>
      <c r="BB235" s="167" t="s">
        <v>70</v>
      </c>
      <c r="BC235" s="167" t="s">
        <v>70</v>
      </c>
      <c r="BD235" s="167" t="s">
        <v>70</v>
      </c>
      <c r="BE235" s="167" t="s">
        <v>70</v>
      </c>
      <c r="BF235" s="167" t="s">
        <v>70</v>
      </c>
      <c r="BG235" s="167" t="s">
        <v>70</v>
      </c>
      <c r="BH235" s="167" t="s">
        <v>70</v>
      </c>
      <c r="BI235" s="167" t="s">
        <v>70</v>
      </c>
      <c r="BJ235" s="167" t="s">
        <v>70</v>
      </c>
      <c r="BK235" s="167" t="s">
        <v>70</v>
      </c>
      <c r="BL235" s="167" t="s">
        <v>70</v>
      </c>
      <c r="BM235" s="167" t="s">
        <v>70</v>
      </c>
      <c r="BN235" s="167" t="s">
        <v>70</v>
      </c>
      <c r="BO235" s="167" t="s">
        <v>70</v>
      </c>
      <c r="BP235" s="167" t="s">
        <v>70</v>
      </c>
      <c r="BQ235" s="151" t="s">
        <v>256</v>
      </c>
    </row>
    <row r="236" spans="1:136" s="151" customFormat="1" ht="19.5" customHeight="1" x14ac:dyDescent="0.2">
      <c r="A236" s="117">
        <v>233</v>
      </c>
      <c r="B236" s="121" t="s">
        <v>272</v>
      </c>
      <c r="C236" s="122">
        <v>83119926</v>
      </c>
      <c r="D236" s="117" t="s">
        <v>212</v>
      </c>
      <c r="E236" s="117" t="s">
        <v>68</v>
      </c>
      <c r="F236" s="146" t="s">
        <v>256</v>
      </c>
      <c r="G236" s="124" t="s">
        <v>69</v>
      </c>
      <c r="H236" s="93">
        <v>42083</v>
      </c>
      <c r="I236" s="93">
        <v>46080</v>
      </c>
      <c r="J236" s="92">
        <f t="shared" si="16"/>
        <v>47175</v>
      </c>
      <c r="K236" s="93">
        <v>42086</v>
      </c>
      <c r="L236" s="93">
        <v>46079</v>
      </c>
      <c r="M236" s="140">
        <f t="shared" si="15"/>
        <v>47175</v>
      </c>
      <c r="N236" s="93">
        <v>46076</v>
      </c>
      <c r="O236" s="93">
        <v>46077</v>
      </c>
      <c r="P236" s="93">
        <v>45713</v>
      </c>
      <c r="Q236" s="167" t="s">
        <v>70</v>
      </c>
      <c r="R236" s="167" t="s">
        <v>70</v>
      </c>
      <c r="S236" s="167" t="s">
        <v>70</v>
      </c>
      <c r="T236" s="167" t="s">
        <v>70</v>
      </c>
      <c r="U236" s="167" t="s">
        <v>70</v>
      </c>
      <c r="V236" s="167" t="s">
        <v>70</v>
      </c>
      <c r="W236" s="167" t="s">
        <v>70</v>
      </c>
      <c r="X236" s="167" t="s">
        <v>70</v>
      </c>
      <c r="Y236" s="167" t="s">
        <v>70</v>
      </c>
      <c r="Z236" s="167" t="s">
        <v>70</v>
      </c>
      <c r="AA236" s="167" t="s">
        <v>70</v>
      </c>
      <c r="AB236" s="167" t="s">
        <v>70</v>
      </c>
      <c r="AC236" s="167" t="s">
        <v>70</v>
      </c>
      <c r="AD236" s="167" t="s">
        <v>70</v>
      </c>
      <c r="AE236" s="167" t="s">
        <v>70</v>
      </c>
      <c r="AF236" s="167" t="s">
        <v>70</v>
      </c>
      <c r="AG236" s="167" t="s">
        <v>70</v>
      </c>
      <c r="AH236" s="167" t="s">
        <v>70</v>
      </c>
      <c r="AI236" s="181">
        <v>46255</v>
      </c>
      <c r="AJ236" s="163">
        <v>45350</v>
      </c>
      <c r="AK236" s="167" t="s">
        <v>70</v>
      </c>
      <c r="AL236" s="167" t="s">
        <v>70</v>
      </c>
      <c r="AM236" s="167"/>
      <c r="AN236" s="167" t="s">
        <v>70</v>
      </c>
      <c r="AO236" s="167" t="s">
        <v>70</v>
      </c>
      <c r="AP236" s="167" t="s">
        <v>70</v>
      </c>
      <c r="AQ236" s="167" t="s">
        <v>70</v>
      </c>
      <c r="AR236" s="166" t="s">
        <v>69</v>
      </c>
      <c r="AS236" s="167" t="s">
        <v>70</v>
      </c>
      <c r="AT236" s="167" t="s">
        <v>70</v>
      </c>
      <c r="AU236" s="167" t="s">
        <v>70</v>
      </c>
      <c r="AV236" s="167" t="s">
        <v>70</v>
      </c>
      <c r="AW236" s="167" t="s">
        <v>70</v>
      </c>
      <c r="AX236" s="167" t="s">
        <v>70</v>
      </c>
      <c r="AY236" s="167" t="s">
        <v>70</v>
      </c>
      <c r="AZ236" s="167" t="s">
        <v>70</v>
      </c>
      <c r="BA236" s="167" t="s">
        <v>70</v>
      </c>
      <c r="BB236" s="167" t="s">
        <v>70</v>
      </c>
      <c r="BC236" s="167" t="s">
        <v>70</v>
      </c>
      <c r="BD236" s="167" t="s">
        <v>70</v>
      </c>
      <c r="BE236" s="167" t="s">
        <v>70</v>
      </c>
      <c r="BF236" s="167" t="s">
        <v>70</v>
      </c>
      <c r="BG236" s="167" t="s">
        <v>70</v>
      </c>
      <c r="BH236" s="167" t="s">
        <v>70</v>
      </c>
      <c r="BI236" s="167" t="s">
        <v>70</v>
      </c>
      <c r="BJ236" s="167" t="s">
        <v>70</v>
      </c>
      <c r="BK236" s="167" t="s">
        <v>70</v>
      </c>
      <c r="BL236" s="167" t="s">
        <v>70</v>
      </c>
      <c r="BM236" s="167" t="s">
        <v>70</v>
      </c>
      <c r="BN236" s="167" t="s">
        <v>70</v>
      </c>
      <c r="BO236" s="167" t="s">
        <v>70</v>
      </c>
      <c r="BP236" s="167" t="s">
        <v>70</v>
      </c>
      <c r="BQ236" s="151" t="s">
        <v>256</v>
      </c>
    </row>
    <row r="237" spans="1:136" s="151" customFormat="1" ht="19.5" customHeight="1" x14ac:dyDescent="0.2">
      <c r="A237" s="117">
        <v>234</v>
      </c>
      <c r="B237" s="121" t="s">
        <v>273</v>
      </c>
      <c r="C237" s="122">
        <v>84124758</v>
      </c>
      <c r="D237" s="117" t="s">
        <v>212</v>
      </c>
      <c r="E237" s="117" t="s">
        <v>68</v>
      </c>
      <c r="F237" s="146" t="s">
        <v>256</v>
      </c>
      <c r="G237" s="124" t="s">
        <v>69</v>
      </c>
      <c r="H237" s="93">
        <v>46282</v>
      </c>
      <c r="I237" s="93">
        <v>46282</v>
      </c>
      <c r="J237" s="92">
        <f>IF(I237="", "", DATE(YEAR(I237)+3, MONTH(I237), DAY(I237)))</f>
        <v>47378</v>
      </c>
      <c r="K237" s="93">
        <v>46281</v>
      </c>
      <c r="L237" s="93">
        <v>46281</v>
      </c>
      <c r="M237" s="140">
        <f t="shared" si="15"/>
        <v>47377</v>
      </c>
      <c r="N237" s="93">
        <v>46279</v>
      </c>
      <c r="O237" s="93">
        <v>46286</v>
      </c>
      <c r="P237" s="93">
        <v>46280</v>
      </c>
      <c r="Q237" s="167" t="s">
        <v>70</v>
      </c>
      <c r="R237" s="167" t="s">
        <v>70</v>
      </c>
      <c r="S237" s="167" t="s">
        <v>70</v>
      </c>
      <c r="T237" s="167" t="s">
        <v>70</v>
      </c>
      <c r="U237" s="167" t="s">
        <v>70</v>
      </c>
      <c r="V237" s="167" t="s">
        <v>70</v>
      </c>
      <c r="W237" s="167" t="s">
        <v>70</v>
      </c>
      <c r="X237" s="167" t="s">
        <v>70</v>
      </c>
      <c r="Y237" s="167" t="s">
        <v>70</v>
      </c>
      <c r="Z237" s="167" t="s">
        <v>70</v>
      </c>
      <c r="AA237" s="167" t="s">
        <v>70</v>
      </c>
      <c r="AB237" s="167" t="s">
        <v>70</v>
      </c>
      <c r="AC237" s="167" t="s">
        <v>70</v>
      </c>
      <c r="AD237" s="167" t="s">
        <v>70</v>
      </c>
      <c r="AE237" s="167" t="s">
        <v>70</v>
      </c>
      <c r="AF237" s="167" t="s">
        <v>70</v>
      </c>
      <c r="AG237" s="167" t="s">
        <v>70</v>
      </c>
      <c r="AH237" s="167" t="s">
        <v>70</v>
      </c>
      <c r="AI237" s="181">
        <v>46086</v>
      </c>
      <c r="AJ237" s="163">
        <v>45348</v>
      </c>
      <c r="AK237" s="167" t="s">
        <v>70</v>
      </c>
      <c r="AL237" s="167" t="s">
        <v>70</v>
      </c>
      <c r="AM237" s="167"/>
      <c r="AN237" s="167" t="s">
        <v>70</v>
      </c>
      <c r="AO237" s="167" t="s">
        <v>70</v>
      </c>
      <c r="AP237" s="167" t="s">
        <v>70</v>
      </c>
      <c r="AQ237" s="167" t="s">
        <v>70</v>
      </c>
      <c r="AR237" s="166" t="s">
        <v>69</v>
      </c>
      <c r="AS237" s="167" t="s">
        <v>70</v>
      </c>
      <c r="AT237" s="167" t="s">
        <v>70</v>
      </c>
      <c r="AU237" s="167" t="s">
        <v>70</v>
      </c>
      <c r="AV237" s="167" t="s">
        <v>70</v>
      </c>
      <c r="AW237" s="167" t="s">
        <v>70</v>
      </c>
      <c r="AX237" s="167" t="s">
        <v>70</v>
      </c>
      <c r="AY237" s="167" t="s">
        <v>70</v>
      </c>
      <c r="AZ237" s="167" t="s">
        <v>70</v>
      </c>
      <c r="BA237" s="167" t="s">
        <v>70</v>
      </c>
      <c r="BB237" s="167" t="s">
        <v>70</v>
      </c>
      <c r="BC237" s="167" t="s">
        <v>70</v>
      </c>
      <c r="BD237" s="167" t="s">
        <v>70</v>
      </c>
      <c r="BE237" s="167" t="s">
        <v>70</v>
      </c>
      <c r="BF237" s="167" t="s">
        <v>70</v>
      </c>
      <c r="BG237" s="167" t="s">
        <v>70</v>
      </c>
      <c r="BH237" s="167" t="s">
        <v>70</v>
      </c>
      <c r="BI237" s="167" t="s">
        <v>70</v>
      </c>
      <c r="BJ237" s="167" t="s">
        <v>70</v>
      </c>
      <c r="BK237" s="167" t="s">
        <v>70</v>
      </c>
      <c r="BL237" s="167" t="s">
        <v>70</v>
      </c>
      <c r="BM237" s="167" t="s">
        <v>70</v>
      </c>
      <c r="BN237" s="167" t="s">
        <v>70</v>
      </c>
      <c r="BO237" s="167" t="s">
        <v>70</v>
      </c>
      <c r="BP237" s="167" t="s">
        <v>70</v>
      </c>
      <c r="BQ237" s="151" t="s">
        <v>256</v>
      </c>
    </row>
    <row r="238" spans="1:136" s="151" customFormat="1" ht="19.5" customHeight="1" x14ac:dyDescent="0.2">
      <c r="A238" s="117">
        <v>235</v>
      </c>
      <c r="B238" s="121" t="s">
        <v>274</v>
      </c>
      <c r="C238" s="122">
        <v>83040095</v>
      </c>
      <c r="D238" s="117" t="s">
        <v>212</v>
      </c>
      <c r="E238" s="117" t="s">
        <v>68</v>
      </c>
      <c r="F238" s="146" t="s">
        <v>256</v>
      </c>
      <c r="G238" s="124" t="s">
        <v>69</v>
      </c>
      <c r="H238" s="93">
        <v>46282</v>
      </c>
      <c r="I238" s="93">
        <v>46282</v>
      </c>
      <c r="J238" s="92">
        <f t="shared" si="16"/>
        <v>47377</v>
      </c>
      <c r="K238" s="93">
        <v>46281</v>
      </c>
      <c r="L238" s="93">
        <v>46281</v>
      </c>
      <c r="M238" s="140">
        <f t="shared" si="15"/>
        <v>47377</v>
      </c>
      <c r="N238" s="93">
        <v>46279</v>
      </c>
      <c r="O238" s="93">
        <v>46286</v>
      </c>
      <c r="P238" s="93">
        <v>46280</v>
      </c>
      <c r="Q238" s="167" t="s">
        <v>70</v>
      </c>
      <c r="R238" s="167" t="s">
        <v>70</v>
      </c>
      <c r="S238" s="167" t="s">
        <v>70</v>
      </c>
      <c r="T238" s="167" t="s">
        <v>70</v>
      </c>
      <c r="U238" s="167" t="s">
        <v>70</v>
      </c>
      <c r="V238" s="167" t="s">
        <v>70</v>
      </c>
      <c r="W238" s="167" t="s">
        <v>70</v>
      </c>
      <c r="X238" s="167" t="s">
        <v>70</v>
      </c>
      <c r="Y238" s="167" t="s">
        <v>70</v>
      </c>
      <c r="Z238" s="167" t="s">
        <v>70</v>
      </c>
      <c r="AA238" s="167" t="s">
        <v>70</v>
      </c>
      <c r="AB238" s="167" t="s">
        <v>70</v>
      </c>
      <c r="AC238" s="167" t="s">
        <v>70</v>
      </c>
      <c r="AD238" s="167" t="s">
        <v>70</v>
      </c>
      <c r="AE238" s="167" t="s">
        <v>70</v>
      </c>
      <c r="AF238" s="167" t="s">
        <v>70</v>
      </c>
      <c r="AG238" s="167" t="s">
        <v>70</v>
      </c>
      <c r="AH238" s="167" t="s">
        <v>70</v>
      </c>
      <c r="AI238" s="181">
        <v>46175</v>
      </c>
      <c r="AJ238" s="163">
        <v>45343</v>
      </c>
      <c r="AK238" s="167" t="s">
        <v>70</v>
      </c>
      <c r="AL238" s="167" t="s">
        <v>70</v>
      </c>
      <c r="AM238" s="167"/>
      <c r="AN238" s="167" t="s">
        <v>70</v>
      </c>
      <c r="AO238" s="167" t="s">
        <v>70</v>
      </c>
      <c r="AP238" s="167" t="s">
        <v>70</v>
      </c>
      <c r="AQ238" s="167" t="s">
        <v>70</v>
      </c>
      <c r="AR238" s="166" t="s">
        <v>69</v>
      </c>
      <c r="AS238" s="167" t="s">
        <v>70</v>
      </c>
      <c r="AT238" s="167" t="s">
        <v>70</v>
      </c>
      <c r="AU238" s="167" t="s">
        <v>70</v>
      </c>
      <c r="AV238" s="167" t="s">
        <v>70</v>
      </c>
      <c r="AW238" s="167" t="s">
        <v>70</v>
      </c>
      <c r="AX238" s="167" t="s">
        <v>70</v>
      </c>
      <c r="AY238" s="167" t="s">
        <v>70</v>
      </c>
      <c r="AZ238" s="167" t="s">
        <v>70</v>
      </c>
      <c r="BA238" s="167" t="s">
        <v>70</v>
      </c>
      <c r="BB238" s="167" t="s">
        <v>70</v>
      </c>
      <c r="BC238" s="167" t="s">
        <v>70</v>
      </c>
      <c r="BD238" s="167" t="s">
        <v>70</v>
      </c>
      <c r="BE238" s="167" t="s">
        <v>70</v>
      </c>
      <c r="BF238" s="167" t="s">
        <v>70</v>
      </c>
      <c r="BG238" s="167" t="s">
        <v>70</v>
      </c>
      <c r="BH238" s="167" t="s">
        <v>70</v>
      </c>
      <c r="BI238" s="167" t="s">
        <v>70</v>
      </c>
      <c r="BJ238" s="167" t="s">
        <v>70</v>
      </c>
      <c r="BK238" s="167" t="s">
        <v>70</v>
      </c>
      <c r="BL238" s="167" t="s">
        <v>70</v>
      </c>
      <c r="BM238" s="167" t="s">
        <v>70</v>
      </c>
      <c r="BN238" s="167" t="s">
        <v>70</v>
      </c>
      <c r="BO238" s="167" t="s">
        <v>70</v>
      </c>
      <c r="BP238" s="167" t="s">
        <v>70</v>
      </c>
      <c r="BQ238" s="151" t="s">
        <v>256</v>
      </c>
    </row>
    <row r="239" spans="1:136" s="151" customFormat="1" ht="19.5" customHeight="1" x14ac:dyDescent="0.2">
      <c r="A239" s="117">
        <v>236</v>
      </c>
      <c r="B239" s="121" t="s">
        <v>275</v>
      </c>
      <c r="C239" s="122">
        <v>152561</v>
      </c>
      <c r="D239" s="117" t="s">
        <v>212</v>
      </c>
      <c r="E239" s="117" t="s">
        <v>68</v>
      </c>
      <c r="F239" s="146" t="s">
        <v>256</v>
      </c>
      <c r="G239" s="124" t="s">
        <v>69</v>
      </c>
      <c r="H239" s="93"/>
      <c r="I239" s="93"/>
      <c r="J239" s="92" t="str">
        <f t="shared" si="16"/>
        <v/>
      </c>
      <c r="K239" s="93"/>
      <c r="L239" s="93"/>
      <c r="M239" s="140" t="str">
        <f t="shared" si="15"/>
        <v/>
      </c>
      <c r="N239" s="93"/>
      <c r="O239" s="93"/>
      <c r="P239" s="93"/>
      <c r="Q239" s="167" t="s">
        <v>70</v>
      </c>
      <c r="R239" s="167" t="s">
        <v>70</v>
      </c>
      <c r="S239" s="167" t="s">
        <v>70</v>
      </c>
      <c r="T239" s="167" t="s">
        <v>70</v>
      </c>
      <c r="U239" s="167" t="s">
        <v>70</v>
      </c>
      <c r="V239" s="167" t="s">
        <v>70</v>
      </c>
      <c r="W239" s="167" t="s">
        <v>70</v>
      </c>
      <c r="X239" s="167" t="s">
        <v>70</v>
      </c>
      <c r="Y239" s="167" t="s">
        <v>70</v>
      </c>
      <c r="Z239" s="167" t="s">
        <v>70</v>
      </c>
      <c r="AA239" s="167" t="s">
        <v>70</v>
      </c>
      <c r="AB239" s="167" t="s">
        <v>70</v>
      </c>
      <c r="AC239" s="167" t="s">
        <v>70</v>
      </c>
      <c r="AD239" s="167" t="s">
        <v>70</v>
      </c>
      <c r="AE239" s="167" t="s">
        <v>70</v>
      </c>
      <c r="AF239" s="167" t="s">
        <v>70</v>
      </c>
      <c r="AG239" s="167" t="s">
        <v>70</v>
      </c>
      <c r="AH239" s="167" t="s">
        <v>70</v>
      </c>
      <c r="AI239" s="181">
        <v>46255</v>
      </c>
      <c r="AJ239" s="163">
        <v>45352</v>
      </c>
      <c r="AK239" s="167" t="s">
        <v>70</v>
      </c>
      <c r="AL239" s="167" t="s">
        <v>70</v>
      </c>
      <c r="AM239" s="167"/>
      <c r="AN239" s="167" t="s">
        <v>70</v>
      </c>
      <c r="AO239" s="167" t="s">
        <v>70</v>
      </c>
      <c r="AP239" s="167" t="s">
        <v>70</v>
      </c>
      <c r="AQ239" s="167" t="s">
        <v>70</v>
      </c>
      <c r="AR239" s="166" t="s">
        <v>69</v>
      </c>
      <c r="AS239" s="167" t="s">
        <v>70</v>
      </c>
      <c r="AT239" s="167" t="s">
        <v>70</v>
      </c>
      <c r="AU239" s="167" t="s">
        <v>70</v>
      </c>
      <c r="AV239" s="167" t="s">
        <v>70</v>
      </c>
      <c r="AW239" s="167" t="s">
        <v>70</v>
      </c>
      <c r="AX239" s="167" t="s">
        <v>70</v>
      </c>
      <c r="AY239" s="167" t="s">
        <v>70</v>
      </c>
      <c r="AZ239" s="167" t="s">
        <v>70</v>
      </c>
      <c r="BA239" s="167" t="s">
        <v>70</v>
      </c>
      <c r="BB239" s="167" t="s">
        <v>70</v>
      </c>
      <c r="BC239" s="167" t="s">
        <v>70</v>
      </c>
      <c r="BD239" s="167" t="s">
        <v>70</v>
      </c>
      <c r="BE239" s="167" t="s">
        <v>70</v>
      </c>
      <c r="BF239" s="167" t="s">
        <v>70</v>
      </c>
      <c r="BG239" s="167" t="s">
        <v>70</v>
      </c>
      <c r="BH239" s="167" t="s">
        <v>70</v>
      </c>
      <c r="BI239" s="167" t="s">
        <v>70</v>
      </c>
      <c r="BJ239" s="167" t="s">
        <v>70</v>
      </c>
      <c r="BK239" s="167" t="s">
        <v>70</v>
      </c>
      <c r="BL239" s="167" t="s">
        <v>70</v>
      </c>
      <c r="BM239" s="167" t="s">
        <v>70</v>
      </c>
      <c r="BN239" s="167" t="s">
        <v>70</v>
      </c>
      <c r="BO239" s="167" t="s">
        <v>70</v>
      </c>
      <c r="BP239" s="167" t="s">
        <v>70</v>
      </c>
      <c r="BQ239" s="151" t="s">
        <v>256</v>
      </c>
    </row>
    <row r="240" spans="1:136" s="151" customFormat="1" ht="19.5" customHeight="1" x14ac:dyDescent="0.2">
      <c r="A240" s="117">
        <v>237</v>
      </c>
      <c r="B240" s="121" t="s">
        <v>276</v>
      </c>
      <c r="C240" s="122">
        <v>147361</v>
      </c>
      <c r="D240" s="117" t="s">
        <v>212</v>
      </c>
      <c r="E240" s="117" t="s">
        <v>68</v>
      </c>
      <c r="F240" s="146" t="s">
        <v>256</v>
      </c>
      <c r="G240" s="124" t="s">
        <v>69</v>
      </c>
      <c r="H240" s="93">
        <v>46227</v>
      </c>
      <c r="I240" s="93">
        <v>46227</v>
      </c>
      <c r="J240" s="92">
        <f t="shared" si="16"/>
        <v>47322</v>
      </c>
      <c r="K240" s="93">
        <v>46226</v>
      </c>
      <c r="L240" s="93">
        <v>46226</v>
      </c>
      <c r="M240" s="140">
        <f t="shared" si="15"/>
        <v>47322</v>
      </c>
      <c r="N240" s="93">
        <v>46223</v>
      </c>
      <c r="O240" s="93">
        <v>46224</v>
      </c>
      <c r="P240" s="93">
        <v>46225</v>
      </c>
      <c r="Q240" s="167" t="s">
        <v>70</v>
      </c>
      <c r="R240" s="167" t="s">
        <v>70</v>
      </c>
      <c r="S240" s="167" t="s">
        <v>70</v>
      </c>
      <c r="T240" s="167" t="s">
        <v>70</v>
      </c>
      <c r="U240" s="167" t="s">
        <v>70</v>
      </c>
      <c r="V240" s="167" t="s">
        <v>70</v>
      </c>
      <c r="W240" s="167" t="s">
        <v>70</v>
      </c>
      <c r="X240" s="167" t="s">
        <v>70</v>
      </c>
      <c r="Y240" s="167" t="s">
        <v>70</v>
      </c>
      <c r="Z240" s="167" t="s">
        <v>70</v>
      </c>
      <c r="AA240" s="167" t="s">
        <v>70</v>
      </c>
      <c r="AB240" s="167" t="s">
        <v>70</v>
      </c>
      <c r="AC240" s="167" t="s">
        <v>70</v>
      </c>
      <c r="AD240" s="167" t="s">
        <v>70</v>
      </c>
      <c r="AE240" s="167" t="s">
        <v>70</v>
      </c>
      <c r="AF240" s="167" t="s">
        <v>70</v>
      </c>
      <c r="AG240" s="167" t="s">
        <v>70</v>
      </c>
      <c r="AH240" s="167" t="s">
        <v>70</v>
      </c>
      <c r="AI240" s="181">
        <v>46272</v>
      </c>
      <c r="AJ240" s="163">
        <v>45352</v>
      </c>
      <c r="AK240" s="167" t="s">
        <v>70</v>
      </c>
      <c r="AL240" s="167" t="s">
        <v>70</v>
      </c>
      <c r="AM240" s="167"/>
      <c r="AN240" s="167" t="s">
        <v>70</v>
      </c>
      <c r="AO240" s="167" t="s">
        <v>70</v>
      </c>
      <c r="AP240" s="167" t="s">
        <v>70</v>
      </c>
      <c r="AQ240" s="167" t="s">
        <v>70</v>
      </c>
      <c r="AR240" s="166" t="s">
        <v>69</v>
      </c>
      <c r="AS240" s="167" t="s">
        <v>70</v>
      </c>
      <c r="AT240" s="167" t="s">
        <v>70</v>
      </c>
      <c r="AU240" s="167" t="s">
        <v>70</v>
      </c>
      <c r="AV240" s="167" t="s">
        <v>70</v>
      </c>
      <c r="AW240" s="167" t="s">
        <v>70</v>
      </c>
      <c r="AX240" s="167" t="s">
        <v>70</v>
      </c>
      <c r="AY240" s="167" t="s">
        <v>70</v>
      </c>
      <c r="AZ240" s="167" t="s">
        <v>70</v>
      </c>
      <c r="BA240" s="167" t="s">
        <v>70</v>
      </c>
      <c r="BB240" s="167" t="s">
        <v>70</v>
      </c>
      <c r="BC240" s="167" t="s">
        <v>70</v>
      </c>
      <c r="BD240" s="167" t="s">
        <v>70</v>
      </c>
      <c r="BE240" s="167" t="s">
        <v>70</v>
      </c>
      <c r="BF240" s="167" t="s">
        <v>70</v>
      </c>
      <c r="BG240" s="167" t="s">
        <v>70</v>
      </c>
      <c r="BH240" s="167" t="s">
        <v>70</v>
      </c>
      <c r="BI240" s="167" t="s">
        <v>70</v>
      </c>
      <c r="BJ240" s="167" t="s">
        <v>70</v>
      </c>
      <c r="BK240" s="167" t="s">
        <v>70</v>
      </c>
      <c r="BL240" s="167" t="s">
        <v>70</v>
      </c>
      <c r="BM240" s="167" t="s">
        <v>70</v>
      </c>
      <c r="BN240" s="167" t="s">
        <v>70</v>
      </c>
      <c r="BO240" s="167" t="s">
        <v>70</v>
      </c>
      <c r="BP240" s="167" t="s">
        <v>70</v>
      </c>
      <c r="BQ240" s="151" t="s">
        <v>256</v>
      </c>
    </row>
    <row r="241" spans="1:69" s="151" customFormat="1" ht="19.5" customHeight="1" x14ac:dyDescent="0.2">
      <c r="A241" s="117">
        <v>238</v>
      </c>
      <c r="B241" s="121" t="s">
        <v>277</v>
      </c>
      <c r="C241" s="122">
        <v>140274</v>
      </c>
      <c r="D241" s="117" t="s">
        <v>212</v>
      </c>
      <c r="E241" s="117" t="s">
        <v>68</v>
      </c>
      <c r="F241" s="146" t="s">
        <v>256</v>
      </c>
      <c r="G241" s="124" t="s">
        <v>69</v>
      </c>
      <c r="H241" s="93"/>
      <c r="I241" s="93"/>
      <c r="J241" s="92" t="str">
        <f t="shared" si="16"/>
        <v/>
      </c>
      <c r="K241" s="93"/>
      <c r="L241" s="93"/>
      <c r="M241" s="140" t="str">
        <f t="shared" si="15"/>
        <v/>
      </c>
      <c r="N241" s="93"/>
      <c r="O241" s="93"/>
      <c r="P241" s="93"/>
      <c r="Q241" s="167" t="s">
        <v>70</v>
      </c>
      <c r="R241" s="167" t="s">
        <v>70</v>
      </c>
      <c r="S241" s="167" t="s">
        <v>70</v>
      </c>
      <c r="T241" s="167" t="s">
        <v>70</v>
      </c>
      <c r="U241" s="167" t="s">
        <v>70</v>
      </c>
      <c r="V241" s="167" t="s">
        <v>70</v>
      </c>
      <c r="W241" s="167" t="s">
        <v>70</v>
      </c>
      <c r="X241" s="167" t="s">
        <v>70</v>
      </c>
      <c r="Y241" s="167" t="s">
        <v>70</v>
      </c>
      <c r="Z241" s="167" t="s">
        <v>70</v>
      </c>
      <c r="AA241" s="167" t="s">
        <v>70</v>
      </c>
      <c r="AB241" s="167" t="s">
        <v>70</v>
      </c>
      <c r="AC241" s="167" t="s">
        <v>70</v>
      </c>
      <c r="AD241" s="167" t="s">
        <v>70</v>
      </c>
      <c r="AE241" s="167" t="s">
        <v>70</v>
      </c>
      <c r="AF241" s="167" t="s">
        <v>70</v>
      </c>
      <c r="AG241" s="167" t="s">
        <v>70</v>
      </c>
      <c r="AH241" s="167" t="s">
        <v>70</v>
      </c>
      <c r="AI241" s="181">
        <v>46300</v>
      </c>
      <c r="AJ241" s="163">
        <v>45350</v>
      </c>
      <c r="AK241" s="167" t="s">
        <v>70</v>
      </c>
      <c r="AL241" s="167" t="s">
        <v>70</v>
      </c>
      <c r="AM241" s="167"/>
      <c r="AN241" s="167" t="s">
        <v>70</v>
      </c>
      <c r="AO241" s="167" t="s">
        <v>70</v>
      </c>
      <c r="AP241" s="167" t="s">
        <v>70</v>
      </c>
      <c r="AQ241" s="167" t="s">
        <v>70</v>
      </c>
      <c r="AR241" s="166" t="s">
        <v>69</v>
      </c>
      <c r="AS241" s="167" t="s">
        <v>70</v>
      </c>
      <c r="AT241" s="167" t="s">
        <v>70</v>
      </c>
      <c r="AU241" s="167" t="s">
        <v>70</v>
      </c>
      <c r="AV241" s="167" t="s">
        <v>70</v>
      </c>
      <c r="AW241" s="167" t="s">
        <v>70</v>
      </c>
      <c r="AX241" s="167" t="s">
        <v>70</v>
      </c>
      <c r="AY241" s="167" t="s">
        <v>70</v>
      </c>
      <c r="AZ241" s="167" t="s">
        <v>70</v>
      </c>
      <c r="BA241" s="167" t="s">
        <v>70</v>
      </c>
      <c r="BB241" s="167" t="s">
        <v>70</v>
      </c>
      <c r="BC241" s="167" t="s">
        <v>70</v>
      </c>
      <c r="BD241" s="167" t="s">
        <v>70</v>
      </c>
      <c r="BE241" s="167" t="s">
        <v>70</v>
      </c>
      <c r="BF241" s="167" t="s">
        <v>70</v>
      </c>
      <c r="BG241" s="167" t="s">
        <v>70</v>
      </c>
      <c r="BH241" s="167" t="s">
        <v>70</v>
      </c>
      <c r="BI241" s="167" t="s">
        <v>70</v>
      </c>
      <c r="BJ241" s="167" t="s">
        <v>70</v>
      </c>
      <c r="BK241" s="167" t="s">
        <v>70</v>
      </c>
      <c r="BL241" s="167" t="s">
        <v>70</v>
      </c>
      <c r="BM241" s="167" t="s">
        <v>70</v>
      </c>
      <c r="BN241" s="167" t="s">
        <v>70</v>
      </c>
      <c r="BO241" s="167" t="s">
        <v>70</v>
      </c>
      <c r="BP241" s="167" t="s">
        <v>70</v>
      </c>
      <c r="BQ241" s="151" t="s">
        <v>256</v>
      </c>
    </row>
    <row r="242" spans="1:69" s="151" customFormat="1" ht="19.5" customHeight="1" x14ac:dyDescent="0.2">
      <c r="A242" s="117">
        <v>239</v>
      </c>
      <c r="B242" s="121" t="s">
        <v>278</v>
      </c>
      <c r="C242" s="122">
        <v>83087497</v>
      </c>
      <c r="D242" s="117" t="s">
        <v>212</v>
      </c>
      <c r="E242" s="117" t="s">
        <v>68</v>
      </c>
      <c r="F242" s="146" t="s">
        <v>256</v>
      </c>
      <c r="G242" s="124" t="s">
        <v>69</v>
      </c>
      <c r="H242" s="93"/>
      <c r="I242" s="93"/>
      <c r="J242" s="92" t="str">
        <f t="shared" si="16"/>
        <v/>
      </c>
      <c r="K242" s="93"/>
      <c r="L242" s="93"/>
      <c r="M242" s="140" t="str">
        <f t="shared" si="15"/>
        <v/>
      </c>
      <c r="N242" s="93"/>
      <c r="O242" s="93"/>
      <c r="P242" s="93"/>
      <c r="Q242" s="167" t="s">
        <v>70</v>
      </c>
      <c r="R242" s="167" t="s">
        <v>70</v>
      </c>
      <c r="S242" s="167" t="s">
        <v>70</v>
      </c>
      <c r="T242" s="167" t="s">
        <v>70</v>
      </c>
      <c r="U242" s="167" t="s">
        <v>70</v>
      </c>
      <c r="V242" s="167" t="s">
        <v>70</v>
      </c>
      <c r="W242" s="167" t="s">
        <v>70</v>
      </c>
      <c r="X242" s="167" t="s">
        <v>70</v>
      </c>
      <c r="Y242" s="167" t="s">
        <v>70</v>
      </c>
      <c r="Z242" s="167" t="s">
        <v>70</v>
      </c>
      <c r="AA242" s="167" t="s">
        <v>70</v>
      </c>
      <c r="AB242" s="167" t="s">
        <v>70</v>
      </c>
      <c r="AC242" s="167" t="s">
        <v>70</v>
      </c>
      <c r="AD242" s="167" t="s">
        <v>70</v>
      </c>
      <c r="AE242" s="167" t="s">
        <v>70</v>
      </c>
      <c r="AF242" s="167" t="s">
        <v>70</v>
      </c>
      <c r="AG242" s="167" t="s">
        <v>70</v>
      </c>
      <c r="AH242" s="167" t="s">
        <v>70</v>
      </c>
      <c r="AI242" s="181">
        <v>46128</v>
      </c>
      <c r="AJ242" s="163">
        <v>45355</v>
      </c>
      <c r="AK242" s="167" t="s">
        <v>70</v>
      </c>
      <c r="AL242" s="167" t="s">
        <v>70</v>
      </c>
      <c r="AM242" s="167"/>
      <c r="AN242" s="167" t="s">
        <v>70</v>
      </c>
      <c r="AO242" s="167" t="s">
        <v>70</v>
      </c>
      <c r="AP242" s="167" t="s">
        <v>70</v>
      </c>
      <c r="AQ242" s="167" t="s">
        <v>70</v>
      </c>
      <c r="AR242" s="166" t="s">
        <v>69</v>
      </c>
      <c r="AS242" s="167" t="s">
        <v>70</v>
      </c>
      <c r="AT242" s="167" t="s">
        <v>70</v>
      </c>
      <c r="AU242" s="167" t="s">
        <v>70</v>
      </c>
      <c r="AV242" s="167" t="s">
        <v>70</v>
      </c>
      <c r="AW242" s="167" t="s">
        <v>70</v>
      </c>
      <c r="AX242" s="167" t="s">
        <v>70</v>
      </c>
      <c r="AY242" s="167" t="s">
        <v>70</v>
      </c>
      <c r="AZ242" s="167" t="s">
        <v>70</v>
      </c>
      <c r="BA242" s="167" t="s">
        <v>70</v>
      </c>
      <c r="BB242" s="167" t="s">
        <v>70</v>
      </c>
      <c r="BC242" s="167" t="s">
        <v>70</v>
      </c>
      <c r="BD242" s="167" t="s">
        <v>70</v>
      </c>
      <c r="BE242" s="167" t="s">
        <v>70</v>
      </c>
      <c r="BF242" s="167" t="s">
        <v>70</v>
      </c>
      <c r="BG242" s="167" t="s">
        <v>70</v>
      </c>
      <c r="BH242" s="167" t="s">
        <v>70</v>
      </c>
      <c r="BI242" s="167" t="s">
        <v>70</v>
      </c>
      <c r="BJ242" s="167" t="s">
        <v>70</v>
      </c>
      <c r="BK242" s="167" t="s">
        <v>70</v>
      </c>
      <c r="BL242" s="167" t="s">
        <v>70</v>
      </c>
      <c r="BM242" s="167" t="s">
        <v>70</v>
      </c>
      <c r="BN242" s="167" t="s">
        <v>70</v>
      </c>
      <c r="BO242" s="167" t="s">
        <v>70</v>
      </c>
      <c r="BP242" s="167" t="s">
        <v>70</v>
      </c>
      <c r="BQ242" s="151" t="s">
        <v>256</v>
      </c>
    </row>
    <row r="243" spans="1:69" s="151" customFormat="1" ht="19.5" customHeight="1" x14ac:dyDescent="0.2">
      <c r="A243" s="117">
        <v>240</v>
      </c>
      <c r="B243" s="121" t="s">
        <v>279</v>
      </c>
      <c r="C243" s="122">
        <v>152596</v>
      </c>
      <c r="D243" s="117" t="s">
        <v>212</v>
      </c>
      <c r="E243" s="117" t="s">
        <v>68</v>
      </c>
      <c r="F243" s="146" t="s">
        <v>256</v>
      </c>
      <c r="G243" s="124" t="s">
        <v>69</v>
      </c>
      <c r="H243" s="93"/>
      <c r="I243" s="93"/>
      <c r="J243" s="92" t="str">
        <f t="shared" si="16"/>
        <v/>
      </c>
      <c r="K243" s="93"/>
      <c r="L243" s="93"/>
      <c r="M243" s="140" t="str">
        <f t="shared" si="15"/>
        <v/>
      </c>
      <c r="N243" s="93"/>
      <c r="O243" s="93"/>
      <c r="P243" s="93"/>
      <c r="Q243" s="167" t="s">
        <v>70</v>
      </c>
      <c r="R243" s="167" t="s">
        <v>70</v>
      </c>
      <c r="S243" s="167" t="s">
        <v>70</v>
      </c>
      <c r="T243" s="167" t="s">
        <v>70</v>
      </c>
      <c r="U243" s="167" t="s">
        <v>70</v>
      </c>
      <c r="V243" s="167" t="s">
        <v>70</v>
      </c>
      <c r="W243" s="167" t="s">
        <v>70</v>
      </c>
      <c r="X243" s="167" t="s">
        <v>70</v>
      </c>
      <c r="Y243" s="167" t="s">
        <v>70</v>
      </c>
      <c r="Z243" s="167" t="s">
        <v>70</v>
      </c>
      <c r="AA243" s="167" t="s">
        <v>70</v>
      </c>
      <c r="AB243" s="167" t="s">
        <v>70</v>
      </c>
      <c r="AC243" s="167" t="s">
        <v>70</v>
      </c>
      <c r="AD243" s="167" t="s">
        <v>70</v>
      </c>
      <c r="AE243" s="167" t="s">
        <v>70</v>
      </c>
      <c r="AF243" s="167" t="s">
        <v>70</v>
      </c>
      <c r="AG243" s="167" t="s">
        <v>70</v>
      </c>
      <c r="AH243" s="167" t="s">
        <v>70</v>
      </c>
      <c r="AI243" s="181">
        <v>46086</v>
      </c>
      <c r="AJ243" s="163">
        <v>45345</v>
      </c>
      <c r="AK243" s="167" t="s">
        <v>70</v>
      </c>
      <c r="AL243" s="167" t="s">
        <v>70</v>
      </c>
      <c r="AM243" s="167"/>
      <c r="AN243" s="167" t="s">
        <v>70</v>
      </c>
      <c r="AO243" s="167" t="s">
        <v>70</v>
      </c>
      <c r="AP243" s="167" t="s">
        <v>70</v>
      </c>
      <c r="AQ243" s="167" t="s">
        <v>70</v>
      </c>
      <c r="AR243" s="166" t="s">
        <v>69</v>
      </c>
      <c r="AS243" s="167" t="s">
        <v>70</v>
      </c>
      <c r="AT243" s="167" t="s">
        <v>70</v>
      </c>
      <c r="AU243" s="167" t="s">
        <v>70</v>
      </c>
      <c r="AV243" s="167" t="s">
        <v>70</v>
      </c>
      <c r="AW243" s="167" t="s">
        <v>70</v>
      </c>
      <c r="AX243" s="167" t="s">
        <v>70</v>
      </c>
      <c r="AY243" s="167" t="s">
        <v>70</v>
      </c>
      <c r="AZ243" s="167" t="s">
        <v>70</v>
      </c>
      <c r="BA243" s="167" t="s">
        <v>70</v>
      </c>
      <c r="BB243" s="167" t="s">
        <v>70</v>
      </c>
      <c r="BC243" s="167" t="s">
        <v>70</v>
      </c>
      <c r="BD243" s="167" t="s">
        <v>70</v>
      </c>
      <c r="BE243" s="167" t="s">
        <v>70</v>
      </c>
      <c r="BF243" s="167" t="s">
        <v>70</v>
      </c>
      <c r="BG243" s="167" t="s">
        <v>70</v>
      </c>
      <c r="BH243" s="167" t="s">
        <v>70</v>
      </c>
      <c r="BI243" s="167" t="s">
        <v>70</v>
      </c>
      <c r="BJ243" s="167" t="s">
        <v>70</v>
      </c>
      <c r="BK243" s="167" t="s">
        <v>70</v>
      </c>
      <c r="BL243" s="167" t="s">
        <v>70</v>
      </c>
      <c r="BM243" s="167" t="s">
        <v>70</v>
      </c>
      <c r="BN243" s="167" t="s">
        <v>70</v>
      </c>
      <c r="BO243" s="167" t="s">
        <v>70</v>
      </c>
      <c r="BP243" s="167" t="s">
        <v>70</v>
      </c>
      <c r="BQ243" s="151" t="s">
        <v>256</v>
      </c>
    </row>
    <row r="244" spans="1:69" s="151" customFormat="1" ht="19.5" customHeight="1" x14ac:dyDescent="0.2">
      <c r="A244" s="117">
        <v>241</v>
      </c>
      <c r="B244" s="121" t="s">
        <v>280</v>
      </c>
      <c r="C244" s="122">
        <v>83122109</v>
      </c>
      <c r="D244" s="117" t="s">
        <v>212</v>
      </c>
      <c r="E244" s="117" t="s">
        <v>68</v>
      </c>
      <c r="F244" s="146" t="s">
        <v>256</v>
      </c>
      <c r="G244" s="124" t="s">
        <v>69</v>
      </c>
      <c r="H244" s="93"/>
      <c r="I244" s="93"/>
      <c r="J244" s="92" t="str">
        <f t="shared" si="16"/>
        <v/>
      </c>
      <c r="K244" s="93"/>
      <c r="L244" s="93"/>
      <c r="M244" s="140" t="str">
        <f t="shared" si="15"/>
        <v/>
      </c>
      <c r="N244" s="93"/>
      <c r="O244" s="93"/>
      <c r="P244" s="93"/>
      <c r="Q244" s="167" t="s">
        <v>70</v>
      </c>
      <c r="R244" s="167" t="s">
        <v>70</v>
      </c>
      <c r="S244" s="167" t="s">
        <v>70</v>
      </c>
      <c r="T244" s="167" t="s">
        <v>70</v>
      </c>
      <c r="U244" s="167" t="s">
        <v>70</v>
      </c>
      <c r="V244" s="167" t="s">
        <v>70</v>
      </c>
      <c r="W244" s="167" t="s">
        <v>70</v>
      </c>
      <c r="X244" s="167" t="s">
        <v>70</v>
      </c>
      <c r="Y244" s="167" t="s">
        <v>70</v>
      </c>
      <c r="Z244" s="167" t="s">
        <v>70</v>
      </c>
      <c r="AA244" s="167" t="s">
        <v>70</v>
      </c>
      <c r="AB244" s="167" t="s">
        <v>70</v>
      </c>
      <c r="AC244" s="167" t="s">
        <v>70</v>
      </c>
      <c r="AD244" s="167" t="s">
        <v>70</v>
      </c>
      <c r="AE244" s="167" t="s">
        <v>70</v>
      </c>
      <c r="AF244" s="167" t="s">
        <v>70</v>
      </c>
      <c r="AG244" s="167" t="s">
        <v>70</v>
      </c>
      <c r="AH244" s="167" t="s">
        <v>70</v>
      </c>
      <c r="AI244" s="181">
        <v>46149</v>
      </c>
      <c r="AJ244" s="163">
        <v>45343</v>
      </c>
      <c r="AK244" s="167" t="s">
        <v>70</v>
      </c>
      <c r="AL244" s="167" t="s">
        <v>70</v>
      </c>
      <c r="AM244" s="167"/>
      <c r="AN244" s="167" t="s">
        <v>70</v>
      </c>
      <c r="AO244" s="167" t="s">
        <v>70</v>
      </c>
      <c r="AP244" s="167" t="s">
        <v>70</v>
      </c>
      <c r="AQ244" s="167" t="s">
        <v>70</v>
      </c>
      <c r="AR244" s="166" t="s">
        <v>69</v>
      </c>
      <c r="AS244" s="167" t="s">
        <v>70</v>
      </c>
      <c r="AT244" s="167" t="s">
        <v>70</v>
      </c>
      <c r="AU244" s="167" t="s">
        <v>70</v>
      </c>
      <c r="AV244" s="167" t="s">
        <v>70</v>
      </c>
      <c r="AW244" s="167" t="s">
        <v>70</v>
      </c>
      <c r="AX244" s="167" t="s">
        <v>70</v>
      </c>
      <c r="AY244" s="167" t="s">
        <v>70</v>
      </c>
      <c r="AZ244" s="167" t="s">
        <v>70</v>
      </c>
      <c r="BA244" s="167" t="s">
        <v>70</v>
      </c>
      <c r="BB244" s="167" t="s">
        <v>70</v>
      </c>
      <c r="BC244" s="167" t="s">
        <v>70</v>
      </c>
      <c r="BD244" s="167" t="s">
        <v>70</v>
      </c>
      <c r="BE244" s="167" t="s">
        <v>70</v>
      </c>
      <c r="BF244" s="167" t="s">
        <v>70</v>
      </c>
      <c r="BG244" s="167" t="s">
        <v>70</v>
      </c>
      <c r="BH244" s="167" t="s">
        <v>70</v>
      </c>
      <c r="BI244" s="167" t="s">
        <v>70</v>
      </c>
      <c r="BJ244" s="167" t="s">
        <v>70</v>
      </c>
      <c r="BK244" s="167" t="s">
        <v>70</v>
      </c>
      <c r="BL244" s="167" t="s">
        <v>70</v>
      </c>
      <c r="BM244" s="167" t="s">
        <v>70</v>
      </c>
      <c r="BN244" s="167" t="s">
        <v>70</v>
      </c>
      <c r="BO244" s="167" t="s">
        <v>70</v>
      </c>
      <c r="BP244" s="167" t="s">
        <v>70</v>
      </c>
      <c r="BQ244" s="151" t="s">
        <v>256</v>
      </c>
    </row>
    <row r="245" spans="1:69" s="151" customFormat="1" ht="19.5" customHeight="1" x14ac:dyDescent="0.2">
      <c r="A245" s="117">
        <v>242</v>
      </c>
      <c r="B245" s="121" t="s">
        <v>281</v>
      </c>
      <c r="C245" s="122">
        <v>221926</v>
      </c>
      <c r="D245" s="117" t="s">
        <v>212</v>
      </c>
      <c r="E245" s="117" t="s">
        <v>68</v>
      </c>
      <c r="F245" s="146" t="s">
        <v>256</v>
      </c>
      <c r="G245" s="124" t="s">
        <v>69</v>
      </c>
      <c r="H245" s="93">
        <v>46164</v>
      </c>
      <c r="I245" s="93">
        <v>46164</v>
      </c>
      <c r="J245" s="92">
        <f t="shared" si="16"/>
        <v>47259</v>
      </c>
      <c r="K245" s="93">
        <v>46163</v>
      </c>
      <c r="L245" s="93">
        <v>46163</v>
      </c>
      <c r="M245" s="140">
        <f t="shared" si="15"/>
        <v>47259</v>
      </c>
      <c r="N245" s="93">
        <v>46167</v>
      </c>
      <c r="O245" s="93">
        <v>46161</v>
      </c>
      <c r="P245" s="93">
        <v>46162</v>
      </c>
      <c r="Q245" s="167" t="s">
        <v>70</v>
      </c>
      <c r="R245" s="167" t="s">
        <v>70</v>
      </c>
      <c r="S245" s="167" t="s">
        <v>70</v>
      </c>
      <c r="T245" s="167" t="s">
        <v>70</v>
      </c>
      <c r="U245" s="167" t="s">
        <v>70</v>
      </c>
      <c r="V245" s="167" t="s">
        <v>70</v>
      </c>
      <c r="W245" s="167" t="s">
        <v>70</v>
      </c>
      <c r="X245" s="167" t="s">
        <v>70</v>
      </c>
      <c r="Y245" s="167" t="s">
        <v>70</v>
      </c>
      <c r="Z245" s="167" t="s">
        <v>70</v>
      </c>
      <c r="AA245" s="167" t="s">
        <v>70</v>
      </c>
      <c r="AB245" s="167" t="s">
        <v>70</v>
      </c>
      <c r="AC245" s="167" t="s">
        <v>70</v>
      </c>
      <c r="AD245" s="167" t="s">
        <v>70</v>
      </c>
      <c r="AE245" s="167" t="s">
        <v>70</v>
      </c>
      <c r="AF245" s="167" t="s">
        <v>70</v>
      </c>
      <c r="AG245" s="167" t="s">
        <v>70</v>
      </c>
      <c r="AH245" s="167" t="s">
        <v>70</v>
      </c>
      <c r="AI245" s="163">
        <v>46300</v>
      </c>
      <c r="AJ245" s="163">
        <v>45341</v>
      </c>
      <c r="AK245" s="167" t="s">
        <v>70</v>
      </c>
      <c r="AL245" s="167" t="s">
        <v>70</v>
      </c>
      <c r="AM245" s="167"/>
      <c r="AN245" s="167" t="s">
        <v>70</v>
      </c>
      <c r="AO245" s="167" t="s">
        <v>70</v>
      </c>
      <c r="AP245" s="167" t="s">
        <v>70</v>
      </c>
      <c r="AQ245" s="167" t="s">
        <v>70</v>
      </c>
      <c r="AR245" s="166" t="s">
        <v>69</v>
      </c>
      <c r="AS245" s="167" t="s">
        <v>70</v>
      </c>
      <c r="AT245" s="167" t="s">
        <v>70</v>
      </c>
      <c r="AU245" s="167" t="s">
        <v>70</v>
      </c>
      <c r="AV245" s="167" t="s">
        <v>70</v>
      </c>
      <c r="AW245" s="167" t="s">
        <v>70</v>
      </c>
      <c r="AX245" s="167" t="s">
        <v>70</v>
      </c>
      <c r="AY245" s="167" t="s">
        <v>70</v>
      </c>
      <c r="AZ245" s="167" t="s">
        <v>70</v>
      </c>
      <c r="BA245" s="167" t="s">
        <v>70</v>
      </c>
      <c r="BB245" s="167" t="s">
        <v>70</v>
      </c>
      <c r="BC245" s="167" t="s">
        <v>70</v>
      </c>
      <c r="BD245" s="167" t="s">
        <v>70</v>
      </c>
      <c r="BE245" s="167" t="s">
        <v>70</v>
      </c>
      <c r="BF245" s="167" t="s">
        <v>70</v>
      </c>
      <c r="BG245" s="167" t="s">
        <v>70</v>
      </c>
      <c r="BH245" s="167" t="s">
        <v>70</v>
      </c>
      <c r="BI245" s="167" t="s">
        <v>70</v>
      </c>
      <c r="BJ245" s="167" t="s">
        <v>70</v>
      </c>
      <c r="BK245" s="167" t="s">
        <v>70</v>
      </c>
      <c r="BL245" s="167" t="s">
        <v>70</v>
      </c>
      <c r="BM245" s="167" t="s">
        <v>70</v>
      </c>
      <c r="BN245" s="167" t="s">
        <v>70</v>
      </c>
      <c r="BO245" s="167" t="s">
        <v>70</v>
      </c>
      <c r="BP245" s="167" t="s">
        <v>70</v>
      </c>
      <c r="BQ245" s="151" t="s">
        <v>256</v>
      </c>
    </row>
    <row r="246" spans="1:69" s="151" customFormat="1" ht="19.5" customHeight="1" x14ac:dyDescent="0.2">
      <c r="A246" s="117">
        <v>243</v>
      </c>
      <c r="B246" s="121" t="s">
        <v>282</v>
      </c>
      <c r="C246" s="122">
        <v>83099396</v>
      </c>
      <c r="D246" s="117" t="s">
        <v>212</v>
      </c>
      <c r="E246" s="117" t="s">
        <v>68</v>
      </c>
      <c r="F246" s="146" t="s">
        <v>256</v>
      </c>
      <c r="G246" s="124" t="s">
        <v>69</v>
      </c>
      <c r="H246" s="93">
        <v>42478</v>
      </c>
      <c r="I246" s="93">
        <v>45798</v>
      </c>
      <c r="J246" s="92">
        <f t="shared" si="16"/>
        <v>46893</v>
      </c>
      <c r="K246" s="93">
        <v>42163</v>
      </c>
      <c r="L246" s="93">
        <v>45797</v>
      </c>
      <c r="M246" s="140">
        <f t="shared" si="15"/>
        <v>46893</v>
      </c>
      <c r="N246" s="93">
        <v>45800</v>
      </c>
      <c r="O246" s="93">
        <v>45799</v>
      </c>
      <c r="P246" s="93">
        <v>45796</v>
      </c>
      <c r="Q246" s="167" t="s">
        <v>70</v>
      </c>
      <c r="R246" s="167" t="s">
        <v>70</v>
      </c>
      <c r="S246" s="167" t="s">
        <v>70</v>
      </c>
      <c r="T246" s="167" t="s">
        <v>70</v>
      </c>
      <c r="U246" s="167" t="s">
        <v>70</v>
      </c>
      <c r="V246" s="167" t="s">
        <v>70</v>
      </c>
      <c r="W246" s="167" t="s">
        <v>70</v>
      </c>
      <c r="X246" s="167" t="s">
        <v>70</v>
      </c>
      <c r="Y246" s="167" t="s">
        <v>70</v>
      </c>
      <c r="Z246" s="167" t="s">
        <v>70</v>
      </c>
      <c r="AA246" s="167" t="s">
        <v>70</v>
      </c>
      <c r="AB246" s="167" t="s">
        <v>70</v>
      </c>
      <c r="AC246" s="167" t="s">
        <v>70</v>
      </c>
      <c r="AD246" s="167" t="s">
        <v>70</v>
      </c>
      <c r="AE246" s="167" t="s">
        <v>70</v>
      </c>
      <c r="AF246" s="167" t="s">
        <v>70</v>
      </c>
      <c r="AG246" s="167" t="s">
        <v>70</v>
      </c>
      <c r="AH246" s="167" t="s">
        <v>70</v>
      </c>
      <c r="AI246" s="181">
        <v>46233</v>
      </c>
      <c r="AJ246" s="163">
        <v>45355</v>
      </c>
      <c r="AK246" s="167" t="s">
        <v>70</v>
      </c>
      <c r="AL246" s="167" t="s">
        <v>70</v>
      </c>
      <c r="AM246" s="167"/>
      <c r="AN246" s="167" t="s">
        <v>70</v>
      </c>
      <c r="AO246" s="167" t="s">
        <v>70</v>
      </c>
      <c r="AP246" s="167" t="s">
        <v>70</v>
      </c>
      <c r="AQ246" s="167" t="s">
        <v>70</v>
      </c>
      <c r="AR246" s="166" t="s">
        <v>69</v>
      </c>
      <c r="AS246" s="167" t="s">
        <v>70</v>
      </c>
      <c r="AT246" s="167" t="s">
        <v>70</v>
      </c>
      <c r="AU246" s="167" t="s">
        <v>70</v>
      </c>
      <c r="AV246" s="167" t="s">
        <v>70</v>
      </c>
      <c r="AW246" s="167" t="s">
        <v>70</v>
      </c>
      <c r="AX246" s="167" t="s">
        <v>70</v>
      </c>
      <c r="AY246" s="167" t="s">
        <v>70</v>
      </c>
      <c r="AZ246" s="167" t="s">
        <v>70</v>
      </c>
      <c r="BA246" s="167" t="s">
        <v>70</v>
      </c>
      <c r="BB246" s="167" t="s">
        <v>70</v>
      </c>
      <c r="BC246" s="167" t="s">
        <v>70</v>
      </c>
      <c r="BD246" s="167" t="s">
        <v>70</v>
      </c>
      <c r="BE246" s="167" t="s">
        <v>70</v>
      </c>
      <c r="BF246" s="167" t="s">
        <v>70</v>
      </c>
      <c r="BG246" s="167" t="s">
        <v>70</v>
      </c>
      <c r="BH246" s="167" t="s">
        <v>70</v>
      </c>
      <c r="BI246" s="167" t="s">
        <v>70</v>
      </c>
      <c r="BJ246" s="167" t="s">
        <v>70</v>
      </c>
      <c r="BK246" s="167" t="s">
        <v>70</v>
      </c>
      <c r="BL246" s="167" t="s">
        <v>70</v>
      </c>
      <c r="BM246" s="167" t="s">
        <v>70</v>
      </c>
      <c r="BN246" s="167" t="s">
        <v>70</v>
      </c>
      <c r="BO246" s="167" t="s">
        <v>70</v>
      </c>
      <c r="BP246" s="167" t="s">
        <v>70</v>
      </c>
      <c r="BQ246" s="151" t="s">
        <v>256</v>
      </c>
    </row>
    <row r="247" spans="1:69" s="151" customFormat="1" ht="19.5" customHeight="1" x14ac:dyDescent="0.2">
      <c r="A247" s="117">
        <v>244</v>
      </c>
      <c r="B247" s="121" t="s">
        <v>283</v>
      </c>
      <c r="C247" s="122">
        <v>140585</v>
      </c>
      <c r="D247" s="117" t="s">
        <v>212</v>
      </c>
      <c r="E247" s="117" t="s">
        <v>68</v>
      </c>
      <c r="F247" s="146" t="s">
        <v>256</v>
      </c>
      <c r="G247" s="124" t="s">
        <v>69</v>
      </c>
      <c r="H247" s="93">
        <v>42258</v>
      </c>
      <c r="I247" s="93">
        <v>45961</v>
      </c>
      <c r="J247" s="92">
        <f t="shared" si="16"/>
        <v>47056</v>
      </c>
      <c r="K247" s="93">
        <v>42261</v>
      </c>
      <c r="L247" s="93">
        <v>45960</v>
      </c>
      <c r="M247" s="140">
        <f t="shared" si="15"/>
        <v>47056</v>
      </c>
      <c r="N247" s="93">
        <v>45959</v>
      </c>
      <c r="O247" s="93">
        <v>45958</v>
      </c>
      <c r="P247" s="93">
        <v>45957</v>
      </c>
      <c r="Q247" s="167" t="s">
        <v>70</v>
      </c>
      <c r="R247" s="167" t="s">
        <v>70</v>
      </c>
      <c r="S247" s="167" t="s">
        <v>70</v>
      </c>
      <c r="T247" s="167" t="s">
        <v>70</v>
      </c>
      <c r="U247" s="167" t="s">
        <v>70</v>
      </c>
      <c r="V247" s="167" t="s">
        <v>70</v>
      </c>
      <c r="W247" s="167" t="s">
        <v>70</v>
      </c>
      <c r="X247" s="167" t="s">
        <v>70</v>
      </c>
      <c r="Y247" s="167" t="s">
        <v>70</v>
      </c>
      <c r="Z247" s="167" t="s">
        <v>70</v>
      </c>
      <c r="AA247" s="167" t="s">
        <v>70</v>
      </c>
      <c r="AB247" s="167" t="s">
        <v>70</v>
      </c>
      <c r="AC247" s="167" t="s">
        <v>70</v>
      </c>
      <c r="AD247" s="167" t="s">
        <v>70</v>
      </c>
      <c r="AE247" s="167" t="s">
        <v>70</v>
      </c>
      <c r="AF247" s="167" t="s">
        <v>70</v>
      </c>
      <c r="AG247" s="167" t="s">
        <v>70</v>
      </c>
      <c r="AH247" s="167" t="s">
        <v>70</v>
      </c>
      <c r="AI247" s="181">
        <v>46044</v>
      </c>
      <c r="AJ247" s="163">
        <v>45355</v>
      </c>
      <c r="AK247" s="167" t="s">
        <v>70</v>
      </c>
      <c r="AL247" s="167" t="s">
        <v>70</v>
      </c>
      <c r="AM247" s="167"/>
      <c r="AN247" s="167" t="s">
        <v>70</v>
      </c>
      <c r="AO247" s="167" t="s">
        <v>70</v>
      </c>
      <c r="AP247" s="167" t="s">
        <v>70</v>
      </c>
      <c r="AQ247" s="167" t="s">
        <v>70</v>
      </c>
      <c r="AR247" s="166" t="s">
        <v>69</v>
      </c>
      <c r="AS247" s="167" t="s">
        <v>70</v>
      </c>
      <c r="AT247" s="167" t="s">
        <v>70</v>
      </c>
      <c r="AU247" s="167" t="s">
        <v>70</v>
      </c>
      <c r="AV247" s="167" t="s">
        <v>70</v>
      </c>
      <c r="AW247" s="167" t="s">
        <v>70</v>
      </c>
      <c r="AX247" s="167" t="s">
        <v>70</v>
      </c>
      <c r="AY247" s="167" t="s">
        <v>70</v>
      </c>
      <c r="AZ247" s="167" t="s">
        <v>70</v>
      </c>
      <c r="BA247" s="167" t="s">
        <v>70</v>
      </c>
      <c r="BB247" s="167" t="s">
        <v>70</v>
      </c>
      <c r="BC247" s="167" t="s">
        <v>70</v>
      </c>
      <c r="BD247" s="167" t="s">
        <v>70</v>
      </c>
      <c r="BE247" s="167" t="s">
        <v>70</v>
      </c>
      <c r="BF247" s="167" t="s">
        <v>70</v>
      </c>
      <c r="BG247" s="167" t="s">
        <v>70</v>
      </c>
      <c r="BH247" s="167" t="s">
        <v>70</v>
      </c>
      <c r="BI247" s="167" t="s">
        <v>70</v>
      </c>
      <c r="BJ247" s="167" t="s">
        <v>70</v>
      </c>
      <c r="BK247" s="167" t="s">
        <v>70</v>
      </c>
      <c r="BL247" s="167" t="s">
        <v>70</v>
      </c>
      <c r="BM247" s="167" t="s">
        <v>70</v>
      </c>
      <c r="BN247" s="167" t="s">
        <v>70</v>
      </c>
      <c r="BO247" s="167" t="s">
        <v>70</v>
      </c>
      <c r="BP247" s="167" t="s">
        <v>70</v>
      </c>
      <c r="BQ247" s="151" t="s">
        <v>256</v>
      </c>
    </row>
    <row r="248" spans="1:69" s="151" customFormat="1" ht="19.5" customHeight="1" x14ac:dyDescent="0.2">
      <c r="A248" s="117">
        <v>245</v>
      </c>
      <c r="B248" s="121" t="s">
        <v>284</v>
      </c>
      <c r="C248" s="122">
        <v>83086318</v>
      </c>
      <c r="D248" s="117" t="s">
        <v>212</v>
      </c>
      <c r="E248" s="117" t="s">
        <v>68</v>
      </c>
      <c r="F248" s="146" t="s">
        <v>256</v>
      </c>
      <c r="G248" s="124" t="s">
        <v>69</v>
      </c>
      <c r="H248" s="93">
        <v>42303</v>
      </c>
      <c r="I248" s="93">
        <v>45770</v>
      </c>
      <c r="J248" s="92">
        <f t="shared" si="16"/>
        <v>46865</v>
      </c>
      <c r="K248" s="93">
        <v>42303</v>
      </c>
      <c r="L248" s="93">
        <v>45769</v>
      </c>
      <c r="M248" s="140">
        <f t="shared" si="15"/>
        <v>46865</v>
      </c>
      <c r="N248" s="93">
        <v>45772</v>
      </c>
      <c r="O248" s="93">
        <v>45771</v>
      </c>
      <c r="P248" s="93">
        <v>45768</v>
      </c>
      <c r="Q248" s="167" t="s">
        <v>70</v>
      </c>
      <c r="R248" s="167" t="s">
        <v>70</v>
      </c>
      <c r="S248" s="167" t="s">
        <v>70</v>
      </c>
      <c r="T248" s="167" t="s">
        <v>70</v>
      </c>
      <c r="U248" s="167" t="s">
        <v>70</v>
      </c>
      <c r="V248" s="167" t="s">
        <v>70</v>
      </c>
      <c r="W248" s="167" t="s">
        <v>70</v>
      </c>
      <c r="X248" s="167" t="s">
        <v>70</v>
      </c>
      <c r="Y248" s="167" t="s">
        <v>70</v>
      </c>
      <c r="Z248" s="167" t="s">
        <v>70</v>
      </c>
      <c r="AA248" s="167" t="s">
        <v>70</v>
      </c>
      <c r="AB248" s="167" t="s">
        <v>70</v>
      </c>
      <c r="AC248" s="167" t="s">
        <v>70</v>
      </c>
      <c r="AD248" s="167" t="s">
        <v>70</v>
      </c>
      <c r="AE248" s="167" t="s">
        <v>70</v>
      </c>
      <c r="AF248" s="167" t="s">
        <v>70</v>
      </c>
      <c r="AG248" s="167" t="s">
        <v>70</v>
      </c>
      <c r="AH248" s="167" t="s">
        <v>70</v>
      </c>
      <c r="AI248" s="186">
        <v>46175</v>
      </c>
      <c r="AJ248" s="163">
        <v>45341</v>
      </c>
      <c r="AK248" s="167" t="s">
        <v>70</v>
      </c>
      <c r="AL248" s="167" t="s">
        <v>70</v>
      </c>
      <c r="AM248" s="167"/>
      <c r="AN248" s="167" t="s">
        <v>70</v>
      </c>
      <c r="AO248" s="167" t="s">
        <v>70</v>
      </c>
      <c r="AP248" s="167" t="s">
        <v>70</v>
      </c>
      <c r="AQ248" s="167" t="s">
        <v>70</v>
      </c>
      <c r="AR248" s="166" t="s">
        <v>69</v>
      </c>
      <c r="AS248" s="167" t="s">
        <v>70</v>
      </c>
      <c r="AT248" s="167" t="s">
        <v>70</v>
      </c>
      <c r="AU248" s="167" t="s">
        <v>70</v>
      </c>
      <c r="AV248" s="167" t="s">
        <v>70</v>
      </c>
      <c r="AW248" s="167" t="s">
        <v>70</v>
      </c>
      <c r="AX248" s="167" t="s">
        <v>70</v>
      </c>
      <c r="AY248" s="167" t="s">
        <v>70</v>
      </c>
      <c r="AZ248" s="167" t="s">
        <v>70</v>
      </c>
      <c r="BA248" s="167" t="s">
        <v>70</v>
      </c>
      <c r="BB248" s="167" t="s">
        <v>70</v>
      </c>
      <c r="BC248" s="167" t="s">
        <v>70</v>
      </c>
      <c r="BD248" s="167" t="s">
        <v>70</v>
      </c>
      <c r="BE248" s="167" t="s">
        <v>70</v>
      </c>
      <c r="BF248" s="167" t="s">
        <v>70</v>
      </c>
      <c r="BG248" s="167" t="s">
        <v>70</v>
      </c>
      <c r="BH248" s="167" t="s">
        <v>70</v>
      </c>
      <c r="BI248" s="167" t="s">
        <v>70</v>
      </c>
      <c r="BJ248" s="167" t="s">
        <v>70</v>
      </c>
      <c r="BK248" s="167" t="s">
        <v>70</v>
      </c>
      <c r="BL248" s="167" t="s">
        <v>70</v>
      </c>
      <c r="BM248" s="167" t="s">
        <v>70</v>
      </c>
      <c r="BN248" s="167" t="s">
        <v>70</v>
      </c>
      <c r="BO248" s="167" t="s">
        <v>70</v>
      </c>
      <c r="BP248" s="167" t="s">
        <v>70</v>
      </c>
      <c r="BQ248" s="151" t="s">
        <v>256</v>
      </c>
    </row>
    <row r="249" spans="1:69" s="151" customFormat="1" ht="19.5" customHeight="1" x14ac:dyDescent="0.2">
      <c r="A249" s="117">
        <v>246</v>
      </c>
      <c r="B249" s="121" t="s">
        <v>288</v>
      </c>
      <c r="C249" s="122">
        <v>83103445</v>
      </c>
      <c r="D249" s="117" t="s">
        <v>212</v>
      </c>
      <c r="E249" s="117" t="s">
        <v>68</v>
      </c>
      <c r="F249" s="146" t="s">
        <v>256</v>
      </c>
      <c r="G249" s="124" t="s">
        <v>69</v>
      </c>
      <c r="H249" s="93">
        <v>42163</v>
      </c>
      <c r="I249" s="93">
        <v>45961</v>
      </c>
      <c r="J249" s="92">
        <f t="shared" si="16"/>
        <v>47056</v>
      </c>
      <c r="K249" s="93">
        <v>42160</v>
      </c>
      <c r="L249" s="93">
        <v>45960</v>
      </c>
      <c r="M249" s="140">
        <f t="shared" si="15"/>
        <v>47056</v>
      </c>
      <c r="N249" s="93">
        <v>45959</v>
      </c>
      <c r="O249" s="93">
        <v>45958</v>
      </c>
      <c r="P249" s="93">
        <v>45957</v>
      </c>
      <c r="Q249" s="167" t="s">
        <v>70</v>
      </c>
      <c r="R249" s="167" t="s">
        <v>70</v>
      </c>
      <c r="S249" s="167" t="s">
        <v>70</v>
      </c>
      <c r="T249" s="167" t="s">
        <v>70</v>
      </c>
      <c r="U249" s="167" t="s">
        <v>70</v>
      </c>
      <c r="V249" s="167" t="s">
        <v>70</v>
      </c>
      <c r="W249" s="167" t="s">
        <v>70</v>
      </c>
      <c r="X249" s="167" t="s">
        <v>70</v>
      </c>
      <c r="Y249" s="167" t="s">
        <v>70</v>
      </c>
      <c r="Z249" s="167" t="s">
        <v>70</v>
      </c>
      <c r="AA249" s="167" t="s">
        <v>70</v>
      </c>
      <c r="AB249" s="167" t="s">
        <v>70</v>
      </c>
      <c r="AC249" s="167" t="s">
        <v>70</v>
      </c>
      <c r="AD249" s="167" t="s">
        <v>70</v>
      </c>
      <c r="AE249" s="167" t="s">
        <v>70</v>
      </c>
      <c r="AF249" s="167" t="s">
        <v>70</v>
      </c>
      <c r="AG249" s="167" t="s">
        <v>70</v>
      </c>
      <c r="AH249" s="167" t="s">
        <v>70</v>
      </c>
      <c r="AI249" s="181">
        <v>46223</v>
      </c>
      <c r="AJ249" s="166" t="s">
        <v>69</v>
      </c>
      <c r="AK249" s="167" t="s">
        <v>70</v>
      </c>
      <c r="AL249" s="167" t="s">
        <v>70</v>
      </c>
      <c r="AM249" s="167"/>
      <c r="AN249" s="167" t="s">
        <v>70</v>
      </c>
      <c r="AO249" s="167" t="s">
        <v>70</v>
      </c>
      <c r="AP249" s="167" t="s">
        <v>70</v>
      </c>
      <c r="AQ249" s="167" t="s">
        <v>70</v>
      </c>
      <c r="AR249" s="166" t="s">
        <v>69</v>
      </c>
      <c r="AS249" s="167" t="s">
        <v>70</v>
      </c>
      <c r="AT249" s="167" t="s">
        <v>70</v>
      </c>
      <c r="AU249" s="167" t="s">
        <v>70</v>
      </c>
      <c r="AV249" s="167" t="s">
        <v>70</v>
      </c>
      <c r="AW249" s="167" t="s">
        <v>70</v>
      </c>
      <c r="AX249" s="167" t="s">
        <v>70</v>
      </c>
      <c r="AY249" s="167" t="s">
        <v>70</v>
      </c>
      <c r="AZ249" s="167" t="s">
        <v>70</v>
      </c>
      <c r="BA249" s="167" t="s">
        <v>70</v>
      </c>
      <c r="BB249" s="167" t="s">
        <v>70</v>
      </c>
      <c r="BC249" s="167" t="s">
        <v>70</v>
      </c>
      <c r="BD249" s="167" t="s">
        <v>70</v>
      </c>
      <c r="BE249" s="167" t="s">
        <v>70</v>
      </c>
      <c r="BF249" s="167" t="s">
        <v>70</v>
      </c>
      <c r="BG249" s="167" t="s">
        <v>70</v>
      </c>
      <c r="BH249" s="167" t="s">
        <v>70</v>
      </c>
      <c r="BI249" s="167" t="s">
        <v>70</v>
      </c>
      <c r="BJ249" s="167" t="s">
        <v>70</v>
      </c>
      <c r="BK249" s="167" t="s">
        <v>70</v>
      </c>
      <c r="BL249" s="167" t="s">
        <v>70</v>
      </c>
      <c r="BM249" s="167" t="s">
        <v>70</v>
      </c>
      <c r="BN249" s="167" t="s">
        <v>70</v>
      </c>
      <c r="BO249" s="167" t="s">
        <v>70</v>
      </c>
      <c r="BP249" s="167" t="s">
        <v>70</v>
      </c>
      <c r="BQ249" s="151" t="s">
        <v>256</v>
      </c>
    </row>
    <row r="250" spans="1:69" s="151" customFormat="1" ht="19.5" customHeight="1" x14ac:dyDescent="0.2">
      <c r="A250" s="117">
        <v>247</v>
      </c>
      <c r="B250" s="121" t="s">
        <v>289</v>
      </c>
      <c r="C250" s="121">
        <v>84050998</v>
      </c>
      <c r="D250" s="117" t="s">
        <v>212</v>
      </c>
      <c r="E250" s="117" t="s">
        <v>68</v>
      </c>
      <c r="F250" s="146" t="s">
        <v>256</v>
      </c>
      <c r="G250" s="124" t="s">
        <v>69</v>
      </c>
      <c r="H250" s="190">
        <v>45961</v>
      </c>
      <c r="I250" s="93">
        <v>45961</v>
      </c>
      <c r="J250" s="92">
        <f t="shared" si="16"/>
        <v>47056</v>
      </c>
      <c r="K250" s="93">
        <v>45960</v>
      </c>
      <c r="L250" s="93">
        <v>45960</v>
      </c>
      <c r="M250" s="140">
        <f t="shared" si="15"/>
        <v>47056</v>
      </c>
      <c r="N250" s="93">
        <v>45959</v>
      </c>
      <c r="O250" s="93">
        <v>45958</v>
      </c>
      <c r="P250" s="93">
        <v>45957</v>
      </c>
      <c r="Q250" s="167" t="s">
        <v>70</v>
      </c>
      <c r="R250" s="167" t="s">
        <v>70</v>
      </c>
      <c r="S250" s="167" t="s">
        <v>70</v>
      </c>
      <c r="T250" s="167" t="s">
        <v>70</v>
      </c>
      <c r="U250" s="167" t="s">
        <v>70</v>
      </c>
      <c r="V250" s="167" t="s">
        <v>70</v>
      </c>
      <c r="W250" s="167" t="s">
        <v>70</v>
      </c>
      <c r="X250" s="167" t="s">
        <v>70</v>
      </c>
      <c r="Y250" s="167" t="s">
        <v>70</v>
      </c>
      <c r="Z250" s="167" t="s">
        <v>70</v>
      </c>
      <c r="AA250" s="167" t="s">
        <v>70</v>
      </c>
      <c r="AB250" s="167" t="s">
        <v>70</v>
      </c>
      <c r="AC250" s="167" t="s">
        <v>70</v>
      </c>
      <c r="AD250" s="167" t="s">
        <v>70</v>
      </c>
      <c r="AE250" s="167" t="s">
        <v>70</v>
      </c>
      <c r="AF250" s="167" t="s">
        <v>70</v>
      </c>
      <c r="AG250" s="167" t="s">
        <v>70</v>
      </c>
      <c r="AH250" s="167" t="s">
        <v>70</v>
      </c>
      <c r="AI250" s="186">
        <v>46233</v>
      </c>
      <c r="AJ250" s="163">
        <v>45345</v>
      </c>
      <c r="AK250" s="167" t="s">
        <v>70</v>
      </c>
      <c r="AL250" s="167" t="s">
        <v>70</v>
      </c>
      <c r="AM250" s="167"/>
      <c r="AN250" s="167" t="s">
        <v>70</v>
      </c>
      <c r="AO250" s="167" t="s">
        <v>70</v>
      </c>
      <c r="AP250" s="167" t="s">
        <v>70</v>
      </c>
      <c r="AQ250" s="167" t="s">
        <v>70</v>
      </c>
      <c r="AR250" s="166" t="s">
        <v>69</v>
      </c>
      <c r="AS250" s="167" t="s">
        <v>70</v>
      </c>
      <c r="AT250" s="167" t="s">
        <v>70</v>
      </c>
      <c r="AU250" s="167" t="s">
        <v>70</v>
      </c>
      <c r="AV250" s="167" t="s">
        <v>70</v>
      </c>
      <c r="AW250" s="167" t="s">
        <v>70</v>
      </c>
      <c r="AX250" s="167" t="s">
        <v>70</v>
      </c>
      <c r="AY250" s="167" t="s">
        <v>70</v>
      </c>
      <c r="AZ250" s="167" t="s">
        <v>70</v>
      </c>
      <c r="BA250" s="167" t="s">
        <v>70</v>
      </c>
      <c r="BB250" s="167" t="s">
        <v>70</v>
      </c>
      <c r="BC250" s="167" t="s">
        <v>70</v>
      </c>
      <c r="BD250" s="167" t="s">
        <v>70</v>
      </c>
      <c r="BE250" s="167" t="s">
        <v>70</v>
      </c>
      <c r="BF250" s="167" t="s">
        <v>70</v>
      </c>
      <c r="BG250" s="167" t="s">
        <v>70</v>
      </c>
      <c r="BH250" s="167" t="s">
        <v>70</v>
      </c>
      <c r="BI250" s="167" t="s">
        <v>70</v>
      </c>
      <c r="BJ250" s="167" t="s">
        <v>70</v>
      </c>
      <c r="BK250" s="167" t="s">
        <v>70</v>
      </c>
      <c r="BL250" s="167" t="s">
        <v>70</v>
      </c>
      <c r="BM250" s="167" t="s">
        <v>70</v>
      </c>
      <c r="BN250" s="167" t="s">
        <v>70</v>
      </c>
      <c r="BO250" s="167" t="s">
        <v>70</v>
      </c>
      <c r="BP250" s="167" t="s">
        <v>70</v>
      </c>
      <c r="BQ250" s="151" t="s">
        <v>256</v>
      </c>
    </row>
    <row r="251" spans="1:69" s="151" customFormat="1" ht="19.5" customHeight="1" x14ac:dyDescent="0.2">
      <c r="A251" s="117">
        <v>248</v>
      </c>
      <c r="B251" s="188" t="s">
        <v>292</v>
      </c>
      <c r="C251" s="189">
        <v>83074917</v>
      </c>
      <c r="D251" s="171" t="s">
        <v>293</v>
      </c>
      <c r="E251" s="117" t="s">
        <v>68</v>
      </c>
      <c r="F251" s="146" t="s">
        <v>256</v>
      </c>
      <c r="G251" s="124" t="s">
        <v>69</v>
      </c>
      <c r="H251" s="93">
        <v>45988</v>
      </c>
      <c r="I251" s="93">
        <v>45988</v>
      </c>
      <c r="J251" s="92">
        <f>IF(I251="", "", DATE(YEAR(I251)+3, MONTH(I251), DAY(I251)))</f>
        <v>47084</v>
      </c>
      <c r="K251" s="93">
        <v>46220</v>
      </c>
      <c r="L251" s="93">
        <v>46220</v>
      </c>
      <c r="M251" s="140">
        <f t="shared" si="15"/>
        <v>47316</v>
      </c>
      <c r="N251" s="93">
        <v>46219</v>
      </c>
      <c r="O251" s="93">
        <v>46216</v>
      </c>
      <c r="P251" s="190">
        <v>46217</v>
      </c>
      <c r="Q251" s="167" t="s">
        <v>70</v>
      </c>
      <c r="R251" s="167" t="s">
        <v>70</v>
      </c>
      <c r="S251" s="167" t="s">
        <v>70</v>
      </c>
      <c r="T251" s="167" t="s">
        <v>70</v>
      </c>
      <c r="U251" s="167" t="s">
        <v>70</v>
      </c>
      <c r="V251" s="167" t="s">
        <v>70</v>
      </c>
      <c r="W251" s="167" t="s">
        <v>70</v>
      </c>
      <c r="X251" s="167" t="s">
        <v>70</v>
      </c>
      <c r="Y251" s="167" t="s">
        <v>70</v>
      </c>
      <c r="Z251" s="167" t="s">
        <v>70</v>
      </c>
      <c r="AA251" s="167" t="s">
        <v>70</v>
      </c>
      <c r="AB251" s="167" t="s">
        <v>70</v>
      </c>
      <c r="AC251" s="167" t="s">
        <v>70</v>
      </c>
      <c r="AD251" s="167" t="s">
        <v>70</v>
      </c>
      <c r="AE251" s="167" t="s">
        <v>70</v>
      </c>
      <c r="AF251" s="167" t="s">
        <v>70</v>
      </c>
      <c r="AG251" s="167" t="s">
        <v>70</v>
      </c>
      <c r="AH251" s="167" t="s">
        <v>70</v>
      </c>
      <c r="AI251" s="186">
        <v>46272</v>
      </c>
      <c r="AJ251" s="163">
        <v>45357</v>
      </c>
      <c r="AK251" s="167" t="s">
        <v>70</v>
      </c>
      <c r="AL251" s="167" t="s">
        <v>70</v>
      </c>
      <c r="AM251" s="167"/>
      <c r="AN251" s="167" t="s">
        <v>70</v>
      </c>
      <c r="AO251" s="167" t="s">
        <v>70</v>
      </c>
      <c r="AP251" s="167" t="s">
        <v>70</v>
      </c>
      <c r="AQ251" s="167" t="s">
        <v>70</v>
      </c>
      <c r="AR251" s="166" t="s">
        <v>69</v>
      </c>
      <c r="AS251" s="167" t="s">
        <v>70</v>
      </c>
      <c r="AT251" s="167" t="s">
        <v>70</v>
      </c>
      <c r="AU251" s="167" t="s">
        <v>70</v>
      </c>
      <c r="AV251" s="167" t="s">
        <v>70</v>
      </c>
      <c r="AW251" s="167" t="s">
        <v>70</v>
      </c>
      <c r="AX251" s="167" t="s">
        <v>70</v>
      </c>
      <c r="AY251" s="167" t="s">
        <v>70</v>
      </c>
      <c r="AZ251" s="167" t="s">
        <v>70</v>
      </c>
      <c r="BA251" s="167" t="s">
        <v>70</v>
      </c>
      <c r="BB251" s="167" t="s">
        <v>70</v>
      </c>
      <c r="BC251" s="167" t="s">
        <v>70</v>
      </c>
      <c r="BD251" s="167" t="s">
        <v>70</v>
      </c>
      <c r="BE251" s="167" t="s">
        <v>70</v>
      </c>
      <c r="BF251" s="167" t="s">
        <v>70</v>
      </c>
      <c r="BG251" s="167" t="s">
        <v>70</v>
      </c>
      <c r="BH251" s="167" t="s">
        <v>70</v>
      </c>
      <c r="BI251" s="167" t="s">
        <v>70</v>
      </c>
      <c r="BJ251" s="167" t="s">
        <v>70</v>
      </c>
      <c r="BK251" s="167" t="s">
        <v>70</v>
      </c>
      <c r="BL251" s="167" t="s">
        <v>70</v>
      </c>
      <c r="BM251" s="167" t="s">
        <v>70</v>
      </c>
      <c r="BN251" s="167" t="s">
        <v>70</v>
      </c>
      <c r="BO251" s="167" t="s">
        <v>70</v>
      </c>
      <c r="BP251" s="167" t="s">
        <v>70</v>
      </c>
      <c r="BQ251" s="151" t="s">
        <v>256</v>
      </c>
    </row>
    <row r="252" spans="1:69" s="151" customFormat="1" ht="19.5" customHeight="1" x14ac:dyDescent="0.2">
      <c r="A252" s="117">
        <v>249</v>
      </c>
      <c r="B252" s="188" t="s">
        <v>294</v>
      </c>
      <c r="C252" s="189">
        <v>152579</v>
      </c>
      <c r="D252" s="171" t="s">
        <v>295</v>
      </c>
      <c r="E252" s="117" t="s">
        <v>68</v>
      </c>
      <c r="F252" s="146" t="s">
        <v>256</v>
      </c>
      <c r="G252" s="124" t="s">
        <v>69</v>
      </c>
      <c r="H252" s="93">
        <v>42244</v>
      </c>
      <c r="I252" s="93">
        <v>46051</v>
      </c>
      <c r="J252" s="92">
        <f>IF(I252="", "", DATE(YEAR(I252)+3, MONTH(I252), DAY(L252)))</f>
        <v>47148</v>
      </c>
      <c r="K252" s="93">
        <v>42247</v>
      </c>
      <c r="L252" s="93">
        <v>46052</v>
      </c>
      <c r="M252" s="140">
        <f t="shared" si="15"/>
        <v>47148</v>
      </c>
      <c r="N252" s="93">
        <v>46048</v>
      </c>
      <c r="O252" s="93">
        <v>46049</v>
      </c>
      <c r="P252" s="93">
        <v>46050</v>
      </c>
      <c r="Q252" s="167" t="s">
        <v>70</v>
      </c>
      <c r="R252" s="167" t="s">
        <v>70</v>
      </c>
      <c r="S252" s="167" t="s">
        <v>70</v>
      </c>
      <c r="T252" s="167" t="s">
        <v>70</v>
      </c>
      <c r="U252" s="167" t="s">
        <v>70</v>
      </c>
      <c r="V252" s="167" t="s">
        <v>70</v>
      </c>
      <c r="W252" s="167" t="s">
        <v>70</v>
      </c>
      <c r="X252" s="167" t="s">
        <v>70</v>
      </c>
      <c r="Y252" s="167" t="s">
        <v>70</v>
      </c>
      <c r="Z252" s="167" t="s">
        <v>70</v>
      </c>
      <c r="AA252" s="167" t="s">
        <v>70</v>
      </c>
      <c r="AB252" s="167" t="s">
        <v>70</v>
      </c>
      <c r="AC252" s="167" t="s">
        <v>70</v>
      </c>
      <c r="AD252" s="167" t="s">
        <v>70</v>
      </c>
      <c r="AE252" s="167" t="s">
        <v>70</v>
      </c>
      <c r="AF252" s="167" t="s">
        <v>70</v>
      </c>
      <c r="AG252" s="167" t="s">
        <v>70</v>
      </c>
      <c r="AH252" s="167" t="s">
        <v>70</v>
      </c>
      <c r="AI252" s="181">
        <v>46233</v>
      </c>
      <c r="AJ252" s="163">
        <v>45352</v>
      </c>
      <c r="AK252" s="167" t="s">
        <v>70</v>
      </c>
      <c r="AL252" s="167" t="s">
        <v>70</v>
      </c>
      <c r="AM252" s="167"/>
      <c r="AN252" s="167" t="s">
        <v>70</v>
      </c>
      <c r="AO252" s="167" t="s">
        <v>70</v>
      </c>
      <c r="AP252" s="167" t="s">
        <v>70</v>
      </c>
      <c r="AQ252" s="167" t="s">
        <v>70</v>
      </c>
      <c r="AR252" s="168">
        <v>46276</v>
      </c>
      <c r="AS252" s="167" t="s">
        <v>70</v>
      </c>
      <c r="AT252" s="167" t="s">
        <v>70</v>
      </c>
      <c r="AU252" s="167" t="s">
        <v>70</v>
      </c>
      <c r="AV252" s="167" t="s">
        <v>70</v>
      </c>
      <c r="AW252" s="167" t="s">
        <v>70</v>
      </c>
      <c r="AX252" s="167" t="s">
        <v>70</v>
      </c>
      <c r="AY252" s="167" t="s">
        <v>70</v>
      </c>
      <c r="AZ252" s="167" t="s">
        <v>70</v>
      </c>
      <c r="BA252" s="167" t="s">
        <v>70</v>
      </c>
      <c r="BB252" s="167" t="s">
        <v>70</v>
      </c>
      <c r="BC252" s="167" t="s">
        <v>70</v>
      </c>
      <c r="BD252" s="167" t="s">
        <v>70</v>
      </c>
      <c r="BE252" s="167" t="s">
        <v>70</v>
      </c>
      <c r="BF252" s="167" t="s">
        <v>70</v>
      </c>
      <c r="BG252" s="167" t="s">
        <v>70</v>
      </c>
      <c r="BH252" s="167" t="s">
        <v>70</v>
      </c>
      <c r="BI252" s="167" t="s">
        <v>70</v>
      </c>
      <c r="BJ252" s="167" t="s">
        <v>70</v>
      </c>
      <c r="BK252" s="167" t="s">
        <v>70</v>
      </c>
      <c r="BL252" s="167" t="s">
        <v>70</v>
      </c>
      <c r="BM252" s="167" t="s">
        <v>70</v>
      </c>
      <c r="BN252" s="167" t="s">
        <v>70</v>
      </c>
      <c r="BO252" s="167" t="s">
        <v>70</v>
      </c>
      <c r="BP252" s="167" t="s">
        <v>70</v>
      </c>
      <c r="BQ252" s="151" t="s">
        <v>256</v>
      </c>
    </row>
    <row r="253" spans="1:69" s="151" customFormat="1" ht="19.5" customHeight="1" x14ac:dyDescent="0.2">
      <c r="A253" s="117">
        <v>250</v>
      </c>
      <c r="B253" s="121" t="s">
        <v>296</v>
      </c>
      <c r="C253" s="122">
        <v>141864</v>
      </c>
      <c r="D253" s="117" t="s">
        <v>212</v>
      </c>
      <c r="E253" s="117" t="s">
        <v>68</v>
      </c>
      <c r="F253" s="146" t="s">
        <v>256</v>
      </c>
      <c r="G253" s="124" t="s">
        <v>69</v>
      </c>
      <c r="H253" s="93">
        <v>46199</v>
      </c>
      <c r="I253" s="93">
        <v>46199</v>
      </c>
      <c r="J253" s="92">
        <f>IF(I253="", "", DATE(YEAR(I253)+3, MONTH(I253), DAY(I253)))</f>
        <v>47295</v>
      </c>
      <c r="K253" s="93">
        <v>46198</v>
      </c>
      <c r="L253" s="93">
        <v>46198</v>
      </c>
      <c r="M253" s="140">
        <f t="shared" si="15"/>
        <v>47294</v>
      </c>
      <c r="N253" s="93">
        <v>46195</v>
      </c>
      <c r="O253" s="93">
        <v>46196</v>
      </c>
      <c r="P253" s="93">
        <v>46197</v>
      </c>
      <c r="Q253" s="167" t="s">
        <v>70</v>
      </c>
      <c r="R253" s="167" t="s">
        <v>70</v>
      </c>
      <c r="S253" s="167" t="s">
        <v>70</v>
      </c>
      <c r="T253" s="167" t="s">
        <v>70</v>
      </c>
      <c r="U253" s="167" t="s">
        <v>70</v>
      </c>
      <c r="V253" s="167" t="s">
        <v>70</v>
      </c>
      <c r="W253" s="167" t="s">
        <v>70</v>
      </c>
      <c r="X253" s="167" t="s">
        <v>70</v>
      </c>
      <c r="Y253" s="167" t="s">
        <v>70</v>
      </c>
      <c r="Z253" s="167" t="s">
        <v>70</v>
      </c>
      <c r="AA253" s="167" t="s">
        <v>70</v>
      </c>
      <c r="AB253" s="167" t="s">
        <v>70</v>
      </c>
      <c r="AC253" s="167" t="s">
        <v>70</v>
      </c>
      <c r="AD253" s="167" t="s">
        <v>70</v>
      </c>
      <c r="AE253" s="167" t="s">
        <v>70</v>
      </c>
      <c r="AF253" s="167" t="s">
        <v>70</v>
      </c>
      <c r="AG253" s="167" t="s">
        <v>70</v>
      </c>
      <c r="AH253" s="167" t="s">
        <v>70</v>
      </c>
      <c r="AI253" s="181">
        <v>46044</v>
      </c>
      <c r="AJ253" s="163">
        <v>45348</v>
      </c>
      <c r="AK253" s="167" t="s">
        <v>70</v>
      </c>
      <c r="AL253" s="167" t="s">
        <v>70</v>
      </c>
      <c r="AM253" s="167"/>
      <c r="AN253" s="167" t="s">
        <v>70</v>
      </c>
      <c r="AO253" s="167" t="s">
        <v>70</v>
      </c>
      <c r="AP253" s="167" t="s">
        <v>70</v>
      </c>
      <c r="AQ253" s="167" t="s">
        <v>70</v>
      </c>
      <c r="AR253" s="166" t="s">
        <v>69</v>
      </c>
      <c r="AS253" s="167" t="s">
        <v>70</v>
      </c>
      <c r="AT253" s="167" t="s">
        <v>70</v>
      </c>
      <c r="AU253" s="167" t="s">
        <v>70</v>
      </c>
      <c r="AV253" s="167" t="s">
        <v>70</v>
      </c>
      <c r="AW253" s="167" t="s">
        <v>70</v>
      </c>
      <c r="AX253" s="167" t="s">
        <v>70</v>
      </c>
      <c r="AY253" s="167" t="s">
        <v>70</v>
      </c>
      <c r="AZ253" s="167" t="s">
        <v>70</v>
      </c>
      <c r="BA253" s="167" t="s">
        <v>70</v>
      </c>
      <c r="BB253" s="167" t="s">
        <v>70</v>
      </c>
      <c r="BC253" s="167" t="s">
        <v>70</v>
      </c>
      <c r="BD253" s="167" t="s">
        <v>70</v>
      </c>
      <c r="BE253" s="167" t="s">
        <v>70</v>
      </c>
      <c r="BF253" s="167" t="s">
        <v>70</v>
      </c>
      <c r="BG253" s="167" t="s">
        <v>70</v>
      </c>
      <c r="BH253" s="167" t="s">
        <v>70</v>
      </c>
      <c r="BI253" s="167" t="s">
        <v>70</v>
      </c>
      <c r="BJ253" s="167" t="s">
        <v>70</v>
      </c>
      <c r="BK253" s="167" t="s">
        <v>70</v>
      </c>
      <c r="BL253" s="167" t="s">
        <v>70</v>
      </c>
      <c r="BM253" s="167" t="s">
        <v>70</v>
      </c>
      <c r="BN253" s="167" t="s">
        <v>70</v>
      </c>
      <c r="BO253" s="167" t="s">
        <v>70</v>
      </c>
      <c r="BP253" s="167" t="s">
        <v>70</v>
      </c>
      <c r="BQ253" s="151" t="s">
        <v>256</v>
      </c>
    </row>
    <row r="254" spans="1:69" s="151" customFormat="1" ht="19.5" customHeight="1" x14ac:dyDescent="0.2">
      <c r="A254" s="117">
        <v>251</v>
      </c>
      <c r="B254" s="121" t="s">
        <v>297</v>
      </c>
      <c r="C254" s="122">
        <v>152582</v>
      </c>
      <c r="D254" s="117" t="s">
        <v>212</v>
      </c>
      <c r="E254" s="117" t="s">
        <v>68</v>
      </c>
      <c r="F254" s="146" t="s">
        <v>256</v>
      </c>
      <c r="G254" s="124" t="s">
        <v>69</v>
      </c>
      <c r="H254" s="93">
        <v>46164</v>
      </c>
      <c r="I254" s="93">
        <v>46164</v>
      </c>
      <c r="J254" s="92">
        <f>IF(I254="", "", DATE(YEAR(I254)+3, MONTH(I254), DAY(L254)))</f>
        <v>47259</v>
      </c>
      <c r="K254" s="93">
        <v>46163</v>
      </c>
      <c r="L254" s="93">
        <v>46163</v>
      </c>
      <c r="M254" s="140">
        <f t="shared" ref="M254:M285" si="17">IF(L254="", "", DATE(YEAR(L254)+3, MONTH(L254), DAY(L254)))</f>
        <v>47259</v>
      </c>
      <c r="N254" s="93">
        <v>46167</v>
      </c>
      <c r="O254" s="93">
        <v>46161</v>
      </c>
      <c r="P254" s="93">
        <v>46162</v>
      </c>
      <c r="Q254" s="167" t="s">
        <v>70</v>
      </c>
      <c r="R254" s="167" t="s">
        <v>70</v>
      </c>
      <c r="S254" s="167" t="s">
        <v>70</v>
      </c>
      <c r="T254" s="167" t="s">
        <v>70</v>
      </c>
      <c r="U254" s="167" t="s">
        <v>70</v>
      </c>
      <c r="V254" s="167" t="s">
        <v>70</v>
      </c>
      <c r="W254" s="167" t="s">
        <v>70</v>
      </c>
      <c r="X254" s="167" t="s">
        <v>70</v>
      </c>
      <c r="Y254" s="167" t="s">
        <v>70</v>
      </c>
      <c r="Z254" s="167" t="s">
        <v>70</v>
      </c>
      <c r="AA254" s="167" t="s">
        <v>70</v>
      </c>
      <c r="AB254" s="167" t="s">
        <v>70</v>
      </c>
      <c r="AC254" s="167" t="s">
        <v>70</v>
      </c>
      <c r="AD254" s="167" t="s">
        <v>70</v>
      </c>
      <c r="AE254" s="167" t="s">
        <v>70</v>
      </c>
      <c r="AF254" s="167" t="s">
        <v>70</v>
      </c>
      <c r="AG254" s="167" t="s">
        <v>70</v>
      </c>
      <c r="AH254" s="167" t="s">
        <v>70</v>
      </c>
      <c r="AI254" s="181">
        <v>46233</v>
      </c>
      <c r="AJ254" s="163">
        <v>45341</v>
      </c>
      <c r="AK254" s="167" t="s">
        <v>70</v>
      </c>
      <c r="AL254" s="167" t="s">
        <v>70</v>
      </c>
      <c r="AM254" s="167"/>
      <c r="AN254" s="167" t="s">
        <v>70</v>
      </c>
      <c r="AO254" s="167" t="s">
        <v>70</v>
      </c>
      <c r="AP254" s="167" t="s">
        <v>70</v>
      </c>
      <c r="AQ254" s="167" t="s">
        <v>70</v>
      </c>
      <c r="AR254" s="166" t="s">
        <v>69</v>
      </c>
      <c r="AS254" s="167" t="s">
        <v>70</v>
      </c>
      <c r="AT254" s="167" t="s">
        <v>70</v>
      </c>
      <c r="AU254" s="167" t="s">
        <v>70</v>
      </c>
      <c r="AV254" s="167" t="s">
        <v>70</v>
      </c>
      <c r="AW254" s="167" t="s">
        <v>70</v>
      </c>
      <c r="AX254" s="167" t="s">
        <v>70</v>
      </c>
      <c r="AY254" s="167" t="s">
        <v>70</v>
      </c>
      <c r="AZ254" s="167" t="s">
        <v>70</v>
      </c>
      <c r="BA254" s="167" t="s">
        <v>70</v>
      </c>
      <c r="BB254" s="167" t="s">
        <v>70</v>
      </c>
      <c r="BC254" s="167" t="s">
        <v>70</v>
      </c>
      <c r="BD254" s="167" t="s">
        <v>70</v>
      </c>
      <c r="BE254" s="167" t="s">
        <v>70</v>
      </c>
      <c r="BF254" s="167" t="s">
        <v>70</v>
      </c>
      <c r="BG254" s="167" t="s">
        <v>70</v>
      </c>
      <c r="BH254" s="167" t="s">
        <v>70</v>
      </c>
      <c r="BI254" s="167" t="s">
        <v>70</v>
      </c>
      <c r="BJ254" s="167" t="s">
        <v>70</v>
      </c>
      <c r="BK254" s="167" t="s">
        <v>70</v>
      </c>
      <c r="BL254" s="167" t="s">
        <v>70</v>
      </c>
      <c r="BM254" s="167" t="s">
        <v>70</v>
      </c>
      <c r="BN254" s="167" t="s">
        <v>70</v>
      </c>
      <c r="BO254" s="167" t="s">
        <v>70</v>
      </c>
      <c r="BP254" s="167" t="s">
        <v>70</v>
      </c>
      <c r="BQ254" s="151" t="s">
        <v>256</v>
      </c>
    </row>
    <row r="255" spans="1:69" s="151" customFormat="1" ht="19.5" customHeight="1" x14ac:dyDescent="0.2">
      <c r="A255" s="117">
        <v>252</v>
      </c>
      <c r="B255" s="121" t="s">
        <v>298</v>
      </c>
      <c r="C255" s="122">
        <v>83120900</v>
      </c>
      <c r="D255" s="117" t="s">
        <v>212</v>
      </c>
      <c r="E255" s="117" t="s">
        <v>68</v>
      </c>
      <c r="F255" s="146" t="s">
        <v>256</v>
      </c>
      <c r="G255" s="124" t="s">
        <v>69</v>
      </c>
      <c r="H255" s="93">
        <v>46199</v>
      </c>
      <c r="I255" s="93">
        <v>46199</v>
      </c>
      <c r="J255" s="92">
        <f>IF(I255="", "", DATE(YEAR(I255)+3, MONTH(I255), DAY(I255)))</f>
        <v>47295</v>
      </c>
      <c r="K255" s="93">
        <v>46198</v>
      </c>
      <c r="L255" s="93">
        <v>46198</v>
      </c>
      <c r="M255" s="140">
        <f t="shared" si="17"/>
        <v>47294</v>
      </c>
      <c r="N255" s="93">
        <v>46195</v>
      </c>
      <c r="O255" s="93">
        <v>46196</v>
      </c>
      <c r="P255" s="93">
        <v>46197</v>
      </c>
      <c r="Q255" s="167" t="s">
        <v>70</v>
      </c>
      <c r="R255" s="167" t="s">
        <v>70</v>
      </c>
      <c r="S255" s="167" t="s">
        <v>70</v>
      </c>
      <c r="T255" s="167" t="s">
        <v>70</v>
      </c>
      <c r="U255" s="167" t="s">
        <v>70</v>
      </c>
      <c r="V255" s="167" t="s">
        <v>70</v>
      </c>
      <c r="W255" s="167" t="s">
        <v>70</v>
      </c>
      <c r="X255" s="167" t="s">
        <v>70</v>
      </c>
      <c r="Y255" s="167" t="s">
        <v>70</v>
      </c>
      <c r="Z255" s="167" t="s">
        <v>70</v>
      </c>
      <c r="AA255" s="167" t="s">
        <v>70</v>
      </c>
      <c r="AB255" s="167" t="s">
        <v>70</v>
      </c>
      <c r="AC255" s="167" t="s">
        <v>70</v>
      </c>
      <c r="AD255" s="167" t="s">
        <v>70</v>
      </c>
      <c r="AE255" s="167" t="s">
        <v>70</v>
      </c>
      <c r="AF255" s="167" t="s">
        <v>70</v>
      </c>
      <c r="AG255" s="167" t="s">
        <v>70</v>
      </c>
      <c r="AH255" s="167" t="s">
        <v>70</v>
      </c>
      <c r="AI255" s="181">
        <v>46128</v>
      </c>
      <c r="AJ255" s="163">
        <v>45357</v>
      </c>
      <c r="AK255" s="167" t="s">
        <v>70</v>
      </c>
      <c r="AL255" s="167" t="s">
        <v>70</v>
      </c>
      <c r="AM255" s="167"/>
      <c r="AN255" s="167" t="s">
        <v>70</v>
      </c>
      <c r="AO255" s="167" t="s">
        <v>70</v>
      </c>
      <c r="AP255" s="167" t="s">
        <v>70</v>
      </c>
      <c r="AQ255" s="167" t="s">
        <v>70</v>
      </c>
      <c r="AR255" s="168">
        <v>46034</v>
      </c>
      <c r="AS255" s="167" t="s">
        <v>70</v>
      </c>
      <c r="AT255" s="167" t="s">
        <v>70</v>
      </c>
      <c r="AU255" s="167" t="s">
        <v>70</v>
      </c>
      <c r="AV255" s="167" t="s">
        <v>70</v>
      </c>
      <c r="AW255" s="167" t="s">
        <v>70</v>
      </c>
      <c r="AX255" s="167" t="s">
        <v>70</v>
      </c>
      <c r="AY255" s="167" t="s">
        <v>70</v>
      </c>
      <c r="AZ255" s="167" t="s">
        <v>70</v>
      </c>
      <c r="BA255" s="167" t="s">
        <v>70</v>
      </c>
      <c r="BB255" s="167" t="s">
        <v>70</v>
      </c>
      <c r="BC255" s="167" t="s">
        <v>70</v>
      </c>
      <c r="BD255" s="167" t="s">
        <v>70</v>
      </c>
      <c r="BE255" s="167" t="s">
        <v>70</v>
      </c>
      <c r="BF255" s="167" t="s">
        <v>70</v>
      </c>
      <c r="BG255" s="167" t="s">
        <v>70</v>
      </c>
      <c r="BH255" s="167" t="s">
        <v>70</v>
      </c>
      <c r="BI255" s="167" t="s">
        <v>70</v>
      </c>
      <c r="BJ255" s="167" t="s">
        <v>70</v>
      </c>
      <c r="BK255" s="167" t="s">
        <v>70</v>
      </c>
      <c r="BL255" s="167" t="s">
        <v>70</v>
      </c>
      <c r="BM255" s="167" t="s">
        <v>70</v>
      </c>
      <c r="BN255" s="167" t="s">
        <v>70</v>
      </c>
      <c r="BO255" s="167" t="s">
        <v>70</v>
      </c>
      <c r="BP255" s="167" t="s">
        <v>70</v>
      </c>
      <c r="BQ255" s="151" t="s">
        <v>256</v>
      </c>
    </row>
    <row r="256" spans="1:69" s="151" customFormat="1" ht="19.5" customHeight="1" x14ac:dyDescent="0.2">
      <c r="A256" s="117">
        <v>253</v>
      </c>
      <c r="B256" s="121" t="s">
        <v>299</v>
      </c>
      <c r="C256" s="122">
        <v>83075250</v>
      </c>
      <c r="D256" s="117" t="s">
        <v>212</v>
      </c>
      <c r="E256" s="117" t="s">
        <v>68</v>
      </c>
      <c r="F256" s="146" t="s">
        <v>256</v>
      </c>
      <c r="G256" s="124" t="s">
        <v>69</v>
      </c>
      <c r="H256" s="93">
        <v>46227</v>
      </c>
      <c r="I256" s="93">
        <v>46227</v>
      </c>
      <c r="J256" s="92">
        <f>IF(I256="", "", DATE(YEAR(I256)+3, MONTH(I256), DAY(L256)))</f>
        <v>47322</v>
      </c>
      <c r="K256" s="93">
        <v>46226</v>
      </c>
      <c r="L256" s="93">
        <v>46226</v>
      </c>
      <c r="M256" s="140">
        <f t="shared" si="17"/>
        <v>47322</v>
      </c>
      <c r="N256" s="93">
        <v>46223</v>
      </c>
      <c r="O256" s="93">
        <v>46224</v>
      </c>
      <c r="P256" s="93">
        <v>46225</v>
      </c>
      <c r="Q256" s="167" t="s">
        <v>70</v>
      </c>
      <c r="R256" s="167" t="s">
        <v>70</v>
      </c>
      <c r="S256" s="167" t="s">
        <v>70</v>
      </c>
      <c r="T256" s="167" t="s">
        <v>70</v>
      </c>
      <c r="U256" s="167" t="s">
        <v>70</v>
      </c>
      <c r="V256" s="167" t="s">
        <v>70</v>
      </c>
      <c r="W256" s="167" t="s">
        <v>70</v>
      </c>
      <c r="X256" s="167" t="s">
        <v>70</v>
      </c>
      <c r="Y256" s="167" t="s">
        <v>70</v>
      </c>
      <c r="Z256" s="167" t="s">
        <v>70</v>
      </c>
      <c r="AA256" s="167" t="s">
        <v>70</v>
      </c>
      <c r="AB256" s="167" t="s">
        <v>70</v>
      </c>
      <c r="AC256" s="167" t="s">
        <v>70</v>
      </c>
      <c r="AD256" s="167" t="s">
        <v>70</v>
      </c>
      <c r="AE256" s="167" t="s">
        <v>70</v>
      </c>
      <c r="AF256" s="167" t="s">
        <v>70</v>
      </c>
      <c r="AG256" s="167" t="s">
        <v>70</v>
      </c>
      <c r="AH256" s="167" t="s">
        <v>70</v>
      </c>
      <c r="AI256" s="181">
        <v>46065</v>
      </c>
      <c r="AJ256" s="163">
        <v>45348</v>
      </c>
      <c r="AK256" s="167" t="s">
        <v>70</v>
      </c>
      <c r="AL256" s="167" t="s">
        <v>70</v>
      </c>
      <c r="AM256" s="167"/>
      <c r="AN256" s="167" t="s">
        <v>70</v>
      </c>
      <c r="AO256" s="167" t="s">
        <v>70</v>
      </c>
      <c r="AP256" s="167" t="s">
        <v>70</v>
      </c>
      <c r="AQ256" s="167" t="s">
        <v>70</v>
      </c>
      <c r="AR256" s="166" t="s">
        <v>69</v>
      </c>
      <c r="AS256" s="167" t="s">
        <v>70</v>
      </c>
      <c r="AT256" s="167" t="s">
        <v>70</v>
      </c>
      <c r="AU256" s="167" t="s">
        <v>70</v>
      </c>
      <c r="AV256" s="167" t="s">
        <v>70</v>
      </c>
      <c r="AW256" s="167" t="s">
        <v>70</v>
      </c>
      <c r="AX256" s="167" t="s">
        <v>70</v>
      </c>
      <c r="AY256" s="167" t="s">
        <v>70</v>
      </c>
      <c r="AZ256" s="167" t="s">
        <v>70</v>
      </c>
      <c r="BA256" s="167" t="s">
        <v>70</v>
      </c>
      <c r="BB256" s="167" t="s">
        <v>70</v>
      </c>
      <c r="BC256" s="167" t="s">
        <v>70</v>
      </c>
      <c r="BD256" s="167" t="s">
        <v>70</v>
      </c>
      <c r="BE256" s="167" t="s">
        <v>70</v>
      </c>
      <c r="BF256" s="167" t="s">
        <v>70</v>
      </c>
      <c r="BG256" s="167" t="s">
        <v>70</v>
      </c>
      <c r="BH256" s="167" t="s">
        <v>70</v>
      </c>
      <c r="BI256" s="167" t="s">
        <v>70</v>
      </c>
      <c r="BJ256" s="167" t="s">
        <v>70</v>
      </c>
      <c r="BK256" s="167" t="s">
        <v>70</v>
      </c>
      <c r="BL256" s="167" t="s">
        <v>70</v>
      </c>
      <c r="BM256" s="167" t="s">
        <v>70</v>
      </c>
      <c r="BN256" s="167" t="s">
        <v>70</v>
      </c>
      <c r="BO256" s="167" t="s">
        <v>70</v>
      </c>
      <c r="BP256" s="167" t="s">
        <v>70</v>
      </c>
      <c r="BQ256" s="151" t="s">
        <v>256</v>
      </c>
    </row>
    <row r="257" spans="1:69" s="151" customFormat="1" ht="19.5" customHeight="1" x14ac:dyDescent="0.2">
      <c r="A257" s="117">
        <v>254</v>
      </c>
      <c r="B257" s="121" t="s">
        <v>300</v>
      </c>
      <c r="C257" s="122">
        <v>83105164</v>
      </c>
      <c r="D257" s="117" t="s">
        <v>212</v>
      </c>
      <c r="E257" s="117" t="s">
        <v>68</v>
      </c>
      <c r="F257" s="146" t="s">
        <v>256</v>
      </c>
      <c r="G257" s="124" t="s">
        <v>69</v>
      </c>
      <c r="H257" s="93">
        <v>42541</v>
      </c>
      <c r="I257" s="93">
        <v>46134</v>
      </c>
      <c r="J257" s="92">
        <f>IF(I257="", "", DATE(YEAR(I257)+3, MONTH(I257), DAY(L257)))</f>
        <v>47229</v>
      </c>
      <c r="K257" s="93">
        <v>42541</v>
      </c>
      <c r="L257" s="93">
        <v>46133</v>
      </c>
      <c r="M257" s="140">
        <f t="shared" si="17"/>
        <v>47229</v>
      </c>
      <c r="N257" s="93">
        <v>46130</v>
      </c>
      <c r="O257" s="93">
        <v>46131</v>
      </c>
      <c r="P257" s="93">
        <v>46132</v>
      </c>
      <c r="Q257" s="167" t="s">
        <v>70</v>
      </c>
      <c r="R257" s="167" t="s">
        <v>70</v>
      </c>
      <c r="S257" s="167" t="s">
        <v>70</v>
      </c>
      <c r="T257" s="167" t="s">
        <v>70</v>
      </c>
      <c r="U257" s="167" t="s">
        <v>70</v>
      </c>
      <c r="V257" s="167" t="s">
        <v>70</v>
      </c>
      <c r="W257" s="167" t="s">
        <v>70</v>
      </c>
      <c r="X257" s="167" t="s">
        <v>70</v>
      </c>
      <c r="Y257" s="167" t="s">
        <v>70</v>
      </c>
      <c r="Z257" s="167" t="s">
        <v>70</v>
      </c>
      <c r="AA257" s="167" t="s">
        <v>70</v>
      </c>
      <c r="AB257" s="167" t="s">
        <v>70</v>
      </c>
      <c r="AC257" s="167" t="s">
        <v>70</v>
      </c>
      <c r="AD257" s="167" t="s">
        <v>70</v>
      </c>
      <c r="AE257" s="167" t="s">
        <v>70</v>
      </c>
      <c r="AF257" s="167" t="s">
        <v>70</v>
      </c>
      <c r="AG257" s="167" t="s">
        <v>70</v>
      </c>
      <c r="AH257" s="167" t="s">
        <v>70</v>
      </c>
      <c r="AI257" s="181">
        <v>46044</v>
      </c>
      <c r="AJ257" s="163">
        <v>45348</v>
      </c>
      <c r="AK257" s="167" t="s">
        <v>70</v>
      </c>
      <c r="AL257" s="167" t="s">
        <v>70</v>
      </c>
      <c r="AM257" s="167"/>
      <c r="AN257" s="167" t="s">
        <v>70</v>
      </c>
      <c r="AO257" s="167" t="s">
        <v>70</v>
      </c>
      <c r="AP257" s="167" t="s">
        <v>70</v>
      </c>
      <c r="AQ257" s="167" t="s">
        <v>70</v>
      </c>
      <c r="AR257" s="166" t="s">
        <v>69</v>
      </c>
      <c r="AS257" s="167" t="s">
        <v>70</v>
      </c>
      <c r="AT257" s="167" t="s">
        <v>70</v>
      </c>
      <c r="AU257" s="167" t="s">
        <v>70</v>
      </c>
      <c r="AV257" s="167" t="s">
        <v>70</v>
      </c>
      <c r="AW257" s="167" t="s">
        <v>70</v>
      </c>
      <c r="AX257" s="167" t="s">
        <v>70</v>
      </c>
      <c r="AY257" s="167" t="s">
        <v>70</v>
      </c>
      <c r="AZ257" s="167" t="s">
        <v>70</v>
      </c>
      <c r="BA257" s="167" t="s">
        <v>70</v>
      </c>
      <c r="BB257" s="167" t="s">
        <v>70</v>
      </c>
      <c r="BC257" s="167" t="s">
        <v>70</v>
      </c>
      <c r="BD257" s="167" t="s">
        <v>70</v>
      </c>
      <c r="BE257" s="167" t="s">
        <v>70</v>
      </c>
      <c r="BF257" s="167" t="s">
        <v>70</v>
      </c>
      <c r="BG257" s="167" t="s">
        <v>70</v>
      </c>
      <c r="BH257" s="167" t="s">
        <v>70</v>
      </c>
      <c r="BI257" s="167" t="s">
        <v>70</v>
      </c>
      <c r="BJ257" s="167" t="s">
        <v>70</v>
      </c>
      <c r="BK257" s="167" t="s">
        <v>70</v>
      </c>
      <c r="BL257" s="167" t="s">
        <v>70</v>
      </c>
      <c r="BM257" s="167" t="s">
        <v>70</v>
      </c>
      <c r="BN257" s="167" t="s">
        <v>70</v>
      </c>
      <c r="BO257" s="167" t="s">
        <v>70</v>
      </c>
      <c r="BP257" s="167" t="s">
        <v>70</v>
      </c>
      <c r="BQ257" s="151" t="s">
        <v>256</v>
      </c>
    </row>
    <row r="258" spans="1:69" s="151" customFormat="1" ht="19.5" customHeight="1" x14ac:dyDescent="0.2">
      <c r="A258" s="117">
        <v>255</v>
      </c>
      <c r="B258" s="121" t="s">
        <v>301</v>
      </c>
      <c r="C258" s="122">
        <v>132527</v>
      </c>
      <c r="D258" s="117" t="s">
        <v>212</v>
      </c>
      <c r="E258" s="117" t="s">
        <v>68</v>
      </c>
      <c r="F258" s="146" t="s">
        <v>256</v>
      </c>
      <c r="G258" s="124" t="s">
        <v>69</v>
      </c>
      <c r="H258" s="93">
        <v>45679</v>
      </c>
      <c r="I258" s="93">
        <v>45679</v>
      </c>
      <c r="J258" s="92">
        <f>IF(I258="", "", DATE(YEAR(I258)+3, MONTH(I258), DAY(L258)))</f>
        <v>46767</v>
      </c>
      <c r="K258" s="93">
        <v>46157</v>
      </c>
      <c r="L258" s="93">
        <v>46157</v>
      </c>
      <c r="M258" s="140">
        <f t="shared" si="17"/>
        <v>47253</v>
      </c>
      <c r="N258" s="93">
        <v>46171</v>
      </c>
      <c r="O258" s="93"/>
      <c r="P258" s="93">
        <v>46170</v>
      </c>
      <c r="Q258" s="167" t="s">
        <v>70</v>
      </c>
      <c r="R258" s="167" t="s">
        <v>70</v>
      </c>
      <c r="S258" s="167" t="s">
        <v>70</v>
      </c>
      <c r="T258" s="167" t="s">
        <v>70</v>
      </c>
      <c r="U258" s="167" t="s">
        <v>70</v>
      </c>
      <c r="V258" s="167" t="s">
        <v>70</v>
      </c>
      <c r="W258" s="167" t="s">
        <v>70</v>
      </c>
      <c r="X258" s="167" t="s">
        <v>70</v>
      </c>
      <c r="Y258" s="167" t="s">
        <v>70</v>
      </c>
      <c r="Z258" s="167" t="s">
        <v>70</v>
      </c>
      <c r="AA258" s="167" t="s">
        <v>70</v>
      </c>
      <c r="AB258" s="167" t="s">
        <v>70</v>
      </c>
      <c r="AC258" s="167" t="s">
        <v>70</v>
      </c>
      <c r="AD258" s="167" t="s">
        <v>70</v>
      </c>
      <c r="AE258" s="167" t="s">
        <v>70</v>
      </c>
      <c r="AF258" s="167" t="s">
        <v>70</v>
      </c>
      <c r="AG258" s="167" t="s">
        <v>70</v>
      </c>
      <c r="AH258" s="167" t="s">
        <v>70</v>
      </c>
      <c r="AI258" s="181">
        <v>46149</v>
      </c>
      <c r="AJ258" s="163">
        <v>45352</v>
      </c>
      <c r="AK258" s="167" t="s">
        <v>70</v>
      </c>
      <c r="AL258" s="167" t="s">
        <v>70</v>
      </c>
      <c r="AM258" s="167"/>
      <c r="AN258" s="167" t="s">
        <v>70</v>
      </c>
      <c r="AO258" s="167" t="s">
        <v>70</v>
      </c>
      <c r="AP258" s="167" t="s">
        <v>70</v>
      </c>
      <c r="AQ258" s="167" t="s">
        <v>70</v>
      </c>
      <c r="AR258" s="166" t="s">
        <v>69</v>
      </c>
      <c r="AS258" s="167" t="s">
        <v>70</v>
      </c>
      <c r="AT258" s="167" t="s">
        <v>70</v>
      </c>
      <c r="AU258" s="167" t="s">
        <v>70</v>
      </c>
      <c r="AV258" s="167" t="s">
        <v>70</v>
      </c>
      <c r="AW258" s="167" t="s">
        <v>70</v>
      </c>
      <c r="AX258" s="167" t="s">
        <v>70</v>
      </c>
      <c r="AY258" s="167" t="s">
        <v>70</v>
      </c>
      <c r="AZ258" s="167" t="s">
        <v>70</v>
      </c>
      <c r="BA258" s="167" t="s">
        <v>70</v>
      </c>
      <c r="BB258" s="167" t="s">
        <v>70</v>
      </c>
      <c r="BC258" s="167" t="s">
        <v>70</v>
      </c>
      <c r="BD258" s="167" t="s">
        <v>70</v>
      </c>
      <c r="BE258" s="167" t="s">
        <v>70</v>
      </c>
      <c r="BF258" s="167" t="s">
        <v>70</v>
      </c>
      <c r="BG258" s="167" t="s">
        <v>70</v>
      </c>
      <c r="BH258" s="167" t="s">
        <v>70</v>
      </c>
      <c r="BI258" s="167" t="s">
        <v>70</v>
      </c>
      <c r="BJ258" s="167" t="s">
        <v>70</v>
      </c>
      <c r="BK258" s="167" t="s">
        <v>70</v>
      </c>
      <c r="BL258" s="167" t="s">
        <v>70</v>
      </c>
      <c r="BM258" s="167" t="s">
        <v>70</v>
      </c>
      <c r="BN258" s="167" t="s">
        <v>70</v>
      </c>
      <c r="BO258" s="167" t="s">
        <v>70</v>
      </c>
      <c r="BP258" s="167" t="s">
        <v>70</v>
      </c>
      <c r="BQ258" s="151" t="s">
        <v>256</v>
      </c>
    </row>
    <row r="259" spans="1:69" s="151" customFormat="1" ht="19.5" customHeight="1" x14ac:dyDescent="0.2">
      <c r="A259" s="117">
        <v>256</v>
      </c>
      <c r="B259" s="121" t="s">
        <v>302</v>
      </c>
      <c r="C259" s="122">
        <v>221920</v>
      </c>
      <c r="D259" s="117" t="s">
        <v>212</v>
      </c>
      <c r="E259" s="117" t="s">
        <v>68</v>
      </c>
      <c r="F259" s="146" t="s">
        <v>256</v>
      </c>
      <c r="G259" s="124" t="s">
        <v>69</v>
      </c>
      <c r="H259" s="93">
        <v>46282</v>
      </c>
      <c r="I259" s="93">
        <v>46282</v>
      </c>
      <c r="J259" s="92">
        <f>IF(I259="", "", DATE(YEAR(I259)+3, MONTH(I259), DAY(L259)))</f>
        <v>47377</v>
      </c>
      <c r="K259" s="93">
        <v>46281</v>
      </c>
      <c r="L259" s="93">
        <v>46281</v>
      </c>
      <c r="M259" s="140">
        <f t="shared" si="17"/>
        <v>47377</v>
      </c>
      <c r="N259" s="93">
        <v>46279</v>
      </c>
      <c r="O259" s="93">
        <v>46286</v>
      </c>
      <c r="P259" s="93">
        <v>46280</v>
      </c>
      <c r="Q259" s="167" t="s">
        <v>70</v>
      </c>
      <c r="R259" s="167" t="s">
        <v>70</v>
      </c>
      <c r="S259" s="167" t="s">
        <v>70</v>
      </c>
      <c r="T259" s="167" t="s">
        <v>70</v>
      </c>
      <c r="U259" s="167" t="s">
        <v>70</v>
      </c>
      <c r="V259" s="167" t="s">
        <v>70</v>
      </c>
      <c r="W259" s="167" t="s">
        <v>70</v>
      </c>
      <c r="X259" s="167" t="s">
        <v>70</v>
      </c>
      <c r="Y259" s="167" t="s">
        <v>70</v>
      </c>
      <c r="Z259" s="167" t="s">
        <v>70</v>
      </c>
      <c r="AA259" s="167" t="s">
        <v>70</v>
      </c>
      <c r="AB259" s="167" t="s">
        <v>70</v>
      </c>
      <c r="AC259" s="167" t="s">
        <v>70</v>
      </c>
      <c r="AD259" s="167" t="s">
        <v>70</v>
      </c>
      <c r="AE259" s="167" t="s">
        <v>70</v>
      </c>
      <c r="AF259" s="167" t="s">
        <v>70</v>
      </c>
      <c r="AG259" s="167" t="s">
        <v>70</v>
      </c>
      <c r="AH259" s="167" t="s">
        <v>70</v>
      </c>
      <c r="AI259" s="163">
        <v>46086</v>
      </c>
      <c r="AJ259" s="163">
        <v>45359</v>
      </c>
      <c r="AK259" s="167" t="s">
        <v>70</v>
      </c>
      <c r="AL259" s="167" t="s">
        <v>70</v>
      </c>
      <c r="AM259" s="167"/>
      <c r="AN259" s="167" t="s">
        <v>70</v>
      </c>
      <c r="AO259" s="167" t="s">
        <v>70</v>
      </c>
      <c r="AP259" s="167" t="s">
        <v>70</v>
      </c>
      <c r="AQ259" s="167" t="s">
        <v>70</v>
      </c>
      <c r="AR259" s="166" t="s">
        <v>69</v>
      </c>
      <c r="AS259" s="167" t="s">
        <v>70</v>
      </c>
      <c r="AT259" s="167" t="s">
        <v>70</v>
      </c>
      <c r="AU259" s="167" t="s">
        <v>70</v>
      </c>
      <c r="AV259" s="167" t="s">
        <v>70</v>
      </c>
      <c r="AW259" s="167" t="s">
        <v>70</v>
      </c>
      <c r="AX259" s="167" t="s">
        <v>70</v>
      </c>
      <c r="AY259" s="167" t="s">
        <v>70</v>
      </c>
      <c r="AZ259" s="167" t="s">
        <v>70</v>
      </c>
      <c r="BA259" s="167" t="s">
        <v>70</v>
      </c>
      <c r="BB259" s="167" t="s">
        <v>70</v>
      </c>
      <c r="BC259" s="167" t="s">
        <v>70</v>
      </c>
      <c r="BD259" s="167" t="s">
        <v>70</v>
      </c>
      <c r="BE259" s="167" t="s">
        <v>70</v>
      </c>
      <c r="BF259" s="167" t="s">
        <v>70</v>
      </c>
      <c r="BG259" s="167" t="s">
        <v>70</v>
      </c>
      <c r="BH259" s="167" t="s">
        <v>70</v>
      </c>
      <c r="BI259" s="167" t="s">
        <v>70</v>
      </c>
      <c r="BJ259" s="167" t="s">
        <v>70</v>
      </c>
      <c r="BK259" s="167" t="s">
        <v>70</v>
      </c>
      <c r="BL259" s="167" t="s">
        <v>70</v>
      </c>
      <c r="BM259" s="167" t="s">
        <v>70</v>
      </c>
      <c r="BN259" s="167" t="s">
        <v>70</v>
      </c>
      <c r="BO259" s="167" t="s">
        <v>70</v>
      </c>
      <c r="BP259" s="167" t="s">
        <v>70</v>
      </c>
      <c r="BQ259" s="151" t="s">
        <v>256</v>
      </c>
    </row>
    <row r="260" spans="1:69" s="151" customFormat="1" ht="19.5" customHeight="1" x14ac:dyDescent="0.2">
      <c r="A260" s="117">
        <v>257</v>
      </c>
      <c r="B260" s="121" t="s">
        <v>303</v>
      </c>
      <c r="C260" s="122">
        <v>83086320</v>
      </c>
      <c r="D260" s="117" t="s">
        <v>212</v>
      </c>
      <c r="E260" s="117" t="s">
        <v>68</v>
      </c>
      <c r="F260" s="146" t="s">
        <v>256</v>
      </c>
      <c r="G260" s="124" t="s">
        <v>69</v>
      </c>
      <c r="H260" s="93">
        <v>46248</v>
      </c>
      <c r="I260" s="93">
        <v>46248</v>
      </c>
      <c r="J260" s="92">
        <f>IF(I260="", "", DATE(YEAR(I260)+3, MONTH(I260), DAY(I260)))</f>
        <v>47344</v>
      </c>
      <c r="K260" s="93">
        <v>46247</v>
      </c>
      <c r="L260" s="93">
        <v>46247</v>
      </c>
      <c r="M260" s="140">
        <f t="shared" si="17"/>
        <v>47343</v>
      </c>
      <c r="N260" s="93">
        <v>46245</v>
      </c>
      <c r="O260" s="93">
        <v>46258</v>
      </c>
      <c r="P260" s="93">
        <v>46246</v>
      </c>
      <c r="Q260" s="167" t="s">
        <v>70</v>
      </c>
      <c r="R260" s="167" t="s">
        <v>70</v>
      </c>
      <c r="S260" s="167" t="s">
        <v>70</v>
      </c>
      <c r="T260" s="167" t="s">
        <v>70</v>
      </c>
      <c r="U260" s="167" t="s">
        <v>70</v>
      </c>
      <c r="V260" s="167" t="s">
        <v>70</v>
      </c>
      <c r="W260" s="167" t="s">
        <v>70</v>
      </c>
      <c r="X260" s="167" t="s">
        <v>70</v>
      </c>
      <c r="Y260" s="167" t="s">
        <v>70</v>
      </c>
      <c r="Z260" s="167" t="s">
        <v>70</v>
      </c>
      <c r="AA260" s="167" t="s">
        <v>70</v>
      </c>
      <c r="AB260" s="167" t="s">
        <v>70</v>
      </c>
      <c r="AC260" s="167" t="s">
        <v>70</v>
      </c>
      <c r="AD260" s="167" t="s">
        <v>70</v>
      </c>
      <c r="AE260" s="167" t="s">
        <v>70</v>
      </c>
      <c r="AF260" s="167" t="s">
        <v>70</v>
      </c>
      <c r="AG260" s="167" t="s">
        <v>70</v>
      </c>
      <c r="AH260" s="167" t="s">
        <v>70</v>
      </c>
      <c r="AI260" s="181">
        <v>46272</v>
      </c>
      <c r="AJ260" s="163">
        <v>45359</v>
      </c>
      <c r="AK260" s="167" t="s">
        <v>70</v>
      </c>
      <c r="AL260" s="167" t="s">
        <v>70</v>
      </c>
      <c r="AM260" s="167"/>
      <c r="AN260" s="167" t="s">
        <v>70</v>
      </c>
      <c r="AO260" s="167" t="s">
        <v>70</v>
      </c>
      <c r="AP260" s="167" t="s">
        <v>70</v>
      </c>
      <c r="AQ260" s="167" t="s">
        <v>70</v>
      </c>
      <c r="AR260" s="166" t="s">
        <v>69</v>
      </c>
      <c r="AS260" s="167" t="s">
        <v>70</v>
      </c>
      <c r="AT260" s="167" t="s">
        <v>70</v>
      </c>
      <c r="AU260" s="167" t="s">
        <v>70</v>
      </c>
      <c r="AV260" s="167" t="s">
        <v>70</v>
      </c>
      <c r="AW260" s="167" t="s">
        <v>70</v>
      </c>
      <c r="AX260" s="167" t="s">
        <v>70</v>
      </c>
      <c r="AY260" s="167" t="s">
        <v>70</v>
      </c>
      <c r="AZ260" s="167" t="s">
        <v>70</v>
      </c>
      <c r="BA260" s="167" t="s">
        <v>70</v>
      </c>
      <c r="BB260" s="167" t="s">
        <v>70</v>
      </c>
      <c r="BC260" s="167" t="s">
        <v>70</v>
      </c>
      <c r="BD260" s="167" t="s">
        <v>70</v>
      </c>
      <c r="BE260" s="167" t="s">
        <v>70</v>
      </c>
      <c r="BF260" s="167" t="s">
        <v>70</v>
      </c>
      <c r="BG260" s="167" t="s">
        <v>70</v>
      </c>
      <c r="BH260" s="167" t="s">
        <v>70</v>
      </c>
      <c r="BI260" s="167" t="s">
        <v>70</v>
      </c>
      <c r="BJ260" s="167" t="s">
        <v>70</v>
      </c>
      <c r="BK260" s="167" t="s">
        <v>70</v>
      </c>
      <c r="BL260" s="167" t="s">
        <v>70</v>
      </c>
      <c r="BM260" s="167" t="s">
        <v>70</v>
      </c>
      <c r="BN260" s="167" t="s">
        <v>70</v>
      </c>
      <c r="BO260" s="167" t="s">
        <v>70</v>
      </c>
      <c r="BP260" s="167" t="s">
        <v>70</v>
      </c>
      <c r="BQ260" s="151" t="s">
        <v>256</v>
      </c>
    </row>
    <row r="261" spans="1:69" s="151" customFormat="1" ht="19.5" customHeight="1" x14ac:dyDescent="0.2">
      <c r="A261" s="117">
        <v>258</v>
      </c>
      <c r="B261" s="121" t="s">
        <v>304</v>
      </c>
      <c r="C261" s="122">
        <v>134355</v>
      </c>
      <c r="D261" s="117" t="s">
        <v>212</v>
      </c>
      <c r="E261" s="117" t="s">
        <v>68</v>
      </c>
      <c r="F261" s="146" t="s">
        <v>256</v>
      </c>
      <c r="G261" s="124" t="s">
        <v>69</v>
      </c>
      <c r="H261" s="93"/>
      <c r="I261" s="93"/>
      <c r="J261" s="92" t="str">
        <f t="shared" ref="J261:J266" si="18">IF(I261="", "", DATE(YEAR(I261)+3, MONTH(I261), DAY(L261)))</f>
        <v/>
      </c>
      <c r="K261" s="93"/>
      <c r="L261" s="93"/>
      <c r="M261" s="140" t="str">
        <f t="shared" si="17"/>
        <v/>
      </c>
      <c r="N261" s="93"/>
      <c r="O261" s="93"/>
      <c r="P261" s="93"/>
      <c r="Q261" s="167" t="s">
        <v>70</v>
      </c>
      <c r="R261" s="167" t="s">
        <v>70</v>
      </c>
      <c r="S261" s="167" t="s">
        <v>70</v>
      </c>
      <c r="T261" s="167" t="s">
        <v>70</v>
      </c>
      <c r="U261" s="167" t="s">
        <v>70</v>
      </c>
      <c r="V261" s="167" t="s">
        <v>70</v>
      </c>
      <c r="W261" s="167" t="s">
        <v>70</v>
      </c>
      <c r="X261" s="167" t="s">
        <v>70</v>
      </c>
      <c r="Y261" s="167" t="s">
        <v>70</v>
      </c>
      <c r="Z261" s="167" t="s">
        <v>70</v>
      </c>
      <c r="AA261" s="167" t="s">
        <v>70</v>
      </c>
      <c r="AB261" s="167" t="s">
        <v>70</v>
      </c>
      <c r="AC261" s="167" t="s">
        <v>70</v>
      </c>
      <c r="AD261" s="167" t="s">
        <v>70</v>
      </c>
      <c r="AE261" s="167" t="s">
        <v>70</v>
      </c>
      <c r="AF261" s="167" t="s">
        <v>70</v>
      </c>
      <c r="AG261" s="167" t="s">
        <v>70</v>
      </c>
      <c r="AH261" s="167" t="s">
        <v>70</v>
      </c>
      <c r="AI261" s="181">
        <v>46175</v>
      </c>
      <c r="AJ261" s="163">
        <v>45345</v>
      </c>
      <c r="AK261" s="167" t="s">
        <v>70</v>
      </c>
      <c r="AL261" s="167" t="s">
        <v>70</v>
      </c>
      <c r="AM261" s="167"/>
      <c r="AN261" s="167" t="s">
        <v>70</v>
      </c>
      <c r="AO261" s="167" t="s">
        <v>70</v>
      </c>
      <c r="AP261" s="167" t="s">
        <v>70</v>
      </c>
      <c r="AQ261" s="167" t="s">
        <v>70</v>
      </c>
      <c r="AR261" s="166" t="s">
        <v>69</v>
      </c>
      <c r="AS261" s="167" t="s">
        <v>70</v>
      </c>
      <c r="AT261" s="167" t="s">
        <v>70</v>
      </c>
      <c r="AU261" s="167" t="s">
        <v>70</v>
      </c>
      <c r="AV261" s="167" t="s">
        <v>70</v>
      </c>
      <c r="AW261" s="167" t="s">
        <v>70</v>
      </c>
      <c r="AX261" s="167" t="s">
        <v>70</v>
      </c>
      <c r="AY261" s="167" t="s">
        <v>70</v>
      </c>
      <c r="AZ261" s="167" t="s">
        <v>70</v>
      </c>
      <c r="BA261" s="167" t="s">
        <v>70</v>
      </c>
      <c r="BB261" s="167" t="s">
        <v>70</v>
      </c>
      <c r="BC261" s="167" t="s">
        <v>70</v>
      </c>
      <c r="BD261" s="167" t="s">
        <v>70</v>
      </c>
      <c r="BE261" s="167" t="s">
        <v>70</v>
      </c>
      <c r="BF261" s="167" t="s">
        <v>70</v>
      </c>
      <c r="BG261" s="167" t="s">
        <v>70</v>
      </c>
      <c r="BH261" s="167" t="s">
        <v>70</v>
      </c>
      <c r="BI261" s="167" t="s">
        <v>70</v>
      </c>
      <c r="BJ261" s="167" t="s">
        <v>70</v>
      </c>
      <c r="BK261" s="167" t="s">
        <v>70</v>
      </c>
      <c r="BL261" s="167" t="s">
        <v>70</v>
      </c>
      <c r="BM261" s="167" t="s">
        <v>70</v>
      </c>
      <c r="BN261" s="167" t="s">
        <v>70</v>
      </c>
      <c r="BO261" s="167" t="s">
        <v>70</v>
      </c>
      <c r="BP261" s="167" t="s">
        <v>70</v>
      </c>
      <c r="BQ261" s="151" t="s">
        <v>256</v>
      </c>
    </row>
    <row r="262" spans="1:69" s="151" customFormat="1" ht="19.5" customHeight="1" x14ac:dyDescent="0.2">
      <c r="A262" s="117">
        <v>259</v>
      </c>
      <c r="B262" s="121" t="s">
        <v>305</v>
      </c>
      <c r="C262" s="122">
        <v>221924</v>
      </c>
      <c r="D262" s="117" t="s">
        <v>212</v>
      </c>
      <c r="E262" s="117" t="s">
        <v>68</v>
      </c>
      <c r="F262" s="146" t="s">
        <v>256</v>
      </c>
      <c r="G262" s="124" t="s">
        <v>69</v>
      </c>
      <c r="H262" s="93"/>
      <c r="I262" s="93"/>
      <c r="J262" s="92" t="str">
        <f t="shared" si="18"/>
        <v/>
      </c>
      <c r="K262" s="93"/>
      <c r="L262" s="93"/>
      <c r="M262" s="140" t="str">
        <f t="shared" si="17"/>
        <v/>
      </c>
      <c r="N262" s="93"/>
      <c r="O262" s="93"/>
      <c r="P262" s="93"/>
      <c r="Q262" s="167" t="s">
        <v>70</v>
      </c>
      <c r="R262" s="167" t="s">
        <v>70</v>
      </c>
      <c r="S262" s="167" t="s">
        <v>70</v>
      </c>
      <c r="T262" s="167" t="s">
        <v>70</v>
      </c>
      <c r="U262" s="167" t="s">
        <v>70</v>
      </c>
      <c r="V262" s="167" t="s">
        <v>70</v>
      </c>
      <c r="W262" s="167" t="s">
        <v>70</v>
      </c>
      <c r="X262" s="167" t="s">
        <v>70</v>
      </c>
      <c r="Y262" s="167" t="s">
        <v>70</v>
      </c>
      <c r="Z262" s="167" t="s">
        <v>70</v>
      </c>
      <c r="AA262" s="167" t="s">
        <v>70</v>
      </c>
      <c r="AB262" s="167" t="s">
        <v>70</v>
      </c>
      <c r="AC262" s="167" t="s">
        <v>70</v>
      </c>
      <c r="AD262" s="167" t="s">
        <v>70</v>
      </c>
      <c r="AE262" s="167" t="s">
        <v>70</v>
      </c>
      <c r="AF262" s="167" t="s">
        <v>70</v>
      </c>
      <c r="AG262" s="167" t="s">
        <v>70</v>
      </c>
      <c r="AH262" s="167" t="s">
        <v>70</v>
      </c>
      <c r="AI262" s="186">
        <v>45975</v>
      </c>
      <c r="AJ262" s="163">
        <v>45352</v>
      </c>
      <c r="AK262" s="167" t="s">
        <v>70</v>
      </c>
      <c r="AL262" s="167" t="s">
        <v>70</v>
      </c>
      <c r="AM262" s="167"/>
      <c r="AN262" s="167" t="s">
        <v>70</v>
      </c>
      <c r="AO262" s="167" t="s">
        <v>70</v>
      </c>
      <c r="AP262" s="167" t="s">
        <v>70</v>
      </c>
      <c r="AQ262" s="167" t="s">
        <v>70</v>
      </c>
      <c r="AR262" s="168">
        <v>46090</v>
      </c>
      <c r="AS262" s="167" t="s">
        <v>70</v>
      </c>
      <c r="AT262" s="167" t="s">
        <v>70</v>
      </c>
      <c r="AU262" s="167" t="s">
        <v>70</v>
      </c>
      <c r="AV262" s="167" t="s">
        <v>70</v>
      </c>
      <c r="AW262" s="167" t="s">
        <v>70</v>
      </c>
      <c r="AX262" s="167" t="s">
        <v>70</v>
      </c>
      <c r="AY262" s="167" t="s">
        <v>70</v>
      </c>
      <c r="AZ262" s="167" t="s">
        <v>70</v>
      </c>
      <c r="BA262" s="167" t="s">
        <v>70</v>
      </c>
      <c r="BB262" s="167" t="s">
        <v>70</v>
      </c>
      <c r="BC262" s="167" t="s">
        <v>70</v>
      </c>
      <c r="BD262" s="167" t="s">
        <v>70</v>
      </c>
      <c r="BE262" s="167" t="s">
        <v>70</v>
      </c>
      <c r="BF262" s="167" t="s">
        <v>70</v>
      </c>
      <c r="BG262" s="167" t="s">
        <v>70</v>
      </c>
      <c r="BH262" s="167" t="s">
        <v>70</v>
      </c>
      <c r="BI262" s="167" t="s">
        <v>70</v>
      </c>
      <c r="BJ262" s="167" t="s">
        <v>70</v>
      </c>
      <c r="BK262" s="167" t="s">
        <v>70</v>
      </c>
      <c r="BL262" s="167" t="s">
        <v>70</v>
      </c>
      <c r="BM262" s="167" t="s">
        <v>70</v>
      </c>
      <c r="BN262" s="167" t="s">
        <v>70</v>
      </c>
      <c r="BO262" s="167" t="s">
        <v>70</v>
      </c>
      <c r="BP262" s="167" t="s">
        <v>70</v>
      </c>
      <c r="BQ262" s="151" t="s">
        <v>256</v>
      </c>
    </row>
    <row r="263" spans="1:69" s="151" customFormat="1" ht="19.5" customHeight="1" x14ac:dyDescent="0.2">
      <c r="A263" s="117">
        <v>260</v>
      </c>
      <c r="B263" s="121" t="s">
        <v>306</v>
      </c>
      <c r="C263" s="122">
        <v>147328</v>
      </c>
      <c r="D263" s="117" t="s">
        <v>212</v>
      </c>
      <c r="E263" s="117" t="s">
        <v>68</v>
      </c>
      <c r="F263" s="146" t="s">
        <v>256</v>
      </c>
      <c r="G263" s="124" t="s">
        <v>69</v>
      </c>
      <c r="H263" s="93">
        <v>46164</v>
      </c>
      <c r="I263" s="93">
        <v>46164</v>
      </c>
      <c r="J263" s="92">
        <f t="shared" si="18"/>
        <v>47259</v>
      </c>
      <c r="K263" s="93">
        <v>46163</v>
      </c>
      <c r="L263" s="93">
        <v>46163</v>
      </c>
      <c r="M263" s="140">
        <f t="shared" si="17"/>
        <v>47259</v>
      </c>
      <c r="N263" s="93">
        <v>46167</v>
      </c>
      <c r="O263" s="93">
        <v>46161</v>
      </c>
      <c r="P263" s="93">
        <v>46162</v>
      </c>
      <c r="Q263" s="167" t="s">
        <v>70</v>
      </c>
      <c r="R263" s="167" t="s">
        <v>70</v>
      </c>
      <c r="S263" s="167" t="s">
        <v>70</v>
      </c>
      <c r="T263" s="167" t="s">
        <v>70</v>
      </c>
      <c r="U263" s="167" t="s">
        <v>70</v>
      </c>
      <c r="V263" s="167" t="s">
        <v>70</v>
      </c>
      <c r="W263" s="167" t="s">
        <v>70</v>
      </c>
      <c r="X263" s="167" t="s">
        <v>70</v>
      </c>
      <c r="Y263" s="167" t="s">
        <v>70</v>
      </c>
      <c r="Z263" s="167" t="s">
        <v>70</v>
      </c>
      <c r="AA263" s="167" t="s">
        <v>70</v>
      </c>
      <c r="AB263" s="167" t="s">
        <v>70</v>
      </c>
      <c r="AC263" s="167" t="s">
        <v>70</v>
      </c>
      <c r="AD263" s="167" t="s">
        <v>70</v>
      </c>
      <c r="AE263" s="167" t="s">
        <v>70</v>
      </c>
      <c r="AF263" s="167" t="s">
        <v>70</v>
      </c>
      <c r="AG263" s="167" t="s">
        <v>70</v>
      </c>
      <c r="AH263" s="167" t="s">
        <v>70</v>
      </c>
      <c r="AI263" s="181">
        <v>46086</v>
      </c>
      <c r="AJ263" s="163">
        <v>45355</v>
      </c>
      <c r="AK263" s="167" t="s">
        <v>70</v>
      </c>
      <c r="AL263" s="167" t="s">
        <v>70</v>
      </c>
      <c r="AM263" s="167"/>
      <c r="AN263" s="167" t="s">
        <v>70</v>
      </c>
      <c r="AO263" s="167" t="s">
        <v>70</v>
      </c>
      <c r="AP263" s="167" t="s">
        <v>70</v>
      </c>
      <c r="AQ263" s="167" t="s">
        <v>70</v>
      </c>
      <c r="AR263" s="166" t="s">
        <v>69</v>
      </c>
      <c r="AS263" s="167" t="s">
        <v>70</v>
      </c>
      <c r="AT263" s="167" t="s">
        <v>70</v>
      </c>
      <c r="AU263" s="167" t="s">
        <v>70</v>
      </c>
      <c r="AV263" s="167" t="s">
        <v>70</v>
      </c>
      <c r="AW263" s="167" t="s">
        <v>70</v>
      </c>
      <c r="AX263" s="167" t="s">
        <v>70</v>
      </c>
      <c r="AY263" s="167" t="s">
        <v>70</v>
      </c>
      <c r="AZ263" s="167" t="s">
        <v>70</v>
      </c>
      <c r="BA263" s="167" t="s">
        <v>70</v>
      </c>
      <c r="BB263" s="167" t="s">
        <v>70</v>
      </c>
      <c r="BC263" s="167" t="s">
        <v>70</v>
      </c>
      <c r="BD263" s="167" t="s">
        <v>70</v>
      </c>
      <c r="BE263" s="167" t="s">
        <v>70</v>
      </c>
      <c r="BF263" s="167" t="s">
        <v>70</v>
      </c>
      <c r="BG263" s="167" t="s">
        <v>70</v>
      </c>
      <c r="BH263" s="167" t="s">
        <v>70</v>
      </c>
      <c r="BI263" s="167" t="s">
        <v>70</v>
      </c>
      <c r="BJ263" s="167" t="s">
        <v>70</v>
      </c>
      <c r="BK263" s="167" t="s">
        <v>70</v>
      </c>
      <c r="BL263" s="167" t="s">
        <v>70</v>
      </c>
      <c r="BM263" s="167" t="s">
        <v>70</v>
      </c>
      <c r="BN263" s="167" t="s">
        <v>70</v>
      </c>
      <c r="BO263" s="167" t="s">
        <v>70</v>
      </c>
      <c r="BP263" s="167" t="s">
        <v>70</v>
      </c>
      <c r="BQ263" s="151" t="s">
        <v>256</v>
      </c>
    </row>
    <row r="264" spans="1:69" s="151" customFormat="1" ht="19.5" customHeight="1" x14ac:dyDescent="0.2">
      <c r="A264" s="117">
        <v>261</v>
      </c>
      <c r="B264" s="121" t="s">
        <v>307</v>
      </c>
      <c r="C264" s="122">
        <v>83120032</v>
      </c>
      <c r="D264" s="117" t="s">
        <v>212</v>
      </c>
      <c r="E264" s="117" t="s">
        <v>68</v>
      </c>
      <c r="F264" s="146" t="s">
        <v>256</v>
      </c>
      <c r="G264" s="124" t="s">
        <v>69</v>
      </c>
      <c r="H264" s="93">
        <v>46155</v>
      </c>
      <c r="I264" s="93">
        <v>46155</v>
      </c>
      <c r="J264" s="92">
        <f t="shared" si="18"/>
        <v>47253</v>
      </c>
      <c r="K264" s="93">
        <v>46157</v>
      </c>
      <c r="L264" s="93">
        <v>46157</v>
      </c>
      <c r="M264" s="140">
        <f t="shared" si="17"/>
        <v>47253</v>
      </c>
      <c r="N264" s="93">
        <v>45681</v>
      </c>
      <c r="O264" s="93"/>
      <c r="P264" s="93"/>
      <c r="Q264" s="167" t="s">
        <v>70</v>
      </c>
      <c r="R264" s="167" t="s">
        <v>70</v>
      </c>
      <c r="S264" s="167" t="s">
        <v>70</v>
      </c>
      <c r="T264" s="167" t="s">
        <v>70</v>
      </c>
      <c r="U264" s="167" t="s">
        <v>70</v>
      </c>
      <c r="V264" s="167" t="s">
        <v>70</v>
      </c>
      <c r="W264" s="167" t="s">
        <v>70</v>
      </c>
      <c r="X264" s="167" t="s">
        <v>70</v>
      </c>
      <c r="Y264" s="167" t="s">
        <v>70</v>
      </c>
      <c r="Z264" s="167" t="s">
        <v>70</v>
      </c>
      <c r="AA264" s="167" t="s">
        <v>70</v>
      </c>
      <c r="AB264" s="167" t="s">
        <v>70</v>
      </c>
      <c r="AC264" s="167" t="s">
        <v>70</v>
      </c>
      <c r="AD264" s="167" t="s">
        <v>70</v>
      </c>
      <c r="AE264" s="167" t="s">
        <v>70</v>
      </c>
      <c r="AF264" s="167" t="s">
        <v>70</v>
      </c>
      <c r="AG264" s="167" t="s">
        <v>70</v>
      </c>
      <c r="AH264" s="167" t="s">
        <v>70</v>
      </c>
      <c r="AI264" s="181">
        <v>46065</v>
      </c>
      <c r="AJ264" s="163">
        <v>45341</v>
      </c>
      <c r="AK264" s="167" t="s">
        <v>70</v>
      </c>
      <c r="AL264" s="167" t="s">
        <v>70</v>
      </c>
      <c r="AM264" s="167"/>
      <c r="AN264" s="167" t="s">
        <v>70</v>
      </c>
      <c r="AO264" s="167" t="s">
        <v>70</v>
      </c>
      <c r="AP264" s="167" t="s">
        <v>70</v>
      </c>
      <c r="AQ264" s="167" t="s">
        <v>70</v>
      </c>
      <c r="AR264" s="166" t="s">
        <v>69</v>
      </c>
      <c r="AS264" s="167" t="s">
        <v>70</v>
      </c>
      <c r="AT264" s="167" t="s">
        <v>70</v>
      </c>
      <c r="AU264" s="167" t="s">
        <v>70</v>
      </c>
      <c r="AV264" s="167" t="s">
        <v>70</v>
      </c>
      <c r="AW264" s="167" t="s">
        <v>70</v>
      </c>
      <c r="AX264" s="167" t="s">
        <v>70</v>
      </c>
      <c r="AY264" s="167" t="s">
        <v>70</v>
      </c>
      <c r="AZ264" s="167" t="s">
        <v>70</v>
      </c>
      <c r="BA264" s="167" t="s">
        <v>70</v>
      </c>
      <c r="BB264" s="167" t="s">
        <v>70</v>
      </c>
      <c r="BC264" s="167" t="s">
        <v>70</v>
      </c>
      <c r="BD264" s="167" t="s">
        <v>70</v>
      </c>
      <c r="BE264" s="167" t="s">
        <v>70</v>
      </c>
      <c r="BF264" s="167" t="s">
        <v>70</v>
      </c>
      <c r="BG264" s="167" t="s">
        <v>70</v>
      </c>
      <c r="BH264" s="167" t="s">
        <v>70</v>
      </c>
      <c r="BI264" s="167" t="s">
        <v>70</v>
      </c>
      <c r="BJ264" s="167" t="s">
        <v>70</v>
      </c>
      <c r="BK264" s="167" t="s">
        <v>70</v>
      </c>
      <c r="BL264" s="167" t="s">
        <v>70</v>
      </c>
      <c r="BM264" s="167" t="s">
        <v>70</v>
      </c>
      <c r="BN264" s="167" t="s">
        <v>70</v>
      </c>
      <c r="BO264" s="167" t="s">
        <v>70</v>
      </c>
      <c r="BP264" s="167" t="s">
        <v>70</v>
      </c>
      <c r="BQ264" s="151" t="s">
        <v>256</v>
      </c>
    </row>
    <row r="265" spans="1:69" s="151" customFormat="1" ht="19.5" customHeight="1" x14ac:dyDescent="0.2">
      <c r="A265" s="117">
        <v>262</v>
      </c>
      <c r="B265" s="121" t="s">
        <v>308</v>
      </c>
      <c r="C265" s="122">
        <v>152597</v>
      </c>
      <c r="D265" s="117" t="s">
        <v>212</v>
      </c>
      <c r="E265" s="117" t="s">
        <v>68</v>
      </c>
      <c r="F265" s="146" t="s">
        <v>256</v>
      </c>
      <c r="G265" s="124" t="s">
        <v>69</v>
      </c>
      <c r="H265" s="93">
        <v>46227</v>
      </c>
      <c r="I265" s="93">
        <v>46227</v>
      </c>
      <c r="J265" s="92">
        <f t="shared" si="18"/>
        <v>47322</v>
      </c>
      <c r="K265" s="93">
        <v>46226</v>
      </c>
      <c r="L265" s="93">
        <v>46226</v>
      </c>
      <c r="M265" s="140">
        <f t="shared" si="17"/>
        <v>47322</v>
      </c>
      <c r="N265" s="93">
        <v>46223</v>
      </c>
      <c r="O265" s="93">
        <v>46224</v>
      </c>
      <c r="P265" s="93">
        <v>46225</v>
      </c>
      <c r="Q265" s="167" t="s">
        <v>70</v>
      </c>
      <c r="R265" s="167" t="s">
        <v>70</v>
      </c>
      <c r="S265" s="167" t="s">
        <v>70</v>
      </c>
      <c r="T265" s="167" t="s">
        <v>70</v>
      </c>
      <c r="U265" s="167" t="s">
        <v>70</v>
      </c>
      <c r="V265" s="167" t="s">
        <v>70</v>
      </c>
      <c r="W265" s="167" t="s">
        <v>70</v>
      </c>
      <c r="X265" s="167" t="s">
        <v>70</v>
      </c>
      <c r="Y265" s="167" t="s">
        <v>70</v>
      </c>
      <c r="Z265" s="167" t="s">
        <v>70</v>
      </c>
      <c r="AA265" s="167" t="s">
        <v>70</v>
      </c>
      <c r="AB265" s="167" t="s">
        <v>70</v>
      </c>
      <c r="AC265" s="167" t="s">
        <v>70</v>
      </c>
      <c r="AD265" s="167" t="s">
        <v>70</v>
      </c>
      <c r="AE265" s="167" t="s">
        <v>70</v>
      </c>
      <c r="AF265" s="167" t="s">
        <v>70</v>
      </c>
      <c r="AG265" s="167" t="s">
        <v>70</v>
      </c>
      <c r="AH265" s="167" t="s">
        <v>70</v>
      </c>
      <c r="AI265" s="181">
        <v>46149</v>
      </c>
      <c r="AJ265" s="163">
        <v>45343</v>
      </c>
      <c r="AK265" s="167" t="s">
        <v>70</v>
      </c>
      <c r="AL265" s="167" t="s">
        <v>70</v>
      </c>
      <c r="AM265" s="167"/>
      <c r="AN265" s="167" t="s">
        <v>70</v>
      </c>
      <c r="AO265" s="167" t="s">
        <v>70</v>
      </c>
      <c r="AP265" s="167" t="s">
        <v>70</v>
      </c>
      <c r="AQ265" s="167" t="s">
        <v>70</v>
      </c>
      <c r="AR265" s="166" t="s">
        <v>69</v>
      </c>
      <c r="AS265" s="167" t="s">
        <v>70</v>
      </c>
      <c r="AT265" s="167" t="s">
        <v>70</v>
      </c>
      <c r="AU265" s="167" t="s">
        <v>70</v>
      </c>
      <c r="AV265" s="167" t="s">
        <v>70</v>
      </c>
      <c r="AW265" s="167" t="s">
        <v>70</v>
      </c>
      <c r="AX265" s="167" t="s">
        <v>70</v>
      </c>
      <c r="AY265" s="167" t="s">
        <v>70</v>
      </c>
      <c r="AZ265" s="167" t="s">
        <v>70</v>
      </c>
      <c r="BA265" s="167" t="s">
        <v>70</v>
      </c>
      <c r="BB265" s="167" t="s">
        <v>70</v>
      </c>
      <c r="BC265" s="167" t="s">
        <v>70</v>
      </c>
      <c r="BD265" s="167" t="s">
        <v>70</v>
      </c>
      <c r="BE265" s="167" t="s">
        <v>70</v>
      </c>
      <c r="BF265" s="167" t="s">
        <v>70</v>
      </c>
      <c r="BG265" s="167" t="s">
        <v>70</v>
      </c>
      <c r="BH265" s="167" t="s">
        <v>70</v>
      </c>
      <c r="BI265" s="167" t="s">
        <v>70</v>
      </c>
      <c r="BJ265" s="167" t="s">
        <v>70</v>
      </c>
      <c r="BK265" s="167" t="s">
        <v>70</v>
      </c>
      <c r="BL265" s="167" t="s">
        <v>70</v>
      </c>
      <c r="BM265" s="167" t="s">
        <v>70</v>
      </c>
      <c r="BN265" s="167" t="s">
        <v>70</v>
      </c>
      <c r="BO265" s="167" t="s">
        <v>70</v>
      </c>
      <c r="BP265" s="167" t="s">
        <v>70</v>
      </c>
      <c r="BQ265" s="151" t="s">
        <v>256</v>
      </c>
    </row>
    <row r="266" spans="1:69" s="151" customFormat="1" ht="19.5" customHeight="1" x14ac:dyDescent="0.2">
      <c r="A266" s="117">
        <v>263</v>
      </c>
      <c r="B266" s="121" t="s">
        <v>309</v>
      </c>
      <c r="C266" s="122">
        <v>83122118</v>
      </c>
      <c r="D266" s="117" t="s">
        <v>212</v>
      </c>
      <c r="E266" s="117" t="s">
        <v>68</v>
      </c>
      <c r="F266" s="146" t="s">
        <v>256</v>
      </c>
      <c r="G266" s="124" t="s">
        <v>69</v>
      </c>
      <c r="H266" s="93">
        <v>46282</v>
      </c>
      <c r="I266" s="93">
        <v>46282</v>
      </c>
      <c r="J266" s="92">
        <f t="shared" si="18"/>
        <v>47377</v>
      </c>
      <c r="K266" s="93">
        <v>46281</v>
      </c>
      <c r="L266" s="93">
        <v>46281</v>
      </c>
      <c r="M266" s="140">
        <f t="shared" si="17"/>
        <v>47377</v>
      </c>
      <c r="N266" s="93">
        <v>46279</v>
      </c>
      <c r="O266" s="93">
        <v>46286</v>
      </c>
      <c r="P266" s="93">
        <v>46280</v>
      </c>
      <c r="Q266" s="167" t="s">
        <v>70</v>
      </c>
      <c r="R266" s="167" t="s">
        <v>70</v>
      </c>
      <c r="S266" s="167" t="s">
        <v>70</v>
      </c>
      <c r="T266" s="167" t="s">
        <v>70</v>
      </c>
      <c r="U266" s="167" t="s">
        <v>70</v>
      </c>
      <c r="V266" s="167" t="s">
        <v>70</v>
      </c>
      <c r="W266" s="167" t="s">
        <v>70</v>
      </c>
      <c r="X266" s="167" t="s">
        <v>70</v>
      </c>
      <c r="Y266" s="167" t="s">
        <v>70</v>
      </c>
      <c r="Z266" s="167" t="s">
        <v>70</v>
      </c>
      <c r="AA266" s="167" t="s">
        <v>70</v>
      </c>
      <c r="AB266" s="167" t="s">
        <v>70</v>
      </c>
      <c r="AC266" s="167" t="s">
        <v>70</v>
      </c>
      <c r="AD266" s="167" t="s">
        <v>70</v>
      </c>
      <c r="AE266" s="167" t="s">
        <v>70</v>
      </c>
      <c r="AF266" s="167" t="s">
        <v>70</v>
      </c>
      <c r="AG266" s="167" t="s">
        <v>70</v>
      </c>
      <c r="AH266" s="167" t="s">
        <v>70</v>
      </c>
      <c r="AI266" s="181">
        <v>46128</v>
      </c>
      <c r="AJ266" s="163">
        <v>45355</v>
      </c>
      <c r="AK266" s="167" t="s">
        <v>70</v>
      </c>
      <c r="AL266" s="167" t="s">
        <v>70</v>
      </c>
      <c r="AM266" s="167"/>
      <c r="AN266" s="167" t="s">
        <v>70</v>
      </c>
      <c r="AO266" s="167" t="s">
        <v>70</v>
      </c>
      <c r="AP266" s="167" t="s">
        <v>70</v>
      </c>
      <c r="AQ266" s="167" t="s">
        <v>70</v>
      </c>
      <c r="AR266" s="166" t="s">
        <v>69</v>
      </c>
      <c r="AS266" s="167" t="s">
        <v>70</v>
      </c>
      <c r="AT266" s="167" t="s">
        <v>70</v>
      </c>
      <c r="AU266" s="167" t="s">
        <v>70</v>
      </c>
      <c r="AV266" s="167" t="s">
        <v>70</v>
      </c>
      <c r="AW266" s="167" t="s">
        <v>70</v>
      </c>
      <c r="AX266" s="167" t="s">
        <v>70</v>
      </c>
      <c r="AY266" s="167" t="s">
        <v>70</v>
      </c>
      <c r="AZ266" s="167" t="s">
        <v>70</v>
      </c>
      <c r="BA266" s="167" t="s">
        <v>70</v>
      </c>
      <c r="BB266" s="167" t="s">
        <v>70</v>
      </c>
      <c r="BC266" s="167" t="s">
        <v>70</v>
      </c>
      <c r="BD266" s="167" t="s">
        <v>70</v>
      </c>
      <c r="BE266" s="167" t="s">
        <v>70</v>
      </c>
      <c r="BF266" s="167" t="s">
        <v>70</v>
      </c>
      <c r="BG266" s="167" t="s">
        <v>70</v>
      </c>
      <c r="BH266" s="167" t="s">
        <v>70</v>
      </c>
      <c r="BI266" s="167" t="s">
        <v>70</v>
      </c>
      <c r="BJ266" s="167" t="s">
        <v>70</v>
      </c>
      <c r="BK266" s="167" t="s">
        <v>70</v>
      </c>
      <c r="BL266" s="167" t="s">
        <v>70</v>
      </c>
      <c r="BM266" s="167" t="s">
        <v>70</v>
      </c>
      <c r="BN266" s="167" t="s">
        <v>70</v>
      </c>
      <c r="BO266" s="167" t="s">
        <v>70</v>
      </c>
      <c r="BP266" s="167" t="s">
        <v>70</v>
      </c>
      <c r="BQ266" s="151" t="s">
        <v>256</v>
      </c>
    </row>
    <row r="267" spans="1:69" s="151" customFormat="1" ht="19.5" customHeight="1" x14ac:dyDescent="0.2">
      <c r="A267" s="117">
        <v>264</v>
      </c>
      <c r="B267" s="121" t="s">
        <v>310</v>
      </c>
      <c r="C267" s="122">
        <v>141777</v>
      </c>
      <c r="D267" s="117" t="s">
        <v>212</v>
      </c>
      <c r="E267" s="117" t="s">
        <v>68</v>
      </c>
      <c r="F267" s="146" t="s">
        <v>256</v>
      </c>
      <c r="G267" s="124" t="s">
        <v>69</v>
      </c>
      <c r="H267" s="93">
        <v>46199</v>
      </c>
      <c r="I267" s="93">
        <v>46199</v>
      </c>
      <c r="J267" s="92">
        <f>IF(I267="", "", DATE(YEAR(I267)+3, MONTH(I267), DAY(I267)))</f>
        <v>47295</v>
      </c>
      <c r="K267" s="93">
        <v>46198</v>
      </c>
      <c r="L267" s="93">
        <v>46198</v>
      </c>
      <c r="M267" s="140">
        <f t="shared" si="17"/>
        <v>47294</v>
      </c>
      <c r="N267" s="93">
        <v>46195</v>
      </c>
      <c r="O267" s="93">
        <v>46196</v>
      </c>
      <c r="P267" s="93">
        <v>46197</v>
      </c>
      <c r="Q267" s="167" t="s">
        <v>70</v>
      </c>
      <c r="R267" s="167" t="s">
        <v>70</v>
      </c>
      <c r="S267" s="167" t="s">
        <v>70</v>
      </c>
      <c r="T267" s="167" t="s">
        <v>70</v>
      </c>
      <c r="U267" s="167" t="s">
        <v>70</v>
      </c>
      <c r="V267" s="167" t="s">
        <v>70</v>
      </c>
      <c r="W267" s="167" t="s">
        <v>70</v>
      </c>
      <c r="X267" s="167" t="s">
        <v>70</v>
      </c>
      <c r="Y267" s="167" t="s">
        <v>70</v>
      </c>
      <c r="Z267" s="167" t="s">
        <v>70</v>
      </c>
      <c r="AA267" s="167" t="s">
        <v>70</v>
      </c>
      <c r="AB267" s="167" t="s">
        <v>70</v>
      </c>
      <c r="AC267" s="167" t="s">
        <v>70</v>
      </c>
      <c r="AD267" s="167" t="s">
        <v>70</v>
      </c>
      <c r="AE267" s="167" t="s">
        <v>70</v>
      </c>
      <c r="AF267" s="167" t="s">
        <v>70</v>
      </c>
      <c r="AG267" s="167" t="s">
        <v>70</v>
      </c>
      <c r="AH267" s="167" t="s">
        <v>70</v>
      </c>
      <c r="AI267" s="181">
        <v>46255</v>
      </c>
      <c r="AJ267" s="163">
        <v>45350</v>
      </c>
      <c r="AK267" s="167" t="s">
        <v>70</v>
      </c>
      <c r="AL267" s="167" t="s">
        <v>70</v>
      </c>
      <c r="AM267" s="167"/>
      <c r="AN267" s="167" t="s">
        <v>70</v>
      </c>
      <c r="AO267" s="167" t="s">
        <v>70</v>
      </c>
      <c r="AP267" s="167" t="s">
        <v>70</v>
      </c>
      <c r="AQ267" s="167" t="s">
        <v>70</v>
      </c>
      <c r="AR267" s="166" t="s">
        <v>69</v>
      </c>
      <c r="AS267" s="167" t="s">
        <v>70</v>
      </c>
      <c r="AT267" s="167" t="s">
        <v>70</v>
      </c>
      <c r="AU267" s="167" t="s">
        <v>70</v>
      </c>
      <c r="AV267" s="167" t="s">
        <v>70</v>
      </c>
      <c r="AW267" s="167" t="s">
        <v>70</v>
      </c>
      <c r="AX267" s="167" t="s">
        <v>70</v>
      </c>
      <c r="AY267" s="167" t="s">
        <v>70</v>
      </c>
      <c r="AZ267" s="167" t="s">
        <v>70</v>
      </c>
      <c r="BA267" s="167" t="s">
        <v>70</v>
      </c>
      <c r="BB267" s="167" t="s">
        <v>70</v>
      </c>
      <c r="BC267" s="167" t="s">
        <v>70</v>
      </c>
      <c r="BD267" s="167" t="s">
        <v>70</v>
      </c>
      <c r="BE267" s="167" t="s">
        <v>70</v>
      </c>
      <c r="BF267" s="167" t="s">
        <v>70</v>
      </c>
      <c r="BG267" s="167" t="s">
        <v>70</v>
      </c>
      <c r="BH267" s="167" t="s">
        <v>70</v>
      </c>
      <c r="BI267" s="167" t="s">
        <v>70</v>
      </c>
      <c r="BJ267" s="167" t="s">
        <v>70</v>
      </c>
      <c r="BK267" s="167" t="s">
        <v>70</v>
      </c>
      <c r="BL267" s="167" t="s">
        <v>70</v>
      </c>
      <c r="BM267" s="167" t="s">
        <v>70</v>
      </c>
      <c r="BN267" s="167" t="s">
        <v>70</v>
      </c>
      <c r="BO267" s="167" t="s">
        <v>70</v>
      </c>
      <c r="BP267" s="167" t="s">
        <v>70</v>
      </c>
      <c r="BQ267" s="151" t="s">
        <v>256</v>
      </c>
    </row>
    <row r="268" spans="1:69" s="151" customFormat="1" ht="19.5" customHeight="1" x14ac:dyDescent="0.2">
      <c r="A268" s="117">
        <v>265</v>
      </c>
      <c r="B268" s="121" t="s">
        <v>311</v>
      </c>
      <c r="C268" s="122">
        <v>221923</v>
      </c>
      <c r="D268" s="117" t="s">
        <v>212</v>
      </c>
      <c r="E268" s="117" t="s">
        <v>68</v>
      </c>
      <c r="F268" s="146" t="s">
        <v>256</v>
      </c>
      <c r="G268" s="124" t="s">
        <v>69</v>
      </c>
      <c r="H268" s="93">
        <v>46199</v>
      </c>
      <c r="I268" s="93">
        <v>46199</v>
      </c>
      <c r="J268" s="92">
        <f>IF(I268="", "", DATE(YEAR(I268)+3, MONTH(I268), DAY(I268)))</f>
        <v>47295</v>
      </c>
      <c r="K268" s="93">
        <v>46198</v>
      </c>
      <c r="L268" s="93">
        <v>46198</v>
      </c>
      <c r="M268" s="140">
        <f t="shared" si="17"/>
        <v>47294</v>
      </c>
      <c r="N268" s="93">
        <v>46195</v>
      </c>
      <c r="O268" s="93">
        <v>46196</v>
      </c>
      <c r="P268" s="93">
        <v>46197</v>
      </c>
      <c r="Q268" s="167" t="s">
        <v>70</v>
      </c>
      <c r="R268" s="167" t="s">
        <v>70</v>
      </c>
      <c r="S268" s="167" t="s">
        <v>70</v>
      </c>
      <c r="T268" s="167" t="s">
        <v>70</v>
      </c>
      <c r="U268" s="167" t="s">
        <v>70</v>
      </c>
      <c r="V268" s="167" t="s">
        <v>70</v>
      </c>
      <c r="W268" s="167" t="s">
        <v>70</v>
      </c>
      <c r="X268" s="167" t="s">
        <v>70</v>
      </c>
      <c r="Y268" s="167" t="s">
        <v>70</v>
      </c>
      <c r="Z268" s="167" t="s">
        <v>70</v>
      </c>
      <c r="AA268" s="167" t="s">
        <v>70</v>
      </c>
      <c r="AB268" s="167" t="s">
        <v>70</v>
      </c>
      <c r="AC268" s="167" t="s">
        <v>70</v>
      </c>
      <c r="AD268" s="167" t="s">
        <v>70</v>
      </c>
      <c r="AE268" s="167" t="s">
        <v>70</v>
      </c>
      <c r="AF268" s="167" t="s">
        <v>70</v>
      </c>
      <c r="AG268" s="167" t="s">
        <v>70</v>
      </c>
      <c r="AH268" s="167" t="s">
        <v>70</v>
      </c>
      <c r="AI268" s="163">
        <v>46272</v>
      </c>
      <c r="AJ268" s="163">
        <v>45359</v>
      </c>
      <c r="AK268" s="167" t="s">
        <v>70</v>
      </c>
      <c r="AL268" s="167" t="s">
        <v>70</v>
      </c>
      <c r="AM268" s="167"/>
      <c r="AN268" s="167" t="s">
        <v>70</v>
      </c>
      <c r="AO268" s="167" t="s">
        <v>70</v>
      </c>
      <c r="AP268" s="167" t="s">
        <v>70</v>
      </c>
      <c r="AQ268" s="167" t="s">
        <v>70</v>
      </c>
      <c r="AR268" s="166" t="s">
        <v>69</v>
      </c>
      <c r="AS268" s="167" t="s">
        <v>70</v>
      </c>
      <c r="AT268" s="167" t="s">
        <v>70</v>
      </c>
      <c r="AU268" s="167" t="s">
        <v>70</v>
      </c>
      <c r="AV268" s="167" t="s">
        <v>70</v>
      </c>
      <c r="AW268" s="167" t="s">
        <v>70</v>
      </c>
      <c r="AX268" s="167" t="s">
        <v>70</v>
      </c>
      <c r="AY268" s="167" t="s">
        <v>70</v>
      </c>
      <c r="AZ268" s="167" t="s">
        <v>70</v>
      </c>
      <c r="BA268" s="167" t="s">
        <v>70</v>
      </c>
      <c r="BB268" s="167" t="s">
        <v>70</v>
      </c>
      <c r="BC268" s="167" t="s">
        <v>70</v>
      </c>
      <c r="BD268" s="167" t="s">
        <v>70</v>
      </c>
      <c r="BE268" s="167" t="s">
        <v>70</v>
      </c>
      <c r="BF268" s="167" t="s">
        <v>70</v>
      </c>
      <c r="BG268" s="167" t="s">
        <v>70</v>
      </c>
      <c r="BH268" s="167" t="s">
        <v>70</v>
      </c>
      <c r="BI268" s="167" t="s">
        <v>70</v>
      </c>
      <c r="BJ268" s="167" t="s">
        <v>70</v>
      </c>
      <c r="BK268" s="167" t="s">
        <v>70</v>
      </c>
      <c r="BL268" s="167" t="s">
        <v>70</v>
      </c>
      <c r="BM268" s="167" t="s">
        <v>70</v>
      </c>
      <c r="BN268" s="167" t="s">
        <v>70</v>
      </c>
      <c r="BO268" s="167" t="s">
        <v>70</v>
      </c>
      <c r="BP268" s="167" t="s">
        <v>70</v>
      </c>
      <c r="BQ268" s="151" t="s">
        <v>256</v>
      </c>
    </row>
    <row r="269" spans="1:69" s="151" customFormat="1" ht="19.5" customHeight="1" x14ac:dyDescent="0.2">
      <c r="A269" s="117">
        <v>266</v>
      </c>
      <c r="B269" s="121" t="s">
        <v>312</v>
      </c>
      <c r="C269" s="122">
        <v>147332</v>
      </c>
      <c r="D269" s="117" t="s">
        <v>212</v>
      </c>
      <c r="E269" s="117" t="s">
        <v>68</v>
      </c>
      <c r="F269" s="146" t="s">
        <v>256</v>
      </c>
      <c r="G269" s="124" t="s">
        <v>69</v>
      </c>
      <c r="H269" s="93">
        <v>46248</v>
      </c>
      <c r="I269" s="93">
        <v>46248</v>
      </c>
      <c r="J269" s="92">
        <f>IF(I269="", "", DATE(YEAR(I269)+3, MONTH(I269), DAY(I269)))</f>
        <v>47344</v>
      </c>
      <c r="K269" s="93">
        <v>46247</v>
      </c>
      <c r="L269" s="93">
        <v>46247</v>
      </c>
      <c r="M269" s="140">
        <f t="shared" si="17"/>
        <v>47343</v>
      </c>
      <c r="N269" s="93">
        <v>46245</v>
      </c>
      <c r="O269" s="93">
        <v>46258</v>
      </c>
      <c r="P269" s="93">
        <v>46246</v>
      </c>
      <c r="Q269" s="167" t="s">
        <v>70</v>
      </c>
      <c r="R269" s="167" t="s">
        <v>70</v>
      </c>
      <c r="S269" s="167" t="s">
        <v>70</v>
      </c>
      <c r="T269" s="167" t="s">
        <v>70</v>
      </c>
      <c r="U269" s="167" t="s">
        <v>70</v>
      </c>
      <c r="V269" s="167" t="s">
        <v>70</v>
      </c>
      <c r="W269" s="167" t="s">
        <v>70</v>
      </c>
      <c r="X269" s="167" t="s">
        <v>70</v>
      </c>
      <c r="Y269" s="167" t="s">
        <v>70</v>
      </c>
      <c r="Z269" s="167" t="s">
        <v>70</v>
      </c>
      <c r="AA269" s="167" t="s">
        <v>70</v>
      </c>
      <c r="AB269" s="167" t="s">
        <v>70</v>
      </c>
      <c r="AC269" s="167" t="s">
        <v>70</v>
      </c>
      <c r="AD269" s="167" t="s">
        <v>70</v>
      </c>
      <c r="AE269" s="167" t="s">
        <v>70</v>
      </c>
      <c r="AF269" s="167" t="s">
        <v>70</v>
      </c>
      <c r="AG269" s="167" t="s">
        <v>70</v>
      </c>
      <c r="AH269" s="167" t="s">
        <v>70</v>
      </c>
      <c r="AI269" s="181">
        <v>46300</v>
      </c>
      <c r="AJ269" s="163">
        <v>45350</v>
      </c>
      <c r="AK269" s="167" t="s">
        <v>70</v>
      </c>
      <c r="AL269" s="167" t="s">
        <v>70</v>
      </c>
      <c r="AM269" s="167"/>
      <c r="AN269" s="167" t="s">
        <v>70</v>
      </c>
      <c r="AO269" s="167" t="s">
        <v>70</v>
      </c>
      <c r="AP269" s="167" t="s">
        <v>70</v>
      </c>
      <c r="AQ269" s="167" t="s">
        <v>70</v>
      </c>
      <c r="AR269" s="166" t="s">
        <v>69</v>
      </c>
      <c r="AS269" s="167" t="s">
        <v>70</v>
      </c>
      <c r="AT269" s="167" t="s">
        <v>70</v>
      </c>
      <c r="AU269" s="167" t="s">
        <v>70</v>
      </c>
      <c r="AV269" s="167" t="s">
        <v>70</v>
      </c>
      <c r="AW269" s="167" t="s">
        <v>70</v>
      </c>
      <c r="AX269" s="167" t="s">
        <v>70</v>
      </c>
      <c r="AY269" s="167" t="s">
        <v>70</v>
      </c>
      <c r="AZ269" s="167" t="s">
        <v>70</v>
      </c>
      <c r="BA269" s="167" t="s">
        <v>70</v>
      </c>
      <c r="BB269" s="167" t="s">
        <v>70</v>
      </c>
      <c r="BC269" s="167" t="s">
        <v>70</v>
      </c>
      <c r="BD269" s="167" t="s">
        <v>70</v>
      </c>
      <c r="BE269" s="167" t="s">
        <v>70</v>
      </c>
      <c r="BF269" s="167" t="s">
        <v>70</v>
      </c>
      <c r="BG269" s="167" t="s">
        <v>70</v>
      </c>
      <c r="BH269" s="167" t="s">
        <v>70</v>
      </c>
      <c r="BI269" s="167" t="s">
        <v>70</v>
      </c>
      <c r="BJ269" s="167" t="s">
        <v>70</v>
      </c>
      <c r="BK269" s="167" t="s">
        <v>70</v>
      </c>
      <c r="BL269" s="167" t="s">
        <v>70</v>
      </c>
      <c r="BM269" s="167" t="s">
        <v>70</v>
      </c>
      <c r="BN269" s="167" t="s">
        <v>70</v>
      </c>
      <c r="BO269" s="167" t="s">
        <v>70</v>
      </c>
      <c r="BP269" s="167" t="s">
        <v>70</v>
      </c>
      <c r="BQ269" s="151" t="s">
        <v>256</v>
      </c>
    </row>
    <row r="270" spans="1:69" s="151" customFormat="1" ht="19.5" customHeight="1" x14ac:dyDescent="0.2">
      <c r="A270" s="117">
        <v>267</v>
      </c>
      <c r="B270" s="121" t="s">
        <v>314</v>
      </c>
      <c r="C270" s="122">
        <v>132522</v>
      </c>
      <c r="D270" s="117" t="s">
        <v>212</v>
      </c>
      <c r="E270" s="117" t="s">
        <v>68</v>
      </c>
      <c r="F270" s="146" t="s">
        <v>256</v>
      </c>
      <c r="G270" s="124" t="s">
        <v>69</v>
      </c>
      <c r="H270" s="93">
        <v>42576</v>
      </c>
      <c r="I270" s="93">
        <v>45679</v>
      </c>
      <c r="J270" s="92">
        <f t="shared" ref="J270:J275" si="19">IF(I270="", "", DATE(YEAR(I270)+3, MONTH(I270), DAY(L270)))</f>
        <v>46752</v>
      </c>
      <c r="K270" s="93"/>
      <c r="L270" s="93"/>
      <c r="M270" s="140" t="str">
        <f t="shared" si="17"/>
        <v/>
      </c>
      <c r="N270" s="93"/>
      <c r="O270" s="93"/>
      <c r="P270" s="93">
        <v>46181</v>
      </c>
      <c r="Q270" s="167" t="s">
        <v>70</v>
      </c>
      <c r="R270" s="167" t="s">
        <v>70</v>
      </c>
      <c r="S270" s="167" t="s">
        <v>70</v>
      </c>
      <c r="T270" s="167" t="s">
        <v>70</v>
      </c>
      <c r="U270" s="167" t="s">
        <v>70</v>
      </c>
      <c r="V270" s="167" t="s">
        <v>70</v>
      </c>
      <c r="W270" s="167" t="s">
        <v>70</v>
      </c>
      <c r="X270" s="167" t="s">
        <v>70</v>
      </c>
      <c r="Y270" s="167" t="s">
        <v>70</v>
      </c>
      <c r="Z270" s="167" t="s">
        <v>70</v>
      </c>
      <c r="AA270" s="167" t="s">
        <v>70</v>
      </c>
      <c r="AB270" s="167" t="s">
        <v>70</v>
      </c>
      <c r="AC270" s="167" t="s">
        <v>70</v>
      </c>
      <c r="AD270" s="167" t="s">
        <v>70</v>
      </c>
      <c r="AE270" s="167" t="s">
        <v>70</v>
      </c>
      <c r="AF270" s="167" t="s">
        <v>70</v>
      </c>
      <c r="AG270" s="167" t="s">
        <v>70</v>
      </c>
      <c r="AH270" s="167" t="s">
        <v>70</v>
      </c>
      <c r="AI270" s="181">
        <v>46255</v>
      </c>
      <c r="AJ270" s="163">
        <v>45355</v>
      </c>
      <c r="AK270" s="167" t="s">
        <v>70</v>
      </c>
      <c r="AL270" s="167" t="s">
        <v>70</v>
      </c>
      <c r="AM270" s="167"/>
      <c r="AN270" s="167" t="s">
        <v>70</v>
      </c>
      <c r="AO270" s="167" t="s">
        <v>70</v>
      </c>
      <c r="AP270" s="167" t="s">
        <v>70</v>
      </c>
      <c r="AQ270" s="167" t="s">
        <v>70</v>
      </c>
      <c r="AR270" s="166" t="s">
        <v>69</v>
      </c>
      <c r="AS270" s="167" t="s">
        <v>70</v>
      </c>
      <c r="AT270" s="167" t="s">
        <v>70</v>
      </c>
      <c r="AU270" s="167" t="s">
        <v>70</v>
      </c>
      <c r="AV270" s="167" t="s">
        <v>70</v>
      </c>
      <c r="AW270" s="167" t="s">
        <v>70</v>
      </c>
      <c r="AX270" s="167" t="s">
        <v>70</v>
      </c>
      <c r="AY270" s="167" t="s">
        <v>70</v>
      </c>
      <c r="AZ270" s="167" t="s">
        <v>70</v>
      </c>
      <c r="BA270" s="167" t="s">
        <v>70</v>
      </c>
      <c r="BB270" s="167" t="s">
        <v>70</v>
      </c>
      <c r="BC270" s="167" t="s">
        <v>70</v>
      </c>
      <c r="BD270" s="167" t="s">
        <v>70</v>
      </c>
      <c r="BE270" s="167" t="s">
        <v>70</v>
      </c>
      <c r="BF270" s="167" t="s">
        <v>70</v>
      </c>
      <c r="BG270" s="167" t="s">
        <v>70</v>
      </c>
      <c r="BH270" s="167" t="s">
        <v>70</v>
      </c>
      <c r="BI270" s="167" t="s">
        <v>70</v>
      </c>
      <c r="BJ270" s="167" t="s">
        <v>70</v>
      </c>
      <c r="BK270" s="167" t="s">
        <v>70</v>
      </c>
      <c r="BL270" s="167" t="s">
        <v>70</v>
      </c>
      <c r="BM270" s="167" t="s">
        <v>70</v>
      </c>
      <c r="BN270" s="167" t="s">
        <v>70</v>
      </c>
      <c r="BO270" s="167" t="s">
        <v>70</v>
      </c>
      <c r="BP270" s="167" t="s">
        <v>70</v>
      </c>
      <c r="BQ270" s="151" t="s">
        <v>256</v>
      </c>
    </row>
    <row r="271" spans="1:69" s="151" customFormat="1" ht="19.5" customHeight="1" x14ac:dyDescent="0.2">
      <c r="A271" s="117">
        <v>268</v>
      </c>
      <c r="B271" s="121" t="s">
        <v>316</v>
      </c>
      <c r="C271" s="122">
        <v>140703</v>
      </c>
      <c r="D271" s="117" t="s">
        <v>212</v>
      </c>
      <c r="E271" s="117" t="s">
        <v>68</v>
      </c>
      <c r="F271" s="146" t="s">
        <v>256</v>
      </c>
      <c r="G271" s="124" t="s">
        <v>69</v>
      </c>
      <c r="H271" s="93"/>
      <c r="I271" s="93"/>
      <c r="J271" s="92" t="str">
        <f t="shared" si="19"/>
        <v/>
      </c>
      <c r="K271" s="111"/>
      <c r="L271" s="93"/>
      <c r="M271" s="140" t="str">
        <f t="shared" si="17"/>
        <v/>
      </c>
      <c r="N271" s="93"/>
      <c r="O271" s="93"/>
      <c r="P271" s="93"/>
      <c r="Q271" s="167" t="s">
        <v>70</v>
      </c>
      <c r="R271" s="167" t="s">
        <v>70</v>
      </c>
      <c r="S271" s="167" t="s">
        <v>70</v>
      </c>
      <c r="T271" s="167" t="s">
        <v>70</v>
      </c>
      <c r="U271" s="167" t="s">
        <v>70</v>
      </c>
      <c r="V271" s="167" t="s">
        <v>70</v>
      </c>
      <c r="W271" s="167" t="s">
        <v>70</v>
      </c>
      <c r="X271" s="167" t="s">
        <v>70</v>
      </c>
      <c r="Y271" s="167" t="s">
        <v>70</v>
      </c>
      <c r="Z271" s="167" t="s">
        <v>70</v>
      </c>
      <c r="AA271" s="167" t="s">
        <v>70</v>
      </c>
      <c r="AB271" s="167" t="s">
        <v>70</v>
      </c>
      <c r="AC271" s="167" t="s">
        <v>70</v>
      </c>
      <c r="AD271" s="167" t="s">
        <v>70</v>
      </c>
      <c r="AE271" s="167" t="s">
        <v>70</v>
      </c>
      <c r="AF271" s="167" t="s">
        <v>70</v>
      </c>
      <c r="AG271" s="167" t="s">
        <v>70</v>
      </c>
      <c r="AH271" s="167" t="s">
        <v>70</v>
      </c>
      <c r="AI271" s="181">
        <v>46175</v>
      </c>
      <c r="AJ271" s="163">
        <v>45345</v>
      </c>
      <c r="AK271" s="167" t="s">
        <v>70</v>
      </c>
      <c r="AL271" s="167" t="s">
        <v>70</v>
      </c>
      <c r="AM271" s="167"/>
      <c r="AN271" s="167" t="s">
        <v>70</v>
      </c>
      <c r="AO271" s="167" t="s">
        <v>70</v>
      </c>
      <c r="AP271" s="167" t="s">
        <v>70</v>
      </c>
      <c r="AQ271" s="167" t="s">
        <v>70</v>
      </c>
      <c r="AR271" s="166" t="s">
        <v>69</v>
      </c>
      <c r="AS271" s="167" t="s">
        <v>70</v>
      </c>
      <c r="AT271" s="167" t="s">
        <v>70</v>
      </c>
      <c r="AU271" s="167" t="s">
        <v>70</v>
      </c>
      <c r="AV271" s="167" t="s">
        <v>70</v>
      </c>
      <c r="AW271" s="167" t="s">
        <v>70</v>
      </c>
      <c r="AX271" s="167" t="s">
        <v>70</v>
      </c>
      <c r="AY271" s="167" t="s">
        <v>70</v>
      </c>
      <c r="AZ271" s="167" t="s">
        <v>70</v>
      </c>
      <c r="BA271" s="167" t="s">
        <v>70</v>
      </c>
      <c r="BB271" s="167" t="s">
        <v>70</v>
      </c>
      <c r="BC271" s="167" t="s">
        <v>70</v>
      </c>
      <c r="BD271" s="167" t="s">
        <v>70</v>
      </c>
      <c r="BE271" s="167" t="s">
        <v>70</v>
      </c>
      <c r="BF271" s="167" t="s">
        <v>70</v>
      </c>
      <c r="BG271" s="167" t="s">
        <v>70</v>
      </c>
      <c r="BH271" s="167" t="s">
        <v>70</v>
      </c>
      <c r="BI271" s="167" t="s">
        <v>70</v>
      </c>
      <c r="BJ271" s="167" t="s">
        <v>70</v>
      </c>
      <c r="BK271" s="167" t="s">
        <v>70</v>
      </c>
      <c r="BL271" s="167" t="s">
        <v>70</v>
      </c>
      <c r="BM271" s="167" t="s">
        <v>70</v>
      </c>
      <c r="BN271" s="167" t="s">
        <v>70</v>
      </c>
      <c r="BO271" s="167" t="s">
        <v>70</v>
      </c>
      <c r="BP271" s="167" t="s">
        <v>70</v>
      </c>
      <c r="BQ271" s="151" t="s">
        <v>256</v>
      </c>
    </row>
    <row r="272" spans="1:69" s="151" customFormat="1" ht="19.5" customHeight="1" x14ac:dyDescent="0.2">
      <c r="A272" s="117">
        <v>269</v>
      </c>
      <c r="B272" s="121" t="s">
        <v>317</v>
      </c>
      <c r="C272" s="122">
        <v>132711</v>
      </c>
      <c r="D272" s="117" t="s">
        <v>212</v>
      </c>
      <c r="E272" s="117" t="s">
        <v>68</v>
      </c>
      <c r="F272" s="146" t="s">
        <v>256</v>
      </c>
      <c r="G272" s="124" t="s">
        <v>69</v>
      </c>
      <c r="H272" s="93"/>
      <c r="I272" s="93"/>
      <c r="J272" s="92" t="str">
        <f t="shared" si="19"/>
        <v/>
      </c>
      <c r="K272" s="111"/>
      <c r="L272" s="93"/>
      <c r="M272" s="140" t="str">
        <f t="shared" si="17"/>
        <v/>
      </c>
      <c r="N272" s="93"/>
      <c r="O272" s="93"/>
      <c r="P272" s="93"/>
      <c r="Q272" s="167" t="s">
        <v>70</v>
      </c>
      <c r="R272" s="167" t="s">
        <v>70</v>
      </c>
      <c r="S272" s="167" t="s">
        <v>70</v>
      </c>
      <c r="T272" s="167" t="s">
        <v>70</v>
      </c>
      <c r="U272" s="167" t="s">
        <v>70</v>
      </c>
      <c r="V272" s="167" t="s">
        <v>70</v>
      </c>
      <c r="W272" s="167" t="s">
        <v>70</v>
      </c>
      <c r="X272" s="167" t="s">
        <v>70</v>
      </c>
      <c r="Y272" s="167" t="s">
        <v>70</v>
      </c>
      <c r="Z272" s="167" t="s">
        <v>70</v>
      </c>
      <c r="AA272" s="167" t="s">
        <v>70</v>
      </c>
      <c r="AB272" s="167" t="s">
        <v>70</v>
      </c>
      <c r="AC272" s="167" t="s">
        <v>70</v>
      </c>
      <c r="AD272" s="167" t="s">
        <v>70</v>
      </c>
      <c r="AE272" s="167" t="s">
        <v>70</v>
      </c>
      <c r="AF272" s="167" t="s">
        <v>70</v>
      </c>
      <c r="AG272" s="167" t="s">
        <v>70</v>
      </c>
      <c r="AH272" s="167" t="s">
        <v>70</v>
      </c>
      <c r="AI272" s="111">
        <v>45912</v>
      </c>
      <c r="AJ272" s="163">
        <v>45357</v>
      </c>
      <c r="AK272" s="167" t="s">
        <v>70</v>
      </c>
      <c r="AL272" s="167" t="s">
        <v>70</v>
      </c>
      <c r="AM272" s="167"/>
      <c r="AN272" s="167" t="s">
        <v>70</v>
      </c>
      <c r="AO272" s="167" t="s">
        <v>70</v>
      </c>
      <c r="AP272" s="167" t="s">
        <v>70</v>
      </c>
      <c r="AQ272" s="167" t="s">
        <v>70</v>
      </c>
      <c r="AR272" s="166" t="s">
        <v>69</v>
      </c>
      <c r="AS272" s="167" t="s">
        <v>70</v>
      </c>
      <c r="AT272" s="167" t="s">
        <v>70</v>
      </c>
      <c r="AU272" s="167" t="s">
        <v>70</v>
      </c>
      <c r="AV272" s="167" t="s">
        <v>70</v>
      </c>
      <c r="AW272" s="167" t="s">
        <v>70</v>
      </c>
      <c r="AX272" s="167" t="s">
        <v>70</v>
      </c>
      <c r="AY272" s="167" t="s">
        <v>70</v>
      </c>
      <c r="AZ272" s="167" t="s">
        <v>70</v>
      </c>
      <c r="BA272" s="167" t="s">
        <v>70</v>
      </c>
      <c r="BB272" s="167" t="s">
        <v>70</v>
      </c>
      <c r="BC272" s="167" t="s">
        <v>70</v>
      </c>
      <c r="BD272" s="167" t="s">
        <v>70</v>
      </c>
      <c r="BE272" s="167" t="s">
        <v>70</v>
      </c>
      <c r="BF272" s="167" t="s">
        <v>70</v>
      </c>
      <c r="BG272" s="167" t="s">
        <v>70</v>
      </c>
      <c r="BH272" s="167" t="s">
        <v>70</v>
      </c>
      <c r="BI272" s="167" t="s">
        <v>70</v>
      </c>
      <c r="BJ272" s="167" t="s">
        <v>70</v>
      </c>
      <c r="BK272" s="167" t="s">
        <v>70</v>
      </c>
      <c r="BL272" s="167" t="s">
        <v>70</v>
      </c>
      <c r="BM272" s="167" t="s">
        <v>70</v>
      </c>
      <c r="BN272" s="167" t="s">
        <v>70</v>
      </c>
      <c r="BO272" s="167" t="s">
        <v>70</v>
      </c>
      <c r="BP272" s="167" t="s">
        <v>70</v>
      </c>
      <c r="BQ272" s="151" t="s">
        <v>256</v>
      </c>
    </row>
    <row r="273" spans="1:69" s="151" customFormat="1" ht="19.5" customHeight="1" x14ac:dyDescent="0.2">
      <c r="A273" s="117">
        <v>270</v>
      </c>
      <c r="B273" s="121" t="s">
        <v>318</v>
      </c>
      <c r="C273" s="122">
        <v>84122962</v>
      </c>
      <c r="D273" s="117" t="s">
        <v>212</v>
      </c>
      <c r="E273" s="117" t="s">
        <v>68</v>
      </c>
      <c r="F273" s="146" t="s">
        <v>256</v>
      </c>
      <c r="G273" s="124" t="s">
        <v>69</v>
      </c>
      <c r="H273" s="93">
        <v>42076</v>
      </c>
      <c r="I273" s="93">
        <v>46134</v>
      </c>
      <c r="J273" s="92">
        <f t="shared" si="19"/>
        <v>47229</v>
      </c>
      <c r="K273" s="111">
        <v>45287</v>
      </c>
      <c r="L273" s="93">
        <v>46133</v>
      </c>
      <c r="M273" s="140">
        <f t="shared" si="17"/>
        <v>47229</v>
      </c>
      <c r="N273" s="93">
        <v>46130</v>
      </c>
      <c r="O273" s="93">
        <v>46131</v>
      </c>
      <c r="P273" s="93">
        <v>46132</v>
      </c>
      <c r="Q273" s="167" t="s">
        <v>70</v>
      </c>
      <c r="R273" s="167" t="s">
        <v>70</v>
      </c>
      <c r="S273" s="167" t="s">
        <v>70</v>
      </c>
      <c r="T273" s="167" t="s">
        <v>70</v>
      </c>
      <c r="U273" s="167" t="s">
        <v>70</v>
      </c>
      <c r="V273" s="167" t="s">
        <v>70</v>
      </c>
      <c r="W273" s="167" t="s">
        <v>70</v>
      </c>
      <c r="X273" s="167" t="s">
        <v>70</v>
      </c>
      <c r="Y273" s="167" t="s">
        <v>70</v>
      </c>
      <c r="Z273" s="167" t="s">
        <v>70</v>
      </c>
      <c r="AA273" s="167" t="s">
        <v>70</v>
      </c>
      <c r="AB273" s="167" t="s">
        <v>70</v>
      </c>
      <c r="AC273" s="167" t="s">
        <v>70</v>
      </c>
      <c r="AD273" s="167" t="s">
        <v>70</v>
      </c>
      <c r="AE273" s="167" t="s">
        <v>70</v>
      </c>
      <c r="AF273" s="167" t="s">
        <v>70</v>
      </c>
      <c r="AG273" s="167" t="s">
        <v>70</v>
      </c>
      <c r="AH273" s="167" t="s">
        <v>70</v>
      </c>
      <c r="AI273" s="181">
        <v>46300</v>
      </c>
      <c r="AJ273" s="163">
        <v>45355</v>
      </c>
      <c r="AK273" s="167" t="s">
        <v>70</v>
      </c>
      <c r="AL273" s="167" t="s">
        <v>70</v>
      </c>
      <c r="AM273" s="167"/>
      <c r="AN273" s="167" t="s">
        <v>70</v>
      </c>
      <c r="AO273" s="167" t="s">
        <v>70</v>
      </c>
      <c r="AP273" s="167" t="s">
        <v>70</v>
      </c>
      <c r="AQ273" s="167" t="s">
        <v>70</v>
      </c>
      <c r="AR273" s="166" t="s">
        <v>69</v>
      </c>
      <c r="AS273" s="167" t="s">
        <v>70</v>
      </c>
      <c r="AT273" s="167" t="s">
        <v>70</v>
      </c>
      <c r="AU273" s="167" t="s">
        <v>70</v>
      </c>
      <c r="AV273" s="167" t="s">
        <v>70</v>
      </c>
      <c r="AW273" s="167" t="s">
        <v>70</v>
      </c>
      <c r="AX273" s="167" t="s">
        <v>70</v>
      </c>
      <c r="AY273" s="167" t="s">
        <v>70</v>
      </c>
      <c r="AZ273" s="167" t="s">
        <v>70</v>
      </c>
      <c r="BA273" s="167" t="s">
        <v>70</v>
      </c>
      <c r="BB273" s="167" t="s">
        <v>70</v>
      </c>
      <c r="BC273" s="167" t="s">
        <v>70</v>
      </c>
      <c r="BD273" s="167" t="s">
        <v>70</v>
      </c>
      <c r="BE273" s="167" t="s">
        <v>70</v>
      </c>
      <c r="BF273" s="167" t="s">
        <v>70</v>
      </c>
      <c r="BG273" s="167" t="s">
        <v>70</v>
      </c>
      <c r="BH273" s="167" t="s">
        <v>70</v>
      </c>
      <c r="BI273" s="167" t="s">
        <v>70</v>
      </c>
      <c r="BJ273" s="167" t="s">
        <v>70</v>
      </c>
      <c r="BK273" s="167" t="s">
        <v>70</v>
      </c>
      <c r="BL273" s="167" t="s">
        <v>70</v>
      </c>
      <c r="BM273" s="167" t="s">
        <v>70</v>
      </c>
      <c r="BN273" s="167" t="s">
        <v>70</v>
      </c>
      <c r="BO273" s="167" t="s">
        <v>70</v>
      </c>
      <c r="BP273" s="167" t="s">
        <v>70</v>
      </c>
      <c r="BQ273" s="151" t="s">
        <v>256</v>
      </c>
    </row>
    <row r="274" spans="1:69" s="151" customFormat="1" ht="19.5" customHeight="1" x14ac:dyDescent="0.2">
      <c r="A274" s="117">
        <v>271</v>
      </c>
      <c r="B274" s="121" t="s">
        <v>319</v>
      </c>
      <c r="C274" s="122">
        <v>83086324</v>
      </c>
      <c r="D274" s="117" t="s">
        <v>212</v>
      </c>
      <c r="E274" s="117" t="s">
        <v>68</v>
      </c>
      <c r="F274" s="146" t="s">
        <v>256</v>
      </c>
      <c r="G274" s="124" t="s">
        <v>69</v>
      </c>
      <c r="H274" s="93"/>
      <c r="I274" s="93"/>
      <c r="J274" s="92" t="str">
        <f t="shared" si="19"/>
        <v/>
      </c>
      <c r="K274" s="111"/>
      <c r="L274" s="93"/>
      <c r="M274" s="140" t="str">
        <f t="shared" si="17"/>
        <v/>
      </c>
      <c r="N274" s="93"/>
      <c r="O274" s="93"/>
      <c r="P274" s="93"/>
      <c r="Q274" s="167" t="s">
        <v>70</v>
      </c>
      <c r="R274" s="167" t="s">
        <v>70</v>
      </c>
      <c r="S274" s="167" t="s">
        <v>70</v>
      </c>
      <c r="T274" s="167" t="s">
        <v>70</v>
      </c>
      <c r="U274" s="167" t="s">
        <v>70</v>
      </c>
      <c r="V274" s="167" t="s">
        <v>70</v>
      </c>
      <c r="W274" s="167" t="s">
        <v>70</v>
      </c>
      <c r="X274" s="167" t="s">
        <v>70</v>
      </c>
      <c r="Y274" s="167" t="s">
        <v>70</v>
      </c>
      <c r="Z274" s="167" t="s">
        <v>70</v>
      </c>
      <c r="AA274" s="167" t="s">
        <v>70</v>
      </c>
      <c r="AB274" s="167" t="s">
        <v>70</v>
      </c>
      <c r="AC274" s="167" t="s">
        <v>70</v>
      </c>
      <c r="AD274" s="167" t="s">
        <v>70</v>
      </c>
      <c r="AE274" s="167" t="s">
        <v>70</v>
      </c>
      <c r="AF274" s="167" t="s">
        <v>70</v>
      </c>
      <c r="AG274" s="167" t="s">
        <v>70</v>
      </c>
      <c r="AH274" s="167" t="s">
        <v>70</v>
      </c>
      <c r="AI274" s="181">
        <v>45975</v>
      </c>
      <c r="AJ274" s="163">
        <v>45348</v>
      </c>
      <c r="AK274" s="167" t="s">
        <v>70</v>
      </c>
      <c r="AL274" s="167" t="s">
        <v>70</v>
      </c>
      <c r="AM274" s="167"/>
      <c r="AN274" s="167" t="s">
        <v>70</v>
      </c>
      <c r="AO274" s="167" t="s">
        <v>70</v>
      </c>
      <c r="AP274" s="167" t="s">
        <v>70</v>
      </c>
      <c r="AQ274" s="167" t="s">
        <v>70</v>
      </c>
      <c r="AR274" s="166" t="s">
        <v>69</v>
      </c>
      <c r="AS274" s="167" t="s">
        <v>70</v>
      </c>
      <c r="AT274" s="167" t="s">
        <v>70</v>
      </c>
      <c r="AU274" s="167" t="s">
        <v>70</v>
      </c>
      <c r="AV274" s="167" t="s">
        <v>70</v>
      </c>
      <c r="AW274" s="167" t="s">
        <v>70</v>
      </c>
      <c r="AX274" s="167" t="s">
        <v>70</v>
      </c>
      <c r="AY274" s="167" t="s">
        <v>70</v>
      </c>
      <c r="AZ274" s="167" t="s">
        <v>70</v>
      </c>
      <c r="BA274" s="167" t="s">
        <v>70</v>
      </c>
      <c r="BB274" s="167" t="s">
        <v>70</v>
      </c>
      <c r="BC274" s="167" t="s">
        <v>70</v>
      </c>
      <c r="BD274" s="167" t="s">
        <v>70</v>
      </c>
      <c r="BE274" s="167" t="s">
        <v>70</v>
      </c>
      <c r="BF274" s="167" t="s">
        <v>70</v>
      </c>
      <c r="BG274" s="167" t="s">
        <v>70</v>
      </c>
      <c r="BH274" s="167" t="s">
        <v>70</v>
      </c>
      <c r="BI274" s="167" t="s">
        <v>70</v>
      </c>
      <c r="BJ274" s="167" t="s">
        <v>70</v>
      </c>
      <c r="BK274" s="167" t="s">
        <v>70</v>
      </c>
      <c r="BL274" s="167" t="s">
        <v>70</v>
      </c>
      <c r="BM274" s="167" t="s">
        <v>70</v>
      </c>
      <c r="BN274" s="167" t="s">
        <v>70</v>
      </c>
      <c r="BO274" s="167" t="s">
        <v>70</v>
      </c>
      <c r="BP274" s="167" t="s">
        <v>70</v>
      </c>
      <c r="BQ274" s="151" t="s">
        <v>256</v>
      </c>
    </row>
    <row r="275" spans="1:69" s="151" customFormat="1" ht="19.5" customHeight="1" x14ac:dyDescent="0.2">
      <c r="A275" s="117">
        <v>272</v>
      </c>
      <c r="B275" s="121" t="s">
        <v>320</v>
      </c>
      <c r="C275" s="122">
        <v>140292</v>
      </c>
      <c r="D275" s="117" t="s">
        <v>212</v>
      </c>
      <c r="E275" s="117" t="s">
        <v>68</v>
      </c>
      <c r="F275" s="146" t="s">
        <v>256</v>
      </c>
      <c r="G275" s="124" t="s">
        <v>69</v>
      </c>
      <c r="H275" s="93"/>
      <c r="I275" s="93"/>
      <c r="J275" s="92" t="str">
        <f t="shared" si="19"/>
        <v/>
      </c>
      <c r="K275" s="93"/>
      <c r="L275" s="93"/>
      <c r="M275" s="140" t="str">
        <f t="shared" si="17"/>
        <v/>
      </c>
      <c r="N275" s="93"/>
      <c r="O275" s="93"/>
      <c r="P275" s="93"/>
      <c r="Q275" s="167" t="s">
        <v>70</v>
      </c>
      <c r="R275" s="167" t="s">
        <v>70</v>
      </c>
      <c r="S275" s="167" t="s">
        <v>70</v>
      </c>
      <c r="T275" s="167" t="s">
        <v>70</v>
      </c>
      <c r="U275" s="167" t="s">
        <v>70</v>
      </c>
      <c r="V275" s="167" t="s">
        <v>70</v>
      </c>
      <c r="W275" s="167" t="s">
        <v>70</v>
      </c>
      <c r="X275" s="167" t="s">
        <v>70</v>
      </c>
      <c r="Y275" s="167" t="s">
        <v>70</v>
      </c>
      <c r="Z275" s="167" t="s">
        <v>70</v>
      </c>
      <c r="AA275" s="167" t="s">
        <v>70</v>
      </c>
      <c r="AB275" s="167" t="s">
        <v>70</v>
      </c>
      <c r="AC275" s="167" t="s">
        <v>70</v>
      </c>
      <c r="AD275" s="167" t="s">
        <v>70</v>
      </c>
      <c r="AE275" s="167" t="s">
        <v>70</v>
      </c>
      <c r="AF275" s="167" t="s">
        <v>70</v>
      </c>
      <c r="AG275" s="167" t="s">
        <v>70</v>
      </c>
      <c r="AH275" s="167" t="s">
        <v>70</v>
      </c>
      <c r="AI275" s="186">
        <v>46255</v>
      </c>
      <c r="AJ275" s="163">
        <v>45357</v>
      </c>
      <c r="AK275" s="167" t="s">
        <v>70</v>
      </c>
      <c r="AL275" s="167" t="s">
        <v>70</v>
      </c>
      <c r="AM275" s="167"/>
      <c r="AN275" s="167" t="s">
        <v>70</v>
      </c>
      <c r="AO275" s="167" t="s">
        <v>70</v>
      </c>
      <c r="AP275" s="167" t="s">
        <v>70</v>
      </c>
      <c r="AQ275" s="167" t="s">
        <v>70</v>
      </c>
      <c r="AR275" s="166" t="s">
        <v>69</v>
      </c>
      <c r="AS275" s="167" t="s">
        <v>70</v>
      </c>
      <c r="AT275" s="167" t="s">
        <v>70</v>
      </c>
      <c r="AU275" s="167" t="s">
        <v>70</v>
      </c>
      <c r="AV275" s="167" t="s">
        <v>70</v>
      </c>
      <c r="AW275" s="167" t="s">
        <v>70</v>
      </c>
      <c r="AX275" s="167" t="s">
        <v>70</v>
      </c>
      <c r="AY275" s="167" t="s">
        <v>70</v>
      </c>
      <c r="AZ275" s="167" t="s">
        <v>70</v>
      </c>
      <c r="BA275" s="167" t="s">
        <v>70</v>
      </c>
      <c r="BB275" s="167" t="s">
        <v>70</v>
      </c>
      <c r="BC275" s="167" t="s">
        <v>70</v>
      </c>
      <c r="BD275" s="167" t="s">
        <v>70</v>
      </c>
      <c r="BE275" s="167" t="s">
        <v>70</v>
      </c>
      <c r="BF275" s="167" t="s">
        <v>70</v>
      </c>
      <c r="BG275" s="167" t="s">
        <v>70</v>
      </c>
      <c r="BH275" s="167" t="s">
        <v>70</v>
      </c>
      <c r="BI275" s="167" t="s">
        <v>70</v>
      </c>
      <c r="BJ275" s="167" t="s">
        <v>70</v>
      </c>
      <c r="BK275" s="167" t="s">
        <v>70</v>
      </c>
      <c r="BL275" s="167" t="s">
        <v>70</v>
      </c>
      <c r="BM275" s="167" t="s">
        <v>70</v>
      </c>
      <c r="BN275" s="167" t="s">
        <v>70</v>
      </c>
      <c r="BO275" s="167" t="s">
        <v>70</v>
      </c>
      <c r="BP275" s="167" t="s">
        <v>70</v>
      </c>
      <c r="BQ275" s="151" t="s">
        <v>256</v>
      </c>
    </row>
    <row r="276" spans="1:69" s="151" customFormat="1" ht="19.5" customHeight="1" x14ac:dyDescent="0.2">
      <c r="A276" s="117">
        <v>273</v>
      </c>
      <c r="B276" s="121" t="s">
        <v>321</v>
      </c>
      <c r="C276" s="122">
        <v>221919</v>
      </c>
      <c r="D276" s="117" t="s">
        <v>212</v>
      </c>
      <c r="E276" s="117" t="s">
        <v>68</v>
      </c>
      <c r="F276" s="146" t="s">
        <v>256</v>
      </c>
      <c r="G276" s="124" t="s">
        <v>69</v>
      </c>
      <c r="H276" s="93">
        <v>46199</v>
      </c>
      <c r="I276" s="93">
        <v>46199</v>
      </c>
      <c r="J276" s="92">
        <f>IF(I276="", "", DATE(YEAR(I276)+3, MONTH(I276), DAY(I276)))</f>
        <v>47295</v>
      </c>
      <c r="K276" s="93">
        <v>46198</v>
      </c>
      <c r="L276" s="93">
        <v>46198</v>
      </c>
      <c r="M276" s="140">
        <f t="shared" si="17"/>
        <v>47294</v>
      </c>
      <c r="N276" s="93">
        <v>46195</v>
      </c>
      <c r="O276" s="93">
        <v>46196</v>
      </c>
      <c r="P276" s="93">
        <v>46197</v>
      </c>
      <c r="Q276" s="167" t="s">
        <v>70</v>
      </c>
      <c r="R276" s="167" t="s">
        <v>70</v>
      </c>
      <c r="S276" s="167" t="s">
        <v>70</v>
      </c>
      <c r="T276" s="167" t="s">
        <v>70</v>
      </c>
      <c r="U276" s="167" t="s">
        <v>70</v>
      </c>
      <c r="V276" s="167" t="s">
        <v>70</v>
      </c>
      <c r="W276" s="167" t="s">
        <v>70</v>
      </c>
      <c r="X276" s="167" t="s">
        <v>70</v>
      </c>
      <c r="Y276" s="167" t="s">
        <v>70</v>
      </c>
      <c r="Z276" s="167" t="s">
        <v>70</v>
      </c>
      <c r="AA276" s="167" t="s">
        <v>70</v>
      </c>
      <c r="AB276" s="167" t="s">
        <v>70</v>
      </c>
      <c r="AC276" s="167" t="s">
        <v>70</v>
      </c>
      <c r="AD276" s="167" t="s">
        <v>70</v>
      </c>
      <c r="AE276" s="167" t="s">
        <v>70</v>
      </c>
      <c r="AF276" s="167" t="s">
        <v>70</v>
      </c>
      <c r="AG276" s="167" t="s">
        <v>70</v>
      </c>
      <c r="AH276" s="167" t="s">
        <v>70</v>
      </c>
      <c r="AI276" s="163">
        <v>46086</v>
      </c>
      <c r="AJ276" s="163">
        <v>45357</v>
      </c>
      <c r="AK276" s="167" t="s">
        <v>70</v>
      </c>
      <c r="AL276" s="167" t="s">
        <v>70</v>
      </c>
      <c r="AM276" s="167"/>
      <c r="AN276" s="167" t="s">
        <v>70</v>
      </c>
      <c r="AO276" s="167" t="s">
        <v>70</v>
      </c>
      <c r="AP276" s="167" t="s">
        <v>70</v>
      </c>
      <c r="AQ276" s="167" t="s">
        <v>70</v>
      </c>
      <c r="AR276" s="166" t="s">
        <v>69</v>
      </c>
      <c r="AS276" s="167" t="s">
        <v>70</v>
      </c>
      <c r="AT276" s="167" t="s">
        <v>70</v>
      </c>
      <c r="AU276" s="167" t="s">
        <v>70</v>
      </c>
      <c r="AV276" s="167" t="s">
        <v>70</v>
      </c>
      <c r="AW276" s="167" t="s">
        <v>70</v>
      </c>
      <c r="AX276" s="167" t="s">
        <v>70</v>
      </c>
      <c r="AY276" s="167" t="s">
        <v>70</v>
      </c>
      <c r="AZ276" s="167" t="s">
        <v>70</v>
      </c>
      <c r="BA276" s="167" t="s">
        <v>70</v>
      </c>
      <c r="BB276" s="167" t="s">
        <v>70</v>
      </c>
      <c r="BC276" s="167" t="s">
        <v>70</v>
      </c>
      <c r="BD276" s="167" t="s">
        <v>70</v>
      </c>
      <c r="BE276" s="167" t="s">
        <v>70</v>
      </c>
      <c r="BF276" s="167" t="s">
        <v>70</v>
      </c>
      <c r="BG276" s="167" t="s">
        <v>70</v>
      </c>
      <c r="BH276" s="167" t="s">
        <v>70</v>
      </c>
      <c r="BI276" s="167" t="s">
        <v>70</v>
      </c>
      <c r="BJ276" s="167" t="s">
        <v>70</v>
      </c>
      <c r="BK276" s="167" t="s">
        <v>70</v>
      </c>
      <c r="BL276" s="167" t="s">
        <v>70</v>
      </c>
      <c r="BM276" s="167" t="s">
        <v>70</v>
      </c>
      <c r="BN276" s="167" t="s">
        <v>70</v>
      </c>
      <c r="BO276" s="167" t="s">
        <v>70</v>
      </c>
      <c r="BP276" s="167" t="s">
        <v>70</v>
      </c>
      <c r="BQ276" s="151" t="s">
        <v>256</v>
      </c>
    </row>
    <row r="277" spans="1:69" s="151" customFormat="1" ht="19.5" customHeight="1" x14ac:dyDescent="0.2">
      <c r="A277" s="117">
        <v>274</v>
      </c>
      <c r="B277" s="121" t="s">
        <v>322</v>
      </c>
      <c r="C277" s="122">
        <v>152587</v>
      </c>
      <c r="D277" s="117" t="s">
        <v>212</v>
      </c>
      <c r="E277" s="117" t="s">
        <v>68</v>
      </c>
      <c r="F277" s="146" t="s">
        <v>256</v>
      </c>
      <c r="G277" s="124" t="s">
        <v>69</v>
      </c>
      <c r="H277" s="93">
        <v>46199</v>
      </c>
      <c r="I277" s="93">
        <v>46199</v>
      </c>
      <c r="J277" s="92">
        <f>IF(I277="", "", DATE(YEAR(I277)+3, MONTH(I277), DAY(I277)))</f>
        <v>47295</v>
      </c>
      <c r="K277" s="93">
        <v>46198</v>
      </c>
      <c r="L277" s="93">
        <v>46198</v>
      </c>
      <c r="M277" s="140">
        <f t="shared" si="17"/>
        <v>47294</v>
      </c>
      <c r="N277" s="190"/>
      <c r="O277" s="93">
        <v>46196</v>
      </c>
      <c r="P277" s="93">
        <v>46197</v>
      </c>
      <c r="Q277" s="167" t="s">
        <v>70</v>
      </c>
      <c r="R277" s="167" t="s">
        <v>70</v>
      </c>
      <c r="S277" s="167" t="s">
        <v>70</v>
      </c>
      <c r="T277" s="167" t="s">
        <v>70</v>
      </c>
      <c r="U277" s="167" t="s">
        <v>70</v>
      </c>
      <c r="V277" s="167" t="s">
        <v>70</v>
      </c>
      <c r="W277" s="167" t="s">
        <v>70</v>
      </c>
      <c r="X277" s="167" t="s">
        <v>70</v>
      </c>
      <c r="Y277" s="167" t="s">
        <v>70</v>
      </c>
      <c r="Z277" s="167" t="s">
        <v>70</v>
      </c>
      <c r="AA277" s="167" t="s">
        <v>70</v>
      </c>
      <c r="AB277" s="167" t="s">
        <v>70</v>
      </c>
      <c r="AC277" s="167" t="s">
        <v>70</v>
      </c>
      <c r="AD277" s="167" t="s">
        <v>70</v>
      </c>
      <c r="AE277" s="167" t="s">
        <v>70</v>
      </c>
      <c r="AF277" s="167" t="s">
        <v>70</v>
      </c>
      <c r="AG277" s="167" t="s">
        <v>70</v>
      </c>
      <c r="AH277" s="167" t="s">
        <v>70</v>
      </c>
      <c r="AI277" s="181">
        <v>46272</v>
      </c>
      <c r="AJ277" s="163">
        <v>45357</v>
      </c>
      <c r="AK277" s="167" t="s">
        <v>70</v>
      </c>
      <c r="AL277" s="167" t="s">
        <v>70</v>
      </c>
      <c r="AM277" s="167"/>
      <c r="AN277" s="167" t="s">
        <v>70</v>
      </c>
      <c r="AO277" s="167" t="s">
        <v>70</v>
      </c>
      <c r="AP277" s="167" t="s">
        <v>70</v>
      </c>
      <c r="AQ277" s="167" t="s">
        <v>70</v>
      </c>
      <c r="AR277" s="166" t="s">
        <v>69</v>
      </c>
      <c r="AS277" s="167" t="s">
        <v>70</v>
      </c>
      <c r="AT277" s="167" t="s">
        <v>70</v>
      </c>
      <c r="AU277" s="167" t="s">
        <v>70</v>
      </c>
      <c r="AV277" s="167" t="s">
        <v>70</v>
      </c>
      <c r="AW277" s="167" t="s">
        <v>70</v>
      </c>
      <c r="AX277" s="167" t="s">
        <v>70</v>
      </c>
      <c r="AY277" s="167" t="s">
        <v>70</v>
      </c>
      <c r="AZ277" s="167" t="s">
        <v>70</v>
      </c>
      <c r="BA277" s="167" t="s">
        <v>70</v>
      </c>
      <c r="BB277" s="167" t="s">
        <v>70</v>
      </c>
      <c r="BC277" s="167" t="s">
        <v>70</v>
      </c>
      <c r="BD277" s="167" t="s">
        <v>70</v>
      </c>
      <c r="BE277" s="167" t="s">
        <v>70</v>
      </c>
      <c r="BF277" s="167" t="s">
        <v>70</v>
      </c>
      <c r="BG277" s="167" t="s">
        <v>70</v>
      </c>
      <c r="BH277" s="167" t="s">
        <v>70</v>
      </c>
      <c r="BI277" s="167" t="s">
        <v>70</v>
      </c>
      <c r="BJ277" s="167" t="s">
        <v>70</v>
      </c>
      <c r="BK277" s="167" t="s">
        <v>70</v>
      </c>
      <c r="BL277" s="167" t="s">
        <v>70</v>
      </c>
      <c r="BM277" s="167" t="s">
        <v>70</v>
      </c>
      <c r="BN277" s="167" t="s">
        <v>70</v>
      </c>
      <c r="BO277" s="167" t="s">
        <v>70</v>
      </c>
      <c r="BP277" s="167" t="s">
        <v>70</v>
      </c>
      <c r="BQ277" s="151" t="s">
        <v>256</v>
      </c>
    </row>
    <row r="278" spans="1:69" s="151" customFormat="1" ht="19.5" customHeight="1" x14ac:dyDescent="0.2">
      <c r="A278" s="117">
        <v>275</v>
      </c>
      <c r="B278" s="121" t="s">
        <v>323</v>
      </c>
      <c r="C278" s="122">
        <v>147347</v>
      </c>
      <c r="D278" s="117" t="s">
        <v>212</v>
      </c>
      <c r="E278" s="117" t="s">
        <v>68</v>
      </c>
      <c r="F278" s="146" t="s">
        <v>256</v>
      </c>
      <c r="G278" s="124" t="s">
        <v>69</v>
      </c>
      <c r="H278" s="93">
        <v>46227</v>
      </c>
      <c r="I278" s="93">
        <v>46227</v>
      </c>
      <c r="J278" s="92">
        <f>IF(I278="", "", DATE(YEAR(I278)+3, MONTH(I278), DAY(L278)))</f>
        <v>47322</v>
      </c>
      <c r="K278" s="93">
        <v>46226</v>
      </c>
      <c r="L278" s="93">
        <v>46226</v>
      </c>
      <c r="M278" s="140">
        <f t="shared" si="17"/>
        <v>47322</v>
      </c>
      <c r="N278" s="93">
        <v>46223</v>
      </c>
      <c r="O278" s="93">
        <v>46224</v>
      </c>
      <c r="P278" s="93">
        <v>46225</v>
      </c>
      <c r="Q278" s="167" t="s">
        <v>70</v>
      </c>
      <c r="R278" s="167" t="s">
        <v>70</v>
      </c>
      <c r="S278" s="167" t="s">
        <v>70</v>
      </c>
      <c r="T278" s="167" t="s">
        <v>70</v>
      </c>
      <c r="U278" s="167" t="s">
        <v>70</v>
      </c>
      <c r="V278" s="167" t="s">
        <v>70</v>
      </c>
      <c r="W278" s="167" t="s">
        <v>70</v>
      </c>
      <c r="X278" s="167" t="s">
        <v>70</v>
      </c>
      <c r="Y278" s="167" t="s">
        <v>70</v>
      </c>
      <c r="Z278" s="167" t="s">
        <v>70</v>
      </c>
      <c r="AA278" s="167" t="s">
        <v>70</v>
      </c>
      <c r="AB278" s="167" t="s">
        <v>70</v>
      </c>
      <c r="AC278" s="167" t="s">
        <v>70</v>
      </c>
      <c r="AD278" s="167" t="s">
        <v>70</v>
      </c>
      <c r="AE278" s="167" t="s">
        <v>70</v>
      </c>
      <c r="AF278" s="167" t="s">
        <v>70</v>
      </c>
      <c r="AG278" s="167" t="s">
        <v>70</v>
      </c>
      <c r="AH278" s="167" t="s">
        <v>70</v>
      </c>
      <c r="AI278" s="181">
        <v>46300</v>
      </c>
      <c r="AJ278" s="163">
        <v>45352</v>
      </c>
      <c r="AK278" s="167" t="s">
        <v>70</v>
      </c>
      <c r="AL278" s="167" t="s">
        <v>70</v>
      </c>
      <c r="AM278" s="167"/>
      <c r="AN278" s="167" t="s">
        <v>70</v>
      </c>
      <c r="AO278" s="167" t="s">
        <v>70</v>
      </c>
      <c r="AP278" s="167" t="s">
        <v>70</v>
      </c>
      <c r="AQ278" s="167" t="s">
        <v>70</v>
      </c>
      <c r="AR278" s="166" t="s">
        <v>69</v>
      </c>
      <c r="AS278" s="167" t="s">
        <v>70</v>
      </c>
      <c r="AT278" s="167" t="s">
        <v>70</v>
      </c>
      <c r="AU278" s="167" t="s">
        <v>70</v>
      </c>
      <c r="AV278" s="167" t="s">
        <v>70</v>
      </c>
      <c r="AW278" s="167" t="s">
        <v>70</v>
      </c>
      <c r="AX278" s="167" t="s">
        <v>70</v>
      </c>
      <c r="AY278" s="167" t="s">
        <v>70</v>
      </c>
      <c r="AZ278" s="167" t="s">
        <v>70</v>
      </c>
      <c r="BA278" s="167" t="s">
        <v>70</v>
      </c>
      <c r="BB278" s="167" t="s">
        <v>70</v>
      </c>
      <c r="BC278" s="167" t="s">
        <v>70</v>
      </c>
      <c r="BD278" s="167" t="s">
        <v>70</v>
      </c>
      <c r="BE278" s="167" t="s">
        <v>70</v>
      </c>
      <c r="BF278" s="167" t="s">
        <v>70</v>
      </c>
      <c r="BG278" s="167" t="s">
        <v>70</v>
      </c>
      <c r="BH278" s="167" t="s">
        <v>70</v>
      </c>
      <c r="BI278" s="167" t="s">
        <v>70</v>
      </c>
      <c r="BJ278" s="167" t="s">
        <v>70</v>
      </c>
      <c r="BK278" s="167" t="s">
        <v>70</v>
      </c>
      <c r="BL278" s="167" t="s">
        <v>70</v>
      </c>
      <c r="BM278" s="167" t="s">
        <v>70</v>
      </c>
      <c r="BN278" s="167" t="s">
        <v>70</v>
      </c>
      <c r="BO278" s="167" t="s">
        <v>70</v>
      </c>
      <c r="BP278" s="167" t="s">
        <v>70</v>
      </c>
      <c r="BQ278" s="151" t="s">
        <v>256</v>
      </c>
    </row>
    <row r="279" spans="1:69" s="151" customFormat="1" ht="19.5" customHeight="1" x14ac:dyDescent="0.2">
      <c r="A279" s="117">
        <v>276</v>
      </c>
      <c r="B279" s="121" t="s">
        <v>324</v>
      </c>
      <c r="C279" s="122">
        <v>84122948</v>
      </c>
      <c r="D279" s="117" t="s">
        <v>212</v>
      </c>
      <c r="E279" s="117" t="s">
        <v>68</v>
      </c>
      <c r="F279" s="146" t="s">
        <v>256</v>
      </c>
      <c r="G279" s="124" t="s">
        <v>69</v>
      </c>
      <c r="H279" s="93">
        <v>42076</v>
      </c>
      <c r="I279" s="93">
        <v>46134</v>
      </c>
      <c r="J279" s="92">
        <f>IF(I279="", "", DATE(YEAR(I279)+3, MONTH(I279), DAY(L279)))</f>
        <v>47229</v>
      </c>
      <c r="K279" s="111">
        <v>45590</v>
      </c>
      <c r="L279" s="93">
        <v>46133</v>
      </c>
      <c r="M279" s="140">
        <f t="shared" si="17"/>
        <v>47229</v>
      </c>
      <c r="N279" s="256"/>
      <c r="O279" s="93">
        <v>46131</v>
      </c>
      <c r="P279" s="93">
        <v>46132</v>
      </c>
      <c r="Q279" s="167" t="s">
        <v>70</v>
      </c>
      <c r="R279" s="167" t="s">
        <v>70</v>
      </c>
      <c r="S279" s="167" t="s">
        <v>70</v>
      </c>
      <c r="T279" s="167" t="s">
        <v>70</v>
      </c>
      <c r="U279" s="167" t="s">
        <v>70</v>
      </c>
      <c r="V279" s="167" t="s">
        <v>70</v>
      </c>
      <c r="W279" s="167" t="s">
        <v>70</v>
      </c>
      <c r="X279" s="167" t="s">
        <v>70</v>
      </c>
      <c r="Y279" s="167" t="s">
        <v>70</v>
      </c>
      <c r="Z279" s="167" t="s">
        <v>70</v>
      </c>
      <c r="AA279" s="167" t="s">
        <v>70</v>
      </c>
      <c r="AB279" s="167" t="s">
        <v>70</v>
      </c>
      <c r="AC279" s="167" t="s">
        <v>70</v>
      </c>
      <c r="AD279" s="167" t="s">
        <v>70</v>
      </c>
      <c r="AE279" s="167" t="s">
        <v>70</v>
      </c>
      <c r="AF279" s="167" t="s">
        <v>70</v>
      </c>
      <c r="AG279" s="167" t="s">
        <v>70</v>
      </c>
      <c r="AH279" s="167" t="s">
        <v>70</v>
      </c>
      <c r="AI279" s="181">
        <v>46175</v>
      </c>
      <c r="AJ279" s="163">
        <v>45341</v>
      </c>
      <c r="AK279" s="167" t="s">
        <v>70</v>
      </c>
      <c r="AL279" s="167" t="s">
        <v>70</v>
      </c>
      <c r="AM279" s="167"/>
      <c r="AN279" s="167" t="s">
        <v>70</v>
      </c>
      <c r="AO279" s="167" t="s">
        <v>70</v>
      </c>
      <c r="AP279" s="167" t="s">
        <v>70</v>
      </c>
      <c r="AQ279" s="167" t="s">
        <v>70</v>
      </c>
      <c r="AR279" s="168">
        <v>46034</v>
      </c>
      <c r="AS279" s="167" t="s">
        <v>70</v>
      </c>
      <c r="AT279" s="167" t="s">
        <v>70</v>
      </c>
      <c r="AU279" s="167" t="s">
        <v>70</v>
      </c>
      <c r="AV279" s="167" t="s">
        <v>70</v>
      </c>
      <c r="AW279" s="167" t="s">
        <v>70</v>
      </c>
      <c r="AX279" s="167" t="s">
        <v>70</v>
      </c>
      <c r="AY279" s="167" t="s">
        <v>70</v>
      </c>
      <c r="AZ279" s="167" t="s">
        <v>70</v>
      </c>
      <c r="BA279" s="167" t="s">
        <v>70</v>
      </c>
      <c r="BB279" s="167" t="s">
        <v>70</v>
      </c>
      <c r="BC279" s="167" t="s">
        <v>70</v>
      </c>
      <c r="BD279" s="167" t="s">
        <v>70</v>
      </c>
      <c r="BE279" s="167" t="s">
        <v>70</v>
      </c>
      <c r="BF279" s="167" t="s">
        <v>70</v>
      </c>
      <c r="BG279" s="167" t="s">
        <v>70</v>
      </c>
      <c r="BH279" s="167" t="s">
        <v>70</v>
      </c>
      <c r="BI279" s="167" t="s">
        <v>70</v>
      </c>
      <c r="BJ279" s="167" t="s">
        <v>70</v>
      </c>
      <c r="BK279" s="167" t="s">
        <v>70</v>
      </c>
      <c r="BL279" s="167" t="s">
        <v>70</v>
      </c>
      <c r="BM279" s="167" t="s">
        <v>70</v>
      </c>
      <c r="BN279" s="167" t="s">
        <v>70</v>
      </c>
      <c r="BO279" s="167" t="s">
        <v>70</v>
      </c>
      <c r="BP279" s="167" t="s">
        <v>70</v>
      </c>
      <c r="BQ279" s="151" t="s">
        <v>256</v>
      </c>
    </row>
    <row r="280" spans="1:69" s="151" customFormat="1" ht="19.5" customHeight="1" x14ac:dyDescent="0.2">
      <c r="A280" s="117">
        <v>277</v>
      </c>
      <c r="B280" s="121" t="s">
        <v>325</v>
      </c>
      <c r="C280" s="122">
        <v>84124763</v>
      </c>
      <c r="D280" s="117" t="s">
        <v>212</v>
      </c>
      <c r="E280" s="117" t="s">
        <v>68</v>
      </c>
      <c r="F280" s="146" t="s">
        <v>256</v>
      </c>
      <c r="G280" s="124" t="s">
        <v>69</v>
      </c>
      <c r="H280" s="93">
        <v>42223</v>
      </c>
      <c r="I280" s="93">
        <v>45679</v>
      </c>
      <c r="J280" s="92">
        <f>IF(I280="", "", DATE(YEAR(I280)+3, MONTH(I280), DAY(I280)))</f>
        <v>46774</v>
      </c>
      <c r="K280" s="93">
        <v>46220</v>
      </c>
      <c r="L280" s="93">
        <v>46220</v>
      </c>
      <c r="M280" s="140">
        <f t="shared" si="17"/>
        <v>47316</v>
      </c>
      <c r="N280" s="93">
        <v>46219</v>
      </c>
      <c r="O280" s="93">
        <v>46216</v>
      </c>
      <c r="P280" s="93">
        <v>46217</v>
      </c>
      <c r="Q280" s="167" t="s">
        <v>70</v>
      </c>
      <c r="R280" s="167" t="s">
        <v>70</v>
      </c>
      <c r="S280" s="167" t="s">
        <v>70</v>
      </c>
      <c r="T280" s="167" t="s">
        <v>70</v>
      </c>
      <c r="U280" s="167" t="s">
        <v>70</v>
      </c>
      <c r="V280" s="167" t="s">
        <v>70</v>
      </c>
      <c r="W280" s="167" t="s">
        <v>70</v>
      </c>
      <c r="X280" s="167" t="s">
        <v>70</v>
      </c>
      <c r="Y280" s="167" t="s">
        <v>70</v>
      </c>
      <c r="Z280" s="167" t="s">
        <v>70</v>
      </c>
      <c r="AA280" s="167" t="s">
        <v>70</v>
      </c>
      <c r="AB280" s="167" t="s">
        <v>70</v>
      </c>
      <c r="AC280" s="167" t="s">
        <v>70</v>
      </c>
      <c r="AD280" s="167" t="s">
        <v>70</v>
      </c>
      <c r="AE280" s="167" t="s">
        <v>70</v>
      </c>
      <c r="AF280" s="167" t="s">
        <v>70</v>
      </c>
      <c r="AG280" s="167" t="s">
        <v>70</v>
      </c>
      <c r="AH280" s="167" t="s">
        <v>70</v>
      </c>
      <c r="AI280" s="181">
        <v>45975</v>
      </c>
      <c r="AJ280" s="163">
        <v>45359</v>
      </c>
      <c r="AK280" s="167" t="s">
        <v>70</v>
      </c>
      <c r="AL280" s="167" t="s">
        <v>70</v>
      </c>
      <c r="AM280" s="167"/>
      <c r="AN280" s="167" t="s">
        <v>70</v>
      </c>
      <c r="AO280" s="167" t="s">
        <v>70</v>
      </c>
      <c r="AP280" s="167" t="s">
        <v>70</v>
      </c>
      <c r="AQ280" s="167" t="s">
        <v>70</v>
      </c>
      <c r="AR280" s="166" t="s">
        <v>69</v>
      </c>
      <c r="AS280" s="167" t="s">
        <v>70</v>
      </c>
      <c r="AT280" s="167" t="s">
        <v>70</v>
      </c>
      <c r="AU280" s="167" t="s">
        <v>70</v>
      </c>
      <c r="AV280" s="167" t="s">
        <v>70</v>
      </c>
      <c r="AW280" s="167" t="s">
        <v>70</v>
      </c>
      <c r="AX280" s="167" t="s">
        <v>70</v>
      </c>
      <c r="AY280" s="167" t="s">
        <v>70</v>
      </c>
      <c r="AZ280" s="167" t="s">
        <v>70</v>
      </c>
      <c r="BA280" s="167" t="s">
        <v>70</v>
      </c>
      <c r="BB280" s="167" t="s">
        <v>70</v>
      </c>
      <c r="BC280" s="167" t="s">
        <v>70</v>
      </c>
      <c r="BD280" s="167" t="s">
        <v>70</v>
      </c>
      <c r="BE280" s="167" t="s">
        <v>70</v>
      </c>
      <c r="BF280" s="167" t="s">
        <v>70</v>
      </c>
      <c r="BG280" s="167" t="s">
        <v>70</v>
      </c>
      <c r="BH280" s="167" t="s">
        <v>70</v>
      </c>
      <c r="BI280" s="167" t="s">
        <v>70</v>
      </c>
      <c r="BJ280" s="167" t="s">
        <v>70</v>
      </c>
      <c r="BK280" s="167" t="s">
        <v>70</v>
      </c>
      <c r="BL280" s="167" t="s">
        <v>70</v>
      </c>
      <c r="BM280" s="167" t="s">
        <v>70</v>
      </c>
      <c r="BN280" s="167" t="s">
        <v>70</v>
      </c>
      <c r="BO280" s="167" t="s">
        <v>70</v>
      </c>
      <c r="BP280" s="167" t="s">
        <v>70</v>
      </c>
      <c r="BQ280" s="151" t="s">
        <v>256</v>
      </c>
    </row>
    <row r="281" spans="1:69" s="151" customFormat="1" ht="19.5" customHeight="1" x14ac:dyDescent="0.2">
      <c r="A281" s="117">
        <v>278</v>
      </c>
      <c r="B281" s="121" t="s">
        <v>326</v>
      </c>
      <c r="C281" s="122">
        <v>221929</v>
      </c>
      <c r="D281" s="117" t="s">
        <v>212</v>
      </c>
      <c r="E281" s="117" t="s">
        <v>68</v>
      </c>
      <c r="F281" s="146" t="s">
        <v>256</v>
      </c>
      <c r="G281" s="124" t="s">
        <v>69</v>
      </c>
      <c r="H281" s="93">
        <v>46155</v>
      </c>
      <c r="I281" s="93">
        <v>46155</v>
      </c>
      <c r="J281" s="92">
        <f>IF(I281="", "", DATE(YEAR(I281)+3, MONTH(I281), DAY(I281)))</f>
        <v>47251</v>
      </c>
      <c r="K281" s="93">
        <v>46157</v>
      </c>
      <c r="L281" s="93">
        <v>46157</v>
      </c>
      <c r="M281" s="140">
        <f t="shared" si="17"/>
        <v>47253</v>
      </c>
      <c r="N281" s="93">
        <v>46185</v>
      </c>
      <c r="O281" s="93"/>
      <c r="P281" s="190">
        <v>46193</v>
      </c>
      <c r="Q281" s="167" t="s">
        <v>70</v>
      </c>
      <c r="R281" s="167" t="s">
        <v>70</v>
      </c>
      <c r="S281" s="167" t="s">
        <v>70</v>
      </c>
      <c r="T281" s="167" t="s">
        <v>70</v>
      </c>
      <c r="U281" s="167" t="s">
        <v>70</v>
      </c>
      <c r="V281" s="167" t="s">
        <v>70</v>
      </c>
      <c r="W281" s="167" t="s">
        <v>70</v>
      </c>
      <c r="X281" s="167" t="s">
        <v>70</v>
      </c>
      <c r="Y281" s="167" t="s">
        <v>70</v>
      </c>
      <c r="Z281" s="167" t="s">
        <v>70</v>
      </c>
      <c r="AA281" s="167" t="s">
        <v>70</v>
      </c>
      <c r="AB281" s="167" t="s">
        <v>70</v>
      </c>
      <c r="AC281" s="167" t="s">
        <v>70</v>
      </c>
      <c r="AD281" s="167" t="s">
        <v>70</v>
      </c>
      <c r="AE281" s="167" t="s">
        <v>70</v>
      </c>
      <c r="AF281" s="167" t="s">
        <v>70</v>
      </c>
      <c r="AG281" s="167" t="s">
        <v>70</v>
      </c>
      <c r="AH281" s="167" t="s">
        <v>70</v>
      </c>
      <c r="AI281" s="163">
        <v>46065</v>
      </c>
      <c r="AJ281" s="163">
        <v>45359</v>
      </c>
      <c r="AK281" s="167" t="s">
        <v>70</v>
      </c>
      <c r="AL281" s="167" t="s">
        <v>70</v>
      </c>
      <c r="AM281" s="167"/>
      <c r="AN281" s="167" t="s">
        <v>70</v>
      </c>
      <c r="AO281" s="167" t="s">
        <v>70</v>
      </c>
      <c r="AP281" s="167" t="s">
        <v>70</v>
      </c>
      <c r="AQ281" s="167" t="s">
        <v>70</v>
      </c>
      <c r="AR281" s="166" t="s">
        <v>69</v>
      </c>
      <c r="AS281" s="167" t="s">
        <v>70</v>
      </c>
      <c r="AT281" s="167" t="s">
        <v>70</v>
      </c>
      <c r="AU281" s="167" t="s">
        <v>70</v>
      </c>
      <c r="AV281" s="167" t="s">
        <v>70</v>
      </c>
      <c r="AW281" s="167" t="s">
        <v>70</v>
      </c>
      <c r="AX281" s="167" t="s">
        <v>70</v>
      </c>
      <c r="AY281" s="167" t="s">
        <v>70</v>
      </c>
      <c r="AZ281" s="167" t="s">
        <v>70</v>
      </c>
      <c r="BA281" s="167" t="s">
        <v>70</v>
      </c>
      <c r="BB281" s="167" t="s">
        <v>70</v>
      </c>
      <c r="BC281" s="167" t="s">
        <v>70</v>
      </c>
      <c r="BD281" s="167" t="s">
        <v>70</v>
      </c>
      <c r="BE281" s="167" t="s">
        <v>70</v>
      </c>
      <c r="BF281" s="167" t="s">
        <v>70</v>
      </c>
      <c r="BG281" s="167" t="s">
        <v>70</v>
      </c>
      <c r="BH281" s="167" t="s">
        <v>70</v>
      </c>
      <c r="BI281" s="167" t="s">
        <v>70</v>
      </c>
      <c r="BJ281" s="167" t="s">
        <v>70</v>
      </c>
      <c r="BK281" s="167" t="s">
        <v>70</v>
      </c>
      <c r="BL281" s="167" t="s">
        <v>70</v>
      </c>
      <c r="BM281" s="167" t="s">
        <v>70</v>
      </c>
      <c r="BN281" s="167" t="s">
        <v>70</v>
      </c>
      <c r="BO281" s="167" t="s">
        <v>70</v>
      </c>
      <c r="BP281" s="167" t="s">
        <v>70</v>
      </c>
      <c r="BQ281" s="151" t="s">
        <v>256</v>
      </c>
    </row>
    <row r="282" spans="1:69" s="151" customFormat="1" ht="19.5" customHeight="1" x14ac:dyDescent="0.2">
      <c r="A282" s="117">
        <v>279</v>
      </c>
      <c r="B282" s="121" t="s">
        <v>328</v>
      </c>
      <c r="C282" s="122">
        <v>147324</v>
      </c>
      <c r="D282" s="117" t="s">
        <v>212</v>
      </c>
      <c r="E282" s="117" t="s">
        <v>68</v>
      </c>
      <c r="F282" s="146" t="s">
        <v>256</v>
      </c>
      <c r="G282" s="124" t="s">
        <v>69</v>
      </c>
      <c r="H282" s="93"/>
      <c r="I282" s="93"/>
      <c r="J282" s="92" t="str">
        <f t="shared" ref="J282:J316" si="20">IF(I282="", "", DATE(YEAR(I282)+3, MONTH(I282), DAY(L282)))</f>
        <v/>
      </c>
      <c r="K282" s="93"/>
      <c r="L282" s="93"/>
      <c r="M282" s="140" t="str">
        <f t="shared" si="17"/>
        <v/>
      </c>
      <c r="N282" s="93"/>
      <c r="O282" s="93"/>
      <c r="P282" s="93"/>
      <c r="Q282" s="167" t="s">
        <v>70</v>
      </c>
      <c r="R282" s="167" t="s">
        <v>70</v>
      </c>
      <c r="S282" s="167" t="s">
        <v>70</v>
      </c>
      <c r="T282" s="167" t="s">
        <v>70</v>
      </c>
      <c r="U282" s="167" t="s">
        <v>70</v>
      </c>
      <c r="V282" s="167" t="s">
        <v>70</v>
      </c>
      <c r="W282" s="167" t="s">
        <v>70</v>
      </c>
      <c r="X282" s="167" t="s">
        <v>70</v>
      </c>
      <c r="Y282" s="167" t="s">
        <v>70</v>
      </c>
      <c r="Z282" s="167" t="s">
        <v>70</v>
      </c>
      <c r="AA282" s="167" t="s">
        <v>70</v>
      </c>
      <c r="AB282" s="167" t="s">
        <v>70</v>
      </c>
      <c r="AC282" s="167" t="s">
        <v>70</v>
      </c>
      <c r="AD282" s="167" t="s">
        <v>70</v>
      </c>
      <c r="AE282" s="167" t="s">
        <v>70</v>
      </c>
      <c r="AF282" s="167" t="s">
        <v>70</v>
      </c>
      <c r="AG282" s="167" t="s">
        <v>70</v>
      </c>
      <c r="AH282" s="167" t="s">
        <v>70</v>
      </c>
      <c r="AI282" s="181">
        <v>46065</v>
      </c>
      <c r="AJ282" s="163">
        <v>45352</v>
      </c>
      <c r="AK282" s="167" t="s">
        <v>70</v>
      </c>
      <c r="AL282" s="167" t="s">
        <v>70</v>
      </c>
      <c r="AM282" s="167"/>
      <c r="AN282" s="167" t="s">
        <v>70</v>
      </c>
      <c r="AO282" s="167" t="s">
        <v>70</v>
      </c>
      <c r="AP282" s="167" t="s">
        <v>70</v>
      </c>
      <c r="AQ282" s="167" t="s">
        <v>70</v>
      </c>
      <c r="AR282" s="166" t="s">
        <v>69</v>
      </c>
      <c r="AS282" s="167" t="s">
        <v>70</v>
      </c>
      <c r="AT282" s="167" t="s">
        <v>70</v>
      </c>
      <c r="AU282" s="167" t="s">
        <v>70</v>
      </c>
      <c r="AV282" s="167" t="s">
        <v>70</v>
      </c>
      <c r="AW282" s="167" t="s">
        <v>70</v>
      </c>
      <c r="AX282" s="167" t="s">
        <v>70</v>
      </c>
      <c r="AY282" s="167" t="s">
        <v>70</v>
      </c>
      <c r="AZ282" s="167" t="s">
        <v>70</v>
      </c>
      <c r="BA282" s="167" t="s">
        <v>70</v>
      </c>
      <c r="BB282" s="167" t="s">
        <v>70</v>
      </c>
      <c r="BC282" s="167" t="s">
        <v>70</v>
      </c>
      <c r="BD282" s="167" t="s">
        <v>70</v>
      </c>
      <c r="BE282" s="167" t="s">
        <v>70</v>
      </c>
      <c r="BF282" s="167" t="s">
        <v>70</v>
      </c>
      <c r="BG282" s="167" t="s">
        <v>70</v>
      </c>
      <c r="BH282" s="167" t="s">
        <v>70</v>
      </c>
      <c r="BI282" s="167" t="s">
        <v>70</v>
      </c>
      <c r="BJ282" s="167" t="s">
        <v>70</v>
      </c>
      <c r="BK282" s="167" t="s">
        <v>70</v>
      </c>
      <c r="BL282" s="167" t="s">
        <v>70</v>
      </c>
      <c r="BM282" s="167" t="s">
        <v>70</v>
      </c>
      <c r="BN282" s="167" t="s">
        <v>70</v>
      </c>
      <c r="BO282" s="167" t="s">
        <v>70</v>
      </c>
      <c r="BP282" s="167" t="s">
        <v>70</v>
      </c>
      <c r="BQ282" s="151" t="s">
        <v>256</v>
      </c>
    </row>
    <row r="283" spans="1:69" s="151" customFormat="1" ht="19.5" customHeight="1" x14ac:dyDescent="0.2">
      <c r="A283" s="117">
        <v>280</v>
      </c>
      <c r="B283" s="121" t="s">
        <v>239</v>
      </c>
      <c r="C283" s="122">
        <v>83120037</v>
      </c>
      <c r="D283" s="117" t="s">
        <v>212</v>
      </c>
      <c r="E283" s="117" t="s">
        <v>68</v>
      </c>
      <c r="F283" s="146" t="s">
        <v>256</v>
      </c>
      <c r="G283" s="124" t="s">
        <v>69</v>
      </c>
      <c r="H283" s="93">
        <v>46282</v>
      </c>
      <c r="I283" s="93">
        <v>46282</v>
      </c>
      <c r="J283" s="92">
        <f t="shared" si="20"/>
        <v>47377</v>
      </c>
      <c r="K283" s="93">
        <v>46281</v>
      </c>
      <c r="L283" s="93">
        <v>46281</v>
      </c>
      <c r="M283" s="140">
        <f t="shared" si="17"/>
        <v>47377</v>
      </c>
      <c r="N283" s="93">
        <v>46279</v>
      </c>
      <c r="O283" s="93">
        <v>46286</v>
      </c>
      <c r="P283" s="93">
        <v>46280</v>
      </c>
      <c r="Q283" s="167" t="s">
        <v>70</v>
      </c>
      <c r="R283" s="167" t="s">
        <v>70</v>
      </c>
      <c r="S283" s="167" t="s">
        <v>70</v>
      </c>
      <c r="T283" s="167" t="s">
        <v>70</v>
      </c>
      <c r="U283" s="167" t="s">
        <v>70</v>
      </c>
      <c r="V283" s="167" t="s">
        <v>70</v>
      </c>
      <c r="W283" s="167" t="s">
        <v>70</v>
      </c>
      <c r="X283" s="167" t="s">
        <v>70</v>
      </c>
      <c r="Y283" s="167" t="s">
        <v>70</v>
      </c>
      <c r="Z283" s="167" t="s">
        <v>70</v>
      </c>
      <c r="AA283" s="167" t="s">
        <v>70</v>
      </c>
      <c r="AB283" s="167" t="s">
        <v>70</v>
      </c>
      <c r="AC283" s="167" t="s">
        <v>70</v>
      </c>
      <c r="AD283" s="167" t="s">
        <v>70</v>
      </c>
      <c r="AE283" s="167" t="s">
        <v>70</v>
      </c>
      <c r="AF283" s="167" t="s">
        <v>70</v>
      </c>
      <c r="AG283" s="167" t="s">
        <v>70</v>
      </c>
      <c r="AH283" s="167" t="s">
        <v>70</v>
      </c>
      <c r="AI283" s="181">
        <v>46300</v>
      </c>
      <c r="AJ283" s="163">
        <v>45352</v>
      </c>
      <c r="AK283" s="167" t="s">
        <v>70</v>
      </c>
      <c r="AL283" s="167" t="s">
        <v>70</v>
      </c>
      <c r="AM283" s="167"/>
      <c r="AN283" s="167" t="s">
        <v>70</v>
      </c>
      <c r="AO283" s="167" t="s">
        <v>70</v>
      </c>
      <c r="AP283" s="167" t="s">
        <v>70</v>
      </c>
      <c r="AQ283" s="167" t="s">
        <v>70</v>
      </c>
      <c r="AR283" s="166" t="s">
        <v>69</v>
      </c>
      <c r="AS283" s="167" t="s">
        <v>70</v>
      </c>
      <c r="AT283" s="167" t="s">
        <v>70</v>
      </c>
      <c r="AU283" s="167" t="s">
        <v>70</v>
      </c>
      <c r="AV283" s="167" t="s">
        <v>70</v>
      </c>
      <c r="AW283" s="167" t="s">
        <v>70</v>
      </c>
      <c r="AX283" s="167" t="s">
        <v>70</v>
      </c>
      <c r="AY283" s="167" t="s">
        <v>70</v>
      </c>
      <c r="AZ283" s="167" t="s">
        <v>70</v>
      </c>
      <c r="BA283" s="167" t="s">
        <v>70</v>
      </c>
      <c r="BB283" s="167" t="s">
        <v>70</v>
      </c>
      <c r="BC283" s="167" t="s">
        <v>70</v>
      </c>
      <c r="BD283" s="167" t="s">
        <v>70</v>
      </c>
      <c r="BE283" s="167" t="s">
        <v>70</v>
      </c>
      <c r="BF283" s="167" t="s">
        <v>70</v>
      </c>
      <c r="BG283" s="167" t="s">
        <v>70</v>
      </c>
      <c r="BH283" s="167" t="s">
        <v>70</v>
      </c>
      <c r="BI283" s="167" t="s">
        <v>70</v>
      </c>
      <c r="BJ283" s="167" t="s">
        <v>70</v>
      </c>
      <c r="BK283" s="167" t="s">
        <v>70</v>
      </c>
      <c r="BL283" s="167" t="s">
        <v>70</v>
      </c>
      <c r="BM283" s="167" t="s">
        <v>70</v>
      </c>
      <c r="BN283" s="167" t="s">
        <v>70</v>
      </c>
      <c r="BO283" s="167" t="s">
        <v>70</v>
      </c>
      <c r="BP283" s="167" t="s">
        <v>70</v>
      </c>
      <c r="BQ283" s="151" t="s">
        <v>256</v>
      </c>
    </row>
    <row r="284" spans="1:69" s="151" customFormat="1" ht="19.5" customHeight="1" x14ac:dyDescent="0.2">
      <c r="A284" s="117">
        <v>281</v>
      </c>
      <c r="B284" s="121" t="s">
        <v>329</v>
      </c>
      <c r="C284" s="122">
        <v>134566</v>
      </c>
      <c r="D284" s="117" t="s">
        <v>212</v>
      </c>
      <c r="E284" s="117" t="s">
        <v>68</v>
      </c>
      <c r="F284" s="146" t="s">
        <v>256</v>
      </c>
      <c r="G284" s="124" t="s">
        <v>69</v>
      </c>
      <c r="H284" s="93">
        <v>46164</v>
      </c>
      <c r="I284" s="93">
        <v>46164</v>
      </c>
      <c r="J284" s="92">
        <f t="shared" si="20"/>
        <v>47259</v>
      </c>
      <c r="K284" s="93">
        <v>46163</v>
      </c>
      <c r="L284" s="93">
        <v>46163</v>
      </c>
      <c r="M284" s="140">
        <f t="shared" si="17"/>
        <v>47259</v>
      </c>
      <c r="N284" s="93">
        <v>46167</v>
      </c>
      <c r="O284" s="190" t="s">
        <v>69</v>
      </c>
      <c r="P284" s="93">
        <v>46162</v>
      </c>
      <c r="Q284" s="167" t="s">
        <v>70</v>
      </c>
      <c r="R284" s="167" t="s">
        <v>70</v>
      </c>
      <c r="S284" s="167" t="s">
        <v>70</v>
      </c>
      <c r="T284" s="167" t="s">
        <v>70</v>
      </c>
      <c r="U284" s="167" t="s">
        <v>70</v>
      </c>
      <c r="V284" s="167" t="s">
        <v>70</v>
      </c>
      <c r="W284" s="167" t="s">
        <v>70</v>
      </c>
      <c r="X284" s="167" t="s">
        <v>70</v>
      </c>
      <c r="Y284" s="167" t="s">
        <v>70</v>
      </c>
      <c r="Z284" s="167" t="s">
        <v>70</v>
      </c>
      <c r="AA284" s="167" t="s">
        <v>70</v>
      </c>
      <c r="AB284" s="167" t="s">
        <v>70</v>
      </c>
      <c r="AC284" s="167" t="s">
        <v>70</v>
      </c>
      <c r="AD284" s="167" t="s">
        <v>70</v>
      </c>
      <c r="AE284" s="167" t="s">
        <v>70</v>
      </c>
      <c r="AF284" s="167" t="s">
        <v>70</v>
      </c>
      <c r="AG284" s="167" t="s">
        <v>70</v>
      </c>
      <c r="AH284" s="167" t="s">
        <v>70</v>
      </c>
      <c r="AI284" s="181">
        <v>46149</v>
      </c>
      <c r="AJ284" s="163">
        <v>45345</v>
      </c>
      <c r="AK284" s="167" t="s">
        <v>70</v>
      </c>
      <c r="AL284" s="167" t="s">
        <v>70</v>
      </c>
      <c r="AM284" s="167"/>
      <c r="AN284" s="167" t="s">
        <v>70</v>
      </c>
      <c r="AO284" s="167" t="s">
        <v>70</v>
      </c>
      <c r="AP284" s="167" t="s">
        <v>70</v>
      </c>
      <c r="AQ284" s="167" t="s">
        <v>70</v>
      </c>
      <c r="AR284" s="166" t="s">
        <v>69</v>
      </c>
      <c r="AS284" s="167" t="s">
        <v>70</v>
      </c>
      <c r="AT284" s="167" t="s">
        <v>70</v>
      </c>
      <c r="AU284" s="167" t="s">
        <v>70</v>
      </c>
      <c r="AV284" s="167" t="s">
        <v>70</v>
      </c>
      <c r="AW284" s="167" t="s">
        <v>70</v>
      </c>
      <c r="AX284" s="167" t="s">
        <v>70</v>
      </c>
      <c r="AY284" s="167" t="s">
        <v>70</v>
      </c>
      <c r="AZ284" s="167" t="s">
        <v>70</v>
      </c>
      <c r="BA284" s="167" t="s">
        <v>70</v>
      </c>
      <c r="BB284" s="167" t="s">
        <v>70</v>
      </c>
      <c r="BC284" s="167" t="s">
        <v>70</v>
      </c>
      <c r="BD284" s="167" t="s">
        <v>70</v>
      </c>
      <c r="BE284" s="167" t="s">
        <v>70</v>
      </c>
      <c r="BF284" s="167" t="s">
        <v>70</v>
      </c>
      <c r="BG284" s="167" t="s">
        <v>70</v>
      </c>
      <c r="BH284" s="167" t="s">
        <v>70</v>
      </c>
      <c r="BI284" s="167" t="s">
        <v>70</v>
      </c>
      <c r="BJ284" s="167" t="s">
        <v>70</v>
      </c>
      <c r="BK284" s="167" t="s">
        <v>70</v>
      </c>
      <c r="BL284" s="167" t="s">
        <v>70</v>
      </c>
      <c r="BM284" s="167" t="s">
        <v>70</v>
      </c>
      <c r="BN284" s="167" t="s">
        <v>70</v>
      </c>
      <c r="BO284" s="167" t="s">
        <v>70</v>
      </c>
      <c r="BP284" s="167" t="s">
        <v>70</v>
      </c>
      <c r="BQ284" s="151" t="s">
        <v>256</v>
      </c>
    </row>
    <row r="285" spans="1:69" s="151" customFormat="1" ht="19.5" customHeight="1" x14ac:dyDescent="0.2">
      <c r="A285" s="117">
        <v>282</v>
      </c>
      <c r="B285" s="121" t="s">
        <v>330</v>
      </c>
      <c r="C285" s="122">
        <v>83117954</v>
      </c>
      <c r="D285" s="117" t="s">
        <v>212</v>
      </c>
      <c r="E285" s="117" t="s">
        <v>68</v>
      </c>
      <c r="F285" s="146" t="s">
        <v>256</v>
      </c>
      <c r="G285" s="124" t="s">
        <v>69</v>
      </c>
      <c r="H285" s="93"/>
      <c r="I285" s="93"/>
      <c r="J285" s="92" t="str">
        <f t="shared" si="20"/>
        <v/>
      </c>
      <c r="K285" s="93"/>
      <c r="L285" s="93"/>
      <c r="M285" s="140" t="str">
        <f t="shared" si="17"/>
        <v/>
      </c>
      <c r="N285" s="93"/>
      <c r="O285" s="93"/>
      <c r="P285" s="93"/>
      <c r="Q285" s="167" t="s">
        <v>70</v>
      </c>
      <c r="R285" s="167" t="s">
        <v>70</v>
      </c>
      <c r="S285" s="167" t="s">
        <v>70</v>
      </c>
      <c r="T285" s="167" t="s">
        <v>70</v>
      </c>
      <c r="U285" s="167" t="s">
        <v>70</v>
      </c>
      <c r="V285" s="167" t="s">
        <v>70</v>
      </c>
      <c r="W285" s="167" t="s">
        <v>70</v>
      </c>
      <c r="X285" s="167" t="s">
        <v>70</v>
      </c>
      <c r="Y285" s="167" t="s">
        <v>70</v>
      </c>
      <c r="Z285" s="167" t="s">
        <v>70</v>
      </c>
      <c r="AA285" s="167" t="s">
        <v>70</v>
      </c>
      <c r="AB285" s="167" t="s">
        <v>70</v>
      </c>
      <c r="AC285" s="167" t="s">
        <v>70</v>
      </c>
      <c r="AD285" s="167" t="s">
        <v>70</v>
      </c>
      <c r="AE285" s="167" t="s">
        <v>70</v>
      </c>
      <c r="AF285" s="167" t="s">
        <v>70</v>
      </c>
      <c r="AG285" s="167" t="s">
        <v>70</v>
      </c>
      <c r="AH285" s="167" t="s">
        <v>70</v>
      </c>
      <c r="AI285" s="181">
        <v>46128</v>
      </c>
      <c r="AJ285" s="163">
        <v>45350</v>
      </c>
      <c r="AK285" s="167" t="s">
        <v>70</v>
      </c>
      <c r="AL285" s="167" t="s">
        <v>70</v>
      </c>
      <c r="AM285" s="167"/>
      <c r="AN285" s="167" t="s">
        <v>70</v>
      </c>
      <c r="AO285" s="167" t="s">
        <v>70</v>
      </c>
      <c r="AP285" s="167" t="s">
        <v>70</v>
      </c>
      <c r="AQ285" s="167" t="s">
        <v>70</v>
      </c>
      <c r="AR285" s="166" t="s">
        <v>69</v>
      </c>
      <c r="AS285" s="167" t="s">
        <v>70</v>
      </c>
      <c r="AT285" s="167" t="s">
        <v>70</v>
      </c>
      <c r="AU285" s="167" t="s">
        <v>70</v>
      </c>
      <c r="AV285" s="167" t="s">
        <v>70</v>
      </c>
      <c r="AW285" s="167" t="s">
        <v>70</v>
      </c>
      <c r="AX285" s="167" t="s">
        <v>70</v>
      </c>
      <c r="AY285" s="167" t="s">
        <v>70</v>
      </c>
      <c r="AZ285" s="167" t="s">
        <v>70</v>
      </c>
      <c r="BA285" s="167" t="s">
        <v>70</v>
      </c>
      <c r="BB285" s="167" t="s">
        <v>70</v>
      </c>
      <c r="BC285" s="167" t="s">
        <v>70</v>
      </c>
      <c r="BD285" s="167" t="s">
        <v>70</v>
      </c>
      <c r="BE285" s="167" t="s">
        <v>70</v>
      </c>
      <c r="BF285" s="167" t="s">
        <v>70</v>
      </c>
      <c r="BG285" s="167" t="s">
        <v>70</v>
      </c>
      <c r="BH285" s="167" t="s">
        <v>70</v>
      </c>
      <c r="BI285" s="167" t="s">
        <v>70</v>
      </c>
      <c r="BJ285" s="167" t="s">
        <v>70</v>
      </c>
      <c r="BK285" s="167" t="s">
        <v>70</v>
      </c>
      <c r="BL285" s="167" t="s">
        <v>70</v>
      </c>
      <c r="BM285" s="167" t="s">
        <v>70</v>
      </c>
      <c r="BN285" s="167" t="s">
        <v>70</v>
      </c>
      <c r="BO285" s="167" t="s">
        <v>70</v>
      </c>
      <c r="BP285" s="167" t="s">
        <v>70</v>
      </c>
      <c r="BQ285" s="151" t="s">
        <v>256</v>
      </c>
    </row>
    <row r="286" spans="1:69" s="151" customFormat="1" ht="19.5" customHeight="1" x14ac:dyDescent="0.2">
      <c r="A286" s="117">
        <v>283</v>
      </c>
      <c r="B286" s="121" t="s">
        <v>331</v>
      </c>
      <c r="C286" s="122">
        <v>132533</v>
      </c>
      <c r="D286" s="117" t="s">
        <v>212</v>
      </c>
      <c r="E286" s="117" t="s">
        <v>68</v>
      </c>
      <c r="F286" s="146" t="s">
        <v>256</v>
      </c>
      <c r="G286" s="124" t="s">
        <v>69</v>
      </c>
      <c r="H286" s="93">
        <v>41474</v>
      </c>
      <c r="I286" s="93">
        <v>45828</v>
      </c>
      <c r="J286" s="92">
        <f t="shared" si="20"/>
        <v>46923</v>
      </c>
      <c r="K286" s="93">
        <v>43019</v>
      </c>
      <c r="L286" s="93">
        <v>45827</v>
      </c>
      <c r="M286" s="140">
        <f t="shared" ref="M286:M317" si="21">IF(L286="", "", DATE(YEAR(L286)+3, MONTH(L286), DAY(L286)))</f>
        <v>46923</v>
      </c>
      <c r="N286" s="93">
        <v>45825</v>
      </c>
      <c r="O286" s="93">
        <v>45824</v>
      </c>
      <c r="P286" s="93">
        <v>45826</v>
      </c>
      <c r="Q286" s="167" t="s">
        <v>70</v>
      </c>
      <c r="R286" s="167" t="s">
        <v>70</v>
      </c>
      <c r="S286" s="167" t="s">
        <v>70</v>
      </c>
      <c r="T286" s="167" t="s">
        <v>70</v>
      </c>
      <c r="U286" s="167" t="s">
        <v>70</v>
      </c>
      <c r="V286" s="167" t="s">
        <v>70</v>
      </c>
      <c r="W286" s="167" t="s">
        <v>70</v>
      </c>
      <c r="X286" s="167" t="s">
        <v>70</v>
      </c>
      <c r="Y286" s="167" t="s">
        <v>70</v>
      </c>
      <c r="Z286" s="167" t="s">
        <v>70</v>
      </c>
      <c r="AA286" s="167" t="s">
        <v>70</v>
      </c>
      <c r="AB286" s="167" t="s">
        <v>70</v>
      </c>
      <c r="AC286" s="167" t="s">
        <v>70</v>
      </c>
      <c r="AD286" s="167" t="s">
        <v>70</v>
      </c>
      <c r="AE286" s="167" t="s">
        <v>70</v>
      </c>
      <c r="AF286" s="167" t="s">
        <v>70</v>
      </c>
      <c r="AG286" s="167" t="s">
        <v>70</v>
      </c>
      <c r="AH286" s="167" t="s">
        <v>70</v>
      </c>
      <c r="AI286" s="111">
        <v>45946</v>
      </c>
      <c r="AJ286" s="163">
        <v>45348</v>
      </c>
      <c r="AK286" s="167" t="s">
        <v>70</v>
      </c>
      <c r="AL286" s="167" t="s">
        <v>70</v>
      </c>
      <c r="AM286" s="167"/>
      <c r="AN286" s="167" t="s">
        <v>70</v>
      </c>
      <c r="AO286" s="167" t="s">
        <v>70</v>
      </c>
      <c r="AP286" s="167" t="s">
        <v>70</v>
      </c>
      <c r="AQ286" s="167" t="s">
        <v>70</v>
      </c>
      <c r="AR286" s="166" t="s">
        <v>69</v>
      </c>
      <c r="AS286" s="167" t="s">
        <v>70</v>
      </c>
      <c r="AT286" s="167" t="s">
        <v>70</v>
      </c>
      <c r="AU286" s="167" t="s">
        <v>70</v>
      </c>
      <c r="AV286" s="167" t="s">
        <v>70</v>
      </c>
      <c r="AW286" s="167" t="s">
        <v>70</v>
      </c>
      <c r="AX286" s="167" t="s">
        <v>70</v>
      </c>
      <c r="AY286" s="167" t="s">
        <v>70</v>
      </c>
      <c r="AZ286" s="167" t="s">
        <v>70</v>
      </c>
      <c r="BA286" s="167" t="s">
        <v>70</v>
      </c>
      <c r="BB286" s="167" t="s">
        <v>70</v>
      </c>
      <c r="BC286" s="167" t="s">
        <v>70</v>
      </c>
      <c r="BD286" s="167" t="s">
        <v>70</v>
      </c>
      <c r="BE286" s="167" t="s">
        <v>70</v>
      </c>
      <c r="BF286" s="167" t="s">
        <v>70</v>
      </c>
      <c r="BG286" s="167" t="s">
        <v>70</v>
      </c>
      <c r="BH286" s="167" t="s">
        <v>70</v>
      </c>
      <c r="BI286" s="167" t="s">
        <v>70</v>
      </c>
      <c r="BJ286" s="167" t="s">
        <v>70</v>
      </c>
      <c r="BK286" s="167" t="s">
        <v>70</v>
      </c>
      <c r="BL286" s="167" t="s">
        <v>70</v>
      </c>
      <c r="BM286" s="167" t="s">
        <v>70</v>
      </c>
      <c r="BN286" s="167" t="s">
        <v>70</v>
      </c>
      <c r="BO286" s="167" t="s">
        <v>70</v>
      </c>
      <c r="BP286" s="167" t="s">
        <v>70</v>
      </c>
      <c r="BQ286" s="151" t="s">
        <v>256</v>
      </c>
    </row>
    <row r="287" spans="1:69" s="151" customFormat="1" ht="19.5" customHeight="1" x14ac:dyDescent="0.2">
      <c r="A287" s="117">
        <v>284</v>
      </c>
      <c r="B287" s="121" t="s">
        <v>332</v>
      </c>
      <c r="C287" s="122">
        <v>134362</v>
      </c>
      <c r="D287" s="117" t="s">
        <v>212</v>
      </c>
      <c r="E287" s="117" t="s">
        <v>68</v>
      </c>
      <c r="F287" s="146" t="s">
        <v>256</v>
      </c>
      <c r="G287" s="124" t="s">
        <v>69</v>
      </c>
      <c r="H287" s="93">
        <v>41561</v>
      </c>
      <c r="I287" s="93">
        <v>45863</v>
      </c>
      <c r="J287" s="92">
        <f t="shared" si="20"/>
        <v>46958</v>
      </c>
      <c r="K287" s="93">
        <v>43018</v>
      </c>
      <c r="L287" s="93">
        <v>45862</v>
      </c>
      <c r="M287" s="140">
        <f t="shared" si="21"/>
        <v>46958</v>
      </c>
      <c r="N287" s="93">
        <v>45829</v>
      </c>
      <c r="O287" s="93">
        <v>45860</v>
      </c>
      <c r="P287" s="93"/>
      <c r="Q287" s="167" t="s">
        <v>70</v>
      </c>
      <c r="R287" s="167" t="s">
        <v>70</v>
      </c>
      <c r="S287" s="167" t="s">
        <v>70</v>
      </c>
      <c r="T287" s="167" t="s">
        <v>70</v>
      </c>
      <c r="U287" s="167" t="s">
        <v>70</v>
      </c>
      <c r="V287" s="167" t="s">
        <v>70</v>
      </c>
      <c r="W287" s="167" t="s">
        <v>70</v>
      </c>
      <c r="X287" s="167" t="s">
        <v>70</v>
      </c>
      <c r="Y287" s="167" t="s">
        <v>70</v>
      </c>
      <c r="Z287" s="167" t="s">
        <v>70</v>
      </c>
      <c r="AA287" s="167" t="s">
        <v>70</v>
      </c>
      <c r="AB287" s="167" t="s">
        <v>70</v>
      </c>
      <c r="AC287" s="167" t="s">
        <v>70</v>
      </c>
      <c r="AD287" s="167" t="s">
        <v>70</v>
      </c>
      <c r="AE287" s="167" t="s">
        <v>70</v>
      </c>
      <c r="AF287" s="167" t="s">
        <v>70</v>
      </c>
      <c r="AG287" s="167" t="s">
        <v>70</v>
      </c>
      <c r="AH287" s="167" t="s">
        <v>70</v>
      </c>
      <c r="AI287" s="163">
        <v>46233</v>
      </c>
      <c r="AJ287" s="163">
        <v>45343</v>
      </c>
      <c r="AK287" s="167" t="s">
        <v>70</v>
      </c>
      <c r="AL287" s="167" t="s">
        <v>70</v>
      </c>
      <c r="AM287" s="167"/>
      <c r="AN287" s="167" t="s">
        <v>70</v>
      </c>
      <c r="AO287" s="167" t="s">
        <v>70</v>
      </c>
      <c r="AP287" s="167" t="s">
        <v>70</v>
      </c>
      <c r="AQ287" s="167" t="s">
        <v>70</v>
      </c>
      <c r="AR287" s="166" t="s">
        <v>69</v>
      </c>
      <c r="AS287" s="167" t="s">
        <v>70</v>
      </c>
      <c r="AT287" s="167" t="s">
        <v>70</v>
      </c>
      <c r="AU287" s="167" t="s">
        <v>70</v>
      </c>
      <c r="AV287" s="167" t="s">
        <v>70</v>
      </c>
      <c r="AW287" s="167" t="s">
        <v>70</v>
      </c>
      <c r="AX287" s="167" t="s">
        <v>70</v>
      </c>
      <c r="AY287" s="167" t="s">
        <v>70</v>
      </c>
      <c r="AZ287" s="167" t="s">
        <v>70</v>
      </c>
      <c r="BA287" s="167" t="s">
        <v>70</v>
      </c>
      <c r="BB287" s="167" t="s">
        <v>70</v>
      </c>
      <c r="BC287" s="167" t="s">
        <v>70</v>
      </c>
      <c r="BD287" s="167" t="s">
        <v>70</v>
      </c>
      <c r="BE287" s="167" t="s">
        <v>70</v>
      </c>
      <c r="BF287" s="167" t="s">
        <v>70</v>
      </c>
      <c r="BG287" s="167" t="s">
        <v>70</v>
      </c>
      <c r="BH287" s="167" t="s">
        <v>70</v>
      </c>
      <c r="BI287" s="167" t="s">
        <v>70</v>
      </c>
      <c r="BJ287" s="167" t="s">
        <v>70</v>
      </c>
      <c r="BK287" s="167" t="s">
        <v>70</v>
      </c>
      <c r="BL287" s="167" t="s">
        <v>70</v>
      </c>
      <c r="BM287" s="167" t="s">
        <v>70</v>
      </c>
      <c r="BN287" s="167" t="s">
        <v>70</v>
      </c>
      <c r="BO287" s="167" t="s">
        <v>70</v>
      </c>
      <c r="BP287" s="167" t="s">
        <v>70</v>
      </c>
      <c r="BQ287" s="151" t="s">
        <v>256</v>
      </c>
    </row>
    <row r="288" spans="1:69" s="151" customFormat="1" ht="19.5" customHeight="1" x14ac:dyDescent="0.2">
      <c r="A288" s="117">
        <v>285</v>
      </c>
      <c r="B288" s="121" t="s">
        <v>333</v>
      </c>
      <c r="C288" s="122">
        <v>134564</v>
      </c>
      <c r="D288" s="117" t="s">
        <v>212</v>
      </c>
      <c r="E288" s="117" t="s">
        <v>68</v>
      </c>
      <c r="F288" s="146" t="s">
        <v>256</v>
      </c>
      <c r="G288" s="124" t="s">
        <v>69</v>
      </c>
      <c r="H288" s="93">
        <v>41561</v>
      </c>
      <c r="I288" s="93">
        <v>45863</v>
      </c>
      <c r="J288" s="92">
        <f t="shared" si="20"/>
        <v>46958</v>
      </c>
      <c r="K288" s="93">
        <v>42874</v>
      </c>
      <c r="L288" s="93">
        <v>45862</v>
      </c>
      <c r="M288" s="140">
        <f t="shared" si="21"/>
        <v>46958</v>
      </c>
      <c r="N288" s="93">
        <v>45829</v>
      </c>
      <c r="O288" s="93">
        <v>45860</v>
      </c>
      <c r="P288" s="93">
        <v>45861</v>
      </c>
      <c r="Q288" s="167" t="s">
        <v>70</v>
      </c>
      <c r="R288" s="167" t="s">
        <v>70</v>
      </c>
      <c r="S288" s="167" t="s">
        <v>70</v>
      </c>
      <c r="T288" s="167" t="s">
        <v>70</v>
      </c>
      <c r="U288" s="167" t="s">
        <v>70</v>
      </c>
      <c r="V288" s="167" t="s">
        <v>70</v>
      </c>
      <c r="W288" s="167" t="s">
        <v>70</v>
      </c>
      <c r="X288" s="167" t="s">
        <v>70</v>
      </c>
      <c r="Y288" s="167" t="s">
        <v>70</v>
      </c>
      <c r="Z288" s="167" t="s">
        <v>70</v>
      </c>
      <c r="AA288" s="167" t="s">
        <v>70</v>
      </c>
      <c r="AB288" s="167" t="s">
        <v>70</v>
      </c>
      <c r="AC288" s="167" t="s">
        <v>70</v>
      </c>
      <c r="AD288" s="167" t="s">
        <v>70</v>
      </c>
      <c r="AE288" s="167" t="s">
        <v>70</v>
      </c>
      <c r="AF288" s="167" t="s">
        <v>70</v>
      </c>
      <c r="AG288" s="167" t="s">
        <v>70</v>
      </c>
      <c r="AH288" s="167" t="s">
        <v>70</v>
      </c>
      <c r="AI288" s="111">
        <v>45946</v>
      </c>
      <c r="AJ288" s="163">
        <v>45359</v>
      </c>
      <c r="AK288" s="167" t="s">
        <v>70</v>
      </c>
      <c r="AL288" s="167" t="s">
        <v>70</v>
      </c>
      <c r="AM288" s="167"/>
      <c r="AN288" s="167" t="s">
        <v>70</v>
      </c>
      <c r="AO288" s="167" t="s">
        <v>70</v>
      </c>
      <c r="AP288" s="167" t="s">
        <v>70</v>
      </c>
      <c r="AQ288" s="167" t="s">
        <v>70</v>
      </c>
      <c r="AR288" s="166" t="s">
        <v>69</v>
      </c>
      <c r="AS288" s="167" t="s">
        <v>70</v>
      </c>
      <c r="AT288" s="167" t="s">
        <v>70</v>
      </c>
      <c r="AU288" s="167" t="s">
        <v>70</v>
      </c>
      <c r="AV288" s="167" t="s">
        <v>70</v>
      </c>
      <c r="AW288" s="167" t="s">
        <v>70</v>
      </c>
      <c r="AX288" s="167" t="s">
        <v>70</v>
      </c>
      <c r="AY288" s="167" t="s">
        <v>70</v>
      </c>
      <c r="AZ288" s="167" t="s">
        <v>70</v>
      </c>
      <c r="BA288" s="167" t="s">
        <v>70</v>
      </c>
      <c r="BB288" s="167" t="s">
        <v>70</v>
      </c>
      <c r="BC288" s="167" t="s">
        <v>70</v>
      </c>
      <c r="BD288" s="167" t="s">
        <v>70</v>
      </c>
      <c r="BE288" s="167" t="s">
        <v>70</v>
      </c>
      <c r="BF288" s="167" t="s">
        <v>70</v>
      </c>
      <c r="BG288" s="167" t="s">
        <v>70</v>
      </c>
      <c r="BH288" s="167" t="s">
        <v>70</v>
      </c>
      <c r="BI288" s="167" t="s">
        <v>70</v>
      </c>
      <c r="BJ288" s="167" t="s">
        <v>70</v>
      </c>
      <c r="BK288" s="167" t="s">
        <v>70</v>
      </c>
      <c r="BL288" s="167" t="s">
        <v>70</v>
      </c>
      <c r="BM288" s="167" t="s">
        <v>70</v>
      </c>
      <c r="BN288" s="167" t="s">
        <v>70</v>
      </c>
      <c r="BO288" s="167" t="s">
        <v>70</v>
      </c>
      <c r="BP288" s="167" t="s">
        <v>70</v>
      </c>
      <c r="BQ288" s="151" t="s">
        <v>256</v>
      </c>
    </row>
    <row r="289" spans="1:69" s="151" customFormat="1" ht="19.5" customHeight="1" x14ac:dyDescent="0.2">
      <c r="A289" s="117">
        <v>286</v>
      </c>
      <c r="B289" s="121" t="s">
        <v>334</v>
      </c>
      <c r="C289" s="122">
        <v>83102190</v>
      </c>
      <c r="D289" s="117" t="s">
        <v>212</v>
      </c>
      <c r="E289" s="117" t="s">
        <v>68</v>
      </c>
      <c r="F289" s="146" t="s">
        <v>256</v>
      </c>
      <c r="G289" s="124" t="s">
        <v>69</v>
      </c>
      <c r="H289" s="93">
        <v>42254</v>
      </c>
      <c r="I289" s="93">
        <v>45798</v>
      </c>
      <c r="J289" s="92">
        <f t="shared" si="20"/>
        <v>46893</v>
      </c>
      <c r="K289" s="93">
        <v>42251</v>
      </c>
      <c r="L289" s="93">
        <v>45797</v>
      </c>
      <c r="M289" s="140">
        <f t="shared" si="21"/>
        <v>46893</v>
      </c>
      <c r="N289" s="93">
        <v>45800</v>
      </c>
      <c r="O289" s="93">
        <v>45782</v>
      </c>
      <c r="P289" s="93">
        <v>45796</v>
      </c>
      <c r="Q289" s="167" t="s">
        <v>70</v>
      </c>
      <c r="R289" s="167" t="s">
        <v>70</v>
      </c>
      <c r="S289" s="167" t="s">
        <v>70</v>
      </c>
      <c r="T289" s="167" t="s">
        <v>70</v>
      </c>
      <c r="U289" s="167" t="s">
        <v>70</v>
      </c>
      <c r="V289" s="167" t="s">
        <v>70</v>
      </c>
      <c r="W289" s="167" t="s">
        <v>70</v>
      </c>
      <c r="X289" s="167" t="s">
        <v>70</v>
      </c>
      <c r="Y289" s="167" t="s">
        <v>70</v>
      </c>
      <c r="Z289" s="167" t="s">
        <v>70</v>
      </c>
      <c r="AA289" s="167" t="s">
        <v>70</v>
      </c>
      <c r="AB289" s="167" t="s">
        <v>70</v>
      </c>
      <c r="AC289" s="167" t="s">
        <v>70</v>
      </c>
      <c r="AD289" s="167" t="s">
        <v>70</v>
      </c>
      <c r="AE289" s="167" t="s">
        <v>70</v>
      </c>
      <c r="AF289" s="167" t="s">
        <v>70</v>
      </c>
      <c r="AG289" s="167" t="s">
        <v>70</v>
      </c>
      <c r="AH289" s="167" t="s">
        <v>70</v>
      </c>
      <c r="AI289" s="181">
        <v>46044</v>
      </c>
      <c r="AJ289" s="163">
        <v>45341</v>
      </c>
      <c r="AK289" s="167" t="s">
        <v>70</v>
      </c>
      <c r="AL289" s="167" t="s">
        <v>70</v>
      </c>
      <c r="AM289" s="167"/>
      <c r="AN289" s="167" t="s">
        <v>70</v>
      </c>
      <c r="AO289" s="167" t="s">
        <v>70</v>
      </c>
      <c r="AP289" s="167" t="s">
        <v>70</v>
      </c>
      <c r="AQ289" s="167" t="s">
        <v>70</v>
      </c>
      <c r="AR289" s="166" t="s">
        <v>69</v>
      </c>
      <c r="AS289" s="167" t="s">
        <v>70</v>
      </c>
      <c r="AT289" s="167" t="s">
        <v>70</v>
      </c>
      <c r="AU289" s="167" t="s">
        <v>70</v>
      </c>
      <c r="AV289" s="167" t="s">
        <v>70</v>
      </c>
      <c r="AW289" s="167" t="s">
        <v>70</v>
      </c>
      <c r="AX289" s="167" t="s">
        <v>70</v>
      </c>
      <c r="AY289" s="167" t="s">
        <v>70</v>
      </c>
      <c r="AZ289" s="167" t="s">
        <v>70</v>
      </c>
      <c r="BA289" s="167" t="s">
        <v>70</v>
      </c>
      <c r="BB289" s="167" t="s">
        <v>70</v>
      </c>
      <c r="BC289" s="167" t="s">
        <v>70</v>
      </c>
      <c r="BD289" s="167" t="s">
        <v>70</v>
      </c>
      <c r="BE289" s="167" t="s">
        <v>70</v>
      </c>
      <c r="BF289" s="167" t="s">
        <v>70</v>
      </c>
      <c r="BG289" s="167" t="s">
        <v>70</v>
      </c>
      <c r="BH289" s="167" t="s">
        <v>70</v>
      </c>
      <c r="BI289" s="167" t="s">
        <v>70</v>
      </c>
      <c r="BJ289" s="167" t="s">
        <v>70</v>
      </c>
      <c r="BK289" s="167" t="s">
        <v>70</v>
      </c>
      <c r="BL289" s="167" t="s">
        <v>70</v>
      </c>
      <c r="BM289" s="167" t="s">
        <v>70</v>
      </c>
      <c r="BN289" s="167" t="s">
        <v>70</v>
      </c>
      <c r="BO289" s="167" t="s">
        <v>70</v>
      </c>
      <c r="BP289" s="167" t="s">
        <v>70</v>
      </c>
      <c r="BQ289" s="151" t="s">
        <v>256</v>
      </c>
    </row>
    <row r="290" spans="1:69" s="151" customFormat="1" ht="19.5" customHeight="1" x14ac:dyDescent="0.2">
      <c r="A290" s="117">
        <v>287</v>
      </c>
      <c r="B290" s="121" t="s">
        <v>335</v>
      </c>
      <c r="C290" s="122">
        <v>143572</v>
      </c>
      <c r="D290" s="117" t="s">
        <v>212</v>
      </c>
      <c r="E290" s="117" t="s">
        <v>68</v>
      </c>
      <c r="F290" s="146" t="s">
        <v>256</v>
      </c>
      <c r="G290" s="124" t="s">
        <v>69</v>
      </c>
      <c r="H290" s="93">
        <v>41866</v>
      </c>
      <c r="I290" s="93">
        <v>45828</v>
      </c>
      <c r="J290" s="92">
        <f t="shared" si="20"/>
        <v>46923</v>
      </c>
      <c r="K290" s="93">
        <v>43017</v>
      </c>
      <c r="L290" s="93">
        <v>45827</v>
      </c>
      <c r="M290" s="140">
        <f t="shared" si="21"/>
        <v>46923</v>
      </c>
      <c r="N290" s="93">
        <v>45825</v>
      </c>
      <c r="O290" s="93">
        <v>45824</v>
      </c>
      <c r="P290" s="93">
        <v>45826</v>
      </c>
      <c r="Q290" s="167" t="s">
        <v>70</v>
      </c>
      <c r="R290" s="167" t="s">
        <v>70</v>
      </c>
      <c r="S290" s="167" t="s">
        <v>70</v>
      </c>
      <c r="T290" s="167" t="s">
        <v>70</v>
      </c>
      <c r="U290" s="167" t="s">
        <v>70</v>
      </c>
      <c r="V290" s="167" t="s">
        <v>70</v>
      </c>
      <c r="W290" s="167" t="s">
        <v>70</v>
      </c>
      <c r="X290" s="167" t="s">
        <v>70</v>
      </c>
      <c r="Y290" s="167" t="s">
        <v>70</v>
      </c>
      <c r="Z290" s="167" t="s">
        <v>70</v>
      </c>
      <c r="AA290" s="167" t="s">
        <v>70</v>
      </c>
      <c r="AB290" s="167" t="s">
        <v>70</v>
      </c>
      <c r="AC290" s="167" t="s">
        <v>70</v>
      </c>
      <c r="AD290" s="167" t="s">
        <v>70</v>
      </c>
      <c r="AE290" s="167" t="s">
        <v>70</v>
      </c>
      <c r="AF290" s="167" t="s">
        <v>70</v>
      </c>
      <c r="AG290" s="167" t="s">
        <v>70</v>
      </c>
      <c r="AH290" s="167" t="s">
        <v>70</v>
      </c>
      <c r="AI290" s="111">
        <v>45897</v>
      </c>
      <c r="AJ290" s="163">
        <v>45348</v>
      </c>
      <c r="AK290" s="167" t="s">
        <v>70</v>
      </c>
      <c r="AL290" s="167" t="s">
        <v>70</v>
      </c>
      <c r="AM290" s="167"/>
      <c r="AN290" s="167" t="s">
        <v>70</v>
      </c>
      <c r="AO290" s="167" t="s">
        <v>70</v>
      </c>
      <c r="AP290" s="167" t="s">
        <v>70</v>
      </c>
      <c r="AQ290" s="167" t="s">
        <v>70</v>
      </c>
      <c r="AR290" s="166" t="s">
        <v>69</v>
      </c>
      <c r="AS290" s="167" t="s">
        <v>70</v>
      </c>
      <c r="AT290" s="167" t="s">
        <v>70</v>
      </c>
      <c r="AU290" s="167" t="s">
        <v>70</v>
      </c>
      <c r="AV290" s="167" t="s">
        <v>70</v>
      </c>
      <c r="AW290" s="167" t="s">
        <v>70</v>
      </c>
      <c r="AX290" s="167" t="s">
        <v>70</v>
      </c>
      <c r="AY290" s="167" t="s">
        <v>70</v>
      </c>
      <c r="AZ290" s="167" t="s">
        <v>70</v>
      </c>
      <c r="BA290" s="167" t="s">
        <v>70</v>
      </c>
      <c r="BB290" s="167" t="s">
        <v>70</v>
      </c>
      <c r="BC290" s="167" t="s">
        <v>70</v>
      </c>
      <c r="BD290" s="167" t="s">
        <v>70</v>
      </c>
      <c r="BE290" s="167" t="s">
        <v>70</v>
      </c>
      <c r="BF290" s="167" t="s">
        <v>70</v>
      </c>
      <c r="BG290" s="167" t="s">
        <v>70</v>
      </c>
      <c r="BH290" s="167" t="s">
        <v>70</v>
      </c>
      <c r="BI290" s="167" t="s">
        <v>70</v>
      </c>
      <c r="BJ290" s="167" t="s">
        <v>70</v>
      </c>
      <c r="BK290" s="167" t="s">
        <v>70</v>
      </c>
      <c r="BL290" s="167" t="s">
        <v>70</v>
      </c>
      <c r="BM290" s="167" t="s">
        <v>70</v>
      </c>
      <c r="BN290" s="167" t="s">
        <v>70</v>
      </c>
      <c r="BO290" s="167" t="s">
        <v>70</v>
      </c>
      <c r="BP290" s="167" t="s">
        <v>70</v>
      </c>
      <c r="BQ290" s="151" t="s">
        <v>256</v>
      </c>
    </row>
    <row r="291" spans="1:69" s="151" customFormat="1" ht="19.5" customHeight="1" x14ac:dyDescent="0.2">
      <c r="A291" s="117">
        <v>288</v>
      </c>
      <c r="B291" s="121" t="s">
        <v>336</v>
      </c>
      <c r="C291" s="122">
        <v>143585</v>
      </c>
      <c r="D291" s="117" t="s">
        <v>212</v>
      </c>
      <c r="E291" s="117" t="s">
        <v>68</v>
      </c>
      <c r="F291" s="146" t="s">
        <v>256</v>
      </c>
      <c r="G291" s="124" t="s">
        <v>69</v>
      </c>
      <c r="H291" s="93">
        <v>41866</v>
      </c>
      <c r="I291" s="93">
        <v>45798</v>
      </c>
      <c r="J291" s="92">
        <f t="shared" si="20"/>
        <v>46893</v>
      </c>
      <c r="K291" s="93">
        <v>43131</v>
      </c>
      <c r="L291" s="93">
        <v>45797</v>
      </c>
      <c r="M291" s="140">
        <f t="shared" si="21"/>
        <v>46893</v>
      </c>
      <c r="N291" s="93">
        <v>45800</v>
      </c>
      <c r="O291" s="93">
        <v>45799</v>
      </c>
      <c r="P291" s="93">
        <v>45796</v>
      </c>
      <c r="Q291" s="167" t="s">
        <v>70</v>
      </c>
      <c r="R291" s="167" t="s">
        <v>70</v>
      </c>
      <c r="S291" s="167" t="s">
        <v>70</v>
      </c>
      <c r="T291" s="167" t="s">
        <v>70</v>
      </c>
      <c r="U291" s="167" t="s">
        <v>70</v>
      </c>
      <c r="V291" s="167" t="s">
        <v>70</v>
      </c>
      <c r="W291" s="167" t="s">
        <v>70</v>
      </c>
      <c r="X291" s="167" t="s">
        <v>70</v>
      </c>
      <c r="Y291" s="167" t="s">
        <v>70</v>
      </c>
      <c r="Z291" s="167" t="s">
        <v>70</v>
      </c>
      <c r="AA291" s="167" t="s">
        <v>70</v>
      </c>
      <c r="AB291" s="167" t="s">
        <v>70</v>
      </c>
      <c r="AC291" s="167" t="s">
        <v>70</v>
      </c>
      <c r="AD291" s="167" t="s">
        <v>70</v>
      </c>
      <c r="AE291" s="167" t="s">
        <v>70</v>
      </c>
      <c r="AF291" s="167" t="s">
        <v>70</v>
      </c>
      <c r="AG291" s="167" t="s">
        <v>70</v>
      </c>
      <c r="AH291" s="167" t="s">
        <v>70</v>
      </c>
      <c r="AI291" s="111">
        <v>45897</v>
      </c>
      <c r="AJ291" s="163">
        <v>45343</v>
      </c>
      <c r="AK291" s="167" t="s">
        <v>70</v>
      </c>
      <c r="AL291" s="167" t="s">
        <v>70</v>
      </c>
      <c r="AM291" s="167"/>
      <c r="AN291" s="167" t="s">
        <v>70</v>
      </c>
      <c r="AO291" s="167" t="s">
        <v>70</v>
      </c>
      <c r="AP291" s="167" t="s">
        <v>70</v>
      </c>
      <c r="AQ291" s="167" t="s">
        <v>70</v>
      </c>
      <c r="AR291" s="166" t="s">
        <v>69</v>
      </c>
      <c r="AS291" s="167" t="s">
        <v>70</v>
      </c>
      <c r="AT291" s="167" t="s">
        <v>70</v>
      </c>
      <c r="AU291" s="167" t="s">
        <v>70</v>
      </c>
      <c r="AV291" s="167" t="s">
        <v>70</v>
      </c>
      <c r="AW291" s="167" t="s">
        <v>70</v>
      </c>
      <c r="AX291" s="167" t="s">
        <v>70</v>
      </c>
      <c r="AY291" s="167" t="s">
        <v>70</v>
      </c>
      <c r="AZ291" s="167" t="s">
        <v>70</v>
      </c>
      <c r="BA291" s="167" t="s">
        <v>70</v>
      </c>
      <c r="BB291" s="167" t="s">
        <v>70</v>
      </c>
      <c r="BC291" s="167" t="s">
        <v>70</v>
      </c>
      <c r="BD291" s="167" t="s">
        <v>70</v>
      </c>
      <c r="BE291" s="167" t="s">
        <v>70</v>
      </c>
      <c r="BF291" s="167" t="s">
        <v>70</v>
      </c>
      <c r="BG291" s="167" t="s">
        <v>70</v>
      </c>
      <c r="BH291" s="167" t="s">
        <v>70</v>
      </c>
      <c r="BI291" s="167" t="s">
        <v>70</v>
      </c>
      <c r="BJ291" s="167" t="s">
        <v>70</v>
      </c>
      <c r="BK291" s="167" t="s">
        <v>70</v>
      </c>
      <c r="BL291" s="167" t="s">
        <v>70</v>
      </c>
      <c r="BM291" s="167" t="s">
        <v>70</v>
      </c>
      <c r="BN291" s="167" t="s">
        <v>70</v>
      </c>
      <c r="BO291" s="167" t="s">
        <v>70</v>
      </c>
      <c r="BP291" s="167" t="s">
        <v>70</v>
      </c>
      <c r="BQ291" s="151" t="s">
        <v>256</v>
      </c>
    </row>
    <row r="292" spans="1:69" s="151" customFormat="1" ht="19.5" customHeight="1" x14ac:dyDescent="0.2">
      <c r="A292" s="117">
        <v>289</v>
      </c>
      <c r="B292" s="121" t="s">
        <v>337</v>
      </c>
      <c r="C292" s="122">
        <v>147334</v>
      </c>
      <c r="D292" s="117" t="s">
        <v>212</v>
      </c>
      <c r="E292" s="117" t="s">
        <v>68</v>
      </c>
      <c r="F292" s="146" t="s">
        <v>256</v>
      </c>
      <c r="G292" s="124" t="s">
        <v>69</v>
      </c>
      <c r="H292" s="93">
        <v>42003</v>
      </c>
      <c r="I292" s="93">
        <v>45828</v>
      </c>
      <c r="J292" s="92">
        <f t="shared" si="20"/>
        <v>46923</v>
      </c>
      <c r="K292" s="93">
        <v>43018</v>
      </c>
      <c r="L292" s="93">
        <v>45827</v>
      </c>
      <c r="M292" s="140">
        <f t="shared" si="21"/>
        <v>46923</v>
      </c>
      <c r="N292" s="93">
        <v>45825</v>
      </c>
      <c r="O292" s="93">
        <v>45824</v>
      </c>
      <c r="P292" s="93">
        <v>45826</v>
      </c>
      <c r="Q292" s="167" t="s">
        <v>70</v>
      </c>
      <c r="R292" s="167" t="s">
        <v>70</v>
      </c>
      <c r="S292" s="167" t="s">
        <v>70</v>
      </c>
      <c r="T292" s="167" t="s">
        <v>70</v>
      </c>
      <c r="U292" s="167" t="s">
        <v>70</v>
      </c>
      <c r="V292" s="167" t="s">
        <v>70</v>
      </c>
      <c r="W292" s="167" t="s">
        <v>70</v>
      </c>
      <c r="X292" s="167" t="s">
        <v>70</v>
      </c>
      <c r="Y292" s="167" t="s">
        <v>70</v>
      </c>
      <c r="Z292" s="167" t="s">
        <v>70</v>
      </c>
      <c r="AA292" s="167" t="s">
        <v>70</v>
      </c>
      <c r="AB292" s="167" t="s">
        <v>70</v>
      </c>
      <c r="AC292" s="167" t="s">
        <v>70</v>
      </c>
      <c r="AD292" s="167" t="s">
        <v>70</v>
      </c>
      <c r="AE292" s="167" t="s">
        <v>70</v>
      </c>
      <c r="AF292" s="167" t="s">
        <v>70</v>
      </c>
      <c r="AG292" s="167" t="s">
        <v>70</v>
      </c>
      <c r="AH292" s="167" t="s">
        <v>70</v>
      </c>
      <c r="AI292" s="111">
        <v>45912</v>
      </c>
      <c r="AJ292" s="163">
        <v>45357</v>
      </c>
      <c r="AK292" s="167" t="s">
        <v>70</v>
      </c>
      <c r="AL292" s="167" t="s">
        <v>70</v>
      </c>
      <c r="AM292" s="167"/>
      <c r="AN292" s="167" t="s">
        <v>70</v>
      </c>
      <c r="AO292" s="167" t="s">
        <v>70</v>
      </c>
      <c r="AP292" s="167" t="s">
        <v>70</v>
      </c>
      <c r="AQ292" s="167" t="s">
        <v>70</v>
      </c>
      <c r="AR292" s="166" t="s">
        <v>69</v>
      </c>
      <c r="AS292" s="167" t="s">
        <v>70</v>
      </c>
      <c r="AT292" s="167" t="s">
        <v>70</v>
      </c>
      <c r="AU292" s="167" t="s">
        <v>70</v>
      </c>
      <c r="AV292" s="167" t="s">
        <v>70</v>
      </c>
      <c r="AW292" s="167" t="s">
        <v>70</v>
      </c>
      <c r="AX292" s="167" t="s">
        <v>70</v>
      </c>
      <c r="AY292" s="167" t="s">
        <v>70</v>
      </c>
      <c r="AZ292" s="167" t="s">
        <v>70</v>
      </c>
      <c r="BA292" s="167" t="s">
        <v>70</v>
      </c>
      <c r="BB292" s="167" t="s">
        <v>70</v>
      </c>
      <c r="BC292" s="167" t="s">
        <v>70</v>
      </c>
      <c r="BD292" s="167" t="s">
        <v>70</v>
      </c>
      <c r="BE292" s="167" t="s">
        <v>70</v>
      </c>
      <c r="BF292" s="167" t="s">
        <v>70</v>
      </c>
      <c r="BG292" s="167" t="s">
        <v>70</v>
      </c>
      <c r="BH292" s="167" t="s">
        <v>70</v>
      </c>
      <c r="BI292" s="167" t="s">
        <v>70</v>
      </c>
      <c r="BJ292" s="167" t="s">
        <v>70</v>
      </c>
      <c r="BK292" s="167" t="s">
        <v>70</v>
      </c>
      <c r="BL292" s="167" t="s">
        <v>70</v>
      </c>
      <c r="BM292" s="167" t="s">
        <v>70</v>
      </c>
      <c r="BN292" s="167" t="s">
        <v>70</v>
      </c>
      <c r="BO292" s="167" t="s">
        <v>70</v>
      </c>
      <c r="BP292" s="167" t="s">
        <v>70</v>
      </c>
      <c r="BQ292" s="151" t="s">
        <v>256</v>
      </c>
    </row>
    <row r="293" spans="1:69" s="151" customFormat="1" ht="19.5" customHeight="1" x14ac:dyDescent="0.2">
      <c r="A293" s="117">
        <v>290</v>
      </c>
      <c r="B293" s="121" t="s">
        <v>338</v>
      </c>
      <c r="C293" s="122">
        <v>143582</v>
      </c>
      <c r="D293" s="117" t="s">
        <v>212</v>
      </c>
      <c r="E293" s="117" t="s">
        <v>68</v>
      </c>
      <c r="F293" s="146" t="s">
        <v>256</v>
      </c>
      <c r="G293" s="124" t="s">
        <v>69</v>
      </c>
      <c r="H293" s="93">
        <v>41866</v>
      </c>
      <c r="I293" s="93">
        <v>45889</v>
      </c>
      <c r="J293" s="92">
        <f t="shared" si="20"/>
        <v>46984</v>
      </c>
      <c r="K293" s="93">
        <v>43019</v>
      </c>
      <c r="L293" s="93">
        <v>45888</v>
      </c>
      <c r="M293" s="140">
        <f t="shared" si="21"/>
        <v>46984</v>
      </c>
      <c r="N293" s="93">
        <v>45891</v>
      </c>
      <c r="O293" s="93">
        <v>45890</v>
      </c>
      <c r="P293" s="93">
        <v>45887</v>
      </c>
      <c r="Q293" s="167" t="s">
        <v>70</v>
      </c>
      <c r="R293" s="167" t="s">
        <v>70</v>
      </c>
      <c r="S293" s="167" t="s">
        <v>70</v>
      </c>
      <c r="T293" s="167" t="s">
        <v>70</v>
      </c>
      <c r="U293" s="167" t="s">
        <v>70</v>
      </c>
      <c r="V293" s="167" t="s">
        <v>70</v>
      </c>
      <c r="W293" s="167" t="s">
        <v>70</v>
      </c>
      <c r="X293" s="167" t="s">
        <v>70</v>
      </c>
      <c r="Y293" s="167" t="s">
        <v>70</v>
      </c>
      <c r="Z293" s="167" t="s">
        <v>70</v>
      </c>
      <c r="AA293" s="167" t="s">
        <v>70</v>
      </c>
      <c r="AB293" s="167" t="s">
        <v>70</v>
      </c>
      <c r="AC293" s="167" t="s">
        <v>70</v>
      </c>
      <c r="AD293" s="167" t="s">
        <v>70</v>
      </c>
      <c r="AE293" s="167" t="s">
        <v>70</v>
      </c>
      <c r="AF293" s="167" t="s">
        <v>70</v>
      </c>
      <c r="AG293" s="167" t="s">
        <v>70</v>
      </c>
      <c r="AH293" s="167" t="s">
        <v>70</v>
      </c>
      <c r="AI293" s="163">
        <v>45995</v>
      </c>
      <c r="AJ293" s="163">
        <v>45350</v>
      </c>
      <c r="AK293" s="167" t="s">
        <v>70</v>
      </c>
      <c r="AL293" s="167" t="s">
        <v>70</v>
      </c>
      <c r="AM293" s="167"/>
      <c r="AN293" s="167" t="s">
        <v>70</v>
      </c>
      <c r="AO293" s="167" t="s">
        <v>70</v>
      </c>
      <c r="AP293" s="167" t="s">
        <v>70</v>
      </c>
      <c r="AQ293" s="167" t="s">
        <v>70</v>
      </c>
      <c r="AR293" s="166" t="s">
        <v>69</v>
      </c>
      <c r="AS293" s="167" t="s">
        <v>70</v>
      </c>
      <c r="AT293" s="167" t="s">
        <v>70</v>
      </c>
      <c r="AU293" s="167" t="s">
        <v>70</v>
      </c>
      <c r="AV293" s="167" t="s">
        <v>70</v>
      </c>
      <c r="AW293" s="167" t="s">
        <v>70</v>
      </c>
      <c r="AX293" s="167" t="s">
        <v>70</v>
      </c>
      <c r="AY293" s="167" t="s">
        <v>70</v>
      </c>
      <c r="AZ293" s="167" t="s">
        <v>70</v>
      </c>
      <c r="BA293" s="167" t="s">
        <v>70</v>
      </c>
      <c r="BB293" s="167" t="s">
        <v>70</v>
      </c>
      <c r="BC293" s="167" t="s">
        <v>70</v>
      </c>
      <c r="BD293" s="167" t="s">
        <v>70</v>
      </c>
      <c r="BE293" s="167" t="s">
        <v>70</v>
      </c>
      <c r="BF293" s="167" t="s">
        <v>70</v>
      </c>
      <c r="BG293" s="167" t="s">
        <v>70</v>
      </c>
      <c r="BH293" s="167" t="s">
        <v>70</v>
      </c>
      <c r="BI293" s="167" t="s">
        <v>70</v>
      </c>
      <c r="BJ293" s="167" t="s">
        <v>70</v>
      </c>
      <c r="BK293" s="167" t="s">
        <v>70</v>
      </c>
      <c r="BL293" s="167" t="s">
        <v>70</v>
      </c>
      <c r="BM293" s="167" t="s">
        <v>70</v>
      </c>
      <c r="BN293" s="167" t="s">
        <v>70</v>
      </c>
      <c r="BO293" s="167" t="s">
        <v>70</v>
      </c>
      <c r="BP293" s="167" t="s">
        <v>70</v>
      </c>
      <c r="BQ293" s="151" t="s">
        <v>256</v>
      </c>
    </row>
    <row r="294" spans="1:69" s="151" customFormat="1" ht="19.5" customHeight="1" x14ac:dyDescent="0.2">
      <c r="A294" s="117">
        <v>291</v>
      </c>
      <c r="B294" s="121" t="s">
        <v>339</v>
      </c>
      <c r="C294" s="122">
        <v>140691</v>
      </c>
      <c r="D294" s="117" t="s">
        <v>212</v>
      </c>
      <c r="E294" s="117" t="s">
        <v>68</v>
      </c>
      <c r="F294" s="146" t="s">
        <v>256</v>
      </c>
      <c r="G294" s="124" t="s">
        <v>69</v>
      </c>
      <c r="H294" s="190" t="s">
        <v>340</v>
      </c>
      <c r="I294" s="93">
        <v>45828</v>
      </c>
      <c r="J294" s="92">
        <f t="shared" si="20"/>
        <v>46923</v>
      </c>
      <c r="K294" s="190" t="s">
        <v>341</v>
      </c>
      <c r="L294" s="93">
        <v>45827</v>
      </c>
      <c r="M294" s="140">
        <f t="shared" si="21"/>
        <v>46923</v>
      </c>
      <c r="N294" s="93">
        <v>45825</v>
      </c>
      <c r="O294" s="93">
        <v>45824</v>
      </c>
      <c r="P294" s="93">
        <v>45826</v>
      </c>
      <c r="Q294" s="167" t="s">
        <v>70</v>
      </c>
      <c r="R294" s="167" t="s">
        <v>70</v>
      </c>
      <c r="S294" s="167" t="s">
        <v>70</v>
      </c>
      <c r="T294" s="167" t="s">
        <v>70</v>
      </c>
      <c r="U294" s="167" t="s">
        <v>70</v>
      </c>
      <c r="V294" s="167" t="s">
        <v>70</v>
      </c>
      <c r="W294" s="167" t="s">
        <v>70</v>
      </c>
      <c r="X294" s="167" t="s">
        <v>70</v>
      </c>
      <c r="Y294" s="167" t="s">
        <v>70</v>
      </c>
      <c r="Z294" s="167" t="s">
        <v>70</v>
      </c>
      <c r="AA294" s="167" t="s">
        <v>70</v>
      </c>
      <c r="AB294" s="167" t="s">
        <v>70</v>
      </c>
      <c r="AC294" s="167" t="s">
        <v>70</v>
      </c>
      <c r="AD294" s="167" t="s">
        <v>70</v>
      </c>
      <c r="AE294" s="167" t="s">
        <v>70</v>
      </c>
      <c r="AF294" s="167" t="s">
        <v>70</v>
      </c>
      <c r="AG294" s="167" t="s">
        <v>70</v>
      </c>
      <c r="AH294" s="167" t="s">
        <v>70</v>
      </c>
      <c r="AI294" s="181">
        <v>45967</v>
      </c>
      <c r="AJ294" s="163">
        <v>45350</v>
      </c>
      <c r="AK294" s="167" t="s">
        <v>70</v>
      </c>
      <c r="AL294" s="167" t="s">
        <v>70</v>
      </c>
      <c r="AM294" s="167"/>
      <c r="AN294" s="167" t="s">
        <v>70</v>
      </c>
      <c r="AO294" s="167" t="s">
        <v>70</v>
      </c>
      <c r="AP294" s="167" t="s">
        <v>70</v>
      </c>
      <c r="AQ294" s="167" t="s">
        <v>70</v>
      </c>
      <c r="AR294" s="166" t="s">
        <v>69</v>
      </c>
      <c r="AS294" s="167" t="s">
        <v>70</v>
      </c>
      <c r="AT294" s="167" t="s">
        <v>70</v>
      </c>
      <c r="AU294" s="167" t="s">
        <v>70</v>
      </c>
      <c r="AV294" s="167" t="s">
        <v>70</v>
      </c>
      <c r="AW294" s="167" t="s">
        <v>70</v>
      </c>
      <c r="AX294" s="167" t="s">
        <v>70</v>
      </c>
      <c r="AY294" s="167" t="s">
        <v>70</v>
      </c>
      <c r="AZ294" s="167" t="s">
        <v>70</v>
      </c>
      <c r="BA294" s="167" t="s">
        <v>70</v>
      </c>
      <c r="BB294" s="167" t="s">
        <v>70</v>
      </c>
      <c r="BC294" s="167" t="s">
        <v>70</v>
      </c>
      <c r="BD294" s="167" t="s">
        <v>70</v>
      </c>
      <c r="BE294" s="167" t="s">
        <v>70</v>
      </c>
      <c r="BF294" s="167" t="s">
        <v>70</v>
      </c>
      <c r="BG294" s="167" t="s">
        <v>70</v>
      </c>
      <c r="BH294" s="167" t="s">
        <v>70</v>
      </c>
      <c r="BI294" s="167" t="s">
        <v>70</v>
      </c>
      <c r="BJ294" s="167" t="s">
        <v>70</v>
      </c>
      <c r="BK294" s="167" t="s">
        <v>70</v>
      </c>
      <c r="BL294" s="167" t="s">
        <v>70</v>
      </c>
      <c r="BM294" s="167" t="s">
        <v>70</v>
      </c>
      <c r="BN294" s="167" t="s">
        <v>70</v>
      </c>
      <c r="BO294" s="167" t="s">
        <v>70</v>
      </c>
      <c r="BP294" s="167" t="s">
        <v>70</v>
      </c>
      <c r="BQ294" s="151" t="s">
        <v>256</v>
      </c>
    </row>
    <row r="295" spans="1:69" s="151" customFormat="1" ht="19.5" customHeight="1" x14ac:dyDescent="0.2">
      <c r="A295" s="117">
        <v>292</v>
      </c>
      <c r="B295" s="121" t="s">
        <v>342</v>
      </c>
      <c r="C295" s="122">
        <v>143583</v>
      </c>
      <c r="D295" s="117" t="s">
        <v>212</v>
      </c>
      <c r="E295" s="117" t="s">
        <v>68</v>
      </c>
      <c r="F295" s="146" t="s">
        <v>256</v>
      </c>
      <c r="G295" s="124" t="s">
        <v>69</v>
      </c>
      <c r="H295" s="93">
        <v>41866</v>
      </c>
      <c r="I295" s="93">
        <v>45770</v>
      </c>
      <c r="J295" s="92">
        <f t="shared" si="20"/>
        <v>46865</v>
      </c>
      <c r="K295" s="93">
        <v>43019</v>
      </c>
      <c r="L295" s="93">
        <v>45769</v>
      </c>
      <c r="M295" s="140">
        <f t="shared" si="21"/>
        <v>46865</v>
      </c>
      <c r="N295" s="93">
        <v>45772</v>
      </c>
      <c r="O295" s="93">
        <v>45771</v>
      </c>
      <c r="P295" s="93">
        <v>45768</v>
      </c>
      <c r="Q295" s="167" t="s">
        <v>70</v>
      </c>
      <c r="R295" s="167" t="s">
        <v>70</v>
      </c>
      <c r="S295" s="167" t="s">
        <v>70</v>
      </c>
      <c r="T295" s="167" t="s">
        <v>70</v>
      </c>
      <c r="U295" s="167" t="s">
        <v>70</v>
      </c>
      <c r="V295" s="167" t="s">
        <v>70</v>
      </c>
      <c r="W295" s="167" t="s">
        <v>70</v>
      </c>
      <c r="X295" s="167" t="s">
        <v>70</v>
      </c>
      <c r="Y295" s="167" t="s">
        <v>70</v>
      </c>
      <c r="Z295" s="167" t="s">
        <v>70</v>
      </c>
      <c r="AA295" s="167" t="s">
        <v>70</v>
      </c>
      <c r="AB295" s="167" t="s">
        <v>70</v>
      </c>
      <c r="AC295" s="167" t="s">
        <v>70</v>
      </c>
      <c r="AD295" s="167" t="s">
        <v>70</v>
      </c>
      <c r="AE295" s="167" t="s">
        <v>70</v>
      </c>
      <c r="AF295" s="167" t="s">
        <v>70</v>
      </c>
      <c r="AG295" s="167" t="s">
        <v>70</v>
      </c>
      <c r="AH295" s="167" t="s">
        <v>70</v>
      </c>
      <c r="AI295" s="111">
        <v>45912</v>
      </c>
      <c r="AJ295" s="163">
        <v>45357</v>
      </c>
      <c r="AK295" s="167" t="s">
        <v>70</v>
      </c>
      <c r="AL295" s="167" t="s">
        <v>70</v>
      </c>
      <c r="AM295" s="167"/>
      <c r="AN295" s="167" t="s">
        <v>70</v>
      </c>
      <c r="AO295" s="167" t="s">
        <v>70</v>
      </c>
      <c r="AP295" s="167" t="s">
        <v>70</v>
      </c>
      <c r="AQ295" s="167" t="s">
        <v>70</v>
      </c>
      <c r="AR295" s="166" t="s">
        <v>69</v>
      </c>
      <c r="AS295" s="167" t="s">
        <v>70</v>
      </c>
      <c r="AT295" s="167" t="s">
        <v>70</v>
      </c>
      <c r="AU295" s="167" t="s">
        <v>70</v>
      </c>
      <c r="AV295" s="167" t="s">
        <v>70</v>
      </c>
      <c r="AW295" s="167" t="s">
        <v>70</v>
      </c>
      <c r="AX295" s="167" t="s">
        <v>70</v>
      </c>
      <c r="AY295" s="167" t="s">
        <v>70</v>
      </c>
      <c r="AZ295" s="167" t="s">
        <v>70</v>
      </c>
      <c r="BA295" s="167" t="s">
        <v>70</v>
      </c>
      <c r="BB295" s="167" t="s">
        <v>70</v>
      </c>
      <c r="BC295" s="167" t="s">
        <v>70</v>
      </c>
      <c r="BD295" s="167" t="s">
        <v>70</v>
      </c>
      <c r="BE295" s="167" t="s">
        <v>70</v>
      </c>
      <c r="BF295" s="167" t="s">
        <v>70</v>
      </c>
      <c r="BG295" s="167" t="s">
        <v>70</v>
      </c>
      <c r="BH295" s="167" t="s">
        <v>70</v>
      </c>
      <c r="BI295" s="167" t="s">
        <v>70</v>
      </c>
      <c r="BJ295" s="167" t="s">
        <v>70</v>
      </c>
      <c r="BK295" s="167" t="s">
        <v>70</v>
      </c>
      <c r="BL295" s="167" t="s">
        <v>70</v>
      </c>
      <c r="BM295" s="167" t="s">
        <v>70</v>
      </c>
      <c r="BN295" s="167" t="s">
        <v>70</v>
      </c>
      <c r="BO295" s="167" t="s">
        <v>70</v>
      </c>
      <c r="BP295" s="167" t="s">
        <v>70</v>
      </c>
      <c r="BQ295" s="151" t="s">
        <v>256</v>
      </c>
    </row>
    <row r="296" spans="1:69" s="151" customFormat="1" ht="19.5" customHeight="1" x14ac:dyDescent="0.2">
      <c r="A296" s="117">
        <v>293</v>
      </c>
      <c r="B296" s="121" t="s">
        <v>343</v>
      </c>
      <c r="C296" s="122">
        <v>143577</v>
      </c>
      <c r="D296" s="117" t="s">
        <v>212</v>
      </c>
      <c r="E296" s="117" t="s">
        <v>68</v>
      </c>
      <c r="F296" s="146" t="s">
        <v>256</v>
      </c>
      <c r="G296" s="124" t="s">
        <v>69</v>
      </c>
      <c r="H296" s="93">
        <v>41866</v>
      </c>
      <c r="I296" s="93">
        <v>45770</v>
      </c>
      <c r="J296" s="92">
        <f t="shared" si="20"/>
        <v>46865</v>
      </c>
      <c r="K296" s="93">
        <v>43018</v>
      </c>
      <c r="L296" s="93">
        <v>45769</v>
      </c>
      <c r="M296" s="140">
        <f t="shared" si="21"/>
        <v>46865</v>
      </c>
      <c r="N296" s="93">
        <v>45772</v>
      </c>
      <c r="O296" s="93">
        <v>45772</v>
      </c>
      <c r="P296" s="93">
        <v>45768</v>
      </c>
      <c r="Q296" s="167" t="s">
        <v>70</v>
      </c>
      <c r="R296" s="167" t="s">
        <v>70</v>
      </c>
      <c r="S296" s="167" t="s">
        <v>70</v>
      </c>
      <c r="T296" s="167" t="s">
        <v>70</v>
      </c>
      <c r="U296" s="167" t="s">
        <v>70</v>
      </c>
      <c r="V296" s="167" t="s">
        <v>70</v>
      </c>
      <c r="W296" s="167" t="s">
        <v>70</v>
      </c>
      <c r="X296" s="167" t="s">
        <v>70</v>
      </c>
      <c r="Y296" s="167" t="s">
        <v>70</v>
      </c>
      <c r="Z296" s="167" t="s">
        <v>70</v>
      </c>
      <c r="AA296" s="167" t="s">
        <v>70</v>
      </c>
      <c r="AB296" s="167" t="s">
        <v>70</v>
      </c>
      <c r="AC296" s="167" t="s">
        <v>70</v>
      </c>
      <c r="AD296" s="167" t="s">
        <v>70</v>
      </c>
      <c r="AE296" s="167" t="s">
        <v>70</v>
      </c>
      <c r="AF296" s="167" t="s">
        <v>70</v>
      </c>
      <c r="AG296" s="167" t="s">
        <v>70</v>
      </c>
      <c r="AH296" s="167" t="s">
        <v>70</v>
      </c>
      <c r="AI296" s="111">
        <v>45912</v>
      </c>
      <c r="AJ296" s="163">
        <v>45357</v>
      </c>
      <c r="AK296" s="167" t="s">
        <v>70</v>
      </c>
      <c r="AL296" s="167" t="s">
        <v>70</v>
      </c>
      <c r="AM296" s="167"/>
      <c r="AN296" s="167" t="s">
        <v>70</v>
      </c>
      <c r="AO296" s="167" t="s">
        <v>70</v>
      </c>
      <c r="AP296" s="167" t="s">
        <v>70</v>
      </c>
      <c r="AQ296" s="167" t="s">
        <v>70</v>
      </c>
      <c r="AR296" s="166" t="s">
        <v>69</v>
      </c>
      <c r="AS296" s="167" t="s">
        <v>70</v>
      </c>
      <c r="AT296" s="167" t="s">
        <v>70</v>
      </c>
      <c r="AU296" s="167" t="s">
        <v>70</v>
      </c>
      <c r="AV296" s="167" t="s">
        <v>70</v>
      </c>
      <c r="AW296" s="167" t="s">
        <v>70</v>
      </c>
      <c r="AX296" s="167" t="s">
        <v>70</v>
      </c>
      <c r="AY296" s="167" t="s">
        <v>70</v>
      </c>
      <c r="AZ296" s="167" t="s">
        <v>70</v>
      </c>
      <c r="BA296" s="167" t="s">
        <v>70</v>
      </c>
      <c r="BB296" s="167" t="s">
        <v>70</v>
      </c>
      <c r="BC296" s="167" t="s">
        <v>70</v>
      </c>
      <c r="BD296" s="167" t="s">
        <v>70</v>
      </c>
      <c r="BE296" s="167" t="s">
        <v>70</v>
      </c>
      <c r="BF296" s="167" t="s">
        <v>70</v>
      </c>
      <c r="BG296" s="167" t="s">
        <v>70</v>
      </c>
      <c r="BH296" s="167" t="s">
        <v>70</v>
      </c>
      <c r="BI296" s="167" t="s">
        <v>70</v>
      </c>
      <c r="BJ296" s="167" t="s">
        <v>70</v>
      </c>
      <c r="BK296" s="167" t="s">
        <v>70</v>
      </c>
      <c r="BL296" s="167" t="s">
        <v>70</v>
      </c>
      <c r="BM296" s="167" t="s">
        <v>70</v>
      </c>
      <c r="BN296" s="167" t="s">
        <v>70</v>
      </c>
      <c r="BO296" s="167" t="s">
        <v>70</v>
      </c>
      <c r="BP296" s="167" t="s">
        <v>70</v>
      </c>
      <c r="BQ296" s="151" t="s">
        <v>256</v>
      </c>
    </row>
    <row r="297" spans="1:69" s="151" customFormat="1" ht="19.5" customHeight="1" x14ac:dyDescent="0.2">
      <c r="A297" s="117">
        <v>294</v>
      </c>
      <c r="B297" s="188" t="s">
        <v>344</v>
      </c>
      <c r="C297" s="189">
        <v>83086469</v>
      </c>
      <c r="D297" s="171" t="s">
        <v>345</v>
      </c>
      <c r="E297" s="117" t="s">
        <v>68</v>
      </c>
      <c r="F297" s="146" t="s">
        <v>256</v>
      </c>
      <c r="G297" s="124" t="s">
        <v>69</v>
      </c>
      <c r="H297" s="93">
        <v>46227</v>
      </c>
      <c r="I297" s="93">
        <v>46227</v>
      </c>
      <c r="J297" s="92">
        <f t="shared" si="20"/>
        <v>47322</v>
      </c>
      <c r="K297" s="93">
        <v>46226</v>
      </c>
      <c r="L297" s="93">
        <v>46226</v>
      </c>
      <c r="M297" s="140">
        <f t="shared" si="21"/>
        <v>47322</v>
      </c>
      <c r="N297" s="93">
        <v>46223</v>
      </c>
      <c r="O297" s="93">
        <v>46224</v>
      </c>
      <c r="P297" s="93">
        <v>46225</v>
      </c>
      <c r="Q297" s="167" t="s">
        <v>70</v>
      </c>
      <c r="R297" s="167" t="s">
        <v>70</v>
      </c>
      <c r="S297" s="167" t="s">
        <v>70</v>
      </c>
      <c r="T297" s="167" t="s">
        <v>70</v>
      </c>
      <c r="U297" s="167" t="s">
        <v>70</v>
      </c>
      <c r="V297" s="167" t="s">
        <v>70</v>
      </c>
      <c r="W297" s="167" t="s">
        <v>70</v>
      </c>
      <c r="X297" s="167" t="s">
        <v>70</v>
      </c>
      <c r="Y297" s="167" t="s">
        <v>70</v>
      </c>
      <c r="Z297" s="167" t="s">
        <v>70</v>
      </c>
      <c r="AA297" s="167" t="s">
        <v>70</v>
      </c>
      <c r="AB297" s="167" t="s">
        <v>70</v>
      </c>
      <c r="AC297" s="167" t="s">
        <v>70</v>
      </c>
      <c r="AD297" s="167" t="s">
        <v>70</v>
      </c>
      <c r="AE297" s="167" t="s">
        <v>70</v>
      </c>
      <c r="AF297" s="167" t="s">
        <v>70</v>
      </c>
      <c r="AG297" s="167" t="s">
        <v>70</v>
      </c>
      <c r="AH297" s="167" t="s">
        <v>70</v>
      </c>
      <c r="AI297" s="181">
        <v>45975</v>
      </c>
      <c r="AJ297" s="163">
        <v>45348</v>
      </c>
      <c r="AK297" s="167" t="s">
        <v>70</v>
      </c>
      <c r="AL297" s="167" t="s">
        <v>70</v>
      </c>
      <c r="AM297" s="167"/>
      <c r="AN297" s="167" t="s">
        <v>70</v>
      </c>
      <c r="AO297" s="167" t="s">
        <v>70</v>
      </c>
      <c r="AP297" s="167" t="s">
        <v>70</v>
      </c>
      <c r="AQ297" s="167" t="s">
        <v>70</v>
      </c>
      <c r="AR297" s="168">
        <v>46153</v>
      </c>
      <c r="AS297" s="167" t="s">
        <v>70</v>
      </c>
      <c r="AT297" s="167" t="s">
        <v>70</v>
      </c>
      <c r="AU297" s="167" t="s">
        <v>70</v>
      </c>
      <c r="AV297" s="167" t="s">
        <v>70</v>
      </c>
      <c r="AW297" s="167" t="s">
        <v>70</v>
      </c>
      <c r="AX297" s="167" t="s">
        <v>70</v>
      </c>
      <c r="AY297" s="167" t="s">
        <v>70</v>
      </c>
      <c r="AZ297" s="167" t="s">
        <v>70</v>
      </c>
      <c r="BA297" s="167" t="s">
        <v>70</v>
      </c>
      <c r="BB297" s="167" t="s">
        <v>70</v>
      </c>
      <c r="BC297" s="167" t="s">
        <v>70</v>
      </c>
      <c r="BD297" s="167" t="s">
        <v>70</v>
      </c>
      <c r="BE297" s="167" t="s">
        <v>70</v>
      </c>
      <c r="BF297" s="167" t="s">
        <v>70</v>
      </c>
      <c r="BG297" s="167" t="s">
        <v>70</v>
      </c>
      <c r="BH297" s="167" t="s">
        <v>70</v>
      </c>
      <c r="BI297" s="167" t="s">
        <v>70</v>
      </c>
      <c r="BJ297" s="167" t="s">
        <v>70</v>
      </c>
      <c r="BK297" s="167" t="s">
        <v>70</v>
      </c>
      <c r="BL297" s="167" t="s">
        <v>70</v>
      </c>
      <c r="BM297" s="167" t="s">
        <v>70</v>
      </c>
      <c r="BN297" s="167" t="s">
        <v>70</v>
      </c>
      <c r="BO297" s="167" t="s">
        <v>70</v>
      </c>
      <c r="BP297" s="167" t="s">
        <v>70</v>
      </c>
      <c r="BQ297" s="151" t="s">
        <v>256</v>
      </c>
    </row>
    <row r="298" spans="1:69" s="151" customFormat="1" ht="19.5" customHeight="1" x14ac:dyDescent="0.2">
      <c r="A298" s="117">
        <v>295</v>
      </c>
      <c r="B298" s="194" t="s">
        <v>759</v>
      </c>
      <c r="C298" s="194">
        <v>241131</v>
      </c>
      <c r="D298" s="117" t="s">
        <v>212</v>
      </c>
      <c r="E298" s="117" t="s">
        <v>68</v>
      </c>
      <c r="F298" s="146" t="s">
        <v>256</v>
      </c>
      <c r="G298" s="124" t="s">
        <v>69</v>
      </c>
      <c r="H298" s="112" t="s">
        <v>829</v>
      </c>
      <c r="I298" s="172">
        <v>45483</v>
      </c>
      <c r="J298" s="92">
        <f t="shared" si="20"/>
        <v>46577</v>
      </c>
      <c r="K298" s="112" t="s">
        <v>505</v>
      </c>
      <c r="L298" s="111">
        <v>45482</v>
      </c>
      <c r="M298" s="140">
        <f t="shared" si="21"/>
        <v>46577</v>
      </c>
      <c r="N298" s="111">
        <v>46181</v>
      </c>
      <c r="O298" s="111">
        <v>46181</v>
      </c>
      <c r="P298" s="111">
        <v>46181</v>
      </c>
      <c r="Q298" s="167" t="s">
        <v>70</v>
      </c>
      <c r="R298" s="167" t="s">
        <v>70</v>
      </c>
      <c r="S298" s="167" t="s">
        <v>70</v>
      </c>
      <c r="T298" s="167" t="s">
        <v>70</v>
      </c>
      <c r="U298" s="167" t="s">
        <v>70</v>
      </c>
      <c r="V298" s="167" t="s">
        <v>70</v>
      </c>
      <c r="W298" s="167" t="s">
        <v>70</v>
      </c>
      <c r="X298" s="167" t="s">
        <v>70</v>
      </c>
      <c r="Y298" s="167" t="s">
        <v>70</v>
      </c>
      <c r="Z298" s="167" t="s">
        <v>70</v>
      </c>
      <c r="AA298" s="167" t="s">
        <v>70</v>
      </c>
      <c r="AB298" s="167" t="s">
        <v>70</v>
      </c>
      <c r="AC298" s="167" t="s">
        <v>70</v>
      </c>
      <c r="AD298" s="167" t="s">
        <v>70</v>
      </c>
      <c r="AE298" s="167" t="s">
        <v>70</v>
      </c>
      <c r="AF298" s="167" t="s">
        <v>70</v>
      </c>
      <c r="AG298" s="167" t="s">
        <v>70</v>
      </c>
      <c r="AH298" s="167" t="s">
        <v>70</v>
      </c>
      <c r="AI298" s="111">
        <v>46307</v>
      </c>
      <c r="AJ298" s="166" t="s">
        <v>69</v>
      </c>
      <c r="AK298" s="167" t="s">
        <v>70</v>
      </c>
      <c r="AL298" s="167" t="s">
        <v>70</v>
      </c>
      <c r="AM298" s="167"/>
      <c r="AN298" s="167" t="s">
        <v>70</v>
      </c>
      <c r="AO298" s="167" t="s">
        <v>70</v>
      </c>
      <c r="AP298" s="167" t="s">
        <v>70</v>
      </c>
      <c r="AQ298" s="167" t="s">
        <v>70</v>
      </c>
      <c r="AR298" s="166" t="s">
        <v>69</v>
      </c>
      <c r="AS298" s="167" t="s">
        <v>70</v>
      </c>
      <c r="AT298" s="167" t="s">
        <v>70</v>
      </c>
      <c r="AU298" s="167" t="s">
        <v>70</v>
      </c>
      <c r="AV298" s="167" t="s">
        <v>70</v>
      </c>
      <c r="AW298" s="167" t="s">
        <v>70</v>
      </c>
      <c r="AX298" s="167" t="s">
        <v>70</v>
      </c>
      <c r="AY298" s="167" t="s">
        <v>70</v>
      </c>
      <c r="AZ298" s="167" t="s">
        <v>70</v>
      </c>
      <c r="BA298" s="167" t="s">
        <v>70</v>
      </c>
      <c r="BB298" s="167" t="s">
        <v>70</v>
      </c>
      <c r="BC298" s="167" t="s">
        <v>70</v>
      </c>
      <c r="BD298" s="167" t="s">
        <v>70</v>
      </c>
      <c r="BE298" s="167" t="s">
        <v>70</v>
      </c>
      <c r="BF298" s="167" t="s">
        <v>70</v>
      </c>
      <c r="BG298" s="167" t="s">
        <v>70</v>
      </c>
      <c r="BH298" s="167" t="s">
        <v>70</v>
      </c>
      <c r="BI298" s="167" t="s">
        <v>70</v>
      </c>
      <c r="BJ298" s="167" t="s">
        <v>70</v>
      </c>
      <c r="BK298" s="167" t="s">
        <v>70</v>
      </c>
      <c r="BL298" s="167" t="s">
        <v>70</v>
      </c>
      <c r="BM298" s="167" t="s">
        <v>70</v>
      </c>
      <c r="BN298" s="167" t="s">
        <v>70</v>
      </c>
      <c r="BO298" s="167" t="s">
        <v>70</v>
      </c>
      <c r="BP298" s="167" t="s">
        <v>70</v>
      </c>
      <c r="BQ298" s="151" t="s">
        <v>256</v>
      </c>
    </row>
    <row r="299" spans="1:69" s="151" customFormat="1" ht="19.5" customHeight="1" x14ac:dyDescent="0.2">
      <c r="A299" s="117">
        <v>296</v>
      </c>
      <c r="B299" s="194" t="s">
        <v>760</v>
      </c>
      <c r="C299" s="194">
        <v>241137</v>
      </c>
      <c r="D299" s="117" t="s">
        <v>212</v>
      </c>
      <c r="E299" s="117" t="s">
        <v>68</v>
      </c>
      <c r="F299" s="146" t="s">
        <v>256</v>
      </c>
      <c r="G299" s="124" t="s">
        <v>69</v>
      </c>
      <c r="H299" s="112" t="s">
        <v>504</v>
      </c>
      <c r="I299" s="172">
        <v>45483</v>
      </c>
      <c r="J299" s="92">
        <f t="shared" si="20"/>
        <v>46577</v>
      </c>
      <c r="K299" s="112" t="s">
        <v>505</v>
      </c>
      <c r="L299" s="111">
        <v>45482</v>
      </c>
      <c r="M299" s="140">
        <f t="shared" si="21"/>
        <v>46577</v>
      </c>
      <c r="N299" s="111">
        <v>46181</v>
      </c>
      <c r="O299" s="111">
        <v>46181</v>
      </c>
      <c r="P299" s="111">
        <v>46181</v>
      </c>
      <c r="Q299" s="167" t="s">
        <v>70</v>
      </c>
      <c r="R299" s="167" t="s">
        <v>70</v>
      </c>
      <c r="S299" s="167" t="s">
        <v>70</v>
      </c>
      <c r="T299" s="167" t="s">
        <v>70</v>
      </c>
      <c r="U299" s="167" t="s">
        <v>70</v>
      </c>
      <c r="V299" s="167" t="s">
        <v>70</v>
      </c>
      <c r="W299" s="167" t="s">
        <v>70</v>
      </c>
      <c r="X299" s="167" t="s">
        <v>70</v>
      </c>
      <c r="Y299" s="167" t="s">
        <v>70</v>
      </c>
      <c r="Z299" s="167" t="s">
        <v>70</v>
      </c>
      <c r="AA299" s="167" t="s">
        <v>70</v>
      </c>
      <c r="AB299" s="167" t="s">
        <v>70</v>
      </c>
      <c r="AC299" s="167" t="s">
        <v>70</v>
      </c>
      <c r="AD299" s="167" t="s">
        <v>70</v>
      </c>
      <c r="AE299" s="167" t="s">
        <v>70</v>
      </c>
      <c r="AF299" s="167" t="s">
        <v>70</v>
      </c>
      <c r="AG299" s="167" t="s">
        <v>70</v>
      </c>
      <c r="AH299" s="167" t="s">
        <v>70</v>
      </c>
      <c r="AI299" s="111">
        <v>46255</v>
      </c>
      <c r="AJ299" s="166" t="s">
        <v>69</v>
      </c>
      <c r="AK299" s="167" t="s">
        <v>70</v>
      </c>
      <c r="AL299" s="167" t="s">
        <v>70</v>
      </c>
      <c r="AM299" s="167"/>
      <c r="AN299" s="167" t="s">
        <v>70</v>
      </c>
      <c r="AO299" s="167" t="s">
        <v>70</v>
      </c>
      <c r="AP299" s="167" t="s">
        <v>70</v>
      </c>
      <c r="AQ299" s="167" t="s">
        <v>70</v>
      </c>
      <c r="AR299" s="166" t="s">
        <v>69</v>
      </c>
      <c r="AS299" s="167" t="s">
        <v>70</v>
      </c>
      <c r="AT299" s="167" t="s">
        <v>70</v>
      </c>
      <c r="AU299" s="167" t="s">
        <v>70</v>
      </c>
      <c r="AV299" s="167" t="s">
        <v>70</v>
      </c>
      <c r="AW299" s="167" t="s">
        <v>70</v>
      </c>
      <c r="AX299" s="167" t="s">
        <v>70</v>
      </c>
      <c r="AY299" s="167" t="s">
        <v>70</v>
      </c>
      <c r="AZ299" s="167" t="s">
        <v>70</v>
      </c>
      <c r="BA299" s="167" t="s">
        <v>70</v>
      </c>
      <c r="BB299" s="167" t="s">
        <v>70</v>
      </c>
      <c r="BC299" s="167" t="s">
        <v>70</v>
      </c>
      <c r="BD299" s="167" t="s">
        <v>70</v>
      </c>
      <c r="BE299" s="167" t="s">
        <v>70</v>
      </c>
      <c r="BF299" s="167" t="s">
        <v>70</v>
      </c>
      <c r="BG299" s="167" t="s">
        <v>70</v>
      </c>
      <c r="BH299" s="167" t="s">
        <v>70</v>
      </c>
      <c r="BI299" s="167" t="s">
        <v>70</v>
      </c>
      <c r="BJ299" s="167" t="s">
        <v>70</v>
      </c>
      <c r="BK299" s="167" t="s">
        <v>70</v>
      </c>
      <c r="BL299" s="167" t="s">
        <v>70</v>
      </c>
      <c r="BM299" s="167" t="s">
        <v>70</v>
      </c>
      <c r="BN299" s="167" t="s">
        <v>70</v>
      </c>
      <c r="BO299" s="167" t="s">
        <v>70</v>
      </c>
      <c r="BP299" s="167" t="s">
        <v>70</v>
      </c>
      <c r="BQ299" s="151" t="s">
        <v>256</v>
      </c>
    </row>
    <row r="300" spans="1:69" s="151" customFormat="1" ht="19.5" customHeight="1" x14ac:dyDescent="0.2">
      <c r="A300" s="117">
        <v>297</v>
      </c>
      <c r="B300" s="194" t="s">
        <v>761</v>
      </c>
      <c r="C300" s="194">
        <v>241133</v>
      </c>
      <c r="D300" s="117" t="s">
        <v>212</v>
      </c>
      <c r="E300" s="117" t="s">
        <v>68</v>
      </c>
      <c r="F300" s="146" t="s">
        <v>256</v>
      </c>
      <c r="G300" s="124" t="s">
        <v>69</v>
      </c>
      <c r="H300" s="112" t="s">
        <v>504</v>
      </c>
      <c r="I300" s="172">
        <v>45483</v>
      </c>
      <c r="J300" s="92">
        <f t="shared" si="20"/>
        <v>46577</v>
      </c>
      <c r="K300" s="112" t="s">
        <v>505</v>
      </c>
      <c r="L300" s="111">
        <v>45482</v>
      </c>
      <c r="M300" s="140">
        <f t="shared" si="21"/>
        <v>46577</v>
      </c>
      <c r="N300" s="111">
        <v>46181</v>
      </c>
      <c r="O300" s="111">
        <v>46181</v>
      </c>
      <c r="P300" s="111">
        <v>45481</v>
      </c>
      <c r="Q300" s="167" t="s">
        <v>70</v>
      </c>
      <c r="R300" s="167" t="s">
        <v>70</v>
      </c>
      <c r="S300" s="167" t="s">
        <v>70</v>
      </c>
      <c r="T300" s="167" t="s">
        <v>70</v>
      </c>
      <c r="U300" s="167" t="s">
        <v>70</v>
      </c>
      <c r="V300" s="167" t="s">
        <v>70</v>
      </c>
      <c r="W300" s="167" t="s">
        <v>70</v>
      </c>
      <c r="X300" s="167" t="s">
        <v>70</v>
      </c>
      <c r="Y300" s="167" t="s">
        <v>70</v>
      </c>
      <c r="Z300" s="167" t="s">
        <v>70</v>
      </c>
      <c r="AA300" s="167" t="s">
        <v>70</v>
      </c>
      <c r="AB300" s="167" t="s">
        <v>70</v>
      </c>
      <c r="AC300" s="167" t="s">
        <v>70</v>
      </c>
      <c r="AD300" s="167" t="s">
        <v>70</v>
      </c>
      <c r="AE300" s="167" t="s">
        <v>70</v>
      </c>
      <c r="AF300" s="167" t="s">
        <v>70</v>
      </c>
      <c r="AG300" s="167" t="s">
        <v>70</v>
      </c>
      <c r="AH300" s="167" t="s">
        <v>70</v>
      </c>
      <c r="AI300" s="111">
        <v>46255</v>
      </c>
      <c r="AJ300" s="166" t="s">
        <v>69</v>
      </c>
      <c r="AK300" s="167" t="s">
        <v>70</v>
      </c>
      <c r="AL300" s="167" t="s">
        <v>70</v>
      </c>
      <c r="AM300" s="167"/>
      <c r="AN300" s="167" t="s">
        <v>70</v>
      </c>
      <c r="AO300" s="167" t="s">
        <v>70</v>
      </c>
      <c r="AP300" s="167" t="s">
        <v>70</v>
      </c>
      <c r="AQ300" s="167" t="s">
        <v>70</v>
      </c>
      <c r="AR300" s="166" t="s">
        <v>69</v>
      </c>
      <c r="AS300" s="167" t="s">
        <v>70</v>
      </c>
      <c r="AT300" s="167" t="s">
        <v>70</v>
      </c>
      <c r="AU300" s="167" t="s">
        <v>70</v>
      </c>
      <c r="AV300" s="167" t="s">
        <v>70</v>
      </c>
      <c r="AW300" s="167" t="s">
        <v>70</v>
      </c>
      <c r="AX300" s="167" t="s">
        <v>70</v>
      </c>
      <c r="AY300" s="167" t="s">
        <v>70</v>
      </c>
      <c r="AZ300" s="167" t="s">
        <v>70</v>
      </c>
      <c r="BA300" s="167" t="s">
        <v>70</v>
      </c>
      <c r="BB300" s="167" t="s">
        <v>70</v>
      </c>
      <c r="BC300" s="167" t="s">
        <v>70</v>
      </c>
      <c r="BD300" s="167" t="s">
        <v>70</v>
      </c>
      <c r="BE300" s="167" t="s">
        <v>70</v>
      </c>
      <c r="BF300" s="167" t="s">
        <v>70</v>
      </c>
      <c r="BG300" s="167" t="s">
        <v>70</v>
      </c>
      <c r="BH300" s="167" t="s">
        <v>70</v>
      </c>
      <c r="BI300" s="167" t="s">
        <v>70</v>
      </c>
      <c r="BJ300" s="167" t="s">
        <v>70</v>
      </c>
      <c r="BK300" s="167" t="s">
        <v>70</v>
      </c>
      <c r="BL300" s="167" t="s">
        <v>70</v>
      </c>
      <c r="BM300" s="167" t="s">
        <v>70</v>
      </c>
      <c r="BN300" s="167" t="s">
        <v>70</v>
      </c>
      <c r="BO300" s="167" t="s">
        <v>70</v>
      </c>
      <c r="BP300" s="167" t="s">
        <v>70</v>
      </c>
      <c r="BQ300" s="151" t="s">
        <v>256</v>
      </c>
    </row>
    <row r="301" spans="1:69" s="151" customFormat="1" ht="19.5" customHeight="1" x14ac:dyDescent="0.2">
      <c r="A301" s="117">
        <v>298</v>
      </c>
      <c r="B301" s="194" t="s">
        <v>762</v>
      </c>
      <c r="C301" s="194">
        <v>241136</v>
      </c>
      <c r="D301" s="117" t="s">
        <v>212</v>
      </c>
      <c r="E301" s="117" t="s">
        <v>68</v>
      </c>
      <c r="F301" s="146" t="s">
        <v>256</v>
      </c>
      <c r="G301" s="124" t="s">
        <v>69</v>
      </c>
      <c r="H301" s="112" t="s">
        <v>504</v>
      </c>
      <c r="I301" s="172">
        <v>45483</v>
      </c>
      <c r="J301" s="92">
        <f t="shared" si="20"/>
        <v>46577</v>
      </c>
      <c r="K301" s="112" t="s">
        <v>505</v>
      </c>
      <c r="L301" s="111">
        <v>45482</v>
      </c>
      <c r="M301" s="140">
        <f t="shared" si="21"/>
        <v>46577</v>
      </c>
      <c r="N301" s="111">
        <v>46181</v>
      </c>
      <c r="O301" s="111">
        <v>46181</v>
      </c>
      <c r="P301" s="111">
        <v>46181</v>
      </c>
      <c r="Q301" s="167" t="s">
        <v>70</v>
      </c>
      <c r="R301" s="167" t="s">
        <v>70</v>
      </c>
      <c r="S301" s="167" t="s">
        <v>70</v>
      </c>
      <c r="T301" s="167" t="s">
        <v>70</v>
      </c>
      <c r="U301" s="167" t="s">
        <v>70</v>
      </c>
      <c r="V301" s="167" t="s">
        <v>70</v>
      </c>
      <c r="W301" s="167" t="s">
        <v>70</v>
      </c>
      <c r="X301" s="167" t="s">
        <v>70</v>
      </c>
      <c r="Y301" s="167" t="s">
        <v>70</v>
      </c>
      <c r="Z301" s="167" t="s">
        <v>70</v>
      </c>
      <c r="AA301" s="167" t="s">
        <v>70</v>
      </c>
      <c r="AB301" s="167" t="s">
        <v>70</v>
      </c>
      <c r="AC301" s="167" t="s">
        <v>70</v>
      </c>
      <c r="AD301" s="167" t="s">
        <v>70</v>
      </c>
      <c r="AE301" s="167" t="s">
        <v>70</v>
      </c>
      <c r="AF301" s="167" t="s">
        <v>70</v>
      </c>
      <c r="AG301" s="167" t="s">
        <v>70</v>
      </c>
      <c r="AH301" s="167" t="s">
        <v>70</v>
      </c>
      <c r="AI301" s="111">
        <v>46065</v>
      </c>
      <c r="AJ301" s="166" t="s">
        <v>69</v>
      </c>
      <c r="AK301" s="167" t="s">
        <v>70</v>
      </c>
      <c r="AL301" s="167" t="s">
        <v>70</v>
      </c>
      <c r="AM301" s="167"/>
      <c r="AN301" s="167" t="s">
        <v>70</v>
      </c>
      <c r="AO301" s="167" t="s">
        <v>70</v>
      </c>
      <c r="AP301" s="167" t="s">
        <v>70</v>
      </c>
      <c r="AQ301" s="167" t="s">
        <v>70</v>
      </c>
      <c r="AR301" s="166" t="s">
        <v>69</v>
      </c>
      <c r="AS301" s="167" t="s">
        <v>70</v>
      </c>
      <c r="AT301" s="167" t="s">
        <v>70</v>
      </c>
      <c r="AU301" s="167" t="s">
        <v>70</v>
      </c>
      <c r="AV301" s="167" t="s">
        <v>70</v>
      </c>
      <c r="AW301" s="167" t="s">
        <v>70</v>
      </c>
      <c r="AX301" s="167" t="s">
        <v>70</v>
      </c>
      <c r="AY301" s="167" t="s">
        <v>70</v>
      </c>
      <c r="AZ301" s="167" t="s">
        <v>70</v>
      </c>
      <c r="BA301" s="167" t="s">
        <v>70</v>
      </c>
      <c r="BB301" s="167" t="s">
        <v>70</v>
      </c>
      <c r="BC301" s="167" t="s">
        <v>70</v>
      </c>
      <c r="BD301" s="167" t="s">
        <v>70</v>
      </c>
      <c r="BE301" s="167" t="s">
        <v>70</v>
      </c>
      <c r="BF301" s="167" t="s">
        <v>70</v>
      </c>
      <c r="BG301" s="167" t="s">
        <v>70</v>
      </c>
      <c r="BH301" s="167" t="s">
        <v>70</v>
      </c>
      <c r="BI301" s="167" t="s">
        <v>70</v>
      </c>
      <c r="BJ301" s="167" t="s">
        <v>70</v>
      </c>
      <c r="BK301" s="167" t="s">
        <v>70</v>
      </c>
      <c r="BL301" s="167" t="s">
        <v>70</v>
      </c>
      <c r="BM301" s="167" t="s">
        <v>70</v>
      </c>
      <c r="BN301" s="167" t="s">
        <v>70</v>
      </c>
      <c r="BO301" s="167" t="s">
        <v>70</v>
      </c>
      <c r="BP301" s="167" t="s">
        <v>70</v>
      </c>
      <c r="BQ301" s="151" t="s">
        <v>256</v>
      </c>
    </row>
    <row r="302" spans="1:69" s="151" customFormat="1" ht="19.5" customHeight="1" x14ac:dyDescent="0.2">
      <c r="A302" s="117">
        <v>299</v>
      </c>
      <c r="B302" s="194" t="s">
        <v>763</v>
      </c>
      <c r="C302" s="194">
        <v>241138</v>
      </c>
      <c r="D302" s="117" t="s">
        <v>212</v>
      </c>
      <c r="E302" s="117" t="s">
        <v>68</v>
      </c>
      <c r="F302" s="146" t="s">
        <v>256</v>
      </c>
      <c r="G302" s="124" t="s">
        <v>69</v>
      </c>
      <c r="H302" s="112" t="s">
        <v>504</v>
      </c>
      <c r="I302" s="172">
        <v>45483</v>
      </c>
      <c r="J302" s="92">
        <f t="shared" si="20"/>
        <v>46577</v>
      </c>
      <c r="K302" s="112" t="s">
        <v>505</v>
      </c>
      <c r="L302" s="111">
        <v>45482</v>
      </c>
      <c r="M302" s="140">
        <f t="shared" si="21"/>
        <v>46577</v>
      </c>
      <c r="N302" s="111">
        <v>46181</v>
      </c>
      <c r="O302" s="111">
        <v>46181</v>
      </c>
      <c r="P302" s="111">
        <v>46181</v>
      </c>
      <c r="Q302" s="167" t="s">
        <v>70</v>
      </c>
      <c r="R302" s="167" t="s">
        <v>70</v>
      </c>
      <c r="S302" s="167" t="s">
        <v>70</v>
      </c>
      <c r="T302" s="167" t="s">
        <v>70</v>
      </c>
      <c r="U302" s="167" t="s">
        <v>70</v>
      </c>
      <c r="V302" s="167" t="s">
        <v>70</v>
      </c>
      <c r="W302" s="167" t="s">
        <v>70</v>
      </c>
      <c r="X302" s="167" t="s">
        <v>70</v>
      </c>
      <c r="Y302" s="167" t="s">
        <v>70</v>
      </c>
      <c r="Z302" s="167" t="s">
        <v>70</v>
      </c>
      <c r="AA302" s="167" t="s">
        <v>70</v>
      </c>
      <c r="AB302" s="167" t="s">
        <v>70</v>
      </c>
      <c r="AC302" s="167" t="s">
        <v>70</v>
      </c>
      <c r="AD302" s="167" t="s">
        <v>70</v>
      </c>
      <c r="AE302" s="167" t="s">
        <v>70</v>
      </c>
      <c r="AF302" s="167" t="s">
        <v>70</v>
      </c>
      <c r="AG302" s="167" t="s">
        <v>70</v>
      </c>
      <c r="AH302" s="167" t="s">
        <v>70</v>
      </c>
      <c r="AI302" s="111">
        <v>46300</v>
      </c>
      <c r="AJ302" s="166" t="s">
        <v>69</v>
      </c>
      <c r="AK302" s="167" t="s">
        <v>70</v>
      </c>
      <c r="AL302" s="167" t="s">
        <v>70</v>
      </c>
      <c r="AM302" s="167"/>
      <c r="AN302" s="167" t="s">
        <v>70</v>
      </c>
      <c r="AO302" s="167" t="s">
        <v>70</v>
      </c>
      <c r="AP302" s="167" t="s">
        <v>70</v>
      </c>
      <c r="AQ302" s="167" t="s">
        <v>70</v>
      </c>
      <c r="AR302" s="166" t="s">
        <v>69</v>
      </c>
      <c r="AS302" s="167" t="s">
        <v>70</v>
      </c>
      <c r="AT302" s="167" t="s">
        <v>70</v>
      </c>
      <c r="AU302" s="167" t="s">
        <v>70</v>
      </c>
      <c r="AV302" s="167" t="s">
        <v>70</v>
      </c>
      <c r="AW302" s="167" t="s">
        <v>70</v>
      </c>
      <c r="AX302" s="167" t="s">
        <v>70</v>
      </c>
      <c r="AY302" s="167" t="s">
        <v>70</v>
      </c>
      <c r="AZ302" s="167" t="s">
        <v>70</v>
      </c>
      <c r="BA302" s="167" t="s">
        <v>70</v>
      </c>
      <c r="BB302" s="167" t="s">
        <v>70</v>
      </c>
      <c r="BC302" s="167" t="s">
        <v>70</v>
      </c>
      <c r="BD302" s="167" t="s">
        <v>70</v>
      </c>
      <c r="BE302" s="167" t="s">
        <v>70</v>
      </c>
      <c r="BF302" s="167" t="s">
        <v>70</v>
      </c>
      <c r="BG302" s="167" t="s">
        <v>70</v>
      </c>
      <c r="BH302" s="167" t="s">
        <v>70</v>
      </c>
      <c r="BI302" s="167" t="s">
        <v>70</v>
      </c>
      <c r="BJ302" s="167" t="s">
        <v>70</v>
      </c>
      <c r="BK302" s="167" t="s">
        <v>70</v>
      </c>
      <c r="BL302" s="167" t="s">
        <v>70</v>
      </c>
      <c r="BM302" s="167" t="s">
        <v>70</v>
      </c>
      <c r="BN302" s="167" t="s">
        <v>70</v>
      </c>
      <c r="BO302" s="167" t="s">
        <v>70</v>
      </c>
      <c r="BP302" s="167" t="s">
        <v>70</v>
      </c>
      <c r="BQ302" s="151" t="s">
        <v>256</v>
      </c>
    </row>
    <row r="303" spans="1:69" s="151" customFormat="1" ht="19.5" customHeight="1" x14ac:dyDescent="0.2">
      <c r="A303" s="117">
        <v>300</v>
      </c>
      <c r="B303" s="194" t="s">
        <v>764</v>
      </c>
      <c r="C303" s="194">
        <v>241134</v>
      </c>
      <c r="D303" s="117" t="s">
        <v>212</v>
      </c>
      <c r="E303" s="117" t="s">
        <v>68</v>
      </c>
      <c r="F303" s="146" t="s">
        <v>256</v>
      </c>
      <c r="G303" s="124" t="s">
        <v>69</v>
      </c>
      <c r="H303" s="112" t="s">
        <v>504</v>
      </c>
      <c r="I303" s="172">
        <v>45483</v>
      </c>
      <c r="J303" s="92">
        <f t="shared" si="20"/>
        <v>46577</v>
      </c>
      <c r="K303" s="112" t="s">
        <v>505</v>
      </c>
      <c r="L303" s="111">
        <v>45482</v>
      </c>
      <c r="M303" s="140">
        <f t="shared" si="21"/>
        <v>46577</v>
      </c>
      <c r="N303" s="111">
        <v>46181</v>
      </c>
      <c r="O303" s="111">
        <v>46181</v>
      </c>
      <c r="P303" s="111">
        <v>46181</v>
      </c>
      <c r="Q303" s="167" t="s">
        <v>70</v>
      </c>
      <c r="R303" s="167" t="s">
        <v>70</v>
      </c>
      <c r="S303" s="167" t="s">
        <v>70</v>
      </c>
      <c r="T303" s="167" t="s">
        <v>70</v>
      </c>
      <c r="U303" s="167" t="s">
        <v>70</v>
      </c>
      <c r="V303" s="167" t="s">
        <v>70</v>
      </c>
      <c r="W303" s="167" t="s">
        <v>70</v>
      </c>
      <c r="X303" s="167" t="s">
        <v>70</v>
      </c>
      <c r="Y303" s="167" t="s">
        <v>70</v>
      </c>
      <c r="Z303" s="167" t="s">
        <v>70</v>
      </c>
      <c r="AA303" s="167" t="s">
        <v>70</v>
      </c>
      <c r="AB303" s="167" t="s">
        <v>70</v>
      </c>
      <c r="AC303" s="167" t="s">
        <v>70</v>
      </c>
      <c r="AD303" s="167" t="s">
        <v>70</v>
      </c>
      <c r="AE303" s="167" t="s">
        <v>70</v>
      </c>
      <c r="AF303" s="167" t="s">
        <v>70</v>
      </c>
      <c r="AG303" s="167" t="s">
        <v>70</v>
      </c>
      <c r="AH303" s="167" t="s">
        <v>70</v>
      </c>
      <c r="AI303" s="111">
        <v>46272</v>
      </c>
      <c r="AJ303" s="166" t="s">
        <v>69</v>
      </c>
      <c r="AK303" s="167" t="s">
        <v>70</v>
      </c>
      <c r="AL303" s="167" t="s">
        <v>70</v>
      </c>
      <c r="AM303" s="167"/>
      <c r="AN303" s="167" t="s">
        <v>70</v>
      </c>
      <c r="AO303" s="167" t="s">
        <v>70</v>
      </c>
      <c r="AP303" s="167" t="s">
        <v>70</v>
      </c>
      <c r="AQ303" s="167" t="s">
        <v>70</v>
      </c>
      <c r="AR303" s="166" t="s">
        <v>69</v>
      </c>
      <c r="AS303" s="167" t="s">
        <v>70</v>
      </c>
      <c r="AT303" s="167" t="s">
        <v>70</v>
      </c>
      <c r="AU303" s="167" t="s">
        <v>70</v>
      </c>
      <c r="AV303" s="167" t="s">
        <v>70</v>
      </c>
      <c r="AW303" s="167" t="s">
        <v>70</v>
      </c>
      <c r="AX303" s="167" t="s">
        <v>70</v>
      </c>
      <c r="AY303" s="167" t="s">
        <v>70</v>
      </c>
      <c r="AZ303" s="167" t="s">
        <v>70</v>
      </c>
      <c r="BA303" s="167" t="s">
        <v>70</v>
      </c>
      <c r="BB303" s="167" t="s">
        <v>70</v>
      </c>
      <c r="BC303" s="167" t="s">
        <v>70</v>
      </c>
      <c r="BD303" s="167" t="s">
        <v>70</v>
      </c>
      <c r="BE303" s="167" t="s">
        <v>70</v>
      </c>
      <c r="BF303" s="167" t="s">
        <v>70</v>
      </c>
      <c r="BG303" s="167" t="s">
        <v>70</v>
      </c>
      <c r="BH303" s="167" t="s">
        <v>70</v>
      </c>
      <c r="BI303" s="167" t="s">
        <v>70</v>
      </c>
      <c r="BJ303" s="167" t="s">
        <v>70</v>
      </c>
      <c r="BK303" s="167" t="s">
        <v>70</v>
      </c>
      <c r="BL303" s="167" t="s">
        <v>70</v>
      </c>
      <c r="BM303" s="167" t="s">
        <v>70</v>
      </c>
      <c r="BN303" s="167" t="s">
        <v>70</v>
      </c>
      <c r="BO303" s="167" t="s">
        <v>70</v>
      </c>
      <c r="BP303" s="167" t="s">
        <v>70</v>
      </c>
      <c r="BQ303" s="151" t="s">
        <v>256</v>
      </c>
    </row>
    <row r="304" spans="1:69" s="151" customFormat="1" ht="19.5" customHeight="1" x14ac:dyDescent="0.2">
      <c r="A304" s="117">
        <v>301</v>
      </c>
      <c r="B304" s="117" t="s">
        <v>766</v>
      </c>
      <c r="C304" s="117">
        <v>241552</v>
      </c>
      <c r="D304" s="117" t="s">
        <v>212</v>
      </c>
      <c r="E304" s="117" t="s">
        <v>68</v>
      </c>
      <c r="F304" s="146" t="s">
        <v>256</v>
      </c>
      <c r="G304" s="124" t="s">
        <v>69</v>
      </c>
      <c r="H304" s="224" t="s">
        <v>767</v>
      </c>
      <c r="I304" s="111">
        <v>45525</v>
      </c>
      <c r="J304" s="92">
        <f t="shared" si="20"/>
        <v>46619</v>
      </c>
      <c r="K304" s="112" t="s">
        <v>768</v>
      </c>
      <c r="L304" s="111">
        <v>45524</v>
      </c>
      <c r="M304" s="140">
        <f t="shared" si="21"/>
        <v>46619</v>
      </c>
      <c r="N304" s="111">
        <v>46205</v>
      </c>
      <c r="O304" s="111">
        <v>46205</v>
      </c>
      <c r="P304" s="111">
        <v>46205</v>
      </c>
      <c r="Q304" s="167" t="s">
        <v>70</v>
      </c>
      <c r="R304" s="167" t="s">
        <v>70</v>
      </c>
      <c r="S304" s="167" t="s">
        <v>70</v>
      </c>
      <c r="T304" s="167" t="s">
        <v>70</v>
      </c>
      <c r="U304" s="167" t="s">
        <v>70</v>
      </c>
      <c r="V304" s="167" t="s">
        <v>70</v>
      </c>
      <c r="W304" s="167" t="s">
        <v>70</v>
      </c>
      <c r="X304" s="167" t="s">
        <v>70</v>
      </c>
      <c r="Y304" s="167" t="s">
        <v>70</v>
      </c>
      <c r="Z304" s="167" t="s">
        <v>70</v>
      </c>
      <c r="AA304" s="167" t="s">
        <v>70</v>
      </c>
      <c r="AB304" s="167" t="s">
        <v>70</v>
      </c>
      <c r="AC304" s="167" t="s">
        <v>70</v>
      </c>
      <c r="AD304" s="167" t="s">
        <v>70</v>
      </c>
      <c r="AE304" s="167" t="s">
        <v>70</v>
      </c>
      <c r="AF304" s="167" t="s">
        <v>70</v>
      </c>
      <c r="AG304" s="167" t="s">
        <v>70</v>
      </c>
      <c r="AH304" s="167" t="s">
        <v>70</v>
      </c>
      <c r="AI304" s="111">
        <v>45533</v>
      </c>
      <c r="AJ304" s="166" t="s">
        <v>69</v>
      </c>
      <c r="AK304" s="167" t="s">
        <v>70</v>
      </c>
      <c r="AL304" s="167" t="s">
        <v>70</v>
      </c>
      <c r="AM304" s="167"/>
      <c r="AN304" s="167" t="s">
        <v>70</v>
      </c>
      <c r="AO304" s="167" t="s">
        <v>70</v>
      </c>
      <c r="AP304" s="167" t="s">
        <v>70</v>
      </c>
      <c r="AQ304" s="167" t="s">
        <v>70</v>
      </c>
      <c r="AR304" s="166" t="s">
        <v>69</v>
      </c>
      <c r="AS304" s="167" t="s">
        <v>70</v>
      </c>
      <c r="AT304" s="167" t="s">
        <v>70</v>
      </c>
      <c r="AU304" s="167" t="s">
        <v>70</v>
      </c>
      <c r="AV304" s="167" t="s">
        <v>70</v>
      </c>
      <c r="AW304" s="167" t="s">
        <v>70</v>
      </c>
      <c r="AX304" s="167" t="s">
        <v>70</v>
      </c>
      <c r="AY304" s="167" t="s">
        <v>70</v>
      </c>
      <c r="AZ304" s="167" t="s">
        <v>70</v>
      </c>
      <c r="BA304" s="167" t="s">
        <v>70</v>
      </c>
      <c r="BB304" s="167" t="s">
        <v>70</v>
      </c>
      <c r="BC304" s="167" t="s">
        <v>70</v>
      </c>
      <c r="BD304" s="167" t="s">
        <v>70</v>
      </c>
      <c r="BE304" s="167" t="s">
        <v>70</v>
      </c>
      <c r="BF304" s="167" t="s">
        <v>70</v>
      </c>
      <c r="BG304" s="167" t="s">
        <v>70</v>
      </c>
      <c r="BH304" s="167" t="s">
        <v>70</v>
      </c>
      <c r="BI304" s="167" t="s">
        <v>70</v>
      </c>
      <c r="BJ304" s="167" t="s">
        <v>70</v>
      </c>
      <c r="BK304" s="167" t="s">
        <v>70</v>
      </c>
      <c r="BL304" s="167" t="s">
        <v>70</v>
      </c>
      <c r="BM304" s="167" t="s">
        <v>70</v>
      </c>
      <c r="BN304" s="167" t="s">
        <v>70</v>
      </c>
      <c r="BO304" s="167" t="s">
        <v>70</v>
      </c>
      <c r="BP304" s="167" t="s">
        <v>70</v>
      </c>
      <c r="BQ304" s="151" t="s">
        <v>256</v>
      </c>
    </row>
    <row r="305" spans="1:69" s="151" customFormat="1" ht="19.5" customHeight="1" x14ac:dyDescent="0.2">
      <c r="A305" s="117">
        <v>302</v>
      </c>
      <c r="B305" s="117" t="s">
        <v>769</v>
      </c>
      <c r="C305" s="117">
        <v>241553</v>
      </c>
      <c r="D305" s="117" t="s">
        <v>212</v>
      </c>
      <c r="E305" s="117" t="s">
        <v>68</v>
      </c>
      <c r="F305" s="146" t="s">
        <v>256</v>
      </c>
      <c r="G305" s="124" t="s">
        <v>69</v>
      </c>
      <c r="H305" s="225">
        <v>45525</v>
      </c>
      <c r="I305" s="111">
        <v>45525</v>
      </c>
      <c r="J305" s="92">
        <f t="shared" si="20"/>
        <v>46619</v>
      </c>
      <c r="K305" s="112">
        <v>45524</v>
      </c>
      <c r="L305" s="111">
        <v>45524</v>
      </c>
      <c r="M305" s="140">
        <f t="shared" si="21"/>
        <v>46619</v>
      </c>
      <c r="N305" s="112">
        <v>46205</v>
      </c>
      <c r="O305" s="112">
        <v>46205</v>
      </c>
      <c r="P305" s="112">
        <v>46205</v>
      </c>
      <c r="Q305" s="167" t="s">
        <v>70</v>
      </c>
      <c r="R305" s="167" t="s">
        <v>70</v>
      </c>
      <c r="S305" s="167" t="s">
        <v>70</v>
      </c>
      <c r="T305" s="167" t="s">
        <v>70</v>
      </c>
      <c r="U305" s="167" t="s">
        <v>70</v>
      </c>
      <c r="V305" s="167" t="s">
        <v>70</v>
      </c>
      <c r="W305" s="167" t="s">
        <v>70</v>
      </c>
      <c r="X305" s="167" t="s">
        <v>70</v>
      </c>
      <c r="Y305" s="167" t="s">
        <v>70</v>
      </c>
      <c r="Z305" s="167" t="s">
        <v>70</v>
      </c>
      <c r="AA305" s="167" t="s">
        <v>70</v>
      </c>
      <c r="AB305" s="167" t="s">
        <v>70</v>
      </c>
      <c r="AC305" s="167" t="s">
        <v>70</v>
      </c>
      <c r="AD305" s="167" t="s">
        <v>70</v>
      </c>
      <c r="AE305" s="167" t="s">
        <v>70</v>
      </c>
      <c r="AF305" s="167" t="s">
        <v>70</v>
      </c>
      <c r="AG305" s="167" t="s">
        <v>70</v>
      </c>
      <c r="AH305" s="167" t="s">
        <v>70</v>
      </c>
      <c r="AI305" s="111">
        <v>45533</v>
      </c>
      <c r="AJ305" s="166" t="s">
        <v>69</v>
      </c>
      <c r="AK305" s="167" t="s">
        <v>70</v>
      </c>
      <c r="AL305" s="167" t="s">
        <v>70</v>
      </c>
      <c r="AM305" s="167"/>
      <c r="AN305" s="167" t="s">
        <v>70</v>
      </c>
      <c r="AO305" s="167" t="s">
        <v>70</v>
      </c>
      <c r="AP305" s="167" t="s">
        <v>70</v>
      </c>
      <c r="AQ305" s="167" t="s">
        <v>70</v>
      </c>
      <c r="AR305" s="166" t="s">
        <v>69</v>
      </c>
      <c r="AS305" s="167" t="s">
        <v>70</v>
      </c>
      <c r="AT305" s="167" t="s">
        <v>70</v>
      </c>
      <c r="AU305" s="167" t="s">
        <v>70</v>
      </c>
      <c r="AV305" s="167" t="s">
        <v>70</v>
      </c>
      <c r="AW305" s="167" t="s">
        <v>70</v>
      </c>
      <c r="AX305" s="167" t="s">
        <v>70</v>
      </c>
      <c r="AY305" s="167" t="s">
        <v>70</v>
      </c>
      <c r="AZ305" s="167" t="s">
        <v>70</v>
      </c>
      <c r="BA305" s="167" t="s">
        <v>70</v>
      </c>
      <c r="BB305" s="167" t="s">
        <v>70</v>
      </c>
      <c r="BC305" s="167" t="s">
        <v>70</v>
      </c>
      <c r="BD305" s="167" t="s">
        <v>70</v>
      </c>
      <c r="BE305" s="167" t="s">
        <v>70</v>
      </c>
      <c r="BF305" s="167" t="s">
        <v>70</v>
      </c>
      <c r="BG305" s="167" t="s">
        <v>70</v>
      </c>
      <c r="BH305" s="167" t="s">
        <v>70</v>
      </c>
      <c r="BI305" s="167" t="s">
        <v>70</v>
      </c>
      <c r="BJ305" s="167" t="s">
        <v>70</v>
      </c>
      <c r="BK305" s="167" t="s">
        <v>70</v>
      </c>
      <c r="BL305" s="167" t="s">
        <v>70</v>
      </c>
      <c r="BM305" s="167" t="s">
        <v>70</v>
      </c>
      <c r="BN305" s="167" t="s">
        <v>70</v>
      </c>
      <c r="BO305" s="167" t="s">
        <v>70</v>
      </c>
      <c r="BP305" s="167" t="s">
        <v>70</v>
      </c>
      <c r="BQ305" s="151" t="s">
        <v>256</v>
      </c>
    </row>
    <row r="306" spans="1:69" s="151" customFormat="1" ht="19.5" customHeight="1" x14ac:dyDescent="0.2">
      <c r="A306" s="117">
        <v>303</v>
      </c>
      <c r="B306" s="117" t="s">
        <v>770</v>
      </c>
      <c r="C306" s="117">
        <v>241554</v>
      </c>
      <c r="D306" s="117" t="s">
        <v>212</v>
      </c>
      <c r="E306" s="117" t="s">
        <v>68</v>
      </c>
      <c r="F306" s="146" t="s">
        <v>256</v>
      </c>
      <c r="G306" s="124" t="s">
        <v>69</v>
      </c>
      <c r="H306" s="224" t="s">
        <v>767</v>
      </c>
      <c r="I306" s="111">
        <v>45525</v>
      </c>
      <c r="J306" s="92">
        <f t="shared" si="20"/>
        <v>46619</v>
      </c>
      <c r="K306" s="112" t="s">
        <v>768</v>
      </c>
      <c r="L306" s="111">
        <v>45524</v>
      </c>
      <c r="M306" s="140">
        <f t="shared" si="21"/>
        <v>46619</v>
      </c>
      <c r="N306" s="112">
        <v>46205</v>
      </c>
      <c r="O306" s="112">
        <v>46205</v>
      </c>
      <c r="P306" s="112">
        <v>46205</v>
      </c>
      <c r="Q306" s="167" t="s">
        <v>70</v>
      </c>
      <c r="R306" s="167" t="s">
        <v>70</v>
      </c>
      <c r="S306" s="167" t="s">
        <v>70</v>
      </c>
      <c r="T306" s="167" t="s">
        <v>70</v>
      </c>
      <c r="U306" s="167" t="s">
        <v>70</v>
      </c>
      <c r="V306" s="167" t="s">
        <v>70</v>
      </c>
      <c r="W306" s="167" t="s">
        <v>70</v>
      </c>
      <c r="X306" s="167" t="s">
        <v>70</v>
      </c>
      <c r="Y306" s="167" t="s">
        <v>70</v>
      </c>
      <c r="Z306" s="167" t="s">
        <v>70</v>
      </c>
      <c r="AA306" s="167" t="s">
        <v>70</v>
      </c>
      <c r="AB306" s="167" t="s">
        <v>70</v>
      </c>
      <c r="AC306" s="167" t="s">
        <v>70</v>
      </c>
      <c r="AD306" s="167" t="s">
        <v>70</v>
      </c>
      <c r="AE306" s="167" t="s">
        <v>70</v>
      </c>
      <c r="AF306" s="167" t="s">
        <v>70</v>
      </c>
      <c r="AG306" s="167" t="s">
        <v>70</v>
      </c>
      <c r="AH306" s="167" t="s">
        <v>70</v>
      </c>
      <c r="AI306" s="111">
        <v>45533</v>
      </c>
      <c r="AJ306" s="166" t="s">
        <v>69</v>
      </c>
      <c r="AK306" s="167" t="s">
        <v>70</v>
      </c>
      <c r="AL306" s="167" t="s">
        <v>70</v>
      </c>
      <c r="AM306" s="167"/>
      <c r="AN306" s="167" t="s">
        <v>70</v>
      </c>
      <c r="AO306" s="167" t="s">
        <v>70</v>
      </c>
      <c r="AP306" s="167" t="s">
        <v>70</v>
      </c>
      <c r="AQ306" s="167" t="s">
        <v>70</v>
      </c>
      <c r="AR306" s="166" t="s">
        <v>69</v>
      </c>
      <c r="AS306" s="167" t="s">
        <v>70</v>
      </c>
      <c r="AT306" s="167" t="s">
        <v>70</v>
      </c>
      <c r="AU306" s="167" t="s">
        <v>70</v>
      </c>
      <c r="AV306" s="167" t="s">
        <v>70</v>
      </c>
      <c r="AW306" s="167" t="s">
        <v>70</v>
      </c>
      <c r="AX306" s="167" t="s">
        <v>70</v>
      </c>
      <c r="AY306" s="167" t="s">
        <v>70</v>
      </c>
      <c r="AZ306" s="167" t="s">
        <v>70</v>
      </c>
      <c r="BA306" s="167" t="s">
        <v>70</v>
      </c>
      <c r="BB306" s="167" t="s">
        <v>70</v>
      </c>
      <c r="BC306" s="167" t="s">
        <v>70</v>
      </c>
      <c r="BD306" s="167" t="s">
        <v>70</v>
      </c>
      <c r="BE306" s="167" t="s">
        <v>70</v>
      </c>
      <c r="BF306" s="167" t="s">
        <v>70</v>
      </c>
      <c r="BG306" s="167" t="s">
        <v>70</v>
      </c>
      <c r="BH306" s="167" t="s">
        <v>70</v>
      </c>
      <c r="BI306" s="167" t="s">
        <v>70</v>
      </c>
      <c r="BJ306" s="167" t="s">
        <v>70</v>
      </c>
      <c r="BK306" s="167" t="s">
        <v>70</v>
      </c>
      <c r="BL306" s="167" t="s">
        <v>70</v>
      </c>
      <c r="BM306" s="167" t="s">
        <v>70</v>
      </c>
      <c r="BN306" s="167" t="s">
        <v>70</v>
      </c>
      <c r="BO306" s="167" t="s">
        <v>70</v>
      </c>
      <c r="BP306" s="167" t="s">
        <v>70</v>
      </c>
      <c r="BQ306" s="151" t="s">
        <v>256</v>
      </c>
    </row>
    <row r="307" spans="1:69" s="151" customFormat="1" ht="19.5" customHeight="1" x14ac:dyDescent="0.2">
      <c r="A307" s="117">
        <v>304</v>
      </c>
      <c r="B307" s="117" t="s">
        <v>771</v>
      </c>
      <c r="C307" s="117">
        <v>241555</v>
      </c>
      <c r="D307" s="117" t="s">
        <v>212</v>
      </c>
      <c r="E307" s="117" t="s">
        <v>68</v>
      </c>
      <c r="F307" s="146" t="s">
        <v>256</v>
      </c>
      <c r="G307" s="124" t="s">
        <v>69</v>
      </c>
      <c r="H307" s="224" t="s">
        <v>767</v>
      </c>
      <c r="I307" s="111">
        <v>45525</v>
      </c>
      <c r="J307" s="92">
        <f t="shared" si="20"/>
        <v>46619</v>
      </c>
      <c r="K307" s="112" t="s">
        <v>768</v>
      </c>
      <c r="L307" s="111">
        <v>45524</v>
      </c>
      <c r="M307" s="140">
        <f t="shared" si="21"/>
        <v>46619</v>
      </c>
      <c r="N307" s="112">
        <v>46205</v>
      </c>
      <c r="O307" s="112">
        <v>46205</v>
      </c>
      <c r="P307" s="112">
        <v>46205</v>
      </c>
      <c r="Q307" s="167" t="s">
        <v>70</v>
      </c>
      <c r="R307" s="167" t="s">
        <v>70</v>
      </c>
      <c r="S307" s="167" t="s">
        <v>70</v>
      </c>
      <c r="T307" s="167" t="s">
        <v>70</v>
      </c>
      <c r="U307" s="167" t="s">
        <v>70</v>
      </c>
      <c r="V307" s="167" t="s">
        <v>70</v>
      </c>
      <c r="W307" s="167" t="s">
        <v>70</v>
      </c>
      <c r="X307" s="167" t="s">
        <v>70</v>
      </c>
      <c r="Y307" s="167" t="s">
        <v>70</v>
      </c>
      <c r="Z307" s="167" t="s">
        <v>70</v>
      </c>
      <c r="AA307" s="167" t="s">
        <v>70</v>
      </c>
      <c r="AB307" s="167" t="s">
        <v>70</v>
      </c>
      <c r="AC307" s="167" t="s">
        <v>70</v>
      </c>
      <c r="AD307" s="167" t="s">
        <v>70</v>
      </c>
      <c r="AE307" s="167" t="s">
        <v>70</v>
      </c>
      <c r="AF307" s="167" t="s">
        <v>70</v>
      </c>
      <c r="AG307" s="167" t="s">
        <v>70</v>
      </c>
      <c r="AH307" s="167" t="s">
        <v>70</v>
      </c>
      <c r="AI307" s="111">
        <v>45533</v>
      </c>
      <c r="AJ307" s="166" t="s">
        <v>69</v>
      </c>
      <c r="AK307" s="167" t="s">
        <v>70</v>
      </c>
      <c r="AL307" s="167" t="s">
        <v>70</v>
      </c>
      <c r="AM307" s="167"/>
      <c r="AN307" s="167" t="s">
        <v>70</v>
      </c>
      <c r="AO307" s="167" t="s">
        <v>70</v>
      </c>
      <c r="AP307" s="167" t="s">
        <v>70</v>
      </c>
      <c r="AQ307" s="167" t="s">
        <v>70</v>
      </c>
      <c r="AR307" s="166" t="s">
        <v>69</v>
      </c>
      <c r="AS307" s="167" t="s">
        <v>70</v>
      </c>
      <c r="AT307" s="167" t="s">
        <v>70</v>
      </c>
      <c r="AU307" s="167" t="s">
        <v>70</v>
      </c>
      <c r="AV307" s="167" t="s">
        <v>70</v>
      </c>
      <c r="AW307" s="167" t="s">
        <v>70</v>
      </c>
      <c r="AX307" s="167" t="s">
        <v>70</v>
      </c>
      <c r="AY307" s="167" t="s">
        <v>70</v>
      </c>
      <c r="AZ307" s="167" t="s">
        <v>70</v>
      </c>
      <c r="BA307" s="167" t="s">
        <v>70</v>
      </c>
      <c r="BB307" s="167" t="s">
        <v>70</v>
      </c>
      <c r="BC307" s="167" t="s">
        <v>70</v>
      </c>
      <c r="BD307" s="167" t="s">
        <v>70</v>
      </c>
      <c r="BE307" s="167" t="s">
        <v>70</v>
      </c>
      <c r="BF307" s="167" t="s">
        <v>70</v>
      </c>
      <c r="BG307" s="167" t="s">
        <v>70</v>
      </c>
      <c r="BH307" s="167" t="s">
        <v>70</v>
      </c>
      <c r="BI307" s="167" t="s">
        <v>70</v>
      </c>
      <c r="BJ307" s="167" t="s">
        <v>70</v>
      </c>
      <c r="BK307" s="167" t="s">
        <v>70</v>
      </c>
      <c r="BL307" s="167" t="s">
        <v>70</v>
      </c>
      <c r="BM307" s="167" t="s">
        <v>70</v>
      </c>
      <c r="BN307" s="167" t="s">
        <v>70</v>
      </c>
      <c r="BO307" s="167" t="s">
        <v>70</v>
      </c>
      <c r="BP307" s="167" t="s">
        <v>70</v>
      </c>
      <c r="BQ307" s="151" t="s">
        <v>256</v>
      </c>
    </row>
    <row r="308" spans="1:69" s="151" customFormat="1" ht="19.5" customHeight="1" x14ac:dyDescent="0.2">
      <c r="A308" s="117">
        <v>305</v>
      </c>
      <c r="B308" s="117" t="s">
        <v>772</v>
      </c>
      <c r="C308" s="117">
        <v>241556</v>
      </c>
      <c r="D308" s="117" t="s">
        <v>212</v>
      </c>
      <c r="E308" s="117" t="s">
        <v>68</v>
      </c>
      <c r="F308" s="146" t="s">
        <v>256</v>
      </c>
      <c r="G308" s="124" t="s">
        <v>69</v>
      </c>
      <c r="H308" s="224" t="s">
        <v>767</v>
      </c>
      <c r="I308" s="111">
        <v>45525</v>
      </c>
      <c r="J308" s="92">
        <f t="shared" si="20"/>
        <v>46619</v>
      </c>
      <c r="K308" s="112" t="s">
        <v>768</v>
      </c>
      <c r="L308" s="111">
        <v>45524</v>
      </c>
      <c r="M308" s="140">
        <f t="shared" si="21"/>
        <v>46619</v>
      </c>
      <c r="N308" s="112">
        <v>46205</v>
      </c>
      <c r="O308" s="112">
        <v>46205</v>
      </c>
      <c r="P308" s="111">
        <v>45523</v>
      </c>
      <c r="Q308" s="167" t="s">
        <v>70</v>
      </c>
      <c r="R308" s="167" t="s">
        <v>70</v>
      </c>
      <c r="S308" s="167" t="s">
        <v>70</v>
      </c>
      <c r="T308" s="167" t="s">
        <v>70</v>
      </c>
      <c r="U308" s="167" t="s">
        <v>70</v>
      </c>
      <c r="V308" s="167" t="s">
        <v>70</v>
      </c>
      <c r="W308" s="167" t="s">
        <v>70</v>
      </c>
      <c r="X308" s="167" t="s">
        <v>70</v>
      </c>
      <c r="Y308" s="167" t="s">
        <v>70</v>
      </c>
      <c r="Z308" s="167" t="s">
        <v>70</v>
      </c>
      <c r="AA308" s="167" t="s">
        <v>70</v>
      </c>
      <c r="AB308" s="167" t="s">
        <v>70</v>
      </c>
      <c r="AC308" s="167" t="s">
        <v>70</v>
      </c>
      <c r="AD308" s="167" t="s">
        <v>70</v>
      </c>
      <c r="AE308" s="167" t="s">
        <v>70</v>
      </c>
      <c r="AF308" s="167" t="s">
        <v>70</v>
      </c>
      <c r="AG308" s="167" t="s">
        <v>70</v>
      </c>
      <c r="AH308" s="167" t="s">
        <v>70</v>
      </c>
      <c r="AI308" s="111">
        <v>45533</v>
      </c>
      <c r="AJ308" s="166" t="s">
        <v>69</v>
      </c>
      <c r="AK308" s="167" t="s">
        <v>70</v>
      </c>
      <c r="AL308" s="167" t="s">
        <v>70</v>
      </c>
      <c r="AM308" s="167"/>
      <c r="AN308" s="167" t="s">
        <v>70</v>
      </c>
      <c r="AO308" s="167" t="s">
        <v>70</v>
      </c>
      <c r="AP308" s="167" t="s">
        <v>70</v>
      </c>
      <c r="AQ308" s="167" t="s">
        <v>70</v>
      </c>
      <c r="AR308" s="166" t="s">
        <v>69</v>
      </c>
      <c r="AS308" s="167" t="s">
        <v>70</v>
      </c>
      <c r="AT308" s="167" t="s">
        <v>70</v>
      </c>
      <c r="AU308" s="167" t="s">
        <v>70</v>
      </c>
      <c r="AV308" s="167" t="s">
        <v>70</v>
      </c>
      <c r="AW308" s="167" t="s">
        <v>70</v>
      </c>
      <c r="AX308" s="167" t="s">
        <v>70</v>
      </c>
      <c r="AY308" s="167" t="s">
        <v>70</v>
      </c>
      <c r="AZ308" s="167" t="s">
        <v>70</v>
      </c>
      <c r="BA308" s="167" t="s">
        <v>70</v>
      </c>
      <c r="BB308" s="167" t="s">
        <v>70</v>
      </c>
      <c r="BC308" s="167" t="s">
        <v>70</v>
      </c>
      <c r="BD308" s="167" t="s">
        <v>70</v>
      </c>
      <c r="BE308" s="167" t="s">
        <v>70</v>
      </c>
      <c r="BF308" s="167" t="s">
        <v>70</v>
      </c>
      <c r="BG308" s="167" t="s">
        <v>70</v>
      </c>
      <c r="BH308" s="167" t="s">
        <v>70</v>
      </c>
      <c r="BI308" s="167" t="s">
        <v>70</v>
      </c>
      <c r="BJ308" s="167" t="s">
        <v>70</v>
      </c>
      <c r="BK308" s="167" t="s">
        <v>70</v>
      </c>
      <c r="BL308" s="167" t="s">
        <v>70</v>
      </c>
      <c r="BM308" s="167" t="s">
        <v>70</v>
      </c>
      <c r="BN308" s="167" t="s">
        <v>70</v>
      </c>
      <c r="BO308" s="167" t="s">
        <v>70</v>
      </c>
      <c r="BP308" s="167" t="s">
        <v>70</v>
      </c>
      <c r="BQ308" s="151" t="s">
        <v>256</v>
      </c>
    </row>
    <row r="309" spans="1:69" s="151" customFormat="1" ht="19.5" customHeight="1" x14ac:dyDescent="0.2">
      <c r="A309" s="117">
        <v>306</v>
      </c>
      <c r="B309" s="117" t="s">
        <v>773</v>
      </c>
      <c r="C309" s="117">
        <v>241557</v>
      </c>
      <c r="D309" s="117" t="s">
        <v>212</v>
      </c>
      <c r="E309" s="117" t="s">
        <v>68</v>
      </c>
      <c r="F309" s="146" t="s">
        <v>256</v>
      </c>
      <c r="G309" s="124" t="s">
        <v>69</v>
      </c>
      <c r="H309" s="224" t="s">
        <v>767</v>
      </c>
      <c r="I309" s="111">
        <v>45525</v>
      </c>
      <c r="J309" s="92">
        <f t="shared" si="20"/>
        <v>46619</v>
      </c>
      <c r="K309" s="112" t="s">
        <v>768</v>
      </c>
      <c r="L309" s="111">
        <v>45524</v>
      </c>
      <c r="M309" s="140">
        <f t="shared" si="21"/>
        <v>46619</v>
      </c>
      <c r="N309" s="112">
        <v>46205</v>
      </c>
      <c r="O309" s="112">
        <v>46205</v>
      </c>
      <c r="P309" s="112">
        <v>46205</v>
      </c>
      <c r="Q309" s="167" t="s">
        <v>70</v>
      </c>
      <c r="R309" s="167" t="s">
        <v>70</v>
      </c>
      <c r="S309" s="167" t="s">
        <v>70</v>
      </c>
      <c r="T309" s="167" t="s">
        <v>70</v>
      </c>
      <c r="U309" s="167" t="s">
        <v>70</v>
      </c>
      <c r="V309" s="167" t="s">
        <v>70</v>
      </c>
      <c r="W309" s="167" t="s">
        <v>70</v>
      </c>
      <c r="X309" s="167" t="s">
        <v>70</v>
      </c>
      <c r="Y309" s="167" t="s">
        <v>70</v>
      </c>
      <c r="Z309" s="167" t="s">
        <v>70</v>
      </c>
      <c r="AA309" s="167" t="s">
        <v>70</v>
      </c>
      <c r="AB309" s="167" t="s">
        <v>70</v>
      </c>
      <c r="AC309" s="167" t="s">
        <v>70</v>
      </c>
      <c r="AD309" s="167" t="s">
        <v>70</v>
      </c>
      <c r="AE309" s="167" t="s">
        <v>70</v>
      </c>
      <c r="AF309" s="167" t="s">
        <v>70</v>
      </c>
      <c r="AG309" s="167" t="s">
        <v>70</v>
      </c>
      <c r="AH309" s="167" t="s">
        <v>70</v>
      </c>
      <c r="AI309" s="111">
        <v>45533</v>
      </c>
      <c r="AJ309" s="166" t="s">
        <v>69</v>
      </c>
      <c r="AK309" s="167" t="s">
        <v>70</v>
      </c>
      <c r="AL309" s="167" t="s">
        <v>70</v>
      </c>
      <c r="AM309" s="167"/>
      <c r="AN309" s="167" t="s">
        <v>70</v>
      </c>
      <c r="AO309" s="167" t="s">
        <v>70</v>
      </c>
      <c r="AP309" s="167" t="s">
        <v>70</v>
      </c>
      <c r="AQ309" s="167" t="s">
        <v>70</v>
      </c>
      <c r="AR309" s="166" t="s">
        <v>69</v>
      </c>
      <c r="AS309" s="167" t="s">
        <v>70</v>
      </c>
      <c r="AT309" s="167" t="s">
        <v>70</v>
      </c>
      <c r="AU309" s="167" t="s">
        <v>70</v>
      </c>
      <c r="AV309" s="167" t="s">
        <v>70</v>
      </c>
      <c r="AW309" s="167" t="s">
        <v>70</v>
      </c>
      <c r="AX309" s="167" t="s">
        <v>70</v>
      </c>
      <c r="AY309" s="167" t="s">
        <v>70</v>
      </c>
      <c r="AZ309" s="167" t="s">
        <v>70</v>
      </c>
      <c r="BA309" s="167" t="s">
        <v>70</v>
      </c>
      <c r="BB309" s="167" t="s">
        <v>70</v>
      </c>
      <c r="BC309" s="167" t="s">
        <v>70</v>
      </c>
      <c r="BD309" s="167" t="s">
        <v>70</v>
      </c>
      <c r="BE309" s="167" t="s">
        <v>70</v>
      </c>
      <c r="BF309" s="167" t="s">
        <v>70</v>
      </c>
      <c r="BG309" s="167" t="s">
        <v>70</v>
      </c>
      <c r="BH309" s="167" t="s">
        <v>70</v>
      </c>
      <c r="BI309" s="167" t="s">
        <v>70</v>
      </c>
      <c r="BJ309" s="167" t="s">
        <v>70</v>
      </c>
      <c r="BK309" s="167" t="s">
        <v>70</v>
      </c>
      <c r="BL309" s="167" t="s">
        <v>70</v>
      </c>
      <c r="BM309" s="167" t="s">
        <v>70</v>
      </c>
      <c r="BN309" s="167" t="s">
        <v>70</v>
      </c>
      <c r="BO309" s="167" t="s">
        <v>70</v>
      </c>
      <c r="BP309" s="167" t="s">
        <v>70</v>
      </c>
      <c r="BQ309" s="151" t="s">
        <v>256</v>
      </c>
    </row>
    <row r="310" spans="1:69" s="151" customFormat="1" ht="19.5" customHeight="1" x14ac:dyDescent="0.2">
      <c r="A310" s="117">
        <v>307</v>
      </c>
      <c r="B310" s="117" t="s">
        <v>774</v>
      </c>
      <c r="C310" s="117">
        <v>241559</v>
      </c>
      <c r="D310" s="117" t="s">
        <v>212</v>
      </c>
      <c r="E310" s="117" t="s">
        <v>68</v>
      </c>
      <c r="F310" s="146" t="s">
        <v>256</v>
      </c>
      <c r="G310" s="124" t="s">
        <v>69</v>
      </c>
      <c r="H310" s="224" t="s">
        <v>767</v>
      </c>
      <c r="I310" s="111">
        <v>45525</v>
      </c>
      <c r="J310" s="92">
        <f t="shared" si="20"/>
        <v>46619</v>
      </c>
      <c r="K310" s="112" t="s">
        <v>768</v>
      </c>
      <c r="L310" s="111">
        <v>45524</v>
      </c>
      <c r="M310" s="140">
        <f t="shared" si="21"/>
        <v>46619</v>
      </c>
      <c r="N310" s="112">
        <v>46205</v>
      </c>
      <c r="O310" s="112">
        <v>46205</v>
      </c>
      <c r="P310" s="112">
        <v>46205</v>
      </c>
      <c r="Q310" s="167" t="s">
        <v>70</v>
      </c>
      <c r="R310" s="167" t="s">
        <v>70</v>
      </c>
      <c r="S310" s="167" t="s">
        <v>70</v>
      </c>
      <c r="T310" s="167" t="s">
        <v>70</v>
      </c>
      <c r="U310" s="167" t="s">
        <v>70</v>
      </c>
      <c r="V310" s="167" t="s">
        <v>70</v>
      </c>
      <c r="W310" s="167" t="s">
        <v>70</v>
      </c>
      <c r="X310" s="167" t="s">
        <v>70</v>
      </c>
      <c r="Y310" s="167" t="s">
        <v>70</v>
      </c>
      <c r="Z310" s="167" t="s">
        <v>70</v>
      </c>
      <c r="AA310" s="167" t="s">
        <v>70</v>
      </c>
      <c r="AB310" s="167" t="s">
        <v>70</v>
      </c>
      <c r="AC310" s="167" t="s">
        <v>70</v>
      </c>
      <c r="AD310" s="167" t="s">
        <v>70</v>
      </c>
      <c r="AE310" s="167" t="s">
        <v>70</v>
      </c>
      <c r="AF310" s="167" t="s">
        <v>70</v>
      </c>
      <c r="AG310" s="167" t="s">
        <v>70</v>
      </c>
      <c r="AH310" s="167" t="s">
        <v>70</v>
      </c>
      <c r="AI310" s="111">
        <v>45533</v>
      </c>
      <c r="AJ310" s="166" t="s">
        <v>69</v>
      </c>
      <c r="AK310" s="167" t="s">
        <v>70</v>
      </c>
      <c r="AL310" s="167" t="s">
        <v>70</v>
      </c>
      <c r="AM310" s="167"/>
      <c r="AN310" s="167" t="s">
        <v>70</v>
      </c>
      <c r="AO310" s="167" t="s">
        <v>70</v>
      </c>
      <c r="AP310" s="167" t="s">
        <v>70</v>
      </c>
      <c r="AQ310" s="167" t="s">
        <v>70</v>
      </c>
      <c r="AR310" s="166" t="s">
        <v>69</v>
      </c>
      <c r="AS310" s="167" t="s">
        <v>70</v>
      </c>
      <c r="AT310" s="167" t="s">
        <v>70</v>
      </c>
      <c r="AU310" s="167" t="s">
        <v>70</v>
      </c>
      <c r="AV310" s="167" t="s">
        <v>70</v>
      </c>
      <c r="AW310" s="167" t="s">
        <v>70</v>
      </c>
      <c r="AX310" s="167" t="s">
        <v>70</v>
      </c>
      <c r="AY310" s="167" t="s">
        <v>70</v>
      </c>
      <c r="AZ310" s="167" t="s">
        <v>70</v>
      </c>
      <c r="BA310" s="167" t="s">
        <v>70</v>
      </c>
      <c r="BB310" s="167" t="s">
        <v>70</v>
      </c>
      <c r="BC310" s="167" t="s">
        <v>70</v>
      </c>
      <c r="BD310" s="167" t="s">
        <v>70</v>
      </c>
      <c r="BE310" s="167" t="s">
        <v>70</v>
      </c>
      <c r="BF310" s="167" t="s">
        <v>70</v>
      </c>
      <c r="BG310" s="167" t="s">
        <v>70</v>
      </c>
      <c r="BH310" s="167" t="s">
        <v>70</v>
      </c>
      <c r="BI310" s="167" t="s">
        <v>70</v>
      </c>
      <c r="BJ310" s="167" t="s">
        <v>70</v>
      </c>
      <c r="BK310" s="167" t="s">
        <v>70</v>
      </c>
      <c r="BL310" s="167" t="s">
        <v>70</v>
      </c>
      <c r="BM310" s="167" t="s">
        <v>70</v>
      </c>
      <c r="BN310" s="167" t="s">
        <v>70</v>
      </c>
      <c r="BO310" s="167" t="s">
        <v>70</v>
      </c>
      <c r="BP310" s="167" t="s">
        <v>70</v>
      </c>
      <c r="BQ310" s="151" t="s">
        <v>256</v>
      </c>
    </row>
    <row r="311" spans="1:69" s="151" customFormat="1" ht="19.5" customHeight="1" x14ac:dyDescent="0.2">
      <c r="A311" s="117">
        <v>308</v>
      </c>
      <c r="B311" s="117" t="s">
        <v>775</v>
      </c>
      <c r="C311" s="117">
        <v>241560</v>
      </c>
      <c r="D311" s="117" t="s">
        <v>212</v>
      </c>
      <c r="E311" s="117" t="s">
        <v>68</v>
      </c>
      <c r="F311" s="146" t="s">
        <v>256</v>
      </c>
      <c r="G311" s="124" t="s">
        <v>69</v>
      </c>
      <c r="H311" s="224" t="s">
        <v>767</v>
      </c>
      <c r="I311" s="111">
        <v>45525</v>
      </c>
      <c r="J311" s="92">
        <f t="shared" si="20"/>
        <v>46619</v>
      </c>
      <c r="K311" s="112" t="s">
        <v>768</v>
      </c>
      <c r="L311" s="111">
        <v>45524</v>
      </c>
      <c r="M311" s="140">
        <f t="shared" si="21"/>
        <v>46619</v>
      </c>
      <c r="N311" s="112">
        <v>46205</v>
      </c>
      <c r="O311" s="112">
        <v>46205</v>
      </c>
      <c r="P311" s="112">
        <v>46205</v>
      </c>
      <c r="Q311" s="167" t="s">
        <v>70</v>
      </c>
      <c r="R311" s="167" t="s">
        <v>70</v>
      </c>
      <c r="S311" s="167" t="s">
        <v>70</v>
      </c>
      <c r="T311" s="167" t="s">
        <v>70</v>
      </c>
      <c r="U311" s="167" t="s">
        <v>70</v>
      </c>
      <c r="V311" s="167" t="s">
        <v>70</v>
      </c>
      <c r="W311" s="167" t="s">
        <v>70</v>
      </c>
      <c r="X311" s="167" t="s">
        <v>70</v>
      </c>
      <c r="Y311" s="167" t="s">
        <v>70</v>
      </c>
      <c r="Z311" s="167" t="s">
        <v>70</v>
      </c>
      <c r="AA311" s="167" t="s">
        <v>70</v>
      </c>
      <c r="AB311" s="167" t="s">
        <v>70</v>
      </c>
      <c r="AC311" s="167" t="s">
        <v>70</v>
      </c>
      <c r="AD311" s="167" t="s">
        <v>70</v>
      </c>
      <c r="AE311" s="167" t="s">
        <v>70</v>
      </c>
      <c r="AF311" s="167" t="s">
        <v>70</v>
      </c>
      <c r="AG311" s="167" t="s">
        <v>70</v>
      </c>
      <c r="AH311" s="167" t="s">
        <v>70</v>
      </c>
      <c r="AI311" s="111">
        <v>45533</v>
      </c>
      <c r="AJ311" s="166" t="s">
        <v>69</v>
      </c>
      <c r="AK311" s="167" t="s">
        <v>70</v>
      </c>
      <c r="AL311" s="167" t="s">
        <v>70</v>
      </c>
      <c r="AM311" s="167"/>
      <c r="AN311" s="167" t="s">
        <v>70</v>
      </c>
      <c r="AO311" s="167" t="s">
        <v>70</v>
      </c>
      <c r="AP311" s="167" t="s">
        <v>70</v>
      </c>
      <c r="AQ311" s="167" t="s">
        <v>70</v>
      </c>
      <c r="AR311" s="166" t="s">
        <v>69</v>
      </c>
      <c r="AS311" s="167" t="s">
        <v>70</v>
      </c>
      <c r="AT311" s="167" t="s">
        <v>70</v>
      </c>
      <c r="AU311" s="167" t="s">
        <v>70</v>
      </c>
      <c r="AV311" s="167" t="s">
        <v>70</v>
      </c>
      <c r="AW311" s="167" t="s">
        <v>70</v>
      </c>
      <c r="AX311" s="167" t="s">
        <v>70</v>
      </c>
      <c r="AY311" s="167" t="s">
        <v>70</v>
      </c>
      <c r="AZ311" s="167" t="s">
        <v>70</v>
      </c>
      <c r="BA311" s="167" t="s">
        <v>70</v>
      </c>
      <c r="BB311" s="167" t="s">
        <v>70</v>
      </c>
      <c r="BC311" s="167" t="s">
        <v>70</v>
      </c>
      <c r="BD311" s="167" t="s">
        <v>70</v>
      </c>
      <c r="BE311" s="167" t="s">
        <v>70</v>
      </c>
      <c r="BF311" s="167" t="s">
        <v>70</v>
      </c>
      <c r="BG311" s="167" t="s">
        <v>70</v>
      </c>
      <c r="BH311" s="167" t="s">
        <v>70</v>
      </c>
      <c r="BI311" s="167" t="s">
        <v>70</v>
      </c>
      <c r="BJ311" s="167" t="s">
        <v>70</v>
      </c>
      <c r="BK311" s="167" t="s">
        <v>70</v>
      </c>
      <c r="BL311" s="167" t="s">
        <v>70</v>
      </c>
      <c r="BM311" s="167" t="s">
        <v>70</v>
      </c>
      <c r="BN311" s="167" t="s">
        <v>70</v>
      </c>
      <c r="BO311" s="167" t="s">
        <v>70</v>
      </c>
      <c r="BP311" s="167" t="s">
        <v>70</v>
      </c>
      <c r="BQ311" s="151" t="s">
        <v>256</v>
      </c>
    </row>
    <row r="312" spans="1:69" s="151" customFormat="1" ht="19.5" customHeight="1" x14ac:dyDescent="0.2">
      <c r="A312" s="117">
        <v>309</v>
      </c>
      <c r="B312" s="117" t="s">
        <v>776</v>
      </c>
      <c r="C312" s="117">
        <v>241561</v>
      </c>
      <c r="D312" s="117" t="s">
        <v>212</v>
      </c>
      <c r="E312" s="117" t="s">
        <v>68</v>
      </c>
      <c r="F312" s="146" t="s">
        <v>256</v>
      </c>
      <c r="G312" s="124" t="s">
        <v>69</v>
      </c>
      <c r="H312" s="224" t="s">
        <v>767</v>
      </c>
      <c r="I312" s="111">
        <v>45525</v>
      </c>
      <c r="J312" s="92">
        <f t="shared" si="20"/>
        <v>46619</v>
      </c>
      <c r="K312" s="112" t="s">
        <v>768</v>
      </c>
      <c r="L312" s="111">
        <v>45524</v>
      </c>
      <c r="M312" s="140">
        <f t="shared" si="21"/>
        <v>46619</v>
      </c>
      <c r="N312" s="112">
        <v>46205</v>
      </c>
      <c r="O312" s="112">
        <v>46205</v>
      </c>
      <c r="P312" s="112">
        <v>46205</v>
      </c>
      <c r="Q312" s="167" t="s">
        <v>70</v>
      </c>
      <c r="R312" s="167" t="s">
        <v>70</v>
      </c>
      <c r="S312" s="167" t="s">
        <v>70</v>
      </c>
      <c r="T312" s="167" t="s">
        <v>70</v>
      </c>
      <c r="U312" s="167" t="s">
        <v>70</v>
      </c>
      <c r="V312" s="167" t="s">
        <v>70</v>
      </c>
      <c r="W312" s="167" t="s">
        <v>70</v>
      </c>
      <c r="X312" s="167" t="s">
        <v>70</v>
      </c>
      <c r="Y312" s="167" t="s">
        <v>70</v>
      </c>
      <c r="Z312" s="167" t="s">
        <v>70</v>
      </c>
      <c r="AA312" s="167" t="s">
        <v>70</v>
      </c>
      <c r="AB312" s="167" t="s">
        <v>70</v>
      </c>
      <c r="AC312" s="167" t="s">
        <v>70</v>
      </c>
      <c r="AD312" s="167" t="s">
        <v>70</v>
      </c>
      <c r="AE312" s="167" t="s">
        <v>70</v>
      </c>
      <c r="AF312" s="167" t="s">
        <v>70</v>
      </c>
      <c r="AG312" s="167" t="s">
        <v>70</v>
      </c>
      <c r="AH312" s="167" t="s">
        <v>70</v>
      </c>
      <c r="AI312" s="111">
        <v>45533</v>
      </c>
      <c r="AJ312" s="166" t="s">
        <v>69</v>
      </c>
      <c r="AK312" s="167" t="s">
        <v>70</v>
      </c>
      <c r="AL312" s="167" t="s">
        <v>70</v>
      </c>
      <c r="AM312" s="167"/>
      <c r="AN312" s="167" t="s">
        <v>70</v>
      </c>
      <c r="AO312" s="167" t="s">
        <v>70</v>
      </c>
      <c r="AP312" s="167" t="s">
        <v>70</v>
      </c>
      <c r="AQ312" s="167" t="s">
        <v>70</v>
      </c>
      <c r="AR312" s="166" t="s">
        <v>69</v>
      </c>
      <c r="AS312" s="167" t="s">
        <v>70</v>
      </c>
      <c r="AT312" s="167" t="s">
        <v>70</v>
      </c>
      <c r="AU312" s="167" t="s">
        <v>70</v>
      </c>
      <c r="AV312" s="167" t="s">
        <v>70</v>
      </c>
      <c r="AW312" s="167" t="s">
        <v>70</v>
      </c>
      <c r="AX312" s="167" t="s">
        <v>70</v>
      </c>
      <c r="AY312" s="167" t="s">
        <v>70</v>
      </c>
      <c r="AZ312" s="167" t="s">
        <v>70</v>
      </c>
      <c r="BA312" s="167" t="s">
        <v>70</v>
      </c>
      <c r="BB312" s="167" t="s">
        <v>70</v>
      </c>
      <c r="BC312" s="167" t="s">
        <v>70</v>
      </c>
      <c r="BD312" s="167" t="s">
        <v>70</v>
      </c>
      <c r="BE312" s="167" t="s">
        <v>70</v>
      </c>
      <c r="BF312" s="167" t="s">
        <v>70</v>
      </c>
      <c r="BG312" s="167" t="s">
        <v>70</v>
      </c>
      <c r="BH312" s="167" t="s">
        <v>70</v>
      </c>
      <c r="BI312" s="167" t="s">
        <v>70</v>
      </c>
      <c r="BJ312" s="167" t="s">
        <v>70</v>
      </c>
      <c r="BK312" s="167" t="s">
        <v>70</v>
      </c>
      <c r="BL312" s="167" t="s">
        <v>70</v>
      </c>
      <c r="BM312" s="167" t="s">
        <v>70</v>
      </c>
      <c r="BN312" s="167" t="s">
        <v>70</v>
      </c>
      <c r="BO312" s="167" t="s">
        <v>70</v>
      </c>
      <c r="BP312" s="167" t="s">
        <v>70</v>
      </c>
      <c r="BQ312" s="151" t="s">
        <v>256</v>
      </c>
    </row>
    <row r="313" spans="1:69" s="151" customFormat="1" ht="20.25" customHeight="1" x14ac:dyDescent="0.2">
      <c r="A313" s="117">
        <v>310</v>
      </c>
      <c r="B313" s="117" t="s">
        <v>777</v>
      </c>
      <c r="C313" s="117">
        <v>241562</v>
      </c>
      <c r="D313" s="117" t="s">
        <v>212</v>
      </c>
      <c r="E313" s="117" t="s">
        <v>68</v>
      </c>
      <c r="F313" s="146" t="s">
        <v>256</v>
      </c>
      <c r="G313" s="124" t="s">
        <v>69</v>
      </c>
      <c r="H313" s="224" t="s">
        <v>767</v>
      </c>
      <c r="I313" s="111">
        <v>45525</v>
      </c>
      <c r="J313" s="92">
        <f t="shared" si="20"/>
        <v>46619</v>
      </c>
      <c r="K313" s="112" t="s">
        <v>768</v>
      </c>
      <c r="L313" s="111">
        <v>45524</v>
      </c>
      <c r="M313" s="140">
        <f t="shared" si="21"/>
        <v>46619</v>
      </c>
      <c r="N313" s="112">
        <v>46205</v>
      </c>
      <c r="O313" s="112">
        <v>46205</v>
      </c>
      <c r="P313" s="112">
        <v>46205</v>
      </c>
      <c r="Q313" s="167" t="s">
        <v>70</v>
      </c>
      <c r="R313" s="167" t="s">
        <v>70</v>
      </c>
      <c r="S313" s="167" t="s">
        <v>70</v>
      </c>
      <c r="T313" s="167" t="s">
        <v>70</v>
      </c>
      <c r="U313" s="167" t="s">
        <v>70</v>
      </c>
      <c r="V313" s="167" t="s">
        <v>70</v>
      </c>
      <c r="W313" s="167" t="s">
        <v>70</v>
      </c>
      <c r="X313" s="167" t="s">
        <v>70</v>
      </c>
      <c r="Y313" s="167" t="s">
        <v>70</v>
      </c>
      <c r="Z313" s="167" t="s">
        <v>70</v>
      </c>
      <c r="AA313" s="167" t="s">
        <v>70</v>
      </c>
      <c r="AB313" s="167" t="s">
        <v>70</v>
      </c>
      <c r="AC313" s="167" t="s">
        <v>70</v>
      </c>
      <c r="AD313" s="167" t="s">
        <v>70</v>
      </c>
      <c r="AE313" s="167" t="s">
        <v>70</v>
      </c>
      <c r="AF313" s="167" t="s">
        <v>70</v>
      </c>
      <c r="AG313" s="167" t="s">
        <v>70</v>
      </c>
      <c r="AH313" s="167" t="s">
        <v>70</v>
      </c>
      <c r="AI313" s="111">
        <v>45533</v>
      </c>
      <c r="AJ313" s="166" t="s">
        <v>69</v>
      </c>
      <c r="AK313" s="167" t="s">
        <v>70</v>
      </c>
      <c r="AL313" s="167" t="s">
        <v>70</v>
      </c>
      <c r="AM313" s="167"/>
      <c r="AN313" s="167" t="s">
        <v>70</v>
      </c>
      <c r="AO313" s="167" t="s">
        <v>70</v>
      </c>
      <c r="AP313" s="167" t="s">
        <v>70</v>
      </c>
      <c r="AQ313" s="167" t="s">
        <v>70</v>
      </c>
      <c r="AR313" s="166" t="s">
        <v>69</v>
      </c>
      <c r="AS313" s="167" t="s">
        <v>70</v>
      </c>
      <c r="AT313" s="167" t="s">
        <v>70</v>
      </c>
      <c r="AU313" s="167" t="s">
        <v>70</v>
      </c>
      <c r="AV313" s="167" t="s">
        <v>70</v>
      </c>
      <c r="AW313" s="167" t="s">
        <v>70</v>
      </c>
      <c r="AX313" s="167" t="s">
        <v>70</v>
      </c>
      <c r="AY313" s="167" t="s">
        <v>70</v>
      </c>
      <c r="AZ313" s="167" t="s">
        <v>70</v>
      </c>
      <c r="BA313" s="167" t="s">
        <v>70</v>
      </c>
      <c r="BB313" s="167" t="s">
        <v>70</v>
      </c>
      <c r="BC313" s="167" t="s">
        <v>70</v>
      </c>
      <c r="BD313" s="167" t="s">
        <v>70</v>
      </c>
      <c r="BE313" s="167" t="s">
        <v>70</v>
      </c>
      <c r="BF313" s="167" t="s">
        <v>70</v>
      </c>
      <c r="BG313" s="167" t="s">
        <v>70</v>
      </c>
      <c r="BH313" s="167" t="s">
        <v>70</v>
      </c>
      <c r="BI313" s="167" t="s">
        <v>70</v>
      </c>
      <c r="BJ313" s="167" t="s">
        <v>70</v>
      </c>
      <c r="BK313" s="167" t="s">
        <v>70</v>
      </c>
      <c r="BL313" s="167" t="s">
        <v>70</v>
      </c>
      <c r="BM313" s="167" t="s">
        <v>70</v>
      </c>
      <c r="BN313" s="167" t="s">
        <v>70</v>
      </c>
      <c r="BO313" s="167" t="s">
        <v>70</v>
      </c>
      <c r="BP313" s="167" t="s">
        <v>70</v>
      </c>
      <c r="BQ313" s="151" t="s">
        <v>256</v>
      </c>
    </row>
    <row r="314" spans="1:69" s="151" customFormat="1" ht="19.5" customHeight="1" x14ac:dyDescent="0.2">
      <c r="A314" s="117">
        <v>311</v>
      </c>
      <c r="B314" s="117" t="s">
        <v>788</v>
      </c>
      <c r="C314" s="117">
        <v>242165</v>
      </c>
      <c r="D314" s="117" t="s">
        <v>212</v>
      </c>
      <c r="E314" s="117" t="s">
        <v>68</v>
      </c>
      <c r="F314" s="146" t="s">
        <v>256</v>
      </c>
      <c r="G314" s="124" t="s">
        <v>69</v>
      </c>
      <c r="H314" s="172">
        <v>45581</v>
      </c>
      <c r="I314" s="172">
        <v>45581</v>
      </c>
      <c r="J314" s="92">
        <f t="shared" si="20"/>
        <v>46675</v>
      </c>
      <c r="K314" s="111">
        <v>45580</v>
      </c>
      <c r="L314" s="111">
        <v>45580</v>
      </c>
      <c r="M314" s="140">
        <f t="shared" si="21"/>
        <v>46675</v>
      </c>
      <c r="N314" s="111">
        <v>46273</v>
      </c>
      <c r="O314" s="111">
        <v>46273</v>
      </c>
      <c r="P314" s="111">
        <v>45580</v>
      </c>
      <c r="Q314" s="167" t="s">
        <v>70</v>
      </c>
      <c r="R314" s="167" t="s">
        <v>70</v>
      </c>
      <c r="S314" s="167" t="s">
        <v>70</v>
      </c>
      <c r="T314" s="167" t="s">
        <v>70</v>
      </c>
      <c r="U314" s="167" t="s">
        <v>70</v>
      </c>
      <c r="V314" s="167" t="s">
        <v>70</v>
      </c>
      <c r="W314" s="167" t="s">
        <v>70</v>
      </c>
      <c r="X314" s="167" t="s">
        <v>70</v>
      </c>
      <c r="Y314" s="167" t="s">
        <v>70</v>
      </c>
      <c r="Z314" s="167" t="s">
        <v>70</v>
      </c>
      <c r="AA314" s="167" t="s">
        <v>70</v>
      </c>
      <c r="AB314" s="167" t="s">
        <v>70</v>
      </c>
      <c r="AC314" s="167" t="s">
        <v>70</v>
      </c>
      <c r="AD314" s="167" t="s">
        <v>70</v>
      </c>
      <c r="AE314" s="167" t="s">
        <v>70</v>
      </c>
      <c r="AF314" s="167" t="s">
        <v>70</v>
      </c>
      <c r="AG314" s="167" t="s">
        <v>70</v>
      </c>
      <c r="AH314" s="167" t="s">
        <v>70</v>
      </c>
      <c r="AI314" s="111">
        <v>45673</v>
      </c>
      <c r="AJ314" s="166" t="s">
        <v>69</v>
      </c>
      <c r="AK314" s="167" t="s">
        <v>70</v>
      </c>
      <c r="AL314" s="167" t="s">
        <v>70</v>
      </c>
      <c r="AM314" s="167"/>
      <c r="AN314" s="167" t="s">
        <v>70</v>
      </c>
      <c r="AO314" s="167" t="s">
        <v>70</v>
      </c>
      <c r="AP314" s="167" t="s">
        <v>70</v>
      </c>
      <c r="AQ314" s="167" t="s">
        <v>70</v>
      </c>
      <c r="AR314" s="166" t="s">
        <v>69</v>
      </c>
      <c r="AS314" s="167" t="s">
        <v>70</v>
      </c>
      <c r="AT314" s="167" t="s">
        <v>70</v>
      </c>
      <c r="AU314" s="167" t="s">
        <v>70</v>
      </c>
      <c r="AV314" s="167" t="s">
        <v>70</v>
      </c>
      <c r="AW314" s="167" t="s">
        <v>70</v>
      </c>
      <c r="AX314" s="167" t="s">
        <v>70</v>
      </c>
      <c r="AY314" s="167" t="s">
        <v>70</v>
      </c>
      <c r="AZ314" s="167" t="s">
        <v>70</v>
      </c>
      <c r="BA314" s="167" t="s">
        <v>70</v>
      </c>
      <c r="BB314" s="167" t="s">
        <v>70</v>
      </c>
      <c r="BC314" s="167" t="s">
        <v>70</v>
      </c>
      <c r="BD314" s="167" t="s">
        <v>70</v>
      </c>
      <c r="BE314" s="167" t="s">
        <v>70</v>
      </c>
      <c r="BF314" s="167" t="s">
        <v>70</v>
      </c>
      <c r="BG314" s="167" t="s">
        <v>70</v>
      </c>
      <c r="BH314" s="167" t="s">
        <v>70</v>
      </c>
      <c r="BI314" s="167" t="s">
        <v>70</v>
      </c>
      <c r="BJ314" s="167" t="s">
        <v>70</v>
      </c>
      <c r="BK314" s="167" t="s">
        <v>70</v>
      </c>
      <c r="BL314" s="167" t="s">
        <v>70</v>
      </c>
      <c r="BM314" s="167" t="s">
        <v>70</v>
      </c>
      <c r="BN314" s="167" t="s">
        <v>70</v>
      </c>
      <c r="BO314" s="167" t="s">
        <v>70</v>
      </c>
      <c r="BP314" s="167" t="s">
        <v>70</v>
      </c>
      <c r="BQ314" s="151" t="s">
        <v>256</v>
      </c>
    </row>
    <row r="315" spans="1:69" s="151" customFormat="1" ht="19.5" customHeight="1" x14ac:dyDescent="0.2">
      <c r="A315" s="117">
        <v>312</v>
      </c>
      <c r="B315" s="117" t="s">
        <v>789</v>
      </c>
      <c r="C315" s="117">
        <v>242159</v>
      </c>
      <c r="D315" s="117" t="s">
        <v>212</v>
      </c>
      <c r="E315" s="117" t="s">
        <v>68</v>
      </c>
      <c r="F315" s="146" t="s">
        <v>256</v>
      </c>
      <c r="G315" s="124" t="s">
        <v>69</v>
      </c>
      <c r="H315" s="172">
        <v>45581</v>
      </c>
      <c r="I315" s="172">
        <v>45581</v>
      </c>
      <c r="J315" s="92">
        <f t="shared" si="20"/>
        <v>46675</v>
      </c>
      <c r="K315" s="111">
        <v>45580</v>
      </c>
      <c r="L315" s="111">
        <v>45580</v>
      </c>
      <c r="M315" s="140">
        <f t="shared" si="21"/>
        <v>46675</v>
      </c>
      <c r="N315" s="111">
        <v>46273</v>
      </c>
      <c r="O315" s="111">
        <v>46273</v>
      </c>
      <c r="P315" s="111">
        <v>46273</v>
      </c>
      <c r="Q315" s="167" t="s">
        <v>70</v>
      </c>
      <c r="R315" s="167" t="s">
        <v>70</v>
      </c>
      <c r="S315" s="167" t="s">
        <v>70</v>
      </c>
      <c r="T315" s="167" t="s">
        <v>70</v>
      </c>
      <c r="U315" s="167" t="s">
        <v>70</v>
      </c>
      <c r="V315" s="167" t="s">
        <v>70</v>
      </c>
      <c r="W315" s="167" t="s">
        <v>70</v>
      </c>
      <c r="X315" s="167" t="s">
        <v>70</v>
      </c>
      <c r="Y315" s="167" t="s">
        <v>70</v>
      </c>
      <c r="Z315" s="167" t="s">
        <v>70</v>
      </c>
      <c r="AA315" s="167" t="s">
        <v>70</v>
      </c>
      <c r="AB315" s="167" t="s">
        <v>70</v>
      </c>
      <c r="AC315" s="167" t="s">
        <v>70</v>
      </c>
      <c r="AD315" s="167" t="s">
        <v>70</v>
      </c>
      <c r="AE315" s="167" t="s">
        <v>70</v>
      </c>
      <c r="AF315" s="167" t="s">
        <v>70</v>
      </c>
      <c r="AG315" s="167" t="s">
        <v>70</v>
      </c>
      <c r="AH315" s="167" t="s">
        <v>70</v>
      </c>
      <c r="AI315" s="111">
        <v>45680</v>
      </c>
      <c r="AJ315" s="166" t="s">
        <v>69</v>
      </c>
      <c r="AK315" s="167" t="s">
        <v>70</v>
      </c>
      <c r="AL315" s="167" t="s">
        <v>70</v>
      </c>
      <c r="AM315" s="167"/>
      <c r="AN315" s="167" t="s">
        <v>70</v>
      </c>
      <c r="AO315" s="167" t="s">
        <v>70</v>
      </c>
      <c r="AP315" s="167" t="s">
        <v>70</v>
      </c>
      <c r="AQ315" s="167" t="s">
        <v>70</v>
      </c>
      <c r="AR315" s="166" t="s">
        <v>69</v>
      </c>
      <c r="AS315" s="167" t="s">
        <v>70</v>
      </c>
      <c r="AT315" s="167" t="s">
        <v>70</v>
      </c>
      <c r="AU315" s="167" t="s">
        <v>70</v>
      </c>
      <c r="AV315" s="167" t="s">
        <v>70</v>
      </c>
      <c r="AW315" s="167" t="s">
        <v>70</v>
      </c>
      <c r="AX315" s="167" t="s">
        <v>70</v>
      </c>
      <c r="AY315" s="167" t="s">
        <v>70</v>
      </c>
      <c r="AZ315" s="167" t="s">
        <v>70</v>
      </c>
      <c r="BA315" s="167" t="s">
        <v>70</v>
      </c>
      <c r="BB315" s="167" t="s">
        <v>70</v>
      </c>
      <c r="BC315" s="167" t="s">
        <v>70</v>
      </c>
      <c r="BD315" s="167" t="s">
        <v>70</v>
      </c>
      <c r="BE315" s="167" t="s">
        <v>70</v>
      </c>
      <c r="BF315" s="167" t="s">
        <v>70</v>
      </c>
      <c r="BG315" s="167" t="s">
        <v>70</v>
      </c>
      <c r="BH315" s="167" t="s">
        <v>70</v>
      </c>
      <c r="BI315" s="167" t="s">
        <v>70</v>
      </c>
      <c r="BJ315" s="167" t="s">
        <v>70</v>
      </c>
      <c r="BK315" s="167" t="s">
        <v>70</v>
      </c>
      <c r="BL315" s="167" t="s">
        <v>70</v>
      </c>
      <c r="BM315" s="167" t="s">
        <v>70</v>
      </c>
      <c r="BN315" s="167" t="s">
        <v>70</v>
      </c>
      <c r="BO315" s="167" t="s">
        <v>70</v>
      </c>
      <c r="BP315" s="167" t="s">
        <v>70</v>
      </c>
      <c r="BQ315" s="151" t="s">
        <v>256</v>
      </c>
    </row>
    <row r="316" spans="1:69" s="151" customFormat="1" ht="19.5" customHeight="1" x14ac:dyDescent="0.2">
      <c r="A316" s="117">
        <v>313</v>
      </c>
      <c r="B316" s="117" t="s">
        <v>790</v>
      </c>
      <c r="C316" s="117">
        <v>242184</v>
      </c>
      <c r="D316" s="117" t="s">
        <v>212</v>
      </c>
      <c r="E316" s="117" t="s">
        <v>68</v>
      </c>
      <c r="F316" s="146" t="s">
        <v>256</v>
      </c>
      <c r="G316" s="124" t="s">
        <v>69</v>
      </c>
      <c r="H316" s="172"/>
      <c r="I316" s="172"/>
      <c r="J316" s="92" t="str">
        <f t="shared" si="20"/>
        <v/>
      </c>
      <c r="K316" s="111"/>
      <c r="L316" s="111"/>
      <c r="M316" s="140" t="str">
        <f t="shared" si="21"/>
        <v/>
      </c>
      <c r="N316" s="111">
        <v>46300</v>
      </c>
      <c r="O316" s="111"/>
      <c r="P316" s="111">
        <v>46273</v>
      </c>
      <c r="Q316" s="167" t="s">
        <v>70</v>
      </c>
      <c r="R316" s="167" t="s">
        <v>70</v>
      </c>
      <c r="S316" s="167" t="s">
        <v>70</v>
      </c>
      <c r="T316" s="167" t="s">
        <v>70</v>
      </c>
      <c r="U316" s="167" t="s">
        <v>70</v>
      </c>
      <c r="V316" s="167" t="s">
        <v>70</v>
      </c>
      <c r="W316" s="167" t="s">
        <v>70</v>
      </c>
      <c r="X316" s="167" t="s">
        <v>70</v>
      </c>
      <c r="Y316" s="167" t="s">
        <v>70</v>
      </c>
      <c r="Z316" s="167" t="s">
        <v>70</v>
      </c>
      <c r="AA316" s="167" t="s">
        <v>70</v>
      </c>
      <c r="AB316" s="167" t="s">
        <v>70</v>
      </c>
      <c r="AC316" s="167" t="s">
        <v>70</v>
      </c>
      <c r="AD316" s="167" t="s">
        <v>70</v>
      </c>
      <c r="AE316" s="167" t="s">
        <v>70</v>
      </c>
      <c r="AF316" s="167" t="s">
        <v>70</v>
      </c>
      <c r="AG316" s="167" t="s">
        <v>70</v>
      </c>
      <c r="AH316" s="167" t="s">
        <v>70</v>
      </c>
      <c r="AI316" s="111">
        <v>45673</v>
      </c>
      <c r="AJ316" s="166" t="s">
        <v>69</v>
      </c>
      <c r="AK316" s="167" t="s">
        <v>70</v>
      </c>
      <c r="AL316" s="167" t="s">
        <v>70</v>
      </c>
      <c r="AM316" s="167"/>
      <c r="AN316" s="167" t="s">
        <v>70</v>
      </c>
      <c r="AO316" s="167" t="s">
        <v>70</v>
      </c>
      <c r="AP316" s="167" t="s">
        <v>70</v>
      </c>
      <c r="AQ316" s="167" t="s">
        <v>70</v>
      </c>
      <c r="AR316" s="166" t="s">
        <v>69</v>
      </c>
      <c r="AS316" s="167" t="s">
        <v>70</v>
      </c>
      <c r="AT316" s="167" t="s">
        <v>70</v>
      </c>
      <c r="AU316" s="167" t="s">
        <v>70</v>
      </c>
      <c r="AV316" s="167" t="s">
        <v>70</v>
      </c>
      <c r="AW316" s="167" t="s">
        <v>70</v>
      </c>
      <c r="AX316" s="167" t="s">
        <v>70</v>
      </c>
      <c r="AY316" s="167" t="s">
        <v>70</v>
      </c>
      <c r="AZ316" s="167" t="s">
        <v>70</v>
      </c>
      <c r="BA316" s="167" t="s">
        <v>70</v>
      </c>
      <c r="BB316" s="167" t="s">
        <v>70</v>
      </c>
      <c r="BC316" s="167" t="s">
        <v>70</v>
      </c>
      <c r="BD316" s="167" t="s">
        <v>70</v>
      </c>
      <c r="BE316" s="167" t="s">
        <v>70</v>
      </c>
      <c r="BF316" s="167" t="s">
        <v>70</v>
      </c>
      <c r="BG316" s="167" t="s">
        <v>70</v>
      </c>
      <c r="BH316" s="167" t="s">
        <v>70</v>
      </c>
      <c r="BI316" s="167" t="s">
        <v>70</v>
      </c>
      <c r="BJ316" s="167" t="s">
        <v>70</v>
      </c>
      <c r="BK316" s="167" t="s">
        <v>70</v>
      </c>
      <c r="BL316" s="167" t="s">
        <v>70</v>
      </c>
      <c r="BM316" s="167" t="s">
        <v>70</v>
      </c>
      <c r="BN316" s="167" t="s">
        <v>70</v>
      </c>
      <c r="BO316" s="167" t="s">
        <v>70</v>
      </c>
      <c r="BP316" s="167" t="s">
        <v>70</v>
      </c>
      <c r="BQ316" s="151" t="s">
        <v>256</v>
      </c>
    </row>
    <row r="317" spans="1:69" s="151" customFormat="1" ht="19.5" customHeight="1" x14ac:dyDescent="0.2">
      <c r="A317" s="117">
        <v>314</v>
      </c>
      <c r="B317" s="117" t="s">
        <v>791</v>
      </c>
      <c r="C317" s="117">
        <v>242185</v>
      </c>
      <c r="D317" s="117" t="s">
        <v>212</v>
      </c>
      <c r="E317" s="117" t="s">
        <v>68</v>
      </c>
      <c r="F317" s="146" t="s">
        <v>256</v>
      </c>
      <c r="G317" s="124" t="s">
        <v>69</v>
      </c>
      <c r="H317" s="124" t="s">
        <v>792</v>
      </c>
      <c r="I317" s="172">
        <v>45595</v>
      </c>
      <c r="J317" s="92">
        <f>IF(I317="", "", DATE(YEAR(I317)+3, MONTH(I317), DAY(I317)))</f>
        <v>46690</v>
      </c>
      <c r="K317" s="112" t="s">
        <v>793</v>
      </c>
      <c r="L317" s="111">
        <v>45594</v>
      </c>
      <c r="M317" s="140">
        <f t="shared" si="21"/>
        <v>46689</v>
      </c>
      <c r="N317" s="112">
        <v>46300</v>
      </c>
      <c r="O317" s="112">
        <v>46273</v>
      </c>
      <c r="P317" s="112">
        <v>46273</v>
      </c>
      <c r="Q317" s="167" t="s">
        <v>70</v>
      </c>
      <c r="R317" s="167" t="s">
        <v>70</v>
      </c>
      <c r="S317" s="167" t="s">
        <v>70</v>
      </c>
      <c r="T317" s="167" t="s">
        <v>70</v>
      </c>
      <c r="U317" s="167" t="s">
        <v>70</v>
      </c>
      <c r="V317" s="167" t="s">
        <v>70</v>
      </c>
      <c r="W317" s="167" t="s">
        <v>70</v>
      </c>
      <c r="X317" s="167" t="s">
        <v>70</v>
      </c>
      <c r="Y317" s="167" t="s">
        <v>70</v>
      </c>
      <c r="Z317" s="167" t="s">
        <v>70</v>
      </c>
      <c r="AA317" s="167" t="s">
        <v>70</v>
      </c>
      <c r="AB317" s="167" t="s">
        <v>70</v>
      </c>
      <c r="AC317" s="167" t="s">
        <v>70</v>
      </c>
      <c r="AD317" s="167" t="s">
        <v>70</v>
      </c>
      <c r="AE317" s="167" t="s">
        <v>70</v>
      </c>
      <c r="AF317" s="167" t="s">
        <v>70</v>
      </c>
      <c r="AG317" s="167" t="s">
        <v>70</v>
      </c>
      <c r="AH317" s="167" t="s">
        <v>70</v>
      </c>
      <c r="AI317" s="111">
        <v>45673</v>
      </c>
      <c r="AJ317" s="166" t="s">
        <v>69</v>
      </c>
      <c r="AK317" s="167" t="s">
        <v>70</v>
      </c>
      <c r="AL317" s="167" t="s">
        <v>70</v>
      </c>
      <c r="AM317" s="167"/>
      <c r="AN317" s="167" t="s">
        <v>70</v>
      </c>
      <c r="AO317" s="167" t="s">
        <v>70</v>
      </c>
      <c r="AP317" s="167" t="s">
        <v>70</v>
      </c>
      <c r="AQ317" s="167" t="s">
        <v>70</v>
      </c>
      <c r="AR317" s="166" t="s">
        <v>69</v>
      </c>
      <c r="AS317" s="167" t="s">
        <v>70</v>
      </c>
      <c r="AT317" s="167" t="s">
        <v>70</v>
      </c>
      <c r="AU317" s="167" t="s">
        <v>70</v>
      </c>
      <c r="AV317" s="167" t="s">
        <v>70</v>
      </c>
      <c r="AW317" s="167" t="s">
        <v>70</v>
      </c>
      <c r="AX317" s="167" t="s">
        <v>70</v>
      </c>
      <c r="AY317" s="167" t="s">
        <v>70</v>
      </c>
      <c r="AZ317" s="167" t="s">
        <v>70</v>
      </c>
      <c r="BA317" s="167" t="s">
        <v>70</v>
      </c>
      <c r="BB317" s="167" t="s">
        <v>70</v>
      </c>
      <c r="BC317" s="167" t="s">
        <v>70</v>
      </c>
      <c r="BD317" s="167" t="s">
        <v>70</v>
      </c>
      <c r="BE317" s="167" t="s">
        <v>70</v>
      </c>
      <c r="BF317" s="167" t="s">
        <v>70</v>
      </c>
      <c r="BG317" s="167" t="s">
        <v>70</v>
      </c>
      <c r="BH317" s="167" t="s">
        <v>70</v>
      </c>
      <c r="BI317" s="167" t="s">
        <v>70</v>
      </c>
      <c r="BJ317" s="167" t="s">
        <v>70</v>
      </c>
      <c r="BK317" s="167" t="s">
        <v>70</v>
      </c>
      <c r="BL317" s="167" t="s">
        <v>70</v>
      </c>
      <c r="BM317" s="167" t="s">
        <v>70</v>
      </c>
      <c r="BN317" s="167" t="s">
        <v>70</v>
      </c>
      <c r="BO317" s="167" t="s">
        <v>70</v>
      </c>
      <c r="BP317" s="167" t="s">
        <v>70</v>
      </c>
      <c r="BQ317" s="151" t="s">
        <v>256</v>
      </c>
    </row>
    <row r="318" spans="1:69" s="151" customFormat="1" ht="19.5" customHeight="1" x14ac:dyDescent="0.2">
      <c r="A318" s="117">
        <v>315</v>
      </c>
      <c r="B318" s="117" t="s">
        <v>795</v>
      </c>
      <c r="C318" s="117">
        <v>242186</v>
      </c>
      <c r="D318" s="117" t="s">
        <v>212</v>
      </c>
      <c r="E318" s="117" t="s">
        <v>68</v>
      </c>
      <c r="F318" s="146" t="s">
        <v>256</v>
      </c>
      <c r="G318" s="124" t="s">
        <v>69</v>
      </c>
      <c r="H318" s="124" t="s">
        <v>792</v>
      </c>
      <c r="I318" s="172">
        <v>45595</v>
      </c>
      <c r="J318" s="92">
        <f>IF(I318="", "", DATE(YEAR(I318)+3, MONTH(I318), DAY(I318)))</f>
        <v>46690</v>
      </c>
      <c r="K318" s="111">
        <v>46157</v>
      </c>
      <c r="L318" s="111">
        <v>46157</v>
      </c>
      <c r="M318" s="140">
        <f t="shared" ref="M318:M349" si="22">IF(L318="", "", DATE(YEAR(L318)+3, MONTH(L318), DAY(L318)))</f>
        <v>47253</v>
      </c>
      <c r="N318" s="111">
        <v>46300</v>
      </c>
      <c r="O318" s="112" t="s">
        <v>69</v>
      </c>
      <c r="P318" s="112">
        <v>46273</v>
      </c>
      <c r="Q318" s="167" t="s">
        <v>70</v>
      </c>
      <c r="R318" s="167" t="s">
        <v>70</v>
      </c>
      <c r="S318" s="167" t="s">
        <v>70</v>
      </c>
      <c r="T318" s="167" t="s">
        <v>70</v>
      </c>
      <c r="U318" s="167" t="s">
        <v>70</v>
      </c>
      <c r="V318" s="167" t="s">
        <v>70</v>
      </c>
      <c r="W318" s="167" t="s">
        <v>70</v>
      </c>
      <c r="X318" s="167" t="s">
        <v>70</v>
      </c>
      <c r="Y318" s="167" t="s">
        <v>70</v>
      </c>
      <c r="Z318" s="167" t="s">
        <v>70</v>
      </c>
      <c r="AA318" s="167" t="s">
        <v>70</v>
      </c>
      <c r="AB318" s="167" t="s">
        <v>70</v>
      </c>
      <c r="AC318" s="167" t="s">
        <v>70</v>
      </c>
      <c r="AD318" s="167" t="s">
        <v>70</v>
      </c>
      <c r="AE318" s="167" t="s">
        <v>70</v>
      </c>
      <c r="AF318" s="167" t="s">
        <v>70</v>
      </c>
      <c r="AG318" s="167" t="s">
        <v>70</v>
      </c>
      <c r="AH318" s="167" t="s">
        <v>70</v>
      </c>
      <c r="AI318" s="111">
        <v>45680</v>
      </c>
      <c r="AJ318" s="166" t="s">
        <v>69</v>
      </c>
      <c r="AK318" s="167" t="s">
        <v>70</v>
      </c>
      <c r="AL318" s="167" t="s">
        <v>70</v>
      </c>
      <c r="AM318" s="167"/>
      <c r="AN318" s="167" t="s">
        <v>70</v>
      </c>
      <c r="AO318" s="167" t="s">
        <v>70</v>
      </c>
      <c r="AP318" s="167" t="s">
        <v>70</v>
      </c>
      <c r="AQ318" s="167" t="s">
        <v>70</v>
      </c>
      <c r="AR318" s="166" t="s">
        <v>69</v>
      </c>
      <c r="AS318" s="167" t="s">
        <v>70</v>
      </c>
      <c r="AT318" s="167" t="s">
        <v>70</v>
      </c>
      <c r="AU318" s="167" t="s">
        <v>70</v>
      </c>
      <c r="AV318" s="167" t="s">
        <v>70</v>
      </c>
      <c r="AW318" s="167" t="s">
        <v>70</v>
      </c>
      <c r="AX318" s="167" t="s">
        <v>70</v>
      </c>
      <c r="AY318" s="167" t="s">
        <v>70</v>
      </c>
      <c r="AZ318" s="167" t="s">
        <v>70</v>
      </c>
      <c r="BA318" s="167" t="s">
        <v>70</v>
      </c>
      <c r="BB318" s="167" t="s">
        <v>70</v>
      </c>
      <c r="BC318" s="167" t="s">
        <v>70</v>
      </c>
      <c r="BD318" s="167" t="s">
        <v>70</v>
      </c>
      <c r="BE318" s="167" t="s">
        <v>70</v>
      </c>
      <c r="BF318" s="167" t="s">
        <v>70</v>
      </c>
      <c r="BG318" s="167" t="s">
        <v>70</v>
      </c>
      <c r="BH318" s="167" t="s">
        <v>70</v>
      </c>
      <c r="BI318" s="167" t="s">
        <v>70</v>
      </c>
      <c r="BJ318" s="167" t="s">
        <v>70</v>
      </c>
      <c r="BK318" s="167" t="s">
        <v>70</v>
      </c>
      <c r="BL318" s="167" t="s">
        <v>70</v>
      </c>
      <c r="BM318" s="167" t="s">
        <v>70</v>
      </c>
      <c r="BN318" s="167" t="s">
        <v>70</v>
      </c>
      <c r="BO318" s="167" t="s">
        <v>70</v>
      </c>
      <c r="BP318" s="167" t="s">
        <v>70</v>
      </c>
      <c r="BQ318" s="151" t="s">
        <v>256</v>
      </c>
    </row>
    <row r="319" spans="1:69" s="151" customFormat="1" ht="19.5" customHeight="1" x14ac:dyDescent="0.2">
      <c r="A319" s="117">
        <v>316</v>
      </c>
      <c r="B319" s="117" t="s">
        <v>796</v>
      </c>
      <c r="C319" s="117">
        <v>242209</v>
      </c>
      <c r="D319" s="117" t="s">
        <v>212</v>
      </c>
      <c r="E319" s="117" t="s">
        <v>68</v>
      </c>
      <c r="F319" s="146" t="s">
        <v>256</v>
      </c>
      <c r="G319" s="124" t="s">
        <v>69</v>
      </c>
      <c r="H319" s="124" t="s">
        <v>792</v>
      </c>
      <c r="I319" s="172">
        <v>45595</v>
      </c>
      <c r="J319" s="92">
        <f>IF(I319="", "", DATE(YEAR(I319)+3, MONTH(I319), DAY(I319)))</f>
        <v>46690</v>
      </c>
      <c r="K319" s="111">
        <v>45594</v>
      </c>
      <c r="L319" s="111">
        <v>45594</v>
      </c>
      <c r="M319" s="140">
        <f t="shared" si="22"/>
        <v>46689</v>
      </c>
      <c r="N319" s="112">
        <v>46300</v>
      </c>
      <c r="O319" s="112">
        <v>46273</v>
      </c>
      <c r="P319" s="112">
        <v>46273</v>
      </c>
      <c r="Q319" s="167" t="s">
        <v>70</v>
      </c>
      <c r="R319" s="167" t="s">
        <v>70</v>
      </c>
      <c r="S319" s="167" t="s">
        <v>70</v>
      </c>
      <c r="T319" s="167" t="s">
        <v>70</v>
      </c>
      <c r="U319" s="167" t="s">
        <v>70</v>
      </c>
      <c r="V319" s="167" t="s">
        <v>70</v>
      </c>
      <c r="W319" s="167" t="s">
        <v>70</v>
      </c>
      <c r="X319" s="167" t="s">
        <v>70</v>
      </c>
      <c r="Y319" s="167" t="s">
        <v>70</v>
      </c>
      <c r="Z319" s="167" t="s">
        <v>70</v>
      </c>
      <c r="AA319" s="167" t="s">
        <v>70</v>
      </c>
      <c r="AB319" s="167" t="s">
        <v>70</v>
      </c>
      <c r="AC319" s="167" t="s">
        <v>70</v>
      </c>
      <c r="AD319" s="167" t="s">
        <v>70</v>
      </c>
      <c r="AE319" s="167" t="s">
        <v>70</v>
      </c>
      <c r="AF319" s="167" t="s">
        <v>70</v>
      </c>
      <c r="AG319" s="167" t="s">
        <v>70</v>
      </c>
      <c r="AH319" s="167" t="s">
        <v>70</v>
      </c>
      <c r="AI319" s="111">
        <v>45680</v>
      </c>
      <c r="AJ319" s="166" t="s">
        <v>69</v>
      </c>
      <c r="AK319" s="167" t="s">
        <v>70</v>
      </c>
      <c r="AL319" s="167" t="s">
        <v>70</v>
      </c>
      <c r="AM319" s="167"/>
      <c r="AN319" s="167" t="s">
        <v>70</v>
      </c>
      <c r="AO319" s="167" t="s">
        <v>70</v>
      </c>
      <c r="AP319" s="167" t="s">
        <v>70</v>
      </c>
      <c r="AQ319" s="167" t="s">
        <v>70</v>
      </c>
      <c r="AR319" s="166" t="s">
        <v>69</v>
      </c>
      <c r="AS319" s="167" t="s">
        <v>70</v>
      </c>
      <c r="AT319" s="167" t="s">
        <v>70</v>
      </c>
      <c r="AU319" s="167" t="s">
        <v>70</v>
      </c>
      <c r="AV319" s="167" t="s">
        <v>70</v>
      </c>
      <c r="AW319" s="167" t="s">
        <v>70</v>
      </c>
      <c r="AX319" s="167" t="s">
        <v>70</v>
      </c>
      <c r="AY319" s="167" t="s">
        <v>70</v>
      </c>
      <c r="AZ319" s="167" t="s">
        <v>70</v>
      </c>
      <c r="BA319" s="167" t="s">
        <v>70</v>
      </c>
      <c r="BB319" s="167" t="s">
        <v>70</v>
      </c>
      <c r="BC319" s="167" t="s">
        <v>70</v>
      </c>
      <c r="BD319" s="167" t="s">
        <v>70</v>
      </c>
      <c r="BE319" s="167" t="s">
        <v>70</v>
      </c>
      <c r="BF319" s="167" t="s">
        <v>70</v>
      </c>
      <c r="BG319" s="167" t="s">
        <v>70</v>
      </c>
      <c r="BH319" s="167" t="s">
        <v>70</v>
      </c>
      <c r="BI319" s="167" t="s">
        <v>70</v>
      </c>
      <c r="BJ319" s="167" t="s">
        <v>70</v>
      </c>
      <c r="BK319" s="167" t="s">
        <v>70</v>
      </c>
      <c r="BL319" s="167" t="s">
        <v>70</v>
      </c>
      <c r="BM319" s="167" t="s">
        <v>70</v>
      </c>
      <c r="BN319" s="167" t="s">
        <v>70</v>
      </c>
      <c r="BO319" s="167" t="s">
        <v>70</v>
      </c>
      <c r="BP319" s="167" t="s">
        <v>70</v>
      </c>
      <c r="BQ319" s="151" t="s">
        <v>256</v>
      </c>
    </row>
    <row r="320" spans="1:69" s="151" customFormat="1" ht="19.5" customHeight="1" x14ac:dyDescent="0.2">
      <c r="A320" s="117">
        <v>317</v>
      </c>
      <c r="B320" s="117" t="s">
        <v>797</v>
      </c>
      <c r="C320" s="117">
        <v>242407</v>
      </c>
      <c r="D320" s="117" t="s">
        <v>212</v>
      </c>
      <c r="E320" s="117" t="s">
        <v>68</v>
      </c>
      <c r="F320" s="146" t="s">
        <v>256</v>
      </c>
      <c r="G320" s="124" t="s">
        <v>69</v>
      </c>
      <c r="H320" s="172"/>
      <c r="I320" s="172"/>
      <c r="J320" s="92" t="str">
        <f>IF(I320="", "", DATE(YEAR(I320)+3, MONTH(I320), DAY(L320)))</f>
        <v/>
      </c>
      <c r="K320" s="111"/>
      <c r="L320" s="111"/>
      <c r="M320" s="140" t="str">
        <f t="shared" si="22"/>
        <v/>
      </c>
      <c r="N320" s="111"/>
      <c r="O320" s="111"/>
      <c r="P320" s="111"/>
      <c r="Q320" s="167" t="s">
        <v>70</v>
      </c>
      <c r="R320" s="167" t="s">
        <v>70</v>
      </c>
      <c r="S320" s="167" t="s">
        <v>70</v>
      </c>
      <c r="T320" s="167" t="s">
        <v>70</v>
      </c>
      <c r="U320" s="167" t="s">
        <v>70</v>
      </c>
      <c r="V320" s="167" t="s">
        <v>70</v>
      </c>
      <c r="W320" s="167" t="s">
        <v>70</v>
      </c>
      <c r="X320" s="167" t="s">
        <v>70</v>
      </c>
      <c r="Y320" s="167" t="s">
        <v>70</v>
      </c>
      <c r="Z320" s="167" t="s">
        <v>70</v>
      </c>
      <c r="AA320" s="167" t="s">
        <v>70</v>
      </c>
      <c r="AB320" s="167" t="s">
        <v>70</v>
      </c>
      <c r="AC320" s="167" t="s">
        <v>70</v>
      </c>
      <c r="AD320" s="167" t="s">
        <v>70</v>
      </c>
      <c r="AE320" s="167" t="s">
        <v>70</v>
      </c>
      <c r="AF320" s="167" t="s">
        <v>70</v>
      </c>
      <c r="AG320" s="167" t="s">
        <v>70</v>
      </c>
      <c r="AH320" s="167" t="s">
        <v>70</v>
      </c>
      <c r="AI320" s="111">
        <v>45673</v>
      </c>
      <c r="AJ320" s="166" t="s">
        <v>69</v>
      </c>
      <c r="AK320" s="167" t="s">
        <v>70</v>
      </c>
      <c r="AL320" s="167" t="s">
        <v>70</v>
      </c>
      <c r="AM320" s="167"/>
      <c r="AN320" s="167" t="s">
        <v>70</v>
      </c>
      <c r="AO320" s="167" t="s">
        <v>70</v>
      </c>
      <c r="AP320" s="167" t="s">
        <v>70</v>
      </c>
      <c r="AQ320" s="167" t="s">
        <v>70</v>
      </c>
      <c r="AR320" s="166" t="s">
        <v>69</v>
      </c>
      <c r="AS320" s="167" t="s">
        <v>70</v>
      </c>
      <c r="AT320" s="167" t="s">
        <v>70</v>
      </c>
      <c r="AU320" s="167" t="s">
        <v>70</v>
      </c>
      <c r="AV320" s="167" t="s">
        <v>70</v>
      </c>
      <c r="AW320" s="167" t="s">
        <v>70</v>
      </c>
      <c r="AX320" s="167" t="s">
        <v>70</v>
      </c>
      <c r="AY320" s="167" t="s">
        <v>70</v>
      </c>
      <c r="AZ320" s="167" t="s">
        <v>70</v>
      </c>
      <c r="BA320" s="167" t="s">
        <v>70</v>
      </c>
      <c r="BB320" s="167" t="s">
        <v>70</v>
      </c>
      <c r="BC320" s="167" t="s">
        <v>70</v>
      </c>
      <c r="BD320" s="167" t="s">
        <v>70</v>
      </c>
      <c r="BE320" s="167" t="s">
        <v>70</v>
      </c>
      <c r="BF320" s="167" t="s">
        <v>70</v>
      </c>
      <c r="BG320" s="167" t="s">
        <v>70</v>
      </c>
      <c r="BH320" s="167" t="s">
        <v>70</v>
      </c>
      <c r="BI320" s="167" t="s">
        <v>70</v>
      </c>
      <c r="BJ320" s="167" t="s">
        <v>70</v>
      </c>
      <c r="BK320" s="167" t="s">
        <v>70</v>
      </c>
      <c r="BL320" s="167" t="s">
        <v>70</v>
      </c>
      <c r="BM320" s="167" t="s">
        <v>70</v>
      </c>
      <c r="BN320" s="167" t="s">
        <v>70</v>
      </c>
      <c r="BO320" s="167" t="s">
        <v>70</v>
      </c>
      <c r="BP320" s="167" t="s">
        <v>70</v>
      </c>
      <c r="BQ320" s="151" t="s">
        <v>256</v>
      </c>
    </row>
    <row r="321" spans="1:69" s="151" customFormat="1" ht="19.5" customHeight="1" x14ac:dyDescent="0.2">
      <c r="A321" s="117">
        <v>318</v>
      </c>
      <c r="B321" s="117" t="s">
        <v>798</v>
      </c>
      <c r="C321" s="117">
        <v>242408</v>
      </c>
      <c r="D321" s="117" t="s">
        <v>212</v>
      </c>
      <c r="E321" s="117" t="s">
        <v>68</v>
      </c>
      <c r="F321" s="146" t="s">
        <v>256</v>
      </c>
      <c r="G321" s="124" t="s">
        <v>69</v>
      </c>
      <c r="H321" s="93">
        <v>46248</v>
      </c>
      <c r="I321" s="93">
        <v>46248</v>
      </c>
      <c r="J321" s="92">
        <f t="shared" ref="J321:J326" si="23">IF(I321="", "", DATE(YEAR(I321)+3, MONTH(I321), DAY(I321)))</f>
        <v>47344</v>
      </c>
      <c r="K321" s="93">
        <v>46247</v>
      </c>
      <c r="L321" s="93">
        <v>46247</v>
      </c>
      <c r="M321" s="140">
        <f t="shared" si="22"/>
        <v>47343</v>
      </c>
      <c r="N321" s="93">
        <v>46245</v>
      </c>
      <c r="O321" s="93">
        <v>46258</v>
      </c>
      <c r="P321" s="93">
        <v>46246</v>
      </c>
      <c r="Q321" s="167" t="s">
        <v>70</v>
      </c>
      <c r="R321" s="167" t="s">
        <v>70</v>
      </c>
      <c r="S321" s="167" t="s">
        <v>70</v>
      </c>
      <c r="T321" s="167" t="s">
        <v>70</v>
      </c>
      <c r="U321" s="167" t="s">
        <v>70</v>
      </c>
      <c r="V321" s="167" t="s">
        <v>70</v>
      </c>
      <c r="W321" s="167" t="s">
        <v>70</v>
      </c>
      <c r="X321" s="167" t="s">
        <v>70</v>
      </c>
      <c r="Y321" s="167" t="s">
        <v>70</v>
      </c>
      <c r="Z321" s="167" t="s">
        <v>70</v>
      </c>
      <c r="AA321" s="167" t="s">
        <v>70</v>
      </c>
      <c r="AB321" s="167" t="s">
        <v>70</v>
      </c>
      <c r="AC321" s="167" t="s">
        <v>70</v>
      </c>
      <c r="AD321" s="167" t="s">
        <v>70</v>
      </c>
      <c r="AE321" s="167" t="s">
        <v>70</v>
      </c>
      <c r="AF321" s="167" t="s">
        <v>70</v>
      </c>
      <c r="AG321" s="167" t="s">
        <v>70</v>
      </c>
      <c r="AH321" s="167" t="s">
        <v>70</v>
      </c>
      <c r="AI321" s="111">
        <v>45673</v>
      </c>
      <c r="AJ321" s="166" t="s">
        <v>69</v>
      </c>
      <c r="AK321" s="167" t="s">
        <v>70</v>
      </c>
      <c r="AL321" s="167" t="s">
        <v>70</v>
      </c>
      <c r="AM321" s="167"/>
      <c r="AN321" s="167" t="s">
        <v>70</v>
      </c>
      <c r="AO321" s="167" t="s">
        <v>70</v>
      </c>
      <c r="AP321" s="167" t="s">
        <v>70</v>
      </c>
      <c r="AQ321" s="167" t="s">
        <v>70</v>
      </c>
      <c r="AR321" s="166" t="s">
        <v>69</v>
      </c>
      <c r="AS321" s="167" t="s">
        <v>70</v>
      </c>
      <c r="AT321" s="167" t="s">
        <v>70</v>
      </c>
      <c r="AU321" s="167" t="s">
        <v>70</v>
      </c>
      <c r="AV321" s="167" t="s">
        <v>70</v>
      </c>
      <c r="AW321" s="167" t="s">
        <v>70</v>
      </c>
      <c r="AX321" s="167" t="s">
        <v>70</v>
      </c>
      <c r="AY321" s="167" t="s">
        <v>70</v>
      </c>
      <c r="AZ321" s="167" t="s">
        <v>70</v>
      </c>
      <c r="BA321" s="167" t="s">
        <v>70</v>
      </c>
      <c r="BB321" s="167" t="s">
        <v>70</v>
      </c>
      <c r="BC321" s="167" t="s">
        <v>70</v>
      </c>
      <c r="BD321" s="167" t="s">
        <v>70</v>
      </c>
      <c r="BE321" s="167" t="s">
        <v>70</v>
      </c>
      <c r="BF321" s="167" t="s">
        <v>70</v>
      </c>
      <c r="BG321" s="167" t="s">
        <v>70</v>
      </c>
      <c r="BH321" s="167" t="s">
        <v>70</v>
      </c>
      <c r="BI321" s="167" t="s">
        <v>70</v>
      </c>
      <c r="BJ321" s="167" t="s">
        <v>70</v>
      </c>
      <c r="BK321" s="167" t="s">
        <v>70</v>
      </c>
      <c r="BL321" s="167" t="s">
        <v>70</v>
      </c>
      <c r="BM321" s="167" t="s">
        <v>70</v>
      </c>
      <c r="BN321" s="167" t="s">
        <v>70</v>
      </c>
      <c r="BO321" s="167" t="s">
        <v>70</v>
      </c>
      <c r="BP321" s="167" t="s">
        <v>70</v>
      </c>
      <c r="BQ321" s="151" t="s">
        <v>256</v>
      </c>
    </row>
    <row r="322" spans="1:69" s="151" customFormat="1" ht="19.5" customHeight="1" x14ac:dyDescent="0.2">
      <c r="A322" s="117">
        <v>319</v>
      </c>
      <c r="B322" s="117" t="s">
        <v>799</v>
      </c>
      <c r="C322" s="117">
        <v>242409</v>
      </c>
      <c r="D322" s="117" t="s">
        <v>212</v>
      </c>
      <c r="E322" s="117" t="s">
        <v>68</v>
      </c>
      <c r="F322" s="146" t="s">
        <v>256</v>
      </c>
      <c r="G322" s="124" t="s">
        <v>69</v>
      </c>
      <c r="H322" s="172">
        <v>45624</v>
      </c>
      <c r="I322" s="172">
        <v>45624</v>
      </c>
      <c r="J322" s="92">
        <f t="shared" si="23"/>
        <v>46719</v>
      </c>
      <c r="K322" s="111">
        <v>45622</v>
      </c>
      <c r="L322" s="111">
        <v>45622</v>
      </c>
      <c r="M322" s="140">
        <f t="shared" si="22"/>
        <v>46717</v>
      </c>
      <c r="N322" s="111">
        <v>45621</v>
      </c>
      <c r="O322" s="111">
        <v>45625</v>
      </c>
      <c r="P322" s="111">
        <v>45628</v>
      </c>
      <c r="Q322" s="167" t="s">
        <v>70</v>
      </c>
      <c r="R322" s="167" t="s">
        <v>70</v>
      </c>
      <c r="S322" s="167" t="s">
        <v>70</v>
      </c>
      <c r="T322" s="167" t="s">
        <v>70</v>
      </c>
      <c r="U322" s="167" t="s">
        <v>70</v>
      </c>
      <c r="V322" s="167" t="s">
        <v>70</v>
      </c>
      <c r="W322" s="167" t="s">
        <v>70</v>
      </c>
      <c r="X322" s="167" t="s">
        <v>70</v>
      </c>
      <c r="Y322" s="167" t="s">
        <v>70</v>
      </c>
      <c r="Z322" s="167" t="s">
        <v>70</v>
      </c>
      <c r="AA322" s="167" t="s">
        <v>70</v>
      </c>
      <c r="AB322" s="167" t="s">
        <v>70</v>
      </c>
      <c r="AC322" s="167" t="s">
        <v>70</v>
      </c>
      <c r="AD322" s="167" t="s">
        <v>70</v>
      </c>
      <c r="AE322" s="167" t="s">
        <v>70</v>
      </c>
      <c r="AF322" s="167" t="s">
        <v>70</v>
      </c>
      <c r="AG322" s="167" t="s">
        <v>70</v>
      </c>
      <c r="AH322" s="167" t="s">
        <v>70</v>
      </c>
      <c r="AI322" s="111">
        <v>45673</v>
      </c>
      <c r="AJ322" s="166" t="s">
        <v>69</v>
      </c>
      <c r="AK322" s="167" t="s">
        <v>70</v>
      </c>
      <c r="AL322" s="167" t="s">
        <v>70</v>
      </c>
      <c r="AM322" s="167"/>
      <c r="AN322" s="167" t="s">
        <v>70</v>
      </c>
      <c r="AO322" s="167" t="s">
        <v>70</v>
      </c>
      <c r="AP322" s="167" t="s">
        <v>70</v>
      </c>
      <c r="AQ322" s="167" t="s">
        <v>70</v>
      </c>
      <c r="AR322" s="166" t="s">
        <v>69</v>
      </c>
      <c r="AS322" s="167" t="s">
        <v>70</v>
      </c>
      <c r="AT322" s="167" t="s">
        <v>70</v>
      </c>
      <c r="AU322" s="167" t="s">
        <v>70</v>
      </c>
      <c r="AV322" s="167" t="s">
        <v>70</v>
      </c>
      <c r="AW322" s="167" t="s">
        <v>70</v>
      </c>
      <c r="AX322" s="167" t="s">
        <v>70</v>
      </c>
      <c r="AY322" s="167" t="s">
        <v>70</v>
      </c>
      <c r="AZ322" s="167" t="s">
        <v>70</v>
      </c>
      <c r="BA322" s="167" t="s">
        <v>70</v>
      </c>
      <c r="BB322" s="167" t="s">
        <v>70</v>
      </c>
      <c r="BC322" s="167" t="s">
        <v>70</v>
      </c>
      <c r="BD322" s="167" t="s">
        <v>70</v>
      </c>
      <c r="BE322" s="167" t="s">
        <v>70</v>
      </c>
      <c r="BF322" s="167" t="s">
        <v>70</v>
      </c>
      <c r="BG322" s="167" t="s">
        <v>70</v>
      </c>
      <c r="BH322" s="167" t="s">
        <v>70</v>
      </c>
      <c r="BI322" s="167" t="s">
        <v>70</v>
      </c>
      <c r="BJ322" s="167" t="s">
        <v>70</v>
      </c>
      <c r="BK322" s="167" t="s">
        <v>70</v>
      </c>
      <c r="BL322" s="167" t="s">
        <v>70</v>
      </c>
      <c r="BM322" s="167" t="s">
        <v>70</v>
      </c>
      <c r="BN322" s="167" t="s">
        <v>70</v>
      </c>
      <c r="BO322" s="167" t="s">
        <v>70</v>
      </c>
      <c r="BP322" s="167" t="s">
        <v>70</v>
      </c>
      <c r="BQ322" s="151" t="s">
        <v>256</v>
      </c>
    </row>
    <row r="323" spans="1:69" s="151" customFormat="1" ht="19.5" customHeight="1" x14ac:dyDescent="0.2">
      <c r="A323" s="117">
        <v>320</v>
      </c>
      <c r="B323" s="117" t="s">
        <v>800</v>
      </c>
      <c r="C323" s="117">
        <v>242410</v>
      </c>
      <c r="D323" s="117" t="s">
        <v>212</v>
      </c>
      <c r="E323" s="117" t="s">
        <v>68</v>
      </c>
      <c r="F323" s="146" t="s">
        <v>256</v>
      </c>
      <c r="G323" s="124" t="s">
        <v>69</v>
      </c>
      <c r="H323" s="172">
        <v>45624</v>
      </c>
      <c r="I323" s="172">
        <v>45624</v>
      </c>
      <c r="J323" s="92">
        <f t="shared" si="23"/>
        <v>46719</v>
      </c>
      <c r="K323" s="172">
        <v>45622</v>
      </c>
      <c r="L323" s="172">
        <v>45622</v>
      </c>
      <c r="M323" s="140">
        <f t="shared" si="22"/>
        <v>46717</v>
      </c>
      <c r="N323" s="111">
        <v>46300</v>
      </c>
      <c r="O323" s="111">
        <v>46300</v>
      </c>
      <c r="P323" s="111">
        <v>45628</v>
      </c>
      <c r="Q323" s="167" t="s">
        <v>70</v>
      </c>
      <c r="R323" s="167" t="s">
        <v>70</v>
      </c>
      <c r="S323" s="167" t="s">
        <v>70</v>
      </c>
      <c r="T323" s="167" t="s">
        <v>70</v>
      </c>
      <c r="U323" s="167" t="s">
        <v>70</v>
      </c>
      <c r="V323" s="167" t="s">
        <v>70</v>
      </c>
      <c r="W323" s="167" t="s">
        <v>70</v>
      </c>
      <c r="X323" s="167" t="s">
        <v>70</v>
      </c>
      <c r="Y323" s="167" t="s">
        <v>70</v>
      </c>
      <c r="Z323" s="167" t="s">
        <v>70</v>
      </c>
      <c r="AA323" s="167" t="s">
        <v>70</v>
      </c>
      <c r="AB323" s="167" t="s">
        <v>70</v>
      </c>
      <c r="AC323" s="167" t="s">
        <v>70</v>
      </c>
      <c r="AD323" s="167" t="s">
        <v>70</v>
      </c>
      <c r="AE323" s="167" t="s">
        <v>70</v>
      </c>
      <c r="AF323" s="167" t="s">
        <v>70</v>
      </c>
      <c r="AG323" s="167" t="s">
        <v>70</v>
      </c>
      <c r="AH323" s="167" t="s">
        <v>70</v>
      </c>
      <c r="AI323" s="111">
        <v>45673</v>
      </c>
      <c r="AJ323" s="166" t="s">
        <v>69</v>
      </c>
      <c r="AK323" s="167" t="s">
        <v>70</v>
      </c>
      <c r="AL323" s="167" t="s">
        <v>70</v>
      </c>
      <c r="AM323" s="167"/>
      <c r="AN323" s="167" t="s">
        <v>70</v>
      </c>
      <c r="AO323" s="167" t="s">
        <v>70</v>
      </c>
      <c r="AP323" s="167" t="s">
        <v>70</v>
      </c>
      <c r="AQ323" s="167" t="s">
        <v>70</v>
      </c>
      <c r="AR323" s="166" t="s">
        <v>69</v>
      </c>
      <c r="AS323" s="167" t="s">
        <v>70</v>
      </c>
      <c r="AT323" s="167" t="s">
        <v>70</v>
      </c>
      <c r="AU323" s="167" t="s">
        <v>70</v>
      </c>
      <c r="AV323" s="167" t="s">
        <v>70</v>
      </c>
      <c r="AW323" s="167" t="s">
        <v>70</v>
      </c>
      <c r="AX323" s="167" t="s">
        <v>70</v>
      </c>
      <c r="AY323" s="167" t="s">
        <v>70</v>
      </c>
      <c r="AZ323" s="167" t="s">
        <v>70</v>
      </c>
      <c r="BA323" s="167" t="s">
        <v>70</v>
      </c>
      <c r="BB323" s="167" t="s">
        <v>70</v>
      </c>
      <c r="BC323" s="167" t="s">
        <v>70</v>
      </c>
      <c r="BD323" s="167" t="s">
        <v>70</v>
      </c>
      <c r="BE323" s="167" t="s">
        <v>70</v>
      </c>
      <c r="BF323" s="167" t="s">
        <v>70</v>
      </c>
      <c r="BG323" s="167" t="s">
        <v>70</v>
      </c>
      <c r="BH323" s="167" t="s">
        <v>70</v>
      </c>
      <c r="BI323" s="167" t="s">
        <v>70</v>
      </c>
      <c r="BJ323" s="167" t="s">
        <v>70</v>
      </c>
      <c r="BK323" s="167" t="s">
        <v>70</v>
      </c>
      <c r="BL323" s="167" t="s">
        <v>70</v>
      </c>
      <c r="BM323" s="167" t="s">
        <v>70</v>
      </c>
      <c r="BN323" s="167" t="s">
        <v>70</v>
      </c>
      <c r="BO323" s="167" t="s">
        <v>70</v>
      </c>
      <c r="BP323" s="167" t="s">
        <v>70</v>
      </c>
      <c r="BQ323" s="151" t="s">
        <v>256</v>
      </c>
    </row>
    <row r="324" spans="1:69" s="151" customFormat="1" ht="19.5" customHeight="1" x14ac:dyDescent="0.2">
      <c r="A324" s="117">
        <v>321</v>
      </c>
      <c r="B324" s="117" t="s">
        <v>801</v>
      </c>
      <c r="C324" s="117">
        <v>242411</v>
      </c>
      <c r="D324" s="117" t="s">
        <v>212</v>
      </c>
      <c r="E324" s="117" t="s">
        <v>68</v>
      </c>
      <c r="F324" s="146" t="s">
        <v>256</v>
      </c>
      <c r="G324" s="124" t="s">
        <v>69</v>
      </c>
      <c r="H324" s="172">
        <v>45624</v>
      </c>
      <c r="I324" s="172">
        <v>45624</v>
      </c>
      <c r="J324" s="92">
        <f t="shared" si="23"/>
        <v>46719</v>
      </c>
      <c r="K324" s="172">
        <v>45622</v>
      </c>
      <c r="L324" s="172">
        <v>45622</v>
      </c>
      <c r="M324" s="140">
        <f t="shared" si="22"/>
        <v>46717</v>
      </c>
      <c r="N324" s="111">
        <v>46300</v>
      </c>
      <c r="O324" s="111">
        <v>46300</v>
      </c>
      <c r="P324" s="111">
        <v>45628</v>
      </c>
      <c r="Q324" s="167" t="s">
        <v>70</v>
      </c>
      <c r="R324" s="167" t="s">
        <v>70</v>
      </c>
      <c r="S324" s="167" t="s">
        <v>70</v>
      </c>
      <c r="T324" s="167" t="s">
        <v>70</v>
      </c>
      <c r="U324" s="167" t="s">
        <v>70</v>
      </c>
      <c r="V324" s="167" t="s">
        <v>70</v>
      </c>
      <c r="W324" s="167" t="s">
        <v>70</v>
      </c>
      <c r="X324" s="167" t="s">
        <v>70</v>
      </c>
      <c r="Y324" s="167" t="s">
        <v>70</v>
      </c>
      <c r="Z324" s="167" t="s">
        <v>70</v>
      </c>
      <c r="AA324" s="167" t="s">
        <v>70</v>
      </c>
      <c r="AB324" s="167" t="s">
        <v>70</v>
      </c>
      <c r="AC324" s="167" t="s">
        <v>70</v>
      </c>
      <c r="AD324" s="167" t="s">
        <v>70</v>
      </c>
      <c r="AE324" s="167" t="s">
        <v>70</v>
      </c>
      <c r="AF324" s="167" t="s">
        <v>70</v>
      </c>
      <c r="AG324" s="167" t="s">
        <v>70</v>
      </c>
      <c r="AH324" s="167" t="s">
        <v>70</v>
      </c>
      <c r="AI324" s="111">
        <v>45680</v>
      </c>
      <c r="AJ324" s="166" t="s">
        <v>69</v>
      </c>
      <c r="AK324" s="167" t="s">
        <v>70</v>
      </c>
      <c r="AL324" s="167" t="s">
        <v>70</v>
      </c>
      <c r="AM324" s="167"/>
      <c r="AN324" s="167" t="s">
        <v>70</v>
      </c>
      <c r="AO324" s="167" t="s">
        <v>70</v>
      </c>
      <c r="AP324" s="167" t="s">
        <v>70</v>
      </c>
      <c r="AQ324" s="167" t="s">
        <v>70</v>
      </c>
      <c r="AR324" s="166" t="s">
        <v>69</v>
      </c>
      <c r="AS324" s="167" t="s">
        <v>70</v>
      </c>
      <c r="AT324" s="167" t="s">
        <v>70</v>
      </c>
      <c r="AU324" s="167" t="s">
        <v>70</v>
      </c>
      <c r="AV324" s="167" t="s">
        <v>70</v>
      </c>
      <c r="AW324" s="167" t="s">
        <v>70</v>
      </c>
      <c r="AX324" s="167" t="s">
        <v>70</v>
      </c>
      <c r="AY324" s="167" t="s">
        <v>70</v>
      </c>
      <c r="AZ324" s="167" t="s">
        <v>70</v>
      </c>
      <c r="BA324" s="167" t="s">
        <v>70</v>
      </c>
      <c r="BB324" s="167" t="s">
        <v>70</v>
      </c>
      <c r="BC324" s="167" t="s">
        <v>70</v>
      </c>
      <c r="BD324" s="167" t="s">
        <v>70</v>
      </c>
      <c r="BE324" s="167" t="s">
        <v>70</v>
      </c>
      <c r="BF324" s="167" t="s">
        <v>70</v>
      </c>
      <c r="BG324" s="167" t="s">
        <v>70</v>
      </c>
      <c r="BH324" s="167" t="s">
        <v>70</v>
      </c>
      <c r="BI324" s="167" t="s">
        <v>70</v>
      </c>
      <c r="BJ324" s="167" t="s">
        <v>70</v>
      </c>
      <c r="BK324" s="167" t="s">
        <v>70</v>
      </c>
      <c r="BL324" s="167" t="s">
        <v>70</v>
      </c>
      <c r="BM324" s="167" t="s">
        <v>70</v>
      </c>
      <c r="BN324" s="167" t="s">
        <v>70</v>
      </c>
      <c r="BO324" s="167" t="s">
        <v>70</v>
      </c>
      <c r="BP324" s="167" t="s">
        <v>70</v>
      </c>
      <c r="BQ324" s="151" t="s">
        <v>256</v>
      </c>
    </row>
    <row r="325" spans="1:69" s="151" customFormat="1" ht="19.5" customHeight="1" x14ac:dyDescent="0.2">
      <c r="A325" s="117">
        <v>322</v>
      </c>
      <c r="B325" s="117" t="s">
        <v>802</v>
      </c>
      <c r="C325" s="117">
        <v>242412</v>
      </c>
      <c r="D325" s="117" t="s">
        <v>212</v>
      </c>
      <c r="E325" s="117" t="s">
        <v>68</v>
      </c>
      <c r="F325" s="146" t="s">
        <v>256</v>
      </c>
      <c r="G325" s="124" t="s">
        <v>69</v>
      </c>
      <c r="H325" s="172">
        <v>45624</v>
      </c>
      <c r="I325" s="172">
        <v>45624</v>
      </c>
      <c r="J325" s="92">
        <f t="shared" si="23"/>
        <v>46719</v>
      </c>
      <c r="K325" s="172">
        <v>45622</v>
      </c>
      <c r="L325" s="172">
        <v>45622</v>
      </c>
      <c r="M325" s="140">
        <f t="shared" si="22"/>
        <v>46717</v>
      </c>
      <c r="N325" s="111">
        <v>46300</v>
      </c>
      <c r="O325" s="111">
        <v>46300</v>
      </c>
      <c r="P325" s="111">
        <v>45628</v>
      </c>
      <c r="Q325" s="167" t="s">
        <v>70</v>
      </c>
      <c r="R325" s="167" t="s">
        <v>70</v>
      </c>
      <c r="S325" s="167" t="s">
        <v>70</v>
      </c>
      <c r="T325" s="167" t="s">
        <v>70</v>
      </c>
      <c r="U325" s="167" t="s">
        <v>70</v>
      </c>
      <c r="V325" s="167" t="s">
        <v>70</v>
      </c>
      <c r="W325" s="167" t="s">
        <v>70</v>
      </c>
      <c r="X325" s="167" t="s">
        <v>70</v>
      </c>
      <c r="Y325" s="167" t="s">
        <v>70</v>
      </c>
      <c r="Z325" s="167" t="s">
        <v>70</v>
      </c>
      <c r="AA325" s="167" t="s">
        <v>70</v>
      </c>
      <c r="AB325" s="167" t="s">
        <v>70</v>
      </c>
      <c r="AC325" s="167" t="s">
        <v>70</v>
      </c>
      <c r="AD325" s="167" t="s">
        <v>70</v>
      </c>
      <c r="AE325" s="167" t="s">
        <v>70</v>
      </c>
      <c r="AF325" s="167" t="s">
        <v>70</v>
      </c>
      <c r="AG325" s="167" t="s">
        <v>70</v>
      </c>
      <c r="AH325" s="167" t="s">
        <v>70</v>
      </c>
      <c r="AI325" s="111">
        <v>45680</v>
      </c>
      <c r="AJ325" s="166" t="s">
        <v>69</v>
      </c>
      <c r="AK325" s="167" t="s">
        <v>70</v>
      </c>
      <c r="AL325" s="167" t="s">
        <v>70</v>
      </c>
      <c r="AM325" s="167"/>
      <c r="AN325" s="167" t="s">
        <v>70</v>
      </c>
      <c r="AO325" s="167" t="s">
        <v>70</v>
      </c>
      <c r="AP325" s="167" t="s">
        <v>70</v>
      </c>
      <c r="AQ325" s="167" t="s">
        <v>70</v>
      </c>
      <c r="AR325" s="166" t="s">
        <v>69</v>
      </c>
      <c r="AS325" s="167" t="s">
        <v>70</v>
      </c>
      <c r="AT325" s="167" t="s">
        <v>70</v>
      </c>
      <c r="AU325" s="167" t="s">
        <v>70</v>
      </c>
      <c r="AV325" s="167" t="s">
        <v>70</v>
      </c>
      <c r="AW325" s="167" t="s">
        <v>70</v>
      </c>
      <c r="AX325" s="167" t="s">
        <v>70</v>
      </c>
      <c r="AY325" s="167" t="s">
        <v>70</v>
      </c>
      <c r="AZ325" s="167" t="s">
        <v>70</v>
      </c>
      <c r="BA325" s="167" t="s">
        <v>70</v>
      </c>
      <c r="BB325" s="167" t="s">
        <v>70</v>
      </c>
      <c r="BC325" s="167" t="s">
        <v>70</v>
      </c>
      <c r="BD325" s="167" t="s">
        <v>70</v>
      </c>
      <c r="BE325" s="167" t="s">
        <v>70</v>
      </c>
      <c r="BF325" s="167" t="s">
        <v>70</v>
      </c>
      <c r="BG325" s="167" t="s">
        <v>70</v>
      </c>
      <c r="BH325" s="167" t="s">
        <v>70</v>
      </c>
      <c r="BI325" s="167" t="s">
        <v>70</v>
      </c>
      <c r="BJ325" s="167" t="s">
        <v>70</v>
      </c>
      <c r="BK325" s="167" t="s">
        <v>70</v>
      </c>
      <c r="BL325" s="167" t="s">
        <v>70</v>
      </c>
      <c r="BM325" s="167" t="s">
        <v>70</v>
      </c>
      <c r="BN325" s="167" t="s">
        <v>70</v>
      </c>
      <c r="BO325" s="167" t="s">
        <v>70</v>
      </c>
      <c r="BP325" s="167" t="s">
        <v>70</v>
      </c>
      <c r="BQ325" s="151" t="s">
        <v>256</v>
      </c>
    </row>
    <row r="326" spans="1:69" s="151" customFormat="1" ht="19.5" customHeight="1" x14ac:dyDescent="0.2">
      <c r="A326" s="117">
        <v>323</v>
      </c>
      <c r="B326" s="117" t="s">
        <v>803</v>
      </c>
      <c r="C326" s="117">
        <v>242413</v>
      </c>
      <c r="D326" s="117" t="s">
        <v>212</v>
      </c>
      <c r="E326" s="117" t="s">
        <v>68</v>
      </c>
      <c r="F326" s="146" t="s">
        <v>256</v>
      </c>
      <c r="G326" s="124" t="s">
        <v>69</v>
      </c>
      <c r="H326" s="172">
        <v>45624</v>
      </c>
      <c r="I326" s="172">
        <v>45624</v>
      </c>
      <c r="J326" s="92">
        <f t="shared" si="23"/>
        <v>46719</v>
      </c>
      <c r="K326" s="172">
        <v>45622</v>
      </c>
      <c r="L326" s="172">
        <v>45622</v>
      </c>
      <c r="M326" s="140">
        <f t="shared" si="22"/>
        <v>46717</v>
      </c>
      <c r="N326" s="111">
        <v>45621</v>
      </c>
      <c r="O326" s="111">
        <v>45625</v>
      </c>
      <c r="P326" s="111">
        <v>45628</v>
      </c>
      <c r="Q326" s="167" t="s">
        <v>70</v>
      </c>
      <c r="R326" s="167" t="s">
        <v>70</v>
      </c>
      <c r="S326" s="167" t="s">
        <v>70</v>
      </c>
      <c r="T326" s="167" t="s">
        <v>70</v>
      </c>
      <c r="U326" s="167" t="s">
        <v>70</v>
      </c>
      <c r="V326" s="167" t="s">
        <v>70</v>
      </c>
      <c r="W326" s="167" t="s">
        <v>70</v>
      </c>
      <c r="X326" s="167" t="s">
        <v>70</v>
      </c>
      <c r="Y326" s="167" t="s">
        <v>70</v>
      </c>
      <c r="Z326" s="167" t="s">
        <v>70</v>
      </c>
      <c r="AA326" s="167" t="s">
        <v>70</v>
      </c>
      <c r="AB326" s="167" t="s">
        <v>70</v>
      </c>
      <c r="AC326" s="167" t="s">
        <v>70</v>
      </c>
      <c r="AD326" s="167" t="s">
        <v>70</v>
      </c>
      <c r="AE326" s="167" t="s">
        <v>70</v>
      </c>
      <c r="AF326" s="167" t="s">
        <v>70</v>
      </c>
      <c r="AG326" s="167" t="s">
        <v>70</v>
      </c>
      <c r="AH326" s="167" t="s">
        <v>70</v>
      </c>
      <c r="AI326" s="111">
        <v>45680</v>
      </c>
      <c r="AJ326" s="166" t="s">
        <v>69</v>
      </c>
      <c r="AK326" s="167" t="s">
        <v>70</v>
      </c>
      <c r="AL326" s="167" t="s">
        <v>70</v>
      </c>
      <c r="AM326" s="167"/>
      <c r="AN326" s="167" t="s">
        <v>70</v>
      </c>
      <c r="AO326" s="167" t="s">
        <v>70</v>
      </c>
      <c r="AP326" s="167" t="s">
        <v>70</v>
      </c>
      <c r="AQ326" s="167" t="s">
        <v>70</v>
      </c>
      <c r="AR326" s="166" t="s">
        <v>69</v>
      </c>
      <c r="AS326" s="167" t="s">
        <v>70</v>
      </c>
      <c r="AT326" s="167" t="s">
        <v>70</v>
      </c>
      <c r="AU326" s="167" t="s">
        <v>70</v>
      </c>
      <c r="AV326" s="167" t="s">
        <v>70</v>
      </c>
      <c r="AW326" s="167" t="s">
        <v>70</v>
      </c>
      <c r="AX326" s="167" t="s">
        <v>70</v>
      </c>
      <c r="AY326" s="167" t="s">
        <v>70</v>
      </c>
      <c r="AZ326" s="167" t="s">
        <v>70</v>
      </c>
      <c r="BA326" s="167" t="s">
        <v>70</v>
      </c>
      <c r="BB326" s="167" t="s">
        <v>70</v>
      </c>
      <c r="BC326" s="167" t="s">
        <v>70</v>
      </c>
      <c r="BD326" s="167" t="s">
        <v>70</v>
      </c>
      <c r="BE326" s="167" t="s">
        <v>70</v>
      </c>
      <c r="BF326" s="167" t="s">
        <v>70</v>
      </c>
      <c r="BG326" s="167" t="s">
        <v>70</v>
      </c>
      <c r="BH326" s="167" t="s">
        <v>70</v>
      </c>
      <c r="BI326" s="167" t="s">
        <v>70</v>
      </c>
      <c r="BJ326" s="167" t="s">
        <v>70</v>
      </c>
      <c r="BK326" s="167" t="s">
        <v>70</v>
      </c>
      <c r="BL326" s="167" t="s">
        <v>70</v>
      </c>
      <c r="BM326" s="167" t="s">
        <v>70</v>
      </c>
      <c r="BN326" s="167" t="s">
        <v>70</v>
      </c>
      <c r="BO326" s="167" t="s">
        <v>70</v>
      </c>
      <c r="BP326" s="167" t="s">
        <v>70</v>
      </c>
      <c r="BQ326" s="151" t="s">
        <v>256</v>
      </c>
    </row>
    <row r="327" spans="1:69" s="151" customFormat="1" ht="19.5" customHeight="1" x14ac:dyDescent="0.2">
      <c r="A327" s="117">
        <v>324</v>
      </c>
      <c r="B327" s="117" t="s">
        <v>804</v>
      </c>
      <c r="C327" s="117">
        <v>242417</v>
      </c>
      <c r="D327" s="117" t="s">
        <v>212</v>
      </c>
      <c r="E327" s="117" t="s">
        <v>68</v>
      </c>
      <c r="F327" s="146" t="s">
        <v>256</v>
      </c>
      <c r="G327" s="124" t="s">
        <v>69</v>
      </c>
      <c r="H327" s="172"/>
      <c r="I327" s="172"/>
      <c r="J327" s="92" t="str">
        <f>IF(I327="", "", DATE(YEAR(I327)+3, MONTH(I327), DAY(L327)))</f>
        <v/>
      </c>
      <c r="K327" s="111"/>
      <c r="L327" s="111"/>
      <c r="M327" s="140" t="str">
        <f t="shared" si="22"/>
        <v/>
      </c>
      <c r="N327" s="111"/>
      <c r="O327" s="111"/>
      <c r="P327" s="111"/>
      <c r="Q327" s="167" t="s">
        <v>70</v>
      </c>
      <c r="R327" s="167" t="s">
        <v>70</v>
      </c>
      <c r="S327" s="167" t="s">
        <v>70</v>
      </c>
      <c r="T327" s="167" t="s">
        <v>70</v>
      </c>
      <c r="U327" s="167" t="s">
        <v>70</v>
      </c>
      <c r="V327" s="167" t="s">
        <v>70</v>
      </c>
      <c r="W327" s="167" t="s">
        <v>70</v>
      </c>
      <c r="X327" s="167" t="s">
        <v>70</v>
      </c>
      <c r="Y327" s="167" t="s">
        <v>70</v>
      </c>
      <c r="Z327" s="167" t="s">
        <v>70</v>
      </c>
      <c r="AA327" s="167" t="s">
        <v>70</v>
      </c>
      <c r="AB327" s="167" t="s">
        <v>70</v>
      </c>
      <c r="AC327" s="167" t="s">
        <v>70</v>
      </c>
      <c r="AD327" s="167" t="s">
        <v>70</v>
      </c>
      <c r="AE327" s="167" t="s">
        <v>70</v>
      </c>
      <c r="AF327" s="167" t="s">
        <v>70</v>
      </c>
      <c r="AG327" s="167" t="s">
        <v>70</v>
      </c>
      <c r="AH327" s="167" t="s">
        <v>70</v>
      </c>
      <c r="AI327" s="111">
        <v>45680</v>
      </c>
      <c r="AJ327" s="166" t="s">
        <v>69</v>
      </c>
      <c r="AK327" s="167" t="s">
        <v>70</v>
      </c>
      <c r="AL327" s="167" t="s">
        <v>70</v>
      </c>
      <c r="AM327" s="167"/>
      <c r="AN327" s="167" t="s">
        <v>70</v>
      </c>
      <c r="AO327" s="167" t="s">
        <v>70</v>
      </c>
      <c r="AP327" s="167" t="s">
        <v>70</v>
      </c>
      <c r="AQ327" s="167" t="s">
        <v>70</v>
      </c>
      <c r="AR327" s="166" t="s">
        <v>69</v>
      </c>
      <c r="AS327" s="167" t="s">
        <v>70</v>
      </c>
      <c r="AT327" s="167" t="s">
        <v>70</v>
      </c>
      <c r="AU327" s="167" t="s">
        <v>70</v>
      </c>
      <c r="AV327" s="167" t="s">
        <v>70</v>
      </c>
      <c r="AW327" s="167" t="s">
        <v>70</v>
      </c>
      <c r="AX327" s="167" t="s">
        <v>70</v>
      </c>
      <c r="AY327" s="167" t="s">
        <v>70</v>
      </c>
      <c r="AZ327" s="167" t="s">
        <v>70</v>
      </c>
      <c r="BA327" s="167" t="s">
        <v>70</v>
      </c>
      <c r="BB327" s="167" t="s">
        <v>70</v>
      </c>
      <c r="BC327" s="167" t="s">
        <v>70</v>
      </c>
      <c r="BD327" s="167" t="s">
        <v>70</v>
      </c>
      <c r="BE327" s="167" t="s">
        <v>70</v>
      </c>
      <c r="BF327" s="167" t="s">
        <v>70</v>
      </c>
      <c r="BG327" s="167" t="s">
        <v>70</v>
      </c>
      <c r="BH327" s="167" t="s">
        <v>70</v>
      </c>
      <c r="BI327" s="167" t="s">
        <v>70</v>
      </c>
      <c r="BJ327" s="167" t="s">
        <v>70</v>
      </c>
      <c r="BK327" s="167" t="s">
        <v>70</v>
      </c>
      <c r="BL327" s="167" t="s">
        <v>70</v>
      </c>
      <c r="BM327" s="167" t="s">
        <v>70</v>
      </c>
      <c r="BN327" s="167" t="s">
        <v>70</v>
      </c>
      <c r="BO327" s="167" t="s">
        <v>70</v>
      </c>
      <c r="BP327" s="167" t="s">
        <v>70</v>
      </c>
      <c r="BQ327" s="151" t="s">
        <v>256</v>
      </c>
    </row>
    <row r="328" spans="1:69" s="151" customFormat="1" ht="19.5" customHeight="1" x14ac:dyDescent="0.2">
      <c r="A328" s="117">
        <v>325</v>
      </c>
      <c r="B328" s="117" t="s">
        <v>805</v>
      </c>
      <c r="C328" s="117">
        <v>250755</v>
      </c>
      <c r="D328" s="117" t="s">
        <v>212</v>
      </c>
      <c r="E328" s="117" t="s">
        <v>68</v>
      </c>
      <c r="F328" s="146" t="s">
        <v>256</v>
      </c>
      <c r="G328" s="124" t="s">
        <v>69</v>
      </c>
      <c r="H328" s="172">
        <v>45769</v>
      </c>
      <c r="I328" s="172">
        <v>45769</v>
      </c>
      <c r="J328" s="92">
        <f>IF(I328="", "", DATE(YEAR(I328)+3, MONTH(I328), DAY(L328)))</f>
        <v>46866</v>
      </c>
      <c r="K328" s="111">
        <v>45770</v>
      </c>
      <c r="L328" s="111">
        <v>45770</v>
      </c>
      <c r="M328" s="140">
        <f t="shared" si="22"/>
        <v>46866</v>
      </c>
      <c r="N328" s="93">
        <v>45772</v>
      </c>
      <c r="O328" s="93">
        <v>45771</v>
      </c>
      <c r="P328" s="93">
        <v>45768</v>
      </c>
      <c r="Q328" s="167" t="s">
        <v>70</v>
      </c>
      <c r="R328" s="167" t="s">
        <v>70</v>
      </c>
      <c r="S328" s="167" t="s">
        <v>70</v>
      </c>
      <c r="T328" s="167" t="s">
        <v>70</v>
      </c>
      <c r="U328" s="167" t="s">
        <v>70</v>
      </c>
      <c r="V328" s="167" t="s">
        <v>70</v>
      </c>
      <c r="W328" s="167" t="s">
        <v>70</v>
      </c>
      <c r="X328" s="167" t="s">
        <v>70</v>
      </c>
      <c r="Y328" s="167" t="s">
        <v>70</v>
      </c>
      <c r="Z328" s="167" t="s">
        <v>70</v>
      </c>
      <c r="AA328" s="167" t="s">
        <v>70</v>
      </c>
      <c r="AB328" s="167" t="s">
        <v>70</v>
      </c>
      <c r="AC328" s="167" t="s">
        <v>70</v>
      </c>
      <c r="AD328" s="167" t="s">
        <v>70</v>
      </c>
      <c r="AE328" s="167" t="s">
        <v>70</v>
      </c>
      <c r="AF328" s="167" t="s">
        <v>70</v>
      </c>
      <c r="AG328" s="167" t="s">
        <v>70</v>
      </c>
      <c r="AH328" s="167" t="s">
        <v>70</v>
      </c>
      <c r="AI328" s="111">
        <v>45799</v>
      </c>
      <c r="AJ328" s="166" t="s">
        <v>69</v>
      </c>
      <c r="AK328" s="167" t="s">
        <v>70</v>
      </c>
      <c r="AL328" s="167" t="s">
        <v>70</v>
      </c>
      <c r="AM328" s="167"/>
      <c r="AN328" s="167" t="s">
        <v>70</v>
      </c>
      <c r="AO328" s="167" t="s">
        <v>70</v>
      </c>
      <c r="AP328" s="167" t="s">
        <v>70</v>
      </c>
      <c r="AQ328" s="167" t="s">
        <v>70</v>
      </c>
      <c r="AR328" s="166" t="s">
        <v>69</v>
      </c>
      <c r="AS328" s="167" t="s">
        <v>70</v>
      </c>
      <c r="AT328" s="167" t="s">
        <v>70</v>
      </c>
      <c r="AU328" s="167" t="s">
        <v>70</v>
      </c>
      <c r="AV328" s="167" t="s">
        <v>70</v>
      </c>
      <c r="AW328" s="167" t="s">
        <v>70</v>
      </c>
      <c r="AX328" s="167" t="s">
        <v>70</v>
      </c>
      <c r="AY328" s="167" t="s">
        <v>70</v>
      </c>
      <c r="AZ328" s="167" t="s">
        <v>70</v>
      </c>
      <c r="BA328" s="167" t="s">
        <v>70</v>
      </c>
      <c r="BB328" s="167" t="s">
        <v>70</v>
      </c>
      <c r="BC328" s="167" t="s">
        <v>70</v>
      </c>
      <c r="BD328" s="167" t="s">
        <v>70</v>
      </c>
      <c r="BE328" s="167" t="s">
        <v>70</v>
      </c>
      <c r="BF328" s="167" t="s">
        <v>70</v>
      </c>
      <c r="BG328" s="167" t="s">
        <v>70</v>
      </c>
      <c r="BH328" s="167" t="s">
        <v>70</v>
      </c>
      <c r="BI328" s="167" t="s">
        <v>70</v>
      </c>
      <c r="BJ328" s="167" t="s">
        <v>70</v>
      </c>
      <c r="BK328" s="167" t="s">
        <v>70</v>
      </c>
      <c r="BL328" s="167" t="s">
        <v>70</v>
      </c>
      <c r="BM328" s="167" t="s">
        <v>70</v>
      </c>
      <c r="BN328" s="167" t="s">
        <v>70</v>
      </c>
      <c r="BO328" s="167" t="s">
        <v>70</v>
      </c>
      <c r="BP328" s="167" t="s">
        <v>70</v>
      </c>
      <c r="BQ328" s="151" t="s">
        <v>256</v>
      </c>
    </row>
    <row r="329" spans="1:69" s="151" customFormat="1" ht="19.5" customHeight="1" x14ac:dyDescent="0.2">
      <c r="A329" s="117">
        <v>326</v>
      </c>
      <c r="B329" s="121" t="s">
        <v>346</v>
      </c>
      <c r="C329" s="122">
        <v>83075874</v>
      </c>
      <c r="D329" s="117" t="s">
        <v>212</v>
      </c>
      <c r="E329" s="117" t="s">
        <v>68</v>
      </c>
      <c r="F329" s="146" t="s">
        <v>256</v>
      </c>
      <c r="G329" s="124" t="s">
        <v>69</v>
      </c>
      <c r="H329" s="93">
        <v>46155</v>
      </c>
      <c r="I329" s="93">
        <v>46155</v>
      </c>
      <c r="J329" s="92">
        <f>IF(I329="", "", DATE(YEAR(I329)+3, MONTH(I329), DAY(I329)))</f>
        <v>47251</v>
      </c>
      <c r="K329" s="190" t="s">
        <v>347</v>
      </c>
      <c r="L329" s="93">
        <v>45678</v>
      </c>
      <c r="M329" s="140">
        <f t="shared" si="22"/>
        <v>46773</v>
      </c>
      <c r="N329" s="93">
        <v>46171</v>
      </c>
      <c r="O329" s="93">
        <v>46216</v>
      </c>
      <c r="P329" s="93">
        <v>46170</v>
      </c>
      <c r="Q329" s="167" t="s">
        <v>70</v>
      </c>
      <c r="R329" s="167" t="s">
        <v>70</v>
      </c>
      <c r="S329" s="167" t="s">
        <v>70</v>
      </c>
      <c r="T329" s="167" t="s">
        <v>70</v>
      </c>
      <c r="U329" s="167" t="s">
        <v>70</v>
      </c>
      <c r="V329" s="167" t="s">
        <v>70</v>
      </c>
      <c r="W329" s="167" t="s">
        <v>70</v>
      </c>
      <c r="X329" s="167" t="s">
        <v>70</v>
      </c>
      <c r="Y329" s="167" t="s">
        <v>70</v>
      </c>
      <c r="Z329" s="167" t="s">
        <v>70</v>
      </c>
      <c r="AA329" s="167" t="s">
        <v>70</v>
      </c>
      <c r="AB329" s="167" t="s">
        <v>70</v>
      </c>
      <c r="AC329" s="167" t="s">
        <v>70</v>
      </c>
      <c r="AD329" s="167" t="s">
        <v>70</v>
      </c>
      <c r="AE329" s="167" t="s">
        <v>70</v>
      </c>
      <c r="AF329" s="167" t="s">
        <v>70</v>
      </c>
      <c r="AG329" s="167" t="s">
        <v>70</v>
      </c>
      <c r="AH329" s="167" t="s">
        <v>70</v>
      </c>
      <c r="AI329" s="181">
        <v>46044</v>
      </c>
      <c r="AJ329" s="163">
        <v>45350</v>
      </c>
      <c r="AK329" s="167" t="s">
        <v>70</v>
      </c>
      <c r="AL329" s="167" t="s">
        <v>70</v>
      </c>
      <c r="AM329" s="167"/>
      <c r="AN329" s="167" t="s">
        <v>70</v>
      </c>
      <c r="AO329" s="167" t="s">
        <v>70</v>
      </c>
      <c r="AP329" s="167" t="s">
        <v>70</v>
      </c>
      <c r="AQ329" s="167" t="s">
        <v>70</v>
      </c>
      <c r="AR329" s="166" t="s">
        <v>69</v>
      </c>
      <c r="AS329" s="167" t="s">
        <v>70</v>
      </c>
      <c r="AT329" s="167" t="s">
        <v>70</v>
      </c>
      <c r="AU329" s="167" t="s">
        <v>70</v>
      </c>
      <c r="AV329" s="167" t="s">
        <v>70</v>
      </c>
      <c r="AW329" s="167" t="s">
        <v>70</v>
      </c>
      <c r="AX329" s="167" t="s">
        <v>70</v>
      </c>
      <c r="AY329" s="167" t="s">
        <v>70</v>
      </c>
      <c r="AZ329" s="167" t="s">
        <v>70</v>
      </c>
      <c r="BA329" s="167" t="s">
        <v>70</v>
      </c>
      <c r="BB329" s="167" t="s">
        <v>70</v>
      </c>
      <c r="BC329" s="167" t="s">
        <v>70</v>
      </c>
      <c r="BD329" s="167" t="s">
        <v>70</v>
      </c>
      <c r="BE329" s="167" t="s">
        <v>70</v>
      </c>
      <c r="BF329" s="167" t="s">
        <v>70</v>
      </c>
      <c r="BG329" s="167" t="s">
        <v>70</v>
      </c>
      <c r="BH329" s="167" t="s">
        <v>70</v>
      </c>
      <c r="BI329" s="167" t="s">
        <v>70</v>
      </c>
      <c r="BJ329" s="167" t="s">
        <v>70</v>
      </c>
      <c r="BK329" s="167" t="s">
        <v>70</v>
      </c>
      <c r="BL329" s="167" t="s">
        <v>70</v>
      </c>
      <c r="BM329" s="167" t="s">
        <v>70</v>
      </c>
      <c r="BN329" s="167" t="s">
        <v>70</v>
      </c>
      <c r="BO329" s="167" t="s">
        <v>70</v>
      </c>
      <c r="BP329" s="167" t="s">
        <v>70</v>
      </c>
      <c r="BQ329" s="151" t="s">
        <v>256</v>
      </c>
    </row>
    <row r="330" spans="1:69" s="151" customFormat="1" ht="19.5" customHeight="1" x14ac:dyDescent="0.2">
      <c r="A330" s="117">
        <v>327</v>
      </c>
      <c r="B330" s="121" t="s">
        <v>348</v>
      </c>
      <c r="C330" s="122">
        <v>83040045</v>
      </c>
      <c r="D330" s="117" t="s">
        <v>212</v>
      </c>
      <c r="E330" s="117" t="s">
        <v>68</v>
      </c>
      <c r="F330" s="146" t="s">
        <v>256</v>
      </c>
      <c r="G330" s="124" t="s">
        <v>69</v>
      </c>
      <c r="H330" s="93">
        <v>46282</v>
      </c>
      <c r="I330" s="93">
        <v>46282</v>
      </c>
      <c r="J330" s="92">
        <f>IF(I330="", "", DATE(YEAR(I330)+3, MONTH(I330), DAY(L330)))</f>
        <v>47377</v>
      </c>
      <c r="K330" s="93">
        <v>46281</v>
      </c>
      <c r="L330" s="93">
        <v>46281</v>
      </c>
      <c r="M330" s="140">
        <f t="shared" si="22"/>
        <v>47377</v>
      </c>
      <c r="N330" s="93">
        <v>46279</v>
      </c>
      <c r="O330" s="93">
        <v>46286</v>
      </c>
      <c r="P330" s="93">
        <v>46280</v>
      </c>
      <c r="Q330" s="167" t="s">
        <v>70</v>
      </c>
      <c r="R330" s="167" t="s">
        <v>70</v>
      </c>
      <c r="S330" s="167" t="s">
        <v>70</v>
      </c>
      <c r="T330" s="167" t="s">
        <v>70</v>
      </c>
      <c r="U330" s="167" t="s">
        <v>70</v>
      </c>
      <c r="V330" s="167" t="s">
        <v>70</v>
      </c>
      <c r="W330" s="167" t="s">
        <v>70</v>
      </c>
      <c r="X330" s="167" t="s">
        <v>70</v>
      </c>
      <c r="Y330" s="167" t="s">
        <v>70</v>
      </c>
      <c r="Z330" s="167" t="s">
        <v>70</v>
      </c>
      <c r="AA330" s="167" t="s">
        <v>70</v>
      </c>
      <c r="AB330" s="167" t="s">
        <v>70</v>
      </c>
      <c r="AC330" s="167" t="s">
        <v>70</v>
      </c>
      <c r="AD330" s="167" t="s">
        <v>70</v>
      </c>
      <c r="AE330" s="167" t="s">
        <v>70</v>
      </c>
      <c r="AF330" s="167" t="s">
        <v>70</v>
      </c>
      <c r="AG330" s="167" t="s">
        <v>70</v>
      </c>
      <c r="AH330" s="167" t="s">
        <v>70</v>
      </c>
      <c r="AI330" s="181">
        <v>46272</v>
      </c>
      <c r="AJ330" s="163">
        <v>45345</v>
      </c>
      <c r="AK330" s="167" t="s">
        <v>70</v>
      </c>
      <c r="AL330" s="167" t="s">
        <v>70</v>
      </c>
      <c r="AM330" s="167"/>
      <c r="AN330" s="167" t="s">
        <v>70</v>
      </c>
      <c r="AO330" s="167" t="s">
        <v>70</v>
      </c>
      <c r="AP330" s="167" t="s">
        <v>70</v>
      </c>
      <c r="AQ330" s="167" t="s">
        <v>70</v>
      </c>
      <c r="AR330" s="168">
        <v>46090</v>
      </c>
      <c r="AS330" s="167" t="s">
        <v>70</v>
      </c>
      <c r="AT330" s="167" t="s">
        <v>70</v>
      </c>
      <c r="AU330" s="167" t="s">
        <v>70</v>
      </c>
      <c r="AV330" s="167" t="s">
        <v>70</v>
      </c>
      <c r="AW330" s="167" t="s">
        <v>70</v>
      </c>
      <c r="AX330" s="167" t="s">
        <v>70</v>
      </c>
      <c r="AY330" s="167" t="s">
        <v>70</v>
      </c>
      <c r="AZ330" s="167" t="s">
        <v>70</v>
      </c>
      <c r="BA330" s="167" t="s">
        <v>70</v>
      </c>
      <c r="BB330" s="167" t="s">
        <v>70</v>
      </c>
      <c r="BC330" s="167" t="s">
        <v>70</v>
      </c>
      <c r="BD330" s="167" t="s">
        <v>70</v>
      </c>
      <c r="BE330" s="167" t="s">
        <v>70</v>
      </c>
      <c r="BF330" s="167" t="s">
        <v>70</v>
      </c>
      <c r="BG330" s="167" t="s">
        <v>70</v>
      </c>
      <c r="BH330" s="167" t="s">
        <v>70</v>
      </c>
      <c r="BI330" s="167" t="s">
        <v>70</v>
      </c>
      <c r="BJ330" s="167" t="s">
        <v>70</v>
      </c>
      <c r="BK330" s="167" t="s">
        <v>70</v>
      </c>
      <c r="BL330" s="167" t="s">
        <v>70</v>
      </c>
      <c r="BM330" s="167" t="s">
        <v>70</v>
      </c>
      <c r="BN330" s="167" t="s">
        <v>70</v>
      </c>
      <c r="BO330" s="167" t="s">
        <v>70</v>
      </c>
      <c r="BP330" s="167" t="s">
        <v>70</v>
      </c>
      <c r="BQ330" s="151" t="s">
        <v>256</v>
      </c>
    </row>
    <row r="331" spans="1:69" s="151" customFormat="1" ht="19.5" customHeight="1" x14ac:dyDescent="0.2">
      <c r="A331" s="117">
        <v>328</v>
      </c>
      <c r="B331" s="121" t="s">
        <v>349</v>
      </c>
      <c r="C331" s="122">
        <v>83040208</v>
      </c>
      <c r="D331" s="117" t="s">
        <v>212</v>
      </c>
      <c r="E331" s="117" t="s">
        <v>68</v>
      </c>
      <c r="F331" s="146" t="s">
        <v>256</v>
      </c>
      <c r="G331" s="124" t="s">
        <v>69</v>
      </c>
      <c r="H331" s="93">
        <v>42338</v>
      </c>
      <c r="I331" s="93">
        <v>45798</v>
      </c>
      <c r="J331" s="92">
        <f>IF(I331="", "", DATE(YEAR(I331)+3, MONTH(I331), DAY(L331)))</f>
        <v>46893</v>
      </c>
      <c r="K331" s="93">
        <v>42338</v>
      </c>
      <c r="L331" s="93">
        <v>45797</v>
      </c>
      <c r="M331" s="140">
        <f t="shared" si="22"/>
        <v>46893</v>
      </c>
      <c r="N331" s="93">
        <v>45800</v>
      </c>
      <c r="O331" s="93">
        <v>45799</v>
      </c>
      <c r="P331" s="93">
        <v>45796</v>
      </c>
      <c r="Q331" s="167" t="s">
        <v>70</v>
      </c>
      <c r="R331" s="167" t="s">
        <v>70</v>
      </c>
      <c r="S331" s="167" t="s">
        <v>70</v>
      </c>
      <c r="T331" s="167" t="s">
        <v>70</v>
      </c>
      <c r="U331" s="167" t="s">
        <v>70</v>
      </c>
      <c r="V331" s="167" t="s">
        <v>70</v>
      </c>
      <c r="W331" s="167" t="s">
        <v>70</v>
      </c>
      <c r="X331" s="167" t="s">
        <v>70</v>
      </c>
      <c r="Y331" s="167" t="s">
        <v>70</v>
      </c>
      <c r="Z331" s="167" t="s">
        <v>70</v>
      </c>
      <c r="AA331" s="167" t="s">
        <v>70</v>
      </c>
      <c r="AB331" s="167" t="s">
        <v>70</v>
      </c>
      <c r="AC331" s="167" t="s">
        <v>70</v>
      </c>
      <c r="AD331" s="167" t="s">
        <v>70</v>
      </c>
      <c r="AE331" s="167" t="s">
        <v>70</v>
      </c>
      <c r="AF331" s="167" t="s">
        <v>70</v>
      </c>
      <c r="AG331" s="167" t="s">
        <v>70</v>
      </c>
      <c r="AH331" s="167" t="s">
        <v>70</v>
      </c>
      <c r="AI331" s="181">
        <v>46233</v>
      </c>
      <c r="AJ331" s="163">
        <v>45355</v>
      </c>
      <c r="AK331" s="167" t="s">
        <v>70</v>
      </c>
      <c r="AL331" s="167" t="s">
        <v>70</v>
      </c>
      <c r="AM331" s="167"/>
      <c r="AN331" s="167" t="s">
        <v>70</v>
      </c>
      <c r="AO331" s="167" t="s">
        <v>70</v>
      </c>
      <c r="AP331" s="167" t="s">
        <v>70</v>
      </c>
      <c r="AQ331" s="167" t="s">
        <v>70</v>
      </c>
      <c r="AR331" s="166" t="s">
        <v>69</v>
      </c>
      <c r="AS331" s="167" t="s">
        <v>70</v>
      </c>
      <c r="AT331" s="167" t="s">
        <v>70</v>
      </c>
      <c r="AU331" s="167" t="s">
        <v>70</v>
      </c>
      <c r="AV331" s="167" t="s">
        <v>70</v>
      </c>
      <c r="AW331" s="167" t="s">
        <v>70</v>
      </c>
      <c r="AX331" s="167" t="s">
        <v>70</v>
      </c>
      <c r="AY331" s="167" t="s">
        <v>70</v>
      </c>
      <c r="AZ331" s="167" t="s">
        <v>70</v>
      </c>
      <c r="BA331" s="167" t="s">
        <v>70</v>
      </c>
      <c r="BB331" s="167" t="s">
        <v>70</v>
      </c>
      <c r="BC331" s="167" t="s">
        <v>70</v>
      </c>
      <c r="BD331" s="167" t="s">
        <v>70</v>
      </c>
      <c r="BE331" s="167" t="s">
        <v>70</v>
      </c>
      <c r="BF331" s="167" t="s">
        <v>70</v>
      </c>
      <c r="BG331" s="167" t="s">
        <v>70</v>
      </c>
      <c r="BH331" s="167" t="s">
        <v>70</v>
      </c>
      <c r="BI331" s="167" t="s">
        <v>70</v>
      </c>
      <c r="BJ331" s="167" t="s">
        <v>70</v>
      </c>
      <c r="BK331" s="167" t="s">
        <v>70</v>
      </c>
      <c r="BL331" s="167" t="s">
        <v>70</v>
      </c>
      <c r="BM331" s="167" t="s">
        <v>70</v>
      </c>
      <c r="BN331" s="167" t="s">
        <v>70</v>
      </c>
      <c r="BO331" s="167" t="s">
        <v>70</v>
      </c>
      <c r="BP331" s="167" t="s">
        <v>70</v>
      </c>
      <c r="BQ331" s="151" t="s">
        <v>256</v>
      </c>
    </row>
    <row r="332" spans="1:69" s="151" customFormat="1" ht="19.5" customHeight="1" x14ac:dyDescent="0.2">
      <c r="A332" s="117">
        <v>329</v>
      </c>
      <c r="B332" s="121" t="s">
        <v>350</v>
      </c>
      <c r="C332" s="122">
        <v>162692</v>
      </c>
      <c r="D332" s="117" t="s">
        <v>212</v>
      </c>
      <c r="E332" s="117" t="s">
        <v>68</v>
      </c>
      <c r="F332" s="146" t="s">
        <v>256</v>
      </c>
      <c r="G332" s="124" t="s">
        <v>69</v>
      </c>
      <c r="H332" s="93"/>
      <c r="I332" s="93"/>
      <c r="J332" s="92" t="str">
        <f>IF(I332="", "", DATE(YEAR(I332)+3, MONTH(I332), DAY(L332)))</f>
        <v/>
      </c>
      <c r="K332" s="93"/>
      <c r="L332" s="93"/>
      <c r="M332" s="140" t="str">
        <f t="shared" si="22"/>
        <v/>
      </c>
      <c r="N332" s="93"/>
      <c r="O332" s="93"/>
      <c r="P332" s="93"/>
      <c r="Q332" s="167" t="s">
        <v>70</v>
      </c>
      <c r="R332" s="167" t="s">
        <v>70</v>
      </c>
      <c r="S332" s="167" t="s">
        <v>70</v>
      </c>
      <c r="T332" s="167" t="s">
        <v>70</v>
      </c>
      <c r="U332" s="167" t="s">
        <v>70</v>
      </c>
      <c r="V332" s="167" t="s">
        <v>70</v>
      </c>
      <c r="W332" s="167" t="s">
        <v>70</v>
      </c>
      <c r="X332" s="167" t="s">
        <v>70</v>
      </c>
      <c r="Y332" s="167" t="s">
        <v>70</v>
      </c>
      <c r="Z332" s="167" t="s">
        <v>70</v>
      </c>
      <c r="AA332" s="167" t="s">
        <v>70</v>
      </c>
      <c r="AB332" s="167" t="s">
        <v>70</v>
      </c>
      <c r="AC332" s="167" t="s">
        <v>70</v>
      </c>
      <c r="AD332" s="167" t="s">
        <v>70</v>
      </c>
      <c r="AE332" s="167" t="s">
        <v>70</v>
      </c>
      <c r="AF332" s="167" t="s">
        <v>70</v>
      </c>
      <c r="AG332" s="167" t="s">
        <v>70</v>
      </c>
      <c r="AH332" s="167" t="s">
        <v>70</v>
      </c>
      <c r="AI332" s="181">
        <v>46086</v>
      </c>
      <c r="AJ332" s="163">
        <v>45345</v>
      </c>
      <c r="AK332" s="167" t="s">
        <v>70</v>
      </c>
      <c r="AL332" s="167" t="s">
        <v>70</v>
      </c>
      <c r="AM332" s="167"/>
      <c r="AN332" s="167" t="s">
        <v>70</v>
      </c>
      <c r="AO332" s="167" t="s">
        <v>70</v>
      </c>
      <c r="AP332" s="167" t="s">
        <v>70</v>
      </c>
      <c r="AQ332" s="167" t="s">
        <v>70</v>
      </c>
      <c r="AR332" s="166" t="s">
        <v>69</v>
      </c>
      <c r="AS332" s="167" t="s">
        <v>70</v>
      </c>
      <c r="AT332" s="167" t="s">
        <v>70</v>
      </c>
      <c r="AU332" s="167" t="s">
        <v>70</v>
      </c>
      <c r="AV332" s="167" t="s">
        <v>70</v>
      </c>
      <c r="AW332" s="167" t="s">
        <v>70</v>
      </c>
      <c r="AX332" s="167" t="s">
        <v>70</v>
      </c>
      <c r="AY332" s="167" t="s">
        <v>70</v>
      </c>
      <c r="AZ332" s="167" t="s">
        <v>70</v>
      </c>
      <c r="BA332" s="167" t="s">
        <v>70</v>
      </c>
      <c r="BB332" s="167" t="s">
        <v>70</v>
      </c>
      <c r="BC332" s="167" t="s">
        <v>70</v>
      </c>
      <c r="BD332" s="167" t="s">
        <v>70</v>
      </c>
      <c r="BE332" s="167" t="s">
        <v>70</v>
      </c>
      <c r="BF332" s="167" t="s">
        <v>70</v>
      </c>
      <c r="BG332" s="167" t="s">
        <v>70</v>
      </c>
      <c r="BH332" s="167" t="s">
        <v>70</v>
      </c>
      <c r="BI332" s="167" t="s">
        <v>70</v>
      </c>
      <c r="BJ332" s="167" t="s">
        <v>70</v>
      </c>
      <c r="BK332" s="167" t="s">
        <v>70</v>
      </c>
      <c r="BL332" s="167" t="s">
        <v>70</v>
      </c>
      <c r="BM332" s="167" t="s">
        <v>70</v>
      </c>
      <c r="BN332" s="167" t="s">
        <v>70</v>
      </c>
      <c r="BO332" s="167" t="s">
        <v>70</v>
      </c>
      <c r="BP332" s="167" t="s">
        <v>70</v>
      </c>
      <c r="BQ332" s="151" t="s">
        <v>256</v>
      </c>
    </row>
    <row r="333" spans="1:69" s="151" customFormat="1" ht="19.5" customHeight="1" x14ac:dyDescent="0.2">
      <c r="A333" s="117">
        <v>330</v>
      </c>
      <c r="B333" s="121" t="s">
        <v>351</v>
      </c>
      <c r="C333" s="122">
        <v>134354</v>
      </c>
      <c r="D333" s="117" t="s">
        <v>212</v>
      </c>
      <c r="E333" s="117" t="s">
        <v>68</v>
      </c>
      <c r="F333" s="146" t="s">
        <v>256</v>
      </c>
      <c r="G333" s="124" t="s">
        <v>69</v>
      </c>
      <c r="H333" s="93">
        <v>46282</v>
      </c>
      <c r="I333" s="93">
        <v>46282</v>
      </c>
      <c r="J333" s="92">
        <f>IF(I333="", "", DATE(YEAR(I333)+3, MONTH(I333), DAY(I333)))</f>
        <v>47378</v>
      </c>
      <c r="K333" s="93">
        <v>46281</v>
      </c>
      <c r="L333" s="93">
        <v>46281</v>
      </c>
      <c r="M333" s="140">
        <f t="shared" si="22"/>
        <v>47377</v>
      </c>
      <c r="N333" s="93">
        <v>46279</v>
      </c>
      <c r="O333" s="93">
        <v>46286</v>
      </c>
      <c r="P333" s="93">
        <v>46280</v>
      </c>
      <c r="Q333" s="167" t="s">
        <v>70</v>
      </c>
      <c r="R333" s="167" t="s">
        <v>70</v>
      </c>
      <c r="S333" s="167" t="s">
        <v>70</v>
      </c>
      <c r="T333" s="167" t="s">
        <v>70</v>
      </c>
      <c r="U333" s="167" t="s">
        <v>70</v>
      </c>
      <c r="V333" s="167" t="s">
        <v>70</v>
      </c>
      <c r="W333" s="167" t="s">
        <v>70</v>
      </c>
      <c r="X333" s="167" t="s">
        <v>70</v>
      </c>
      <c r="Y333" s="167" t="s">
        <v>70</v>
      </c>
      <c r="Z333" s="167" t="s">
        <v>70</v>
      </c>
      <c r="AA333" s="167" t="s">
        <v>70</v>
      </c>
      <c r="AB333" s="167" t="s">
        <v>70</v>
      </c>
      <c r="AC333" s="167" t="s">
        <v>70</v>
      </c>
      <c r="AD333" s="167" t="s">
        <v>70</v>
      </c>
      <c r="AE333" s="167" t="s">
        <v>70</v>
      </c>
      <c r="AF333" s="167" t="s">
        <v>70</v>
      </c>
      <c r="AG333" s="167" t="s">
        <v>70</v>
      </c>
      <c r="AH333" s="167" t="s">
        <v>70</v>
      </c>
      <c r="AI333" s="181">
        <v>46175</v>
      </c>
      <c r="AJ333" s="163">
        <v>45355</v>
      </c>
      <c r="AK333" s="167" t="s">
        <v>70</v>
      </c>
      <c r="AL333" s="167" t="s">
        <v>70</v>
      </c>
      <c r="AM333" s="167"/>
      <c r="AN333" s="167" t="s">
        <v>70</v>
      </c>
      <c r="AO333" s="167" t="s">
        <v>70</v>
      </c>
      <c r="AP333" s="167" t="s">
        <v>70</v>
      </c>
      <c r="AQ333" s="167" t="s">
        <v>70</v>
      </c>
      <c r="AR333" s="166" t="s">
        <v>69</v>
      </c>
      <c r="AS333" s="167" t="s">
        <v>70</v>
      </c>
      <c r="AT333" s="167" t="s">
        <v>70</v>
      </c>
      <c r="AU333" s="167" t="s">
        <v>70</v>
      </c>
      <c r="AV333" s="167" t="s">
        <v>70</v>
      </c>
      <c r="AW333" s="167" t="s">
        <v>70</v>
      </c>
      <c r="AX333" s="167" t="s">
        <v>70</v>
      </c>
      <c r="AY333" s="167" t="s">
        <v>70</v>
      </c>
      <c r="AZ333" s="167" t="s">
        <v>70</v>
      </c>
      <c r="BA333" s="167" t="s">
        <v>70</v>
      </c>
      <c r="BB333" s="167" t="s">
        <v>70</v>
      </c>
      <c r="BC333" s="167" t="s">
        <v>70</v>
      </c>
      <c r="BD333" s="167" t="s">
        <v>70</v>
      </c>
      <c r="BE333" s="167" t="s">
        <v>70</v>
      </c>
      <c r="BF333" s="167" t="s">
        <v>70</v>
      </c>
      <c r="BG333" s="167" t="s">
        <v>70</v>
      </c>
      <c r="BH333" s="167" t="s">
        <v>70</v>
      </c>
      <c r="BI333" s="167" t="s">
        <v>70</v>
      </c>
      <c r="BJ333" s="167" t="s">
        <v>70</v>
      </c>
      <c r="BK333" s="167" t="s">
        <v>70</v>
      </c>
      <c r="BL333" s="167" t="s">
        <v>70</v>
      </c>
      <c r="BM333" s="167" t="s">
        <v>70</v>
      </c>
      <c r="BN333" s="167" t="s">
        <v>70</v>
      </c>
      <c r="BO333" s="167" t="s">
        <v>70</v>
      </c>
      <c r="BP333" s="167" t="s">
        <v>70</v>
      </c>
      <c r="BQ333" s="151" t="s">
        <v>256</v>
      </c>
    </row>
    <row r="334" spans="1:69" s="151" customFormat="1" ht="19.5" customHeight="1" x14ac:dyDescent="0.2">
      <c r="A334" s="117">
        <v>331</v>
      </c>
      <c r="B334" s="121" t="s">
        <v>352</v>
      </c>
      <c r="C334" s="122">
        <v>83102201</v>
      </c>
      <c r="D334" s="117" t="s">
        <v>212</v>
      </c>
      <c r="E334" s="117" t="s">
        <v>68</v>
      </c>
      <c r="F334" s="146" t="s">
        <v>256</v>
      </c>
      <c r="G334" s="124" t="s">
        <v>69</v>
      </c>
      <c r="H334" s="93"/>
      <c r="I334" s="93"/>
      <c r="J334" s="92" t="str">
        <f>IF(I334="", "", DATE(YEAR(I334)+3, MONTH(I334), DAY(L334)))</f>
        <v/>
      </c>
      <c r="K334" s="93"/>
      <c r="L334" s="93"/>
      <c r="M334" s="140" t="str">
        <f t="shared" si="22"/>
        <v/>
      </c>
      <c r="N334" s="93"/>
      <c r="O334" s="93"/>
      <c r="P334" s="93"/>
      <c r="Q334" s="167" t="s">
        <v>70</v>
      </c>
      <c r="R334" s="167" t="s">
        <v>70</v>
      </c>
      <c r="S334" s="167" t="s">
        <v>70</v>
      </c>
      <c r="T334" s="167" t="s">
        <v>70</v>
      </c>
      <c r="U334" s="167" t="s">
        <v>70</v>
      </c>
      <c r="V334" s="167" t="s">
        <v>70</v>
      </c>
      <c r="W334" s="167" t="s">
        <v>70</v>
      </c>
      <c r="X334" s="167" t="s">
        <v>70</v>
      </c>
      <c r="Y334" s="167" t="s">
        <v>70</v>
      </c>
      <c r="Z334" s="167" t="s">
        <v>70</v>
      </c>
      <c r="AA334" s="167" t="s">
        <v>70</v>
      </c>
      <c r="AB334" s="167" t="s">
        <v>70</v>
      </c>
      <c r="AC334" s="167" t="s">
        <v>70</v>
      </c>
      <c r="AD334" s="167" t="s">
        <v>70</v>
      </c>
      <c r="AE334" s="167" t="s">
        <v>70</v>
      </c>
      <c r="AF334" s="167" t="s">
        <v>70</v>
      </c>
      <c r="AG334" s="167" t="s">
        <v>70</v>
      </c>
      <c r="AH334" s="167" t="s">
        <v>70</v>
      </c>
      <c r="AI334" s="181">
        <v>46065</v>
      </c>
      <c r="AJ334" s="163">
        <v>45359</v>
      </c>
      <c r="AK334" s="167" t="s">
        <v>70</v>
      </c>
      <c r="AL334" s="167" t="s">
        <v>70</v>
      </c>
      <c r="AM334" s="167"/>
      <c r="AN334" s="167" t="s">
        <v>70</v>
      </c>
      <c r="AO334" s="167" t="s">
        <v>70</v>
      </c>
      <c r="AP334" s="167" t="s">
        <v>70</v>
      </c>
      <c r="AQ334" s="167" t="s">
        <v>70</v>
      </c>
      <c r="AR334" s="166" t="s">
        <v>69</v>
      </c>
      <c r="AS334" s="167" t="s">
        <v>70</v>
      </c>
      <c r="AT334" s="167" t="s">
        <v>70</v>
      </c>
      <c r="AU334" s="167" t="s">
        <v>70</v>
      </c>
      <c r="AV334" s="167" t="s">
        <v>70</v>
      </c>
      <c r="AW334" s="167" t="s">
        <v>70</v>
      </c>
      <c r="AX334" s="167" t="s">
        <v>70</v>
      </c>
      <c r="AY334" s="167" t="s">
        <v>70</v>
      </c>
      <c r="AZ334" s="167" t="s">
        <v>70</v>
      </c>
      <c r="BA334" s="167" t="s">
        <v>70</v>
      </c>
      <c r="BB334" s="167" t="s">
        <v>70</v>
      </c>
      <c r="BC334" s="167" t="s">
        <v>70</v>
      </c>
      <c r="BD334" s="167" t="s">
        <v>70</v>
      </c>
      <c r="BE334" s="167" t="s">
        <v>70</v>
      </c>
      <c r="BF334" s="167" t="s">
        <v>70</v>
      </c>
      <c r="BG334" s="167" t="s">
        <v>70</v>
      </c>
      <c r="BH334" s="167" t="s">
        <v>70</v>
      </c>
      <c r="BI334" s="167" t="s">
        <v>70</v>
      </c>
      <c r="BJ334" s="167" t="s">
        <v>70</v>
      </c>
      <c r="BK334" s="167" t="s">
        <v>70</v>
      </c>
      <c r="BL334" s="167" t="s">
        <v>70</v>
      </c>
      <c r="BM334" s="167" t="s">
        <v>70</v>
      </c>
      <c r="BN334" s="167" t="s">
        <v>70</v>
      </c>
      <c r="BO334" s="167" t="s">
        <v>70</v>
      </c>
      <c r="BP334" s="167" t="s">
        <v>70</v>
      </c>
      <c r="BQ334" s="151" t="s">
        <v>256</v>
      </c>
    </row>
    <row r="335" spans="1:69" s="151" customFormat="1" ht="19.5" customHeight="1" x14ac:dyDescent="0.2">
      <c r="A335" s="117">
        <v>332</v>
      </c>
      <c r="B335" s="121" t="s">
        <v>353</v>
      </c>
      <c r="C335" s="122">
        <v>84122966</v>
      </c>
      <c r="D335" s="117" t="s">
        <v>212</v>
      </c>
      <c r="E335" s="117" t="s">
        <v>68</v>
      </c>
      <c r="F335" s="146" t="s">
        <v>256</v>
      </c>
      <c r="G335" s="124" t="s">
        <v>69</v>
      </c>
      <c r="H335" s="93">
        <v>46248</v>
      </c>
      <c r="I335" s="93">
        <v>46248</v>
      </c>
      <c r="J335" s="92">
        <f>IF(I335="", "", DATE(YEAR(I335)+3, MONTH(I335), DAY(I335)))</f>
        <v>47344</v>
      </c>
      <c r="K335" s="93">
        <v>46247</v>
      </c>
      <c r="L335" s="93">
        <v>46247</v>
      </c>
      <c r="M335" s="140">
        <f t="shared" si="22"/>
        <v>47343</v>
      </c>
      <c r="N335" s="93">
        <v>46245</v>
      </c>
      <c r="O335" s="93">
        <v>46258</v>
      </c>
      <c r="P335" s="93">
        <v>46246</v>
      </c>
      <c r="Q335" s="167" t="s">
        <v>70</v>
      </c>
      <c r="R335" s="167" t="s">
        <v>70</v>
      </c>
      <c r="S335" s="167" t="s">
        <v>70</v>
      </c>
      <c r="T335" s="167" t="s">
        <v>70</v>
      </c>
      <c r="U335" s="167" t="s">
        <v>70</v>
      </c>
      <c r="V335" s="167" t="s">
        <v>70</v>
      </c>
      <c r="W335" s="167" t="s">
        <v>70</v>
      </c>
      <c r="X335" s="167" t="s">
        <v>70</v>
      </c>
      <c r="Y335" s="167" t="s">
        <v>70</v>
      </c>
      <c r="Z335" s="167" t="s">
        <v>70</v>
      </c>
      <c r="AA335" s="167" t="s">
        <v>70</v>
      </c>
      <c r="AB335" s="167" t="s">
        <v>70</v>
      </c>
      <c r="AC335" s="167" t="s">
        <v>70</v>
      </c>
      <c r="AD335" s="167" t="s">
        <v>70</v>
      </c>
      <c r="AE335" s="167" t="s">
        <v>70</v>
      </c>
      <c r="AF335" s="167" t="s">
        <v>70</v>
      </c>
      <c r="AG335" s="167" t="s">
        <v>70</v>
      </c>
      <c r="AH335" s="167" t="s">
        <v>70</v>
      </c>
      <c r="AI335" s="181">
        <v>46149</v>
      </c>
      <c r="AJ335" s="163">
        <v>45341</v>
      </c>
      <c r="AK335" s="167" t="s">
        <v>70</v>
      </c>
      <c r="AL335" s="167" t="s">
        <v>70</v>
      </c>
      <c r="AM335" s="167"/>
      <c r="AN335" s="167" t="s">
        <v>70</v>
      </c>
      <c r="AO335" s="167" t="s">
        <v>70</v>
      </c>
      <c r="AP335" s="167" t="s">
        <v>70</v>
      </c>
      <c r="AQ335" s="167" t="s">
        <v>70</v>
      </c>
      <c r="AR335" s="166" t="s">
        <v>69</v>
      </c>
      <c r="AS335" s="167" t="s">
        <v>70</v>
      </c>
      <c r="AT335" s="167" t="s">
        <v>70</v>
      </c>
      <c r="AU335" s="167" t="s">
        <v>70</v>
      </c>
      <c r="AV335" s="167" t="s">
        <v>70</v>
      </c>
      <c r="AW335" s="167" t="s">
        <v>70</v>
      </c>
      <c r="AX335" s="167" t="s">
        <v>70</v>
      </c>
      <c r="AY335" s="167" t="s">
        <v>70</v>
      </c>
      <c r="AZ335" s="167" t="s">
        <v>70</v>
      </c>
      <c r="BA335" s="167" t="s">
        <v>70</v>
      </c>
      <c r="BB335" s="167" t="s">
        <v>70</v>
      </c>
      <c r="BC335" s="167" t="s">
        <v>70</v>
      </c>
      <c r="BD335" s="167" t="s">
        <v>70</v>
      </c>
      <c r="BE335" s="167" t="s">
        <v>70</v>
      </c>
      <c r="BF335" s="167" t="s">
        <v>70</v>
      </c>
      <c r="BG335" s="167" t="s">
        <v>70</v>
      </c>
      <c r="BH335" s="167" t="s">
        <v>70</v>
      </c>
      <c r="BI335" s="167" t="s">
        <v>70</v>
      </c>
      <c r="BJ335" s="167" t="s">
        <v>70</v>
      </c>
      <c r="BK335" s="167" t="s">
        <v>70</v>
      </c>
      <c r="BL335" s="167" t="s">
        <v>70</v>
      </c>
      <c r="BM335" s="167" t="s">
        <v>70</v>
      </c>
      <c r="BN335" s="167" t="s">
        <v>70</v>
      </c>
      <c r="BO335" s="167" t="s">
        <v>70</v>
      </c>
      <c r="BP335" s="167" t="s">
        <v>70</v>
      </c>
      <c r="BQ335" s="151" t="s">
        <v>256</v>
      </c>
    </row>
    <row r="336" spans="1:69" s="151" customFormat="1" ht="19.5" customHeight="1" x14ac:dyDescent="0.2">
      <c r="A336" s="117">
        <v>333</v>
      </c>
      <c r="B336" s="121" t="s">
        <v>354</v>
      </c>
      <c r="C336" s="122">
        <v>83105169</v>
      </c>
      <c r="D336" s="117" t="s">
        <v>212</v>
      </c>
      <c r="E336" s="117" t="s">
        <v>68</v>
      </c>
      <c r="F336" s="146" t="s">
        <v>256</v>
      </c>
      <c r="G336" s="124" t="s">
        <v>69</v>
      </c>
      <c r="H336" s="93"/>
      <c r="I336" s="93"/>
      <c r="J336" s="92" t="str">
        <f>IF(I336="", "", DATE(YEAR(I336)+3, MONTH(I336), DAY(L336)))</f>
        <v/>
      </c>
      <c r="K336" s="93"/>
      <c r="L336" s="93"/>
      <c r="M336" s="140" t="str">
        <f t="shared" si="22"/>
        <v/>
      </c>
      <c r="N336" s="93"/>
      <c r="O336" s="93"/>
      <c r="P336" s="93"/>
      <c r="Q336" s="167" t="s">
        <v>70</v>
      </c>
      <c r="R336" s="167" t="s">
        <v>70</v>
      </c>
      <c r="S336" s="167" t="s">
        <v>70</v>
      </c>
      <c r="T336" s="167" t="s">
        <v>70</v>
      </c>
      <c r="U336" s="167" t="s">
        <v>70</v>
      </c>
      <c r="V336" s="167" t="s">
        <v>70</v>
      </c>
      <c r="W336" s="167" t="s">
        <v>70</v>
      </c>
      <c r="X336" s="167" t="s">
        <v>70</v>
      </c>
      <c r="Y336" s="167" t="s">
        <v>70</v>
      </c>
      <c r="Z336" s="167" t="s">
        <v>70</v>
      </c>
      <c r="AA336" s="167" t="s">
        <v>70</v>
      </c>
      <c r="AB336" s="167" t="s">
        <v>70</v>
      </c>
      <c r="AC336" s="167" t="s">
        <v>70</v>
      </c>
      <c r="AD336" s="167" t="s">
        <v>70</v>
      </c>
      <c r="AE336" s="167" t="s">
        <v>70</v>
      </c>
      <c r="AF336" s="167" t="s">
        <v>70</v>
      </c>
      <c r="AG336" s="167" t="s">
        <v>70</v>
      </c>
      <c r="AH336" s="167" t="s">
        <v>70</v>
      </c>
      <c r="AI336" s="181">
        <v>46175</v>
      </c>
      <c r="AJ336" s="163">
        <v>45348</v>
      </c>
      <c r="AK336" s="167" t="s">
        <v>70</v>
      </c>
      <c r="AL336" s="167" t="s">
        <v>70</v>
      </c>
      <c r="AM336" s="167"/>
      <c r="AN336" s="167" t="s">
        <v>70</v>
      </c>
      <c r="AO336" s="167" t="s">
        <v>70</v>
      </c>
      <c r="AP336" s="167" t="s">
        <v>70</v>
      </c>
      <c r="AQ336" s="167" t="s">
        <v>70</v>
      </c>
      <c r="AR336" s="166" t="s">
        <v>69</v>
      </c>
      <c r="AS336" s="167" t="s">
        <v>70</v>
      </c>
      <c r="AT336" s="167" t="s">
        <v>70</v>
      </c>
      <c r="AU336" s="167" t="s">
        <v>70</v>
      </c>
      <c r="AV336" s="167" t="s">
        <v>70</v>
      </c>
      <c r="AW336" s="167" t="s">
        <v>70</v>
      </c>
      <c r="AX336" s="167" t="s">
        <v>70</v>
      </c>
      <c r="AY336" s="167" t="s">
        <v>70</v>
      </c>
      <c r="AZ336" s="167" t="s">
        <v>70</v>
      </c>
      <c r="BA336" s="167" t="s">
        <v>70</v>
      </c>
      <c r="BB336" s="167" t="s">
        <v>70</v>
      </c>
      <c r="BC336" s="167" t="s">
        <v>70</v>
      </c>
      <c r="BD336" s="167" t="s">
        <v>70</v>
      </c>
      <c r="BE336" s="167" t="s">
        <v>70</v>
      </c>
      <c r="BF336" s="167" t="s">
        <v>70</v>
      </c>
      <c r="BG336" s="167" t="s">
        <v>70</v>
      </c>
      <c r="BH336" s="167" t="s">
        <v>70</v>
      </c>
      <c r="BI336" s="167" t="s">
        <v>70</v>
      </c>
      <c r="BJ336" s="167" t="s">
        <v>70</v>
      </c>
      <c r="BK336" s="167" t="s">
        <v>70</v>
      </c>
      <c r="BL336" s="167" t="s">
        <v>70</v>
      </c>
      <c r="BM336" s="167" t="s">
        <v>70</v>
      </c>
      <c r="BN336" s="167" t="s">
        <v>70</v>
      </c>
      <c r="BO336" s="167" t="s">
        <v>70</v>
      </c>
      <c r="BP336" s="167" t="s">
        <v>70</v>
      </c>
      <c r="BQ336" s="151" t="s">
        <v>256</v>
      </c>
    </row>
    <row r="337" spans="1:69" s="151" customFormat="1" ht="19.5" customHeight="1" x14ac:dyDescent="0.2">
      <c r="A337" s="117">
        <v>334</v>
      </c>
      <c r="B337" s="121" t="s">
        <v>355</v>
      </c>
      <c r="C337" s="122">
        <v>132514</v>
      </c>
      <c r="D337" s="117" t="s">
        <v>212</v>
      </c>
      <c r="E337" s="117" t="s">
        <v>68</v>
      </c>
      <c r="F337" s="146" t="s">
        <v>256</v>
      </c>
      <c r="G337" s="124" t="s">
        <v>69</v>
      </c>
      <c r="H337" s="93">
        <v>46227</v>
      </c>
      <c r="I337" s="93">
        <v>46227</v>
      </c>
      <c r="J337" s="92">
        <f>IF(I337="", "", DATE(YEAR(I337)+3, MONTH(I337), DAY(L337)))</f>
        <v>47322</v>
      </c>
      <c r="K337" s="93">
        <v>46226</v>
      </c>
      <c r="L337" s="93">
        <v>46226</v>
      </c>
      <c r="M337" s="140">
        <f t="shared" si="22"/>
        <v>47322</v>
      </c>
      <c r="N337" s="93">
        <v>46245</v>
      </c>
      <c r="O337" s="93">
        <v>46224</v>
      </c>
      <c r="P337" s="93">
        <v>46225</v>
      </c>
      <c r="Q337" s="167" t="s">
        <v>70</v>
      </c>
      <c r="R337" s="167" t="s">
        <v>70</v>
      </c>
      <c r="S337" s="167" t="s">
        <v>70</v>
      </c>
      <c r="T337" s="167" t="s">
        <v>70</v>
      </c>
      <c r="U337" s="167" t="s">
        <v>70</v>
      </c>
      <c r="V337" s="167" t="s">
        <v>70</v>
      </c>
      <c r="W337" s="167" t="s">
        <v>70</v>
      </c>
      <c r="X337" s="167" t="s">
        <v>70</v>
      </c>
      <c r="Y337" s="167" t="s">
        <v>70</v>
      </c>
      <c r="Z337" s="167" t="s">
        <v>70</v>
      </c>
      <c r="AA337" s="167" t="s">
        <v>70</v>
      </c>
      <c r="AB337" s="167" t="s">
        <v>70</v>
      </c>
      <c r="AC337" s="167" t="s">
        <v>70</v>
      </c>
      <c r="AD337" s="167" t="s">
        <v>70</v>
      </c>
      <c r="AE337" s="167" t="s">
        <v>70</v>
      </c>
      <c r="AF337" s="167" t="s">
        <v>70</v>
      </c>
      <c r="AG337" s="167" t="s">
        <v>70</v>
      </c>
      <c r="AH337" s="167" t="s">
        <v>70</v>
      </c>
      <c r="AI337" s="186">
        <v>46272</v>
      </c>
      <c r="AJ337" s="163">
        <v>45343</v>
      </c>
      <c r="AK337" s="167" t="s">
        <v>70</v>
      </c>
      <c r="AL337" s="167" t="s">
        <v>70</v>
      </c>
      <c r="AM337" s="167"/>
      <c r="AN337" s="167" t="s">
        <v>70</v>
      </c>
      <c r="AO337" s="167" t="s">
        <v>70</v>
      </c>
      <c r="AP337" s="167" t="s">
        <v>70</v>
      </c>
      <c r="AQ337" s="167" t="s">
        <v>70</v>
      </c>
      <c r="AR337" s="166" t="s">
        <v>69</v>
      </c>
      <c r="AS337" s="167" t="s">
        <v>70</v>
      </c>
      <c r="AT337" s="167" t="s">
        <v>70</v>
      </c>
      <c r="AU337" s="167" t="s">
        <v>70</v>
      </c>
      <c r="AV337" s="167" t="s">
        <v>70</v>
      </c>
      <c r="AW337" s="167" t="s">
        <v>70</v>
      </c>
      <c r="AX337" s="167" t="s">
        <v>70</v>
      </c>
      <c r="AY337" s="167" t="s">
        <v>70</v>
      </c>
      <c r="AZ337" s="167" t="s">
        <v>70</v>
      </c>
      <c r="BA337" s="167" t="s">
        <v>70</v>
      </c>
      <c r="BB337" s="167" t="s">
        <v>70</v>
      </c>
      <c r="BC337" s="167" t="s">
        <v>70</v>
      </c>
      <c r="BD337" s="167" t="s">
        <v>70</v>
      </c>
      <c r="BE337" s="167" t="s">
        <v>70</v>
      </c>
      <c r="BF337" s="167" t="s">
        <v>70</v>
      </c>
      <c r="BG337" s="167" t="s">
        <v>70</v>
      </c>
      <c r="BH337" s="167" t="s">
        <v>70</v>
      </c>
      <c r="BI337" s="167" t="s">
        <v>70</v>
      </c>
      <c r="BJ337" s="167" t="s">
        <v>70</v>
      </c>
      <c r="BK337" s="167" t="s">
        <v>70</v>
      </c>
      <c r="BL337" s="167" t="s">
        <v>70</v>
      </c>
      <c r="BM337" s="167" t="s">
        <v>70</v>
      </c>
      <c r="BN337" s="167" t="s">
        <v>70</v>
      </c>
      <c r="BO337" s="167" t="s">
        <v>70</v>
      </c>
      <c r="BP337" s="167" t="s">
        <v>70</v>
      </c>
      <c r="BQ337" s="151" t="s">
        <v>256</v>
      </c>
    </row>
    <row r="338" spans="1:69" s="151" customFormat="1" ht="19.5" customHeight="1" x14ac:dyDescent="0.2">
      <c r="A338" s="117">
        <v>335</v>
      </c>
      <c r="B338" s="121" t="s">
        <v>356</v>
      </c>
      <c r="C338" s="122">
        <v>221927</v>
      </c>
      <c r="D338" s="117" t="s">
        <v>212</v>
      </c>
      <c r="E338" s="117" t="s">
        <v>68</v>
      </c>
      <c r="F338" s="146" t="s">
        <v>256</v>
      </c>
      <c r="G338" s="124" t="s">
        <v>69</v>
      </c>
      <c r="H338" s="93">
        <v>46167</v>
      </c>
      <c r="I338" s="93">
        <v>46167</v>
      </c>
      <c r="J338" s="92">
        <f>IF(I338="", "", DATE(YEAR(I338)+3, MONTH(I338), DAY(I338)))</f>
        <v>47263</v>
      </c>
      <c r="K338" s="93">
        <v>46220</v>
      </c>
      <c r="L338" s="93">
        <v>46220</v>
      </c>
      <c r="M338" s="140">
        <f t="shared" si="22"/>
        <v>47316</v>
      </c>
      <c r="N338" s="93">
        <v>46219</v>
      </c>
      <c r="O338" s="93">
        <v>46286</v>
      </c>
      <c r="P338" s="190">
        <v>45677</v>
      </c>
      <c r="Q338" s="167" t="s">
        <v>70</v>
      </c>
      <c r="R338" s="167" t="s">
        <v>70</v>
      </c>
      <c r="S338" s="167" t="s">
        <v>70</v>
      </c>
      <c r="T338" s="167" t="s">
        <v>70</v>
      </c>
      <c r="U338" s="167" t="s">
        <v>70</v>
      </c>
      <c r="V338" s="167" t="s">
        <v>70</v>
      </c>
      <c r="W338" s="167" t="s">
        <v>70</v>
      </c>
      <c r="X338" s="167" t="s">
        <v>70</v>
      </c>
      <c r="Y338" s="167" t="s">
        <v>70</v>
      </c>
      <c r="Z338" s="167" t="s">
        <v>70</v>
      </c>
      <c r="AA338" s="167" t="s">
        <v>70</v>
      </c>
      <c r="AB338" s="167" t="s">
        <v>70</v>
      </c>
      <c r="AC338" s="167" t="s">
        <v>70</v>
      </c>
      <c r="AD338" s="167" t="s">
        <v>70</v>
      </c>
      <c r="AE338" s="167" t="s">
        <v>70</v>
      </c>
      <c r="AF338" s="167" t="s">
        <v>70</v>
      </c>
      <c r="AG338" s="167" t="s">
        <v>70</v>
      </c>
      <c r="AH338" s="167" t="s">
        <v>70</v>
      </c>
      <c r="AI338" s="187">
        <v>46086</v>
      </c>
      <c r="AJ338" s="163">
        <v>45348</v>
      </c>
      <c r="AK338" s="167" t="s">
        <v>70</v>
      </c>
      <c r="AL338" s="167" t="s">
        <v>70</v>
      </c>
      <c r="AM338" s="167"/>
      <c r="AN338" s="167" t="s">
        <v>70</v>
      </c>
      <c r="AO338" s="167" t="s">
        <v>70</v>
      </c>
      <c r="AP338" s="167" t="s">
        <v>70</v>
      </c>
      <c r="AQ338" s="167" t="s">
        <v>70</v>
      </c>
      <c r="AR338" s="166" t="s">
        <v>69</v>
      </c>
      <c r="AS338" s="167" t="s">
        <v>70</v>
      </c>
      <c r="AT338" s="167" t="s">
        <v>70</v>
      </c>
      <c r="AU338" s="167" t="s">
        <v>70</v>
      </c>
      <c r="AV338" s="167" t="s">
        <v>70</v>
      </c>
      <c r="AW338" s="167" t="s">
        <v>70</v>
      </c>
      <c r="AX338" s="167" t="s">
        <v>70</v>
      </c>
      <c r="AY338" s="167" t="s">
        <v>70</v>
      </c>
      <c r="AZ338" s="167" t="s">
        <v>70</v>
      </c>
      <c r="BA338" s="167" t="s">
        <v>70</v>
      </c>
      <c r="BB338" s="167" t="s">
        <v>70</v>
      </c>
      <c r="BC338" s="167" t="s">
        <v>70</v>
      </c>
      <c r="BD338" s="167" t="s">
        <v>70</v>
      </c>
      <c r="BE338" s="167" t="s">
        <v>70</v>
      </c>
      <c r="BF338" s="167" t="s">
        <v>70</v>
      </c>
      <c r="BG338" s="167" t="s">
        <v>70</v>
      </c>
      <c r="BH338" s="167" t="s">
        <v>70</v>
      </c>
      <c r="BI338" s="167" t="s">
        <v>70</v>
      </c>
      <c r="BJ338" s="167" t="s">
        <v>70</v>
      </c>
      <c r="BK338" s="167" t="s">
        <v>70</v>
      </c>
      <c r="BL338" s="167" t="s">
        <v>70</v>
      </c>
      <c r="BM338" s="167" t="s">
        <v>70</v>
      </c>
      <c r="BN338" s="167" t="s">
        <v>70</v>
      </c>
      <c r="BO338" s="167" t="s">
        <v>70</v>
      </c>
      <c r="BP338" s="167" t="s">
        <v>70</v>
      </c>
      <c r="BQ338" s="151" t="s">
        <v>256</v>
      </c>
    </row>
    <row r="339" spans="1:69" s="151" customFormat="1" ht="19.5" customHeight="1" x14ac:dyDescent="0.2">
      <c r="A339" s="117">
        <v>336</v>
      </c>
      <c r="B339" s="121" t="s">
        <v>357</v>
      </c>
      <c r="C339" s="122">
        <v>83075885</v>
      </c>
      <c r="D339" s="117" t="s">
        <v>212</v>
      </c>
      <c r="E339" s="117" t="s">
        <v>68</v>
      </c>
      <c r="F339" s="146" t="s">
        <v>256</v>
      </c>
      <c r="G339" s="124" t="s">
        <v>69</v>
      </c>
      <c r="H339" s="93"/>
      <c r="I339" s="93"/>
      <c r="J339" s="92" t="str">
        <f t="shared" ref="J339:J352" si="24">IF(I339="", "", DATE(YEAR(I339)+3, MONTH(I339), DAY(L339)))</f>
        <v/>
      </c>
      <c r="K339" s="93"/>
      <c r="L339" s="93"/>
      <c r="M339" s="140" t="str">
        <f t="shared" si="22"/>
        <v/>
      </c>
      <c r="N339" s="93"/>
      <c r="O339" s="93"/>
      <c r="P339" s="93"/>
      <c r="Q339" s="167" t="s">
        <v>70</v>
      </c>
      <c r="R339" s="167" t="s">
        <v>70</v>
      </c>
      <c r="S339" s="167" t="s">
        <v>70</v>
      </c>
      <c r="T339" s="167" t="s">
        <v>70</v>
      </c>
      <c r="U339" s="167" t="s">
        <v>70</v>
      </c>
      <c r="V339" s="167" t="s">
        <v>70</v>
      </c>
      <c r="W339" s="167" t="s">
        <v>70</v>
      </c>
      <c r="X339" s="167" t="s">
        <v>70</v>
      </c>
      <c r="Y339" s="167" t="s">
        <v>70</v>
      </c>
      <c r="Z339" s="167" t="s">
        <v>70</v>
      </c>
      <c r="AA339" s="167" t="s">
        <v>70</v>
      </c>
      <c r="AB339" s="167" t="s">
        <v>70</v>
      </c>
      <c r="AC339" s="167" t="s">
        <v>70</v>
      </c>
      <c r="AD339" s="167" t="s">
        <v>70</v>
      </c>
      <c r="AE339" s="167" t="s">
        <v>70</v>
      </c>
      <c r="AF339" s="167" t="s">
        <v>70</v>
      </c>
      <c r="AG339" s="167" t="s">
        <v>70</v>
      </c>
      <c r="AH339" s="167" t="s">
        <v>70</v>
      </c>
      <c r="AI339" s="181">
        <v>46128</v>
      </c>
      <c r="AJ339" s="163">
        <v>45350</v>
      </c>
      <c r="AK339" s="167" t="s">
        <v>70</v>
      </c>
      <c r="AL339" s="167" t="s">
        <v>70</v>
      </c>
      <c r="AM339" s="167"/>
      <c r="AN339" s="167" t="s">
        <v>70</v>
      </c>
      <c r="AO339" s="167" t="s">
        <v>70</v>
      </c>
      <c r="AP339" s="167" t="s">
        <v>70</v>
      </c>
      <c r="AQ339" s="167" t="s">
        <v>70</v>
      </c>
      <c r="AR339" s="168">
        <v>46034</v>
      </c>
      <c r="AS339" s="167" t="s">
        <v>70</v>
      </c>
      <c r="AT339" s="167" t="s">
        <v>70</v>
      </c>
      <c r="AU339" s="167" t="s">
        <v>70</v>
      </c>
      <c r="AV339" s="167" t="s">
        <v>70</v>
      </c>
      <c r="AW339" s="167" t="s">
        <v>70</v>
      </c>
      <c r="AX339" s="167" t="s">
        <v>70</v>
      </c>
      <c r="AY339" s="167" t="s">
        <v>70</v>
      </c>
      <c r="AZ339" s="167" t="s">
        <v>70</v>
      </c>
      <c r="BA339" s="167" t="s">
        <v>70</v>
      </c>
      <c r="BB339" s="167" t="s">
        <v>70</v>
      </c>
      <c r="BC339" s="167" t="s">
        <v>70</v>
      </c>
      <c r="BD339" s="167" t="s">
        <v>70</v>
      </c>
      <c r="BE339" s="167" t="s">
        <v>70</v>
      </c>
      <c r="BF339" s="167" t="s">
        <v>70</v>
      </c>
      <c r="BG339" s="167" t="s">
        <v>70</v>
      </c>
      <c r="BH339" s="167" t="s">
        <v>70</v>
      </c>
      <c r="BI339" s="167" t="s">
        <v>70</v>
      </c>
      <c r="BJ339" s="167" t="s">
        <v>70</v>
      </c>
      <c r="BK339" s="167" t="s">
        <v>70</v>
      </c>
      <c r="BL339" s="167" t="s">
        <v>70</v>
      </c>
      <c r="BM339" s="167" t="s">
        <v>70</v>
      </c>
      <c r="BN339" s="167" t="s">
        <v>70</v>
      </c>
      <c r="BO339" s="167" t="s">
        <v>70</v>
      </c>
      <c r="BP339" s="167" t="s">
        <v>70</v>
      </c>
      <c r="BQ339" s="151" t="s">
        <v>256</v>
      </c>
    </row>
    <row r="340" spans="1:69" s="151" customFormat="1" ht="19.5" customHeight="1" x14ac:dyDescent="0.2">
      <c r="A340" s="117">
        <v>337</v>
      </c>
      <c r="B340" s="121" t="s">
        <v>358</v>
      </c>
      <c r="C340" s="122">
        <v>83102185</v>
      </c>
      <c r="D340" s="117" t="s">
        <v>212</v>
      </c>
      <c r="E340" s="117" t="s">
        <v>68</v>
      </c>
      <c r="F340" s="146" t="s">
        <v>256</v>
      </c>
      <c r="G340" s="124" t="s">
        <v>69</v>
      </c>
      <c r="H340" s="93"/>
      <c r="I340" s="93"/>
      <c r="J340" s="92" t="str">
        <f t="shared" si="24"/>
        <v/>
      </c>
      <c r="K340" s="93"/>
      <c r="L340" s="93"/>
      <c r="M340" s="140" t="str">
        <f t="shared" si="22"/>
        <v/>
      </c>
      <c r="N340" s="93"/>
      <c r="O340" s="93"/>
      <c r="P340" s="93"/>
      <c r="Q340" s="167" t="s">
        <v>70</v>
      </c>
      <c r="R340" s="167" t="s">
        <v>70</v>
      </c>
      <c r="S340" s="167" t="s">
        <v>70</v>
      </c>
      <c r="T340" s="167" t="s">
        <v>70</v>
      </c>
      <c r="U340" s="167" t="s">
        <v>70</v>
      </c>
      <c r="V340" s="167" t="s">
        <v>70</v>
      </c>
      <c r="W340" s="167" t="s">
        <v>70</v>
      </c>
      <c r="X340" s="167" t="s">
        <v>70</v>
      </c>
      <c r="Y340" s="167" t="s">
        <v>70</v>
      </c>
      <c r="Z340" s="167" t="s">
        <v>70</v>
      </c>
      <c r="AA340" s="167" t="s">
        <v>70</v>
      </c>
      <c r="AB340" s="167" t="s">
        <v>70</v>
      </c>
      <c r="AC340" s="167" t="s">
        <v>70</v>
      </c>
      <c r="AD340" s="167" t="s">
        <v>70</v>
      </c>
      <c r="AE340" s="167" t="s">
        <v>70</v>
      </c>
      <c r="AF340" s="167" t="s">
        <v>70</v>
      </c>
      <c r="AG340" s="167" t="s">
        <v>70</v>
      </c>
      <c r="AH340" s="167" t="s">
        <v>70</v>
      </c>
      <c r="AI340" s="181">
        <v>46272</v>
      </c>
      <c r="AJ340" s="163">
        <v>45345</v>
      </c>
      <c r="AK340" s="167" t="s">
        <v>70</v>
      </c>
      <c r="AL340" s="167" t="s">
        <v>70</v>
      </c>
      <c r="AM340" s="167"/>
      <c r="AN340" s="167" t="s">
        <v>70</v>
      </c>
      <c r="AO340" s="167" t="s">
        <v>70</v>
      </c>
      <c r="AP340" s="167" t="s">
        <v>70</v>
      </c>
      <c r="AQ340" s="167" t="s">
        <v>70</v>
      </c>
      <c r="AR340" s="166" t="s">
        <v>69</v>
      </c>
      <c r="AS340" s="167" t="s">
        <v>70</v>
      </c>
      <c r="AT340" s="167" t="s">
        <v>70</v>
      </c>
      <c r="AU340" s="167" t="s">
        <v>70</v>
      </c>
      <c r="AV340" s="167" t="s">
        <v>70</v>
      </c>
      <c r="AW340" s="167" t="s">
        <v>70</v>
      </c>
      <c r="AX340" s="167" t="s">
        <v>70</v>
      </c>
      <c r="AY340" s="167" t="s">
        <v>70</v>
      </c>
      <c r="AZ340" s="167" t="s">
        <v>70</v>
      </c>
      <c r="BA340" s="167" t="s">
        <v>70</v>
      </c>
      <c r="BB340" s="167" t="s">
        <v>70</v>
      </c>
      <c r="BC340" s="167" t="s">
        <v>70</v>
      </c>
      <c r="BD340" s="167" t="s">
        <v>70</v>
      </c>
      <c r="BE340" s="167" t="s">
        <v>70</v>
      </c>
      <c r="BF340" s="167" t="s">
        <v>70</v>
      </c>
      <c r="BG340" s="167" t="s">
        <v>70</v>
      </c>
      <c r="BH340" s="167" t="s">
        <v>70</v>
      </c>
      <c r="BI340" s="167" t="s">
        <v>70</v>
      </c>
      <c r="BJ340" s="167" t="s">
        <v>70</v>
      </c>
      <c r="BK340" s="167" t="s">
        <v>70</v>
      </c>
      <c r="BL340" s="167" t="s">
        <v>70</v>
      </c>
      <c r="BM340" s="167" t="s">
        <v>70</v>
      </c>
      <c r="BN340" s="167" t="s">
        <v>70</v>
      </c>
      <c r="BO340" s="167" t="s">
        <v>70</v>
      </c>
      <c r="BP340" s="167" t="s">
        <v>70</v>
      </c>
      <c r="BQ340" s="151" t="s">
        <v>256</v>
      </c>
    </row>
    <row r="341" spans="1:69" s="151" customFormat="1" ht="19.5" customHeight="1" x14ac:dyDescent="0.2">
      <c r="A341" s="117">
        <v>338</v>
      </c>
      <c r="B341" s="121" t="s">
        <v>359</v>
      </c>
      <c r="C341" s="122">
        <v>221928</v>
      </c>
      <c r="D341" s="117" t="s">
        <v>212</v>
      </c>
      <c r="E341" s="117" t="s">
        <v>68</v>
      </c>
      <c r="F341" s="146" t="s">
        <v>256</v>
      </c>
      <c r="G341" s="124" t="s">
        <v>69</v>
      </c>
      <c r="H341" s="93">
        <v>46164</v>
      </c>
      <c r="I341" s="93">
        <v>46164</v>
      </c>
      <c r="J341" s="92">
        <f t="shared" si="24"/>
        <v>47259</v>
      </c>
      <c r="K341" s="93">
        <v>46163</v>
      </c>
      <c r="L341" s="93">
        <v>46163</v>
      </c>
      <c r="M341" s="140">
        <f t="shared" si="22"/>
        <v>47259</v>
      </c>
      <c r="N341" s="93">
        <v>46167</v>
      </c>
      <c r="O341" s="93">
        <v>46161</v>
      </c>
      <c r="P341" s="93">
        <v>46162</v>
      </c>
      <c r="Q341" s="167" t="s">
        <v>70</v>
      </c>
      <c r="R341" s="167" t="s">
        <v>70</v>
      </c>
      <c r="S341" s="167" t="s">
        <v>70</v>
      </c>
      <c r="T341" s="167" t="s">
        <v>70</v>
      </c>
      <c r="U341" s="167" t="s">
        <v>70</v>
      </c>
      <c r="V341" s="167" t="s">
        <v>70</v>
      </c>
      <c r="W341" s="167" t="s">
        <v>70</v>
      </c>
      <c r="X341" s="167" t="s">
        <v>70</v>
      </c>
      <c r="Y341" s="167" t="s">
        <v>70</v>
      </c>
      <c r="Z341" s="167" t="s">
        <v>70</v>
      </c>
      <c r="AA341" s="167" t="s">
        <v>70</v>
      </c>
      <c r="AB341" s="167" t="s">
        <v>70</v>
      </c>
      <c r="AC341" s="167" t="s">
        <v>70</v>
      </c>
      <c r="AD341" s="167" t="s">
        <v>70</v>
      </c>
      <c r="AE341" s="167" t="s">
        <v>70</v>
      </c>
      <c r="AF341" s="167" t="s">
        <v>70</v>
      </c>
      <c r="AG341" s="167" t="s">
        <v>70</v>
      </c>
      <c r="AH341" s="167" t="s">
        <v>70</v>
      </c>
      <c r="AI341" s="163">
        <v>46307</v>
      </c>
      <c r="AJ341" s="163">
        <v>45348</v>
      </c>
      <c r="AK341" s="167" t="s">
        <v>70</v>
      </c>
      <c r="AL341" s="167" t="s">
        <v>70</v>
      </c>
      <c r="AM341" s="167"/>
      <c r="AN341" s="167" t="s">
        <v>70</v>
      </c>
      <c r="AO341" s="167" t="s">
        <v>70</v>
      </c>
      <c r="AP341" s="167" t="s">
        <v>70</v>
      </c>
      <c r="AQ341" s="167" t="s">
        <v>70</v>
      </c>
      <c r="AR341" s="166" t="s">
        <v>69</v>
      </c>
      <c r="AS341" s="167" t="s">
        <v>70</v>
      </c>
      <c r="AT341" s="167" t="s">
        <v>70</v>
      </c>
      <c r="AU341" s="167" t="s">
        <v>70</v>
      </c>
      <c r="AV341" s="167" t="s">
        <v>70</v>
      </c>
      <c r="AW341" s="167" t="s">
        <v>70</v>
      </c>
      <c r="AX341" s="167" t="s">
        <v>70</v>
      </c>
      <c r="AY341" s="167" t="s">
        <v>70</v>
      </c>
      <c r="AZ341" s="167" t="s">
        <v>70</v>
      </c>
      <c r="BA341" s="167" t="s">
        <v>70</v>
      </c>
      <c r="BB341" s="167" t="s">
        <v>70</v>
      </c>
      <c r="BC341" s="167" t="s">
        <v>70</v>
      </c>
      <c r="BD341" s="167" t="s">
        <v>70</v>
      </c>
      <c r="BE341" s="167" t="s">
        <v>70</v>
      </c>
      <c r="BF341" s="167" t="s">
        <v>70</v>
      </c>
      <c r="BG341" s="167" t="s">
        <v>70</v>
      </c>
      <c r="BH341" s="167" t="s">
        <v>70</v>
      </c>
      <c r="BI341" s="167" t="s">
        <v>70</v>
      </c>
      <c r="BJ341" s="167" t="s">
        <v>70</v>
      </c>
      <c r="BK341" s="167" t="s">
        <v>70</v>
      </c>
      <c r="BL341" s="167" t="s">
        <v>70</v>
      </c>
      <c r="BM341" s="167" t="s">
        <v>70</v>
      </c>
      <c r="BN341" s="167" t="s">
        <v>70</v>
      </c>
      <c r="BO341" s="167" t="s">
        <v>70</v>
      </c>
      <c r="BP341" s="167" t="s">
        <v>70</v>
      </c>
      <c r="BQ341" s="151" t="s">
        <v>256</v>
      </c>
    </row>
    <row r="342" spans="1:69" s="151" customFormat="1" ht="19.5" customHeight="1" x14ac:dyDescent="0.2">
      <c r="A342" s="117">
        <v>339</v>
      </c>
      <c r="B342" s="121" t="s">
        <v>360</v>
      </c>
      <c r="C342" s="122">
        <v>83116138</v>
      </c>
      <c r="D342" s="117" t="s">
        <v>212</v>
      </c>
      <c r="E342" s="117" t="s">
        <v>68</v>
      </c>
      <c r="F342" s="146" t="s">
        <v>256</v>
      </c>
      <c r="G342" s="124" t="s">
        <v>69</v>
      </c>
      <c r="H342" s="93">
        <v>42296</v>
      </c>
      <c r="I342" s="93">
        <v>45828</v>
      </c>
      <c r="J342" s="92">
        <f t="shared" si="24"/>
        <v>46923</v>
      </c>
      <c r="K342" s="93">
        <v>42296</v>
      </c>
      <c r="L342" s="93">
        <v>45827</v>
      </c>
      <c r="M342" s="140">
        <f t="shared" si="22"/>
        <v>46923</v>
      </c>
      <c r="N342" s="93">
        <v>45825</v>
      </c>
      <c r="O342" s="93">
        <v>45824</v>
      </c>
      <c r="P342" s="93">
        <v>45826</v>
      </c>
      <c r="Q342" s="167" t="s">
        <v>70</v>
      </c>
      <c r="R342" s="167" t="s">
        <v>70</v>
      </c>
      <c r="S342" s="167" t="s">
        <v>70</v>
      </c>
      <c r="T342" s="167" t="s">
        <v>70</v>
      </c>
      <c r="U342" s="167" t="s">
        <v>70</v>
      </c>
      <c r="V342" s="167" t="s">
        <v>70</v>
      </c>
      <c r="W342" s="167" t="s">
        <v>70</v>
      </c>
      <c r="X342" s="167" t="s">
        <v>70</v>
      </c>
      <c r="Y342" s="167" t="s">
        <v>70</v>
      </c>
      <c r="Z342" s="167" t="s">
        <v>70</v>
      </c>
      <c r="AA342" s="167" t="s">
        <v>70</v>
      </c>
      <c r="AB342" s="167" t="s">
        <v>70</v>
      </c>
      <c r="AC342" s="167" t="s">
        <v>70</v>
      </c>
      <c r="AD342" s="167" t="s">
        <v>70</v>
      </c>
      <c r="AE342" s="167" t="s">
        <v>70</v>
      </c>
      <c r="AF342" s="167" t="s">
        <v>70</v>
      </c>
      <c r="AG342" s="167" t="s">
        <v>70</v>
      </c>
      <c r="AH342" s="167" t="s">
        <v>70</v>
      </c>
      <c r="AI342" s="181">
        <v>46044</v>
      </c>
      <c r="AJ342" s="163">
        <v>45350</v>
      </c>
      <c r="AK342" s="167" t="s">
        <v>70</v>
      </c>
      <c r="AL342" s="167" t="s">
        <v>70</v>
      </c>
      <c r="AM342" s="167"/>
      <c r="AN342" s="167" t="s">
        <v>70</v>
      </c>
      <c r="AO342" s="167" t="s">
        <v>70</v>
      </c>
      <c r="AP342" s="167" t="s">
        <v>70</v>
      </c>
      <c r="AQ342" s="167" t="s">
        <v>70</v>
      </c>
      <c r="AR342" s="166" t="s">
        <v>69</v>
      </c>
      <c r="AS342" s="167" t="s">
        <v>70</v>
      </c>
      <c r="AT342" s="167" t="s">
        <v>70</v>
      </c>
      <c r="AU342" s="167" t="s">
        <v>70</v>
      </c>
      <c r="AV342" s="167" t="s">
        <v>70</v>
      </c>
      <c r="AW342" s="167" t="s">
        <v>70</v>
      </c>
      <c r="AX342" s="167" t="s">
        <v>70</v>
      </c>
      <c r="AY342" s="167" t="s">
        <v>70</v>
      </c>
      <c r="AZ342" s="167" t="s">
        <v>70</v>
      </c>
      <c r="BA342" s="167" t="s">
        <v>70</v>
      </c>
      <c r="BB342" s="167" t="s">
        <v>70</v>
      </c>
      <c r="BC342" s="167" t="s">
        <v>70</v>
      </c>
      <c r="BD342" s="167" t="s">
        <v>70</v>
      </c>
      <c r="BE342" s="167" t="s">
        <v>70</v>
      </c>
      <c r="BF342" s="167" t="s">
        <v>70</v>
      </c>
      <c r="BG342" s="167" t="s">
        <v>70</v>
      </c>
      <c r="BH342" s="167" t="s">
        <v>70</v>
      </c>
      <c r="BI342" s="167" t="s">
        <v>70</v>
      </c>
      <c r="BJ342" s="167" t="s">
        <v>70</v>
      </c>
      <c r="BK342" s="167" t="s">
        <v>70</v>
      </c>
      <c r="BL342" s="167" t="s">
        <v>70</v>
      </c>
      <c r="BM342" s="167" t="s">
        <v>70</v>
      </c>
      <c r="BN342" s="167" t="s">
        <v>70</v>
      </c>
      <c r="BO342" s="167" t="s">
        <v>70</v>
      </c>
      <c r="BP342" s="167" t="s">
        <v>70</v>
      </c>
      <c r="BQ342" s="151" t="s">
        <v>256</v>
      </c>
    </row>
    <row r="343" spans="1:69" s="151" customFormat="1" ht="19.5" customHeight="1" x14ac:dyDescent="0.2">
      <c r="A343" s="117">
        <v>340</v>
      </c>
      <c r="B343" s="121" t="s">
        <v>361</v>
      </c>
      <c r="C343" s="122">
        <v>140685</v>
      </c>
      <c r="D343" s="117" t="s">
        <v>212</v>
      </c>
      <c r="E343" s="117" t="s">
        <v>68</v>
      </c>
      <c r="F343" s="146" t="s">
        <v>256</v>
      </c>
      <c r="G343" s="124" t="s">
        <v>69</v>
      </c>
      <c r="H343" s="93">
        <v>42163</v>
      </c>
      <c r="I343" s="93">
        <v>46080</v>
      </c>
      <c r="J343" s="92">
        <f t="shared" si="24"/>
        <v>47175</v>
      </c>
      <c r="K343" s="93">
        <v>42163</v>
      </c>
      <c r="L343" s="93">
        <v>46079</v>
      </c>
      <c r="M343" s="140">
        <f t="shared" si="22"/>
        <v>47175</v>
      </c>
      <c r="N343" s="93">
        <v>46076</v>
      </c>
      <c r="O343" s="93">
        <v>46077</v>
      </c>
      <c r="P343" s="93">
        <v>46078</v>
      </c>
      <c r="Q343" s="167" t="s">
        <v>70</v>
      </c>
      <c r="R343" s="167" t="s">
        <v>70</v>
      </c>
      <c r="S343" s="167" t="s">
        <v>70</v>
      </c>
      <c r="T343" s="167" t="s">
        <v>70</v>
      </c>
      <c r="U343" s="167" t="s">
        <v>70</v>
      </c>
      <c r="V343" s="167" t="s">
        <v>70</v>
      </c>
      <c r="W343" s="167" t="s">
        <v>70</v>
      </c>
      <c r="X343" s="167" t="s">
        <v>70</v>
      </c>
      <c r="Y343" s="167" t="s">
        <v>70</v>
      </c>
      <c r="Z343" s="167" t="s">
        <v>70</v>
      </c>
      <c r="AA343" s="167" t="s">
        <v>70</v>
      </c>
      <c r="AB343" s="167" t="s">
        <v>70</v>
      </c>
      <c r="AC343" s="167" t="s">
        <v>70</v>
      </c>
      <c r="AD343" s="167" t="s">
        <v>70</v>
      </c>
      <c r="AE343" s="167" t="s">
        <v>70</v>
      </c>
      <c r="AF343" s="167" t="s">
        <v>70</v>
      </c>
      <c r="AG343" s="167" t="s">
        <v>70</v>
      </c>
      <c r="AH343" s="167" t="s">
        <v>70</v>
      </c>
      <c r="AI343" s="111">
        <v>46255</v>
      </c>
      <c r="AJ343" s="163">
        <v>45352</v>
      </c>
      <c r="AK343" s="167" t="s">
        <v>70</v>
      </c>
      <c r="AL343" s="167" t="s">
        <v>70</v>
      </c>
      <c r="AM343" s="167"/>
      <c r="AN343" s="167" t="s">
        <v>70</v>
      </c>
      <c r="AO343" s="167" t="s">
        <v>70</v>
      </c>
      <c r="AP343" s="167" t="s">
        <v>70</v>
      </c>
      <c r="AQ343" s="167" t="s">
        <v>70</v>
      </c>
      <c r="AR343" s="166" t="s">
        <v>69</v>
      </c>
      <c r="AS343" s="167" t="s">
        <v>70</v>
      </c>
      <c r="AT343" s="167" t="s">
        <v>70</v>
      </c>
      <c r="AU343" s="167" t="s">
        <v>70</v>
      </c>
      <c r="AV343" s="167" t="s">
        <v>70</v>
      </c>
      <c r="AW343" s="167" t="s">
        <v>70</v>
      </c>
      <c r="AX343" s="167" t="s">
        <v>70</v>
      </c>
      <c r="AY343" s="167" t="s">
        <v>70</v>
      </c>
      <c r="AZ343" s="167" t="s">
        <v>70</v>
      </c>
      <c r="BA343" s="167" t="s">
        <v>70</v>
      </c>
      <c r="BB343" s="167" t="s">
        <v>70</v>
      </c>
      <c r="BC343" s="167" t="s">
        <v>70</v>
      </c>
      <c r="BD343" s="167" t="s">
        <v>70</v>
      </c>
      <c r="BE343" s="167" t="s">
        <v>70</v>
      </c>
      <c r="BF343" s="167" t="s">
        <v>70</v>
      </c>
      <c r="BG343" s="167" t="s">
        <v>70</v>
      </c>
      <c r="BH343" s="167" t="s">
        <v>70</v>
      </c>
      <c r="BI343" s="167" t="s">
        <v>70</v>
      </c>
      <c r="BJ343" s="167" t="s">
        <v>70</v>
      </c>
      <c r="BK343" s="167" t="s">
        <v>70</v>
      </c>
      <c r="BL343" s="167" t="s">
        <v>70</v>
      </c>
      <c r="BM343" s="167" t="s">
        <v>70</v>
      </c>
      <c r="BN343" s="167" t="s">
        <v>70</v>
      </c>
      <c r="BO343" s="167" t="s">
        <v>70</v>
      </c>
      <c r="BP343" s="167" t="s">
        <v>70</v>
      </c>
      <c r="BQ343" s="151" t="s">
        <v>256</v>
      </c>
    </row>
    <row r="344" spans="1:69" s="151" customFormat="1" ht="19.5" customHeight="1" x14ac:dyDescent="0.2">
      <c r="A344" s="117">
        <v>341</v>
      </c>
      <c r="B344" s="121" t="s">
        <v>362</v>
      </c>
      <c r="C344" s="122">
        <v>140689</v>
      </c>
      <c r="D344" s="117" t="s">
        <v>212</v>
      </c>
      <c r="E344" s="117" t="s">
        <v>68</v>
      </c>
      <c r="F344" s="146" t="s">
        <v>256</v>
      </c>
      <c r="G344" s="124" t="s">
        <v>69</v>
      </c>
      <c r="H344" s="93">
        <v>46227</v>
      </c>
      <c r="I344" s="93">
        <v>46227</v>
      </c>
      <c r="J344" s="92">
        <f t="shared" si="24"/>
        <v>47322</v>
      </c>
      <c r="K344" s="93">
        <v>46226</v>
      </c>
      <c r="L344" s="93">
        <v>46226</v>
      </c>
      <c r="M344" s="140">
        <f t="shared" si="22"/>
        <v>47322</v>
      </c>
      <c r="N344" s="93">
        <v>46223</v>
      </c>
      <c r="O344" s="93">
        <v>46224</v>
      </c>
      <c r="P344" s="93">
        <v>46225</v>
      </c>
      <c r="Q344" s="167" t="s">
        <v>70</v>
      </c>
      <c r="R344" s="167" t="s">
        <v>70</v>
      </c>
      <c r="S344" s="167" t="s">
        <v>70</v>
      </c>
      <c r="T344" s="167" t="s">
        <v>70</v>
      </c>
      <c r="U344" s="167" t="s">
        <v>70</v>
      </c>
      <c r="V344" s="167" t="s">
        <v>70</v>
      </c>
      <c r="W344" s="167" t="s">
        <v>70</v>
      </c>
      <c r="X344" s="167" t="s">
        <v>70</v>
      </c>
      <c r="Y344" s="167" t="s">
        <v>70</v>
      </c>
      <c r="Z344" s="167" t="s">
        <v>70</v>
      </c>
      <c r="AA344" s="167" t="s">
        <v>70</v>
      </c>
      <c r="AB344" s="167" t="s">
        <v>70</v>
      </c>
      <c r="AC344" s="167" t="s">
        <v>70</v>
      </c>
      <c r="AD344" s="167" t="s">
        <v>70</v>
      </c>
      <c r="AE344" s="167" t="s">
        <v>70</v>
      </c>
      <c r="AF344" s="167" t="s">
        <v>70</v>
      </c>
      <c r="AG344" s="167" t="s">
        <v>70</v>
      </c>
      <c r="AH344" s="167" t="s">
        <v>70</v>
      </c>
      <c r="AI344" s="186">
        <v>46128</v>
      </c>
      <c r="AJ344" s="163">
        <v>45348</v>
      </c>
      <c r="AK344" s="167" t="s">
        <v>70</v>
      </c>
      <c r="AL344" s="167" t="s">
        <v>70</v>
      </c>
      <c r="AM344" s="167"/>
      <c r="AN344" s="167" t="s">
        <v>70</v>
      </c>
      <c r="AO344" s="167" t="s">
        <v>70</v>
      </c>
      <c r="AP344" s="167" t="s">
        <v>70</v>
      </c>
      <c r="AQ344" s="167" t="s">
        <v>70</v>
      </c>
      <c r="AR344" s="168">
        <v>46034</v>
      </c>
      <c r="AS344" s="167" t="s">
        <v>70</v>
      </c>
      <c r="AT344" s="167" t="s">
        <v>70</v>
      </c>
      <c r="AU344" s="167" t="s">
        <v>70</v>
      </c>
      <c r="AV344" s="167" t="s">
        <v>70</v>
      </c>
      <c r="AW344" s="167" t="s">
        <v>70</v>
      </c>
      <c r="AX344" s="167" t="s">
        <v>70</v>
      </c>
      <c r="AY344" s="167" t="s">
        <v>70</v>
      </c>
      <c r="AZ344" s="167" t="s">
        <v>70</v>
      </c>
      <c r="BA344" s="167" t="s">
        <v>70</v>
      </c>
      <c r="BB344" s="167" t="s">
        <v>70</v>
      </c>
      <c r="BC344" s="167" t="s">
        <v>70</v>
      </c>
      <c r="BD344" s="167" t="s">
        <v>70</v>
      </c>
      <c r="BE344" s="167" t="s">
        <v>70</v>
      </c>
      <c r="BF344" s="167" t="s">
        <v>70</v>
      </c>
      <c r="BG344" s="167" t="s">
        <v>70</v>
      </c>
      <c r="BH344" s="167" t="s">
        <v>70</v>
      </c>
      <c r="BI344" s="167" t="s">
        <v>70</v>
      </c>
      <c r="BJ344" s="167" t="s">
        <v>70</v>
      </c>
      <c r="BK344" s="167" t="s">
        <v>70</v>
      </c>
      <c r="BL344" s="167" t="s">
        <v>70</v>
      </c>
      <c r="BM344" s="167" t="s">
        <v>70</v>
      </c>
      <c r="BN344" s="167" t="s">
        <v>70</v>
      </c>
      <c r="BO344" s="167" t="s">
        <v>70</v>
      </c>
      <c r="BP344" s="167" t="s">
        <v>70</v>
      </c>
      <c r="BQ344" s="151" t="s">
        <v>256</v>
      </c>
    </row>
    <row r="345" spans="1:69" s="151" customFormat="1" ht="19.5" customHeight="1" x14ac:dyDescent="0.2">
      <c r="A345" s="117">
        <v>342</v>
      </c>
      <c r="B345" s="121" t="s">
        <v>363</v>
      </c>
      <c r="C345" s="122">
        <v>83074618</v>
      </c>
      <c r="D345" s="117" t="s">
        <v>212</v>
      </c>
      <c r="E345" s="117" t="s">
        <v>68</v>
      </c>
      <c r="F345" s="146" t="s">
        <v>256</v>
      </c>
      <c r="G345" s="124" t="s">
        <v>69</v>
      </c>
      <c r="H345" s="93"/>
      <c r="I345" s="93"/>
      <c r="J345" s="92" t="str">
        <f t="shared" si="24"/>
        <v/>
      </c>
      <c r="K345" s="93"/>
      <c r="L345" s="93"/>
      <c r="M345" s="140" t="str">
        <f t="shared" si="22"/>
        <v/>
      </c>
      <c r="N345" s="93"/>
      <c r="O345" s="93"/>
      <c r="P345" s="93"/>
      <c r="Q345" s="167" t="s">
        <v>70</v>
      </c>
      <c r="R345" s="167" t="s">
        <v>70</v>
      </c>
      <c r="S345" s="167" t="s">
        <v>70</v>
      </c>
      <c r="T345" s="167" t="s">
        <v>70</v>
      </c>
      <c r="U345" s="167" t="s">
        <v>70</v>
      </c>
      <c r="V345" s="167" t="s">
        <v>70</v>
      </c>
      <c r="W345" s="167" t="s">
        <v>70</v>
      </c>
      <c r="X345" s="167" t="s">
        <v>70</v>
      </c>
      <c r="Y345" s="167" t="s">
        <v>70</v>
      </c>
      <c r="Z345" s="167" t="s">
        <v>70</v>
      </c>
      <c r="AA345" s="167" t="s">
        <v>70</v>
      </c>
      <c r="AB345" s="167" t="s">
        <v>70</v>
      </c>
      <c r="AC345" s="167" t="s">
        <v>70</v>
      </c>
      <c r="AD345" s="167" t="s">
        <v>70</v>
      </c>
      <c r="AE345" s="167" t="s">
        <v>70</v>
      </c>
      <c r="AF345" s="167" t="s">
        <v>70</v>
      </c>
      <c r="AG345" s="167" t="s">
        <v>70</v>
      </c>
      <c r="AH345" s="167" t="s">
        <v>70</v>
      </c>
      <c r="AI345" s="181">
        <v>46128</v>
      </c>
      <c r="AJ345" s="163">
        <v>45341</v>
      </c>
      <c r="AK345" s="167" t="s">
        <v>70</v>
      </c>
      <c r="AL345" s="167" t="s">
        <v>70</v>
      </c>
      <c r="AM345" s="167"/>
      <c r="AN345" s="167" t="s">
        <v>70</v>
      </c>
      <c r="AO345" s="167" t="s">
        <v>70</v>
      </c>
      <c r="AP345" s="167" t="s">
        <v>70</v>
      </c>
      <c r="AQ345" s="167" t="s">
        <v>70</v>
      </c>
      <c r="AR345" s="166" t="s">
        <v>69</v>
      </c>
      <c r="AS345" s="167" t="s">
        <v>70</v>
      </c>
      <c r="AT345" s="167" t="s">
        <v>70</v>
      </c>
      <c r="AU345" s="167" t="s">
        <v>70</v>
      </c>
      <c r="AV345" s="167" t="s">
        <v>70</v>
      </c>
      <c r="AW345" s="167" t="s">
        <v>70</v>
      </c>
      <c r="AX345" s="167" t="s">
        <v>70</v>
      </c>
      <c r="AY345" s="167" t="s">
        <v>70</v>
      </c>
      <c r="AZ345" s="167" t="s">
        <v>70</v>
      </c>
      <c r="BA345" s="167" t="s">
        <v>70</v>
      </c>
      <c r="BB345" s="167" t="s">
        <v>70</v>
      </c>
      <c r="BC345" s="167" t="s">
        <v>70</v>
      </c>
      <c r="BD345" s="167" t="s">
        <v>70</v>
      </c>
      <c r="BE345" s="167" t="s">
        <v>70</v>
      </c>
      <c r="BF345" s="167" t="s">
        <v>70</v>
      </c>
      <c r="BG345" s="167" t="s">
        <v>70</v>
      </c>
      <c r="BH345" s="167" t="s">
        <v>70</v>
      </c>
      <c r="BI345" s="167" t="s">
        <v>70</v>
      </c>
      <c r="BJ345" s="167" t="s">
        <v>70</v>
      </c>
      <c r="BK345" s="167" t="s">
        <v>70</v>
      </c>
      <c r="BL345" s="167" t="s">
        <v>70</v>
      </c>
      <c r="BM345" s="167" t="s">
        <v>70</v>
      </c>
      <c r="BN345" s="167" t="s">
        <v>70</v>
      </c>
      <c r="BO345" s="167" t="s">
        <v>70</v>
      </c>
      <c r="BP345" s="167" t="s">
        <v>70</v>
      </c>
      <c r="BQ345" s="151" t="s">
        <v>256</v>
      </c>
    </row>
    <row r="346" spans="1:69" s="151" customFormat="1" ht="19.5" customHeight="1" x14ac:dyDescent="0.2">
      <c r="A346" s="117">
        <v>343</v>
      </c>
      <c r="B346" s="121" t="s">
        <v>364</v>
      </c>
      <c r="C346" s="122">
        <v>147371</v>
      </c>
      <c r="D346" s="117" t="s">
        <v>212</v>
      </c>
      <c r="E346" s="117" t="s">
        <v>68</v>
      </c>
      <c r="F346" s="146" t="s">
        <v>256</v>
      </c>
      <c r="G346" s="124" t="s">
        <v>69</v>
      </c>
      <c r="H346" s="93">
        <v>46164</v>
      </c>
      <c r="I346" s="93">
        <v>46164</v>
      </c>
      <c r="J346" s="92">
        <f t="shared" si="24"/>
        <v>47259</v>
      </c>
      <c r="K346" s="93">
        <v>46163</v>
      </c>
      <c r="L346" s="93">
        <v>46163</v>
      </c>
      <c r="M346" s="140">
        <f t="shared" si="22"/>
        <v>47259</v>
      </c>
      <c r="N346" s="93">
        <v>46167</v>
      </c>
      <c r="O346" s="93">
        <v>46161</v>
      </c>
      <c r="P346" s="93">
        <v>46162</v>
      </c>
      <c r="Q346" s="167" t="s">
        <v>70</v>
      </c>
      <c r="R346" s="167" t="s">
        <v>70</v>
      </c>
      <c r="S346" s="167" t="s">
        <v>70</v>
      </c>
      <c r="T346" s="167" t="s">
        <v>70</v>
      </c>
      <c r="U346" s="167" t="s">
        <v>70</v>
      </c>
      <c r="V346" s="167" t="s">
        <v>70</v>
      </c>
      <c r="W346" s="167" t="s">
        <v>70</v>
      </c>
      <c r="X346" s="167" t="s">
        <v>70</v>
      </c>
      <c r="Y346" s="167" t="s">
        <v>70</v>
      </c>
      <c r="Z346" s="167" t="s">
        <v>70</v>
      </c>
      <c r="AA346" s="167" t="s">
        <v>70</v>
      </c>
      <c r="AB346" s="167" t="s">
        <v>70</v>
      </c>
      <c r="AC346" s="167" t="s">
        <v>70</v>
      </c>
      <c r="AD346" s="167" t="s">
        <v>70</v>
      </c>
      <c r="AE346" s="167" t="s">
        <v>70</v>
      </c>
      <c r="AF346" s="167" t="s">
        <v>70</v>
      </c>
      <c r="AG346" s="167" t="s">
        <v>70</v>
      </c>
      <c r="AH346" s="167" t="s">
        <v>70</v>
      </c>
      <c r="AI346" s="181">
        <v>46307</v>
      </c>
      <c r="AJ346" s="163">
        <v>45352</v>
      </c>
      <c r="AK346" s="167" t="s">
        <v>70</v>
      </c>
      <c r="AL346" s="167" t="s">
        <v>70</v>
      </c>
      <c r="AM346" s="167"/>
      <c r="AN346" s="167" t="s">
        <v>70</v>
      </c>
      <c r="AO346" s="167" t="s">
        <v>70</v>
      </c>
      <c r="AP346" s="167" t="s">
        <v>70</v>
      </c>
      <c r="AQ346" s="167" t="s">
        <v>70</v>
      </c>
      <c r="AR346" s="166" t="s">
        <v>69</v>
      </c>
      <c r="AS346" s="167" t="s">
        <v>70</v>
      </c>
      <c r="AT346" s="167" t="s">
        <v>70</v>
      </c>
      <c r="AU346" s="167" t="s">
        <v>70</v>
      </c>
      <c r="AV346" s="167" t="s">
        <v>70</v>
      </c>
      <c r="AW346" s="167" t="s">
        <v>70</v>
      </c>
      <c r="AX346" s="167" t="s">
        <v>70</v>
      </c>
      <c r="AY346" s="167" t="s">
        <v>70</v>
      </c>
      <c r="AZ346" s="167" t="s">
        <v>70</v>
      </c>
      <c r="BA346" s="167" t="s">
        <v>70</v>
      </c>
      <c r="BB346" s="167" t="s">
        <v>70</v>
      </c>
      <c r="BC346" s="167" t="s">
        <v>70</v>
      </c>
      <c r="BD346" s="167" t="s">
        <v>70</v>
      </c>
      <c r="BE346" s="167" t="s">
        <v>70</v>
      </c>
      <c r="BF346" s="167" t="s">
        <v>70</v>
      </c>
      <c r="BG346" s="167" t="s">
        <v>70</v>
      </c>
      <c r="BH346" s="167" t="s">
        <v>70</v>
      </c>
      <c r="BI346" s="167" t="s">
        <v>70</v>
      </c>
      <c r="BJ346" s="167" t="s">
        <v>70</v>
      </c>
      <c r="BK346" s="167" t="s">
        <v>70</v>
      </c>
      <c r="BL346" s="167" t="s">
        <v>70</v>
      </c>
      <c r="BM346" s="167" t="s">
        <v>70</v>
      </c>
      <c r="BN346" s="167" t="s">
        <v>70</v>
      </c>
      <c r="BO346" s="167" t="s">
        <v>70</v>
      </c>
      <c r="BP346" s="167" t="s">
        <v>70</v>
      </c>
      <c r="BQ346" s="151" t="s">
        <v>256</v>
      </c>
    </row>
    <row r="347" spans="1:69" s="151" customFormat="1" ht="19.5" customHeight="1" x14ac:dyDescent="0.2">
      <c r="A347" s="117">
        <v>344</v>
      </c>
      <c r="B347" s="121" t="s">
        <v>365</v>
      </c>
      <c r="C347" s="122">
        <v>154179</v>
      </c>
      <c r="D347" s="117" t="s">
        <v>212</v>
      </c>
      <c r="E347" s="117" t="s">
        <v>68</v>
      </c>
      <c r="F347" s="146" t="s">
        <v>256</v>
      </c>
      <c r="G347" s="124" t="s">
        <v>69</v>
      </c>
      <c r="H347" s="93"/>
      <c r="I347" s="93"/>
      <c r="J347" s="92" t="str">
        <f t="shared" si="24"/>
        <v/>
      </c>
      <c r="K347" s="93"/>
      <c r="L347" s="93"/>
      <c r="M347" s="140" t="str">
        <f t="shared" si="22"/>
        <v/>
      </c>
      <c r="N347" s="93"/>
      <c r="O347" s="93"/>
      <c r="P347" s="93"/>
      <c r="Q347" s="167" t="s">
        <v>70</v>
      </c>
      <c r="R347" s="167" t="s">
        <v>70</v>
      </c>
      <c r="S347" s="167" t="s">
        <v>70</v>
      </c>
      <c r="T347" s="167" t="s">
        <v>70</v>
      </c>
      <c r="U347" s="167" t="s">
        <v>70</v>
      </c>
      <c r="V347" s="167" t="s">
        <v>70</v>
      </c>
      <c r="W347" s="167" t="s">
        <v>70</v>
      </c>
      <c r="X347" s="167" t="s">
        <v>70</v>
      </c>
      <c r="Y347" s="167" t="s">
        <v>70</v>
      </c>
      <c r="Z347" s="167" t="s">
        <v>70</v>
      </c>
      <c r="AA347" s="167" t="s">
        <v>70</v>
      </c>
      <c r="AB347" s="167" t="s">
        <v>70</v>
      </c>
      <c r="AC347" s="167" t="s">
        <v>70</v>
      </c>
      <c r="AD347" s="167" t="s">
        <v>70</v>
      </c>
      <c r="AE347" s="167" t="s">
        <v>70</v>
      </c>
      <c r="AF347" s="167" t="s">
        <v>70</v>
      </c>
      <c r="AG347" s="167" t="s">
        <v>70</v>
      </c>
      <c r="AH347" s="167" t="s">
        <v>70</v>
      </c>
      <c r="AI347" s="181">
        <v>46086</v>
      </c>
      <c r="AJ347" s="163">
        <v>45345</v>
      </c>
      <c r="AK347" s="167" t="s">
        <v>70</v>
      </c>
      <c r="AL347" s="167" t="s">
        <v>70</v>
      </c>
      <c r="AM347" s="167"/>
      <c r="AN347" s="167" t="s">
        <v>70</v>
      </c>
      <c r="AO347" s="167" t="s">
        <v>70</v>
      </c>
      <c r="AP347" s="167" t="s">
        <v>70</v>
      </c>
      <c r="AQ347" s="167" t="s">
        <v>70</v>
      </c>
      <c r="AR347" s="166" t="s">
        <v>69</v>
      </c>
      <c r="AS347" s="167" t="s">
        <v>70</v>
      </c>
      <c r="AT347" s="167" t="s">
        <v>70</v>
      </c>
      <c r="AU347" s="167" t="s">
        <v>70</v>
      </c>
      <c r="AV347" s="167" t="s">
        <v>70</v>
      </c>
      <c r="AW347" s="167" t="s">
        <v>70</v>
      </c>
      <c r="AX347" s="167" t="s">
        <v>70</v>
      </c>
      <c r="AY347" s="167" t="s">
        <v>70</v>
      </c>
      <c r="AZ347" s="167" t="s">
        <v>70</v>
      </c>
      <c r="BA347" s="167" t="s">
        <v>70</v>
      </c>
      <c r="BB347" s="167" t="s">
        <v>70</v>
      </c>
      <c r="BC347" s="167" t="s">
        <v>70</v>
      </c>
      <c r="BD347" s="167" t="s">
        <v>70</v>
      </c>
      <c r="BE347" s="167" t="s">
        <v>70</v>
      </c>
      <c r="BF347" s="167" t="s">
        <v>70</v>
      </c>
      <c r="BG347" s="167" t="s">
        <v>70</v>
      </c>
      <c r="BH347" s="167" t="s">
        <v>70</v>
      </c>
      <c r="BI347" s="167" t="s">
        <v>70</v>
      </c>
      <c r="BJ347" s="167" t="s">
        <v>70</v>
      </c>
      <c r="BK347" s="167" t="s">
        <v>70</v>
      </c>
      <c r="BL347" s="167" t="s">
        <v>70</v>
      </c>
      <c r="BM347" s="167" t="s">
        <v>70</v>
      </c>
      <c r="BN347" s="167" t="s">
        <v>70</v>
      </c>
      <c r="BO347" s="167" t="s">
        <v>70</v>
      </c>
      <c r="BP347" s="167" t="s">
        <v>70</v>
      </c>
      <c r="BQ347" s="151" t="s">
        <v>256</v>
      </c>
    </row>
    <row r="348" spans="1:69" s="151" customFormat="1" ht="19.5" customHeight="1" x14ac:dyDescent="0.2">
      <c r="A348" s="117">
        <v>345</v>
      </c>
      <c r="B348" s="121" t="s">
        <v>366</v>
      </c>
      <c r="C348" s="122">
        <v>83102749</v>
      </c>
      <c r="D348" s="117" t="s">
        <v>212</v>
      </c>
      <c r="E348" s="117" t="s">
        <v>68</v>
      </c>
      <c r="F348" s="146" t="s">
        <v>256</v>
      </c>
      <c r="G348" s="124" t="s">
        <v>69</v>
      </c>
      <c r="H348" s="93">
        <v>46282</v>
      </c>
      <c r="I348" s="93">
        <v>46282</v>
      </c>
      <c r="J348" s="92">
        <f>IF(I348="", "", DATE(YEAR(I348)+3, MONTH(I348), DAY(I348)))</f>
        <v>47378</v>
      </c>
      <c r="K348" s="93">
        <v>46281</v>
      </c>
      <c r="L348" s="93">
        <v>46281</v>
      </c>
      <c r="M348" s="140">
        <f t="shared" si="22"/>
        <v>47377</v>
      </c>
      <c r="N348" s="93">
        <v>46279</v>
      </c>
      <c r="O348" s="93">
        <v>46286</v>
      </c>
      <c r="P348" s="93">
        <v>46280</v>
      </c>
      <c r="Q348" s="167" t="s">
        <v>70</v>
      </c>
      <c r="R348" s="167" t="s">
        <v>70</v>
      </c>
      <c r="S348" s="167" t="s">
        <v>70</v>
      </c>
      <c r="T348" s="167" t="s">
        <v>70</v>
      </c>
      <c r="U348" s="167" t="s">
        <v>70</v>
      </c>
      <c r="V348" s="167" t="s">
        <v>70</v>
      </c>
      <c r="W348" s="167" t="s">
        <v>70</v>
      </c>
      <c r="X348" s="167" t="s">
        <v>70</v>
      </c>
      <c r="Y348" s="167" t="s">
        <v>70</v>
      </c>
      <c r="Z348" s="167" t="s">
        <v>70</v>
      </c>
      <c r="AA348" s="167" t="s">
        <v>70</v>
      </c>
      <c r="AB348" s="167" t="s">
        <v>70</v>
      </c>
      <c r="AC348" s="167" t="s">
        <v>70</v>
      </c>
      <c r="AD348" s="167" t="s">
        <v>70</v>
      </c>
      <c r="AE348" s="167" t="s">
        <v>70</v>
      </c>
      <c r="AF348" s="167" t="s">
        <v>70</v>
      </c>
      <c r="AG348" s="167" t="s">
        <v>70</v>
      </c>
      <c r="AH348" s="167" t="s">
        <v>70</v>
      </c>
      <c r="AI348" s="186">
        <v>46044</v>
      </c>
      <c r="AJ348" s="163">
        <v>45352</v>
      </c>
      <c r="AK348" s="167" t="s">
        <v>70</v>
      </c>
      <c r="AL348" s="167" t="s">
        <v>70</v>
      </c>
      <c r="AM348" s="167"/>
      <c r="AN348" s="167" t="s">
        <v>70</v>
      </c>
      <c r="AO348" s="167" t="s">
        <v>70</v>
      </c>
      <c r="AP348" s="167" t="s">
        <v>70</v>
      </c>
      <c r="AQ348" s="167" t="s">
        <v>70</v>
      </c>
      <c r="AR348" s="166" t="s">
        <v>69</v>
      </c>
      <c r="AS348" s="167" t="s">
        <v>70</v>
      </c>
      <c r="AT348" s="167" t="s">
        <v>70</v>
      </c>
      <c r="AU348" s="167" t="s">
        <v>70</v>
      </c>
      <c r="AV348" s="167" t="s">
        <v>70</v>
      </c>
      <c r="AW348" s="167" t="s">
        <v>70</v>
      </c>
      <c r="AX348" s="167" t="s">
        <v>70</v>
      </c>
      <c r="AY348" s="167" t="s">
        <v>70</v>
      </c>
      <c r="AZ348" s="167" t="s">
        <v>70</v>
      </c>
      <c r="BA348" s="167" t="s">
        <v>70</v>
      </c>
      <c r="BB348" s="167" t="s">
        <v>70</v>
      </c>
      <c r="BC348" s="167" t="s">
        <v>70</v>
      </c>
      <c r="BD348" s="167" t="s">
        <v>70</v>
      </c>
      <c r="BE348" s="167" t="s">
        <v>70</v>
      </c>
      <c r="BF348" s="167" t="s">
        <v>70</v>
      </c>
      <c r="BG348" s="167" t="s">
        <v>70</v>
      </c>
      <c r="BH348" s="167" t="s">
        <v>70</v>
      </c>
      <c r="BI348" s="167" t="s">
        <v>70</v>
      </c>
      <c r="BJ348" s="167" t="s">
        <v>70</v>
      </c>
      <c r="BK348" s="167" t="s">
        <v>70</v>
      </c>
      <c r="BL348" s="167" t="s">
        <v>70</v>
      </c>
      <c r="BM348" s="167" t="s">
        <v>70</v>
      </c>
      <c r="BN348" s="167" t="s">
        <v>70</v>
      </c>
      <c r="BO348" s="167" t="s">
        <v>70</v>
      </c>
      <c r="BP348" s="167" t="s">
        <v>70</v>
      </c>
      <c r="BQ348" s="151" t="s">
        <v>256</v>
      </c>
    </row>
    <row r="349" spans="1:69" s="151" customFormat="1" ht="19.5" customHeight="1" x14ac:dyDescent="0.2">
      <c r="A349" s="117">
        <v>346</v>
      </c>
      <c r="B349" s="121" t="s">
        <v>367</v>
      </c>
      <c r="C349" s="122">
        <v>83088475</v>
      </c>
      <c r="D349" s="117" t="s">
        <v>212</v>
      </c>
      <c r="E349" s="117" t="s">
        <v>68</v>
      </c>
      <c r="F349" s="146" t="s">
        <v>256</v>
      </c>
      <c r="G349" s="124" t="s">
        <v>69</v>
      </c>
      <c r="H349" s="93">
        <v>42541</v>
      </c>
      <c r="I349" s="93">
        <v>45961</v>
      </c>
      <c r="J349" s="92">
        <f t="shared" si="24"/>
        <v>47056</v>
      </c>
      <c r="K349" s="93">
        <v>42541</v>
      </c>
      <c r="L349" s="93">
        <v>45960</v>
      </c>
      <c r="M349" s="140">
        <f t="shared" si="22"/>
        <v>47056</v>
      </c>
      <c r="N349" s="93">
        <v>45959</v>
      </c>
      <c r="O349" s="93">
        <v>45958</v>
      </c>
      <c r="P349" s="93">
        <v>45957</v>
      </c>
      <c r="Q349" s="167" t="s">
        <v>70</v>
      </c>
      <c r="R349" s="167" t="s">
        <v>70</v>
      </c>
      <c r="S349" s="167" t="s">
        <v>70</v>
      </c>
      <c r="T349" s="167" t="s">
        <v>70</v>
      </c>
      <c r="U349" s="167" t="s">
        <v>70</v>
      </c>
      <c r="V349" s="167" t="s">
        <v>70</v>
      </c>
      <c r="W349" s="167" t="s">
        <v>70</v>
      </c>
      <c r="X349" s="167" t="s">
        <v>70</v>
      </c>
      <c r="Y349" s="167" t="s">
        <v>70</v>
      </c>
      <c r="Z349" s="167" t="s">
        <v>70</v>
      </c>
      <c r="AA349" s="167" t="s">
        <v>70</v>
      </c>
      <c r="AB349" s="167" t="s">
        <v>70</v>
      </c>
      <c r="AC349" s="167" t="s">
        <v>70</v>
      </c>
      <c r="AD349" s="167" t="s">
        <v>70</v>
      </c>
      <c r="AE349" s="167" t="s">
        <v>70</v>
      </c>
      <c r="AF349" s="167" t="s">
        <v>70</v>
      </c>
      <c r="AG349" s="167" t="s">
        <v>70</v>
      </c>
      <c r="AH349" s="167" t="s">
        <v>70</v>
      </c>
      <c r="AI349" s="181">
        <v>46223</v>
      </c>
      <c r="AJ349" s="163">
        <v>45343</v>
      </c>
      <c r="AK349" s="167" t="s">
        <v>70</v>
      </c>
      <c r="AL349" s="167" t="s">
        <v>70</v>
      </c>
      <c r="AM349" s="167"/>
      <c r="AN349" s="167" t="s">
        <v>70</v>
      </c>
      <c r="AO349" s="167" t="s">
        <v>70</v>
      </c>
      <c r="AP349" s="167" t="s">
        <v>70</v>
      </c>
      <c r="AQ349" s="167" t="s">
        <v>70</v>
      </c>
      <c r="AR349" s="166" t="s">
        <v>69</v>
      </c>
      <c r="AS349" s="167" t="s">
        <v>70</v>
      </c>
      <c r="AT349" s="167" t="s">
        <v>70</v>
      </c>
      <c r="AU349" s="167" t="s">
        <v>70</v>
      </c>
      <c r="AV349" s="167" t="s">
        <v>70</v>
      </c>
      <c r="AW349" s="167" t="s">
        <v>70</v>
      </c>
      <c r="AX349" s="167" t="s">
        <v>70</v>
      </c>
      <c r="AY349" s="167" t="s">
        <v>70</v>
      </c>
      <c r="AZ349" s="167" t="s">
        <v>70</v>
      </c>
      <c r="BA349" s="167" t="s">
        <v>70</v>
      </c>
      <c r="BB349" s="167" t="s">
        <v>70</v>
      </c>
      <c r="BC349" s="167" t="s">
        <v>70</v>
      </c>
      <c r="BD349" s="167" t="s">
        <v>70</v>
      </c>
      <c r="BE349" s="167" t="s">
        <v>70</v>
      </c>
      <c r="BF349" s="167" t="s">
        <v>70</v>
      </c>
      <c r="BG349" s="167" t="s">
        <v>70</v>
      </c>
      <c r="BH349" s="167" t="s">
        <v>70</v>
      </c>
      <c r="BI349" s="167" t="s">
        <v>70</v>
      </c>
      <c r="BJ349" s="167" t="s">
        <v>70</v>
      </c>
      <c r="BK349" s="167" t="s">
        <v>70</v>
      </c>
      <c r="BL349" s="167" t="s">
        <v>70</v>
      </c>
      <c r="BM349" s="167" t="s">
        <v>70</v>
      </c>
      <c r="BN349" s="167" t="s">
        <v>70</v>
      </c>
      <c r="BO349" s="167" t="s">
        <v>70</v>
      </c>
      <c r="BP349" s="167" t="s">
        <v>70</v>
      </c>
      <c r="BQ349" s="151" t="s">
        <v>256</v>
      </c>
    </row>
    <row r="350" spans="1:69" s="151" customFormat="1" ht="19.5" customHeight="1" x14ac:dyDescent="0.2">
      <c r="A350" s="117">
        <v>347</v>
      </c>
      <c r="B350" s="121" t="s">
        <v>368</v>
      </c>
      <c r="C350" s="122">
        <v>83090015</v>
      </c>
      <c r="D350" s="117" t="s">
        <v>212</v>
      </c>
      <c r="E350" s="117" t="s">
        <v>68</v>
      </c>
      <c r="F350" s="146" t="s">
        <v>256</v>
      </c>
      <c r="G350" s="124" t="s">
        <v>69</v>
      </c>
      <c r="H350" s="93">
        <v>42569</v>
      </c>
      <c r="I350" s="93">
        <v>45770</v>
      </c>
      <c r="J350" s="92">
        <f t="shared" si="24"/>
        <v>46865</v>
      </c>
      <c r="K350" s="93">
        <v>42569</v>
      </c>
      <c r="L350" s="93">
        <v>45769</v>
      </c>
      <c r="M350" s="140">
        <f t="shared" ref="M350:M364" si="25">IF(L350="", "", DATE(YEAR(L350)+3, MONTH(L350), DAY(L350)))</f>
        <v>46865</v>
      </c>
      <c r="N350" s="93">
        <v>45772</v>
      </c>
      <c r="O350" s="93">
        <v>45771</v>
      </c>
      <c r="P350" s="93">
        <v>45768</v>
      </c>
      <c r="Q350" s="167" t="s">
        <v>70</v>
      </c>
      <c r="R350" s="167" t="s">
        <v>70</v>
      </c>
      <c r="S350" s="167" t="s">
        <v>70</v>
      </c>
      <c r="T350" s="167" t="s">
        <v>70</v>
      </c>
      <c r="U350" s="167" t="s">
        <v>70</v>
      </c>
      <c r="V350" s="167" t="s">
        <v>70</v>
      </c>
      <c r="W350" s="167" t="s">
        <v>70</v>
      </c>
      <c r="X350" s="167" t="s">
        <v>70</v>
      </c>
      <c r="Y350" s="167" t="s">
        <v>70</v>
      </c>
      <c r="Z350" s="167" t="s">
        <v>70</v>
      </c>
      <c r="AA350" s="167" t="s">
        <v>70</v>
      </c>
      <c r="AB350" s="167" t="s">
        <v>70</v>
      </c>
      <c r="AC350" s="167" t="s">
        <v>70</v>
      </c>
      <c r="AD350" s="167" t="s">
        <v>70</v>
      </c>
      <c r="AE350" s="167" t="s">
        <v>70</v>
      </c>
      <c r="AF350" s="167" t="s">
        <v>70</v>
      </c>
      <c r="AG350" s="167" t="s">
        <v>70</v>
      </c>
      <c r="AH350" s="167" t="s">
        <v>70</v>
      </c>
      <c r="AI350" s="181">
        <v>45975</v>
      </c>
      <c r="AJ350" s="163">
        <v>45341</v>
      </c>
      <c r="AK350" s="167" t="s">
        <v>70</v>
      </c>
      <c r="AL350" s="167" t="s">
        <v>70</v>
      </c>
      <c r="AM350" s="167"/>
      <c r="AN350" s="167" t="s">
        <v>70</v>
      </c>
      <c r="AO350" s="167" t="s">
        <v>70</v>
      </c>
      <c r="AP350" s="167" t="s">
        <v>70</v>
      </c>
      <c r="AQ350" s="167" t="s">
        <v>70</v>
      </c>
      <c r="AR350" s="166" t="s">
        <v>69</v>
      </c>
      <c r="AS350" s="167" t="s">
        <v>70</v>
      </c>
      <c r="AT350" s="167" t="s">
        <v>70</v>
      </c>
      <c r="AU350" s="167" t="s">
        <v>70</v>
      </c>
      <c r="AV350" s="167" t="s">
        <v>70</v>
      </c>
      <c r="AW350" s="167" t="s">
        <v>70</v>
      </c>
      <c r="AX350" s="167" t="s">
        <v>70</v>
      </c>
      <c r="AY350" s="167" t="s">
        <v>70</v>
      </c>
      <c r="AZ350" s="167" t="s">
        <v>70</v>
      </c>
      <c r="BA350" s="167" t="s">
        <v>70</v>
      </c>
      <c r="BB350" s="167" t="s">
        <v>70</v>
      </c>
      <c r="BC350" s="167" t="s">
        <v>70</v>
      </c>
      <c r="BD350" s="167" t="s">
        <v>70</v>
      </c>
      <c r="BE350" s="167" t="s">
        <v>70</v>
      </c>
      <c r="BF350" s="167" t="s">
        <v>70</v>
      </c>
      <c r="BG350" s="167" t="s">
        <v>70</v>
      </c>
      <c r="BH350" s="167" t="s">
        <v>70</v>
      </c>
      <c r="BI350" s="167" t="s">
        <v>70</v>
      </c>
      <c r="BJ350" s="167" t="s">
        <v>70</v>
      </c>
      <c r="BK350" s="167" t="s">
        <v>70</v>
      </c>
      <c r="BL350" s="167" t="s">
        <v>70</v>
      </c>
      <c r="BM350" s="167" t="s">
        <v>70</v>
      </c>
      <c r="BN350" s="167" t="s">
        <v>70</v>
      </c>
      <c r="BO350" s="167" t="s">
        <v>70</v>
      </c>
      <c r="BP350" s="167" t="s">
        <v>70</v>
      </c>
      <c r="BQ350" s="151" t="s">
        <v>256</v>
      </c>
    </row>
    <row r="351" spans="1:69" s="151" customFormat="1" ht="19.5" customHeight="1" x14ac:dyDescent="0.2">
      <c r="A351" s="117">
        <v>348</v>
      </c>
      <c r="B351" s="121" t="s">
        <v>369</v>
      </c>
      <c r="C351" s="122">
        <v>147365</v>
      </c>
      <c r="D351" s="117" t="s">
        <v>212</v>
      </c>
      <c r="E351" s="117" t="s">
        <v>68</v>
      </c>
      <c r="F351" s="146" t="s">
        <v>256</v>
      </c>
      <c r="G351" s="124" t="s">
        <v>69</v>
      </c>
      <c r="H351" s="93">
        <v>42003</v>
      </c>
      <c r="I351" s="93">
        <v>45961</v>
      </c>
      <c r="J351" s="92">
        <f t="shared" si="24"/>
        <v>47056</v>
      </c>
      <c r="K351" s="93">
        <v>44012</v>
      </c>
      <c r="L351" s="93">
        <v>45960</v>
      </c>
      <c r="M351" s="140">
        <f t="shared" si="25"/>
        <v>47056</v>
      </c>
      <c r="N351" s="93">
        <v>45959</v>
      </c>
      <c r="O351" s="93">
        <v>45958</v>
      </c>
      <c r="P351" s="93">
        <v>45957</v>
      </c>
      <c r="Q351" s="167" t="s">
        <v>70</v>
      </c>
      <c r="R351" s="167" t="s">
        <v>70</v>
      </c>
      <c r="S351" s="167" t="s">
        <v>70</v>
      </c>
      <c r="T351" s="167" t="s">
        <v>70</v>
      </c>
      <c r="U351" s="167" t="s">
        <v>70</v>
      </c>
      <c r="V351" s="167" t="s">
        <v>70</v>
      </c>
      <c r="W351" s="167" t="s">
        <v>70</v>
      </c>
      <c r="X351" s="167" t="s">
        <v>70</v>
      </c>
      <c r="Y351" s="167" t="s">
        <v>70</v>
      </c>
      <c r="Z351" s="167" t="s">
        <v>70</v>
      </c>
      <c r="AA351" s="167" t="s">
        <v>70</v>
      </c>
      <c r="AB351" s="167" t="s">
        <v>70</v>
      </c>
      <c r="AC351" s="167" t="s">
        <v>70</v>
      </c>
      <c r="AD351" s="167" t="s">
        <v>70</v>
      </c>
      <c r="AE351" s="167" t="s">
        <v>70</v>
      </c>
      <c r="AF351" s="167" t="s">
        <v>70</v>
      </c>
      <c r="AG351" s="167" t="s">
        <v>70</v>
      </c>
      <c r="AH351" s="167" t="s">
        <v>70</v>
      </c>
      <c r="AI351" s="181">
        <v>46175</v>
      </c>
      <c r="AJ351" s="163">
        <v>45343</v>
      </c>
      <c r="AK351" s="167" t="s">
        <v>70</v>
      </c>
      <c r="AL351" s="167" t="s">
        <v>70</v>
      </c>
      <c r="AM351" s="167"/>
      <c r="AN351" s="167" t="s">
        <v>70</v>
      </c>
      <c r="AO351" s="167" t="s">
        <v>70</v>
      </c>
      <c r="AP351" s="167" t="s">
        <v>70</v>
      </c>
      <c r="AQ351" s="167" t="s">
        <v>70</v>
      </c>
      <c r="AR351" s="166" t="s">
        <v>69</v>
      </c>
      <c r="AS351" s="167" t="s">
        <v>70</v>
      </c>
      <c r="AT351" s="167" t="s">
        <v>70</v>
      </c>
      <c r="AU351" s="167" t="s">
        <v>70</v>
      </c>
      <c r="AV351" s="167" t="s">
        <v>70</v>
      </c>
      <c r="AW351" s="167" t="s">
        <v>70</v>
      </c>
      <c r="AX351" s="167" t="s">
        <v>70</v>
      </c>
      <c r="AY351" s="167" t="s">
        <v>70</v>
      </c>
      <c r="AZ351" s="167" t="s">
        <v>70</v>
      </c>
      <c r="BA351" s="167" t="s">
        <v>70</v>
      </c>
      <c r="BB351" s="167" t="s">
        <v>70</v>
      </c>
      <c r="BC351" s="167" t="s">
        <v>70</v>
      </c>
      <c r="BD351" s="167" t="s">
        <v>70</v>
      </c>
      <c r="BE351" s="167" t="s">
        <v>70</v>
      </c>
      <c r="BF351" s="167" t="s">
        <v>70</v>
      </c>
      <c r="BG351" s="167" t="s">
        <v>70</v>
      </c>
      <c r="BH351" s="167" t="s">
        <v>70</v>
      </c>
      <c r="BI351" s="167" t="s">
        <v>70</v>
      </c>
      <c r="BJ351" s="167" t="s">
        <v>70</v>
      </c>
      <c r="BK351" s="167" t="s">
        <v>70</v>
      </c>
      <c r="BL351" s="167" t="s">
        <v>70</v>
      </c>
      <c r="BM351" s="167" t="s">
        <v>70</v>
      </c>
      <c r="BN351" s="167" t="s">
        <v>70</v>
      </c>
      <c r="BO351" s="167" t="s">
        <v>70</v>
      </c>
      <c r="BP351" s="167" t="s">
        <v>70</v>
      </c>
      <c r="BQ351" s="151" t="s">
        <v>256</v>
      </c>
    </row>
    <row r="352" spans="1:69" s="151" customFormat="1" ht="19.5" customHeight="1" x14ac:dyDescent="0.2">
      <c r="A352" s="117">
        <v>349</v>
      </c>
      <c r="B352" s="121" t="s">
        <v>370</v>
      </c>
      <c r="C352" s="122">
        <v>83102429</v>
      </c>
      <c r="D352" s="117" t="s">
        <v>212</v>
      </c>
      <c r="E352" s="117" t="s">
        <v>68</v>
      </c>
      <c r="F352" s="146" t="s">
        <v>256</v>
      </c>
      <c r="G352" s="124" t="s">
        <v>69</v>
      </c>
      <c r="H352" s="93">
        <v>42163</v>
      </c>
      <c r="I352" s="93">
        <v>45709</v>
      </c>
      <c r="J352" s="92">
        <f t="shared" si="24"/>
        <v>46801</v>
      </c>
      <c r="K352" s="93">
        <v>42160</v>
      </c>
      <c r="L352" s="93">
        <v>45706</v>
      </c>
      <c r="M352" s="140">
        <f t="shared" si="25"/>
        <v>46801</v>
      </c>
      <c r="N352" s="93">
        <v>45707</v>
      </c>
      <c r="O352" s="93">
        <v>45708</v>
      </c>
      <c r="P352" s="93">
        <v>45705</v>
      </c>
      <c r="Q352" s="167" t="s">
        <v>70</v>
      </c>
      <c r="R352" s="167" t="s">
        <v>70</v>
      </c>
      <c r="S352" s="167" t="s">
        <v>70</v>
      </c>
      <c r="T352" s="167" t="s">
        <v>70</v>
      </c>
      <c r="U352" s="167" t="s">
        <v>70</v>
      </c>
      <c r="V352" s="167" t="s">
        <v>70</v>
      </c>
      <c r="W352" s="167" t="s">
        <v>70</v>
      </c>
      <c r="X352" s="167" t="s">
        <v>70</v>
      </c>
      <c r="Y352" s="167" t="s">
        <v>70</v>
      </c>
      <c r="Z352" s="167" t="s">
        <v>70</v>
      </c>
      <c r="AA352" s="167" t="s">
        <v>70</v>
      </c>
      <c r="AB352" s="167" t="s">
        <v>70</v>
      </c>
      <c r="AC352" s="167" t="s">
        <v>70</v>
      </c>
      <c r="AD352" s="167" t="s">
        <v>70</v>
      </c>
      <c r="AE352" s="167" t="s">
        <v>70</v>
      </c>
      <c r="AF352" s="167" t="s">
        <v>70</v>
      </c>
      <c r="AG352" s="167" t="s">
        <v>70</v>
      </c>
      <c r="AH352" s="167" t="s">
        <v>70</v>
      </c>
      <c r="AI352" s="181">
        <v>45975</v>
      </c>
      <c r="AJ352" s="163">
        <v>45341</v>
      </c>
      <c r="AK352" s="167" t="s">
        <v>70</v>
      </c>
      <c r="AL352" s="167" t="s">
        <v>70</v>
      </c>
      <c r="AM352" s="167"/>
      <c r="AN352" s="167" t="s">
        <v>70</v>
      </c>
      <c r="AO352" s="167" t="s">
        <v>70</v>
      </c>
      <c r="AP352" s="167" t="s">
        <v>70</v>
      </c>
      <c r="AQ352" s="167" t="s">
        <v>70</v>
      </c>
      <c r="AR352" s="166" t="s">
        <v>69</v>
      </c>
      <c r="AS352" s="167" t="s">
        <v>70</v>
      </c>
      <c r="AT352" s="167" t="s">
        <v>70</v>
      </c>
      <c r="AU352" s="167" t="s">
        <v>70</v>
      </c>
      <c r="AV352" s="167" t="s">
        <v>70</v>
      </c>
      <c r="AW352" s="167" t="s">
        <v>70</v>
      </c>
      <c r="AX352" s="167" t="s">
        <v>70</v>
      </c>
      <c r="AY352" s="167" t="s">
        <v>70</v>
      </c>
      <c r="AZ352" s="167" t="s">
        <v>70</v>
      </c>
      <c r="BA352" s="167" t="s">
        <v>70</v>
      </c>
      <c r="BB352" s="167" t="s">
        <v>70</v>
      </c>
      <c r="BC352" s="167" t="s">
        <v>70</v>
      </c>
      <c r="BD352" s="167" t="s">
        <v>70</v>
      </c>
      <c r="BE352" s="167" t="s">
        <v>70</v>
      </c>
      <c r="BF352" s="167" t="s">
        <v>70</v>
      </c>
      <c r="BG352" s="167" t="s">
        <v>70</v>
      </c>
      <c r="BH352" s="167" t="s">
        <v>70</v>
      </c>
      <c r="BI352" s="167" t="s">
        <v>70</v>
      </c>
      <c r="BJ352" s="167" t="s">
        <v>70</v>
      </c>
      <c r="BK352" s="167" t="s">
        <v>70</v>
      </c>
      <c r="BL352" s="167" t="s">
        <v>70</v>
      </c>
      <c r="BM352" s="167" t="s">
        <v>70</v>
      </c>
      <c r="BN352" s="167" t="s">
        <v>70</v>
      </c>
      <c r="BO352" s="167" t="s">
        <v>70</v>
      </c>
      <c r="BP352" s="167" t="s">
        <v>70</v>
      </c>
      <c r="BQ352" s="151" t="s">
        <v>256</v>
      </c>
    </row>
    <row r="353" spans="1:135" s="151" customFormat="1" ht="19.5" customHeight="1" x14ac:dyDescent="0.2">
      <c r="A353" s="117">
        <v>350</v>
      </c>
      <c r="B353" s="121" t="s">
        <v>371</v>
      </c>
      <c r="C353" s="122">
        <v>83119911</v>
      </c>
      <c r="D353" s="117" t="s">
        <v>212</v>
      </c>
      <c r="E353" s="117" t="s">
        <v>68</v>
      </c>
      <c r="F353" s="146" t="s">
        <v>256</v>
      </c>
      <c r="G353" s="124" t="s">
        <v>69</v>
      </c>
      <c r="H353" s="93">
        <v>46199</v>
      </c>
      <c r="I353" s="93">
        <v>46199</v>
      </c>
      <c r="J353" s="92">
        <f>IF(I353="", "", DATE(YEAR(I353)+3, MONTH(I353), DAY(I353)))</f>
        <v>47295</v>
      </c>
      <c r="K353" s="93">
        <v>46198</v>
      </c>
      <c r="L353" s="93">
        <v>46198</v>
      </c>
      <c r="M353" s="140">
        <f t="shared" si="25"/>
        <v>47294</v>
      </c>
      <c r="N353" s="190">
        <v>46195</v>
      </c>
      <c r="O353" s="93">
        <v>46196</v>
      </c>
      <c r="P353" s="93">
        <v>46197</v>
      </c>
      <c r="Q353" s="167" t="s">
        <v>70</v>
      </c>
      <c r="R353" s="167" t="s">
        <v>70</v>
      </c>
      <c r="S353" s="167" t="s">
        <v>70</v>
      </c>
      <c r="T353" s="167" t="s">
        <v>70</v>
      </c>
      <c r="U353" s="167" t="s">
        <v>70</v>
      </c>
      <c r="V353" s="167" t="s">
        <v>70</v>
      </c>
      <c r="W353" s="167" t="s">
        <v>70</v>
      </c>
      <c r="X353" s="167" t="s">
        <v>70</v>
      </c>
      <c r="Y353" s="167" t="s">
        <v>70</v>
      </c>
      <c r="Z353" s="167" t="s">
        <v>70</v>
      </c>
      <c r="AA353" s="167" t="s">
        <v>70</v>
      </c>
      <c r="AB353" s="167" t="s">
        <v>70</v>
      </c>
      <c r="AC353" s="167" t="s">
        <v>70</v>
      </c>
      <c r="AD353" s="167" t="s">
        <v>70</v>
      </c>
      <c r="AE353" s="167" t="s">
        <v>70</v>
      </c>
      <c r="AF353" s="167" t="s">
        <v>70</v>
      </c>
      <c r="AG353" s="167" t="s">
        <v>70</v>
      </c>
      <c r="AH353" s="167" t="s">
        <v>70</v>
      </c>
      <c r="AI353" s="181">
        <v>45967</v>
      </c>
      <c r="AJ353" s="163">
        <v>45343</v>
      </c>
      <c r="AK353" s="167" t="s">
        <v>70</v>
      </c>
      <c r="AL353" s="167" t="s">
        <v>70</v>
      </c>
      <c r="AM353" s="167"/>
      <c r="AN353" s="167" t="s">
        <v>70</v>
      </c>
      <c r="AO353" s="167" t="s">
        <v>70</v>
      </c>
      <c r="AP353" s="167" t="s">
        <v>70</v>
      </c>
      <c r="AQ353" s="167" t="s">
        <v>70</v>
      </c>
      <c r="AR353" s="166" t="s">
        <v>69</v>
      </c>
      <c r="AS353" s="167" t="s">
        <v>70</v>
      </c>
      <c r="AT353" s="167" t="s">
        <v>70</v>
      </c>
      <c r="AU353" s="167" t="s">
        <v>70</v>
      </c>
      <c r="AV353" s="167" t="s">
        <v>70</v>
      </c>
      <c r="AW353" s="167" t="s">
        <v>70</v>
      </c>
      <c r="AX353" s="167" t="s">
        <v>70</v>
      </c>
      <c r="AY353" s="167" t="s">
        <v>70</v>
      </c>
      <c r="AZ353" s="167" t="s">
        <v>70</v>
      </c>
      <c r="BA353" s="167" t="s">
        <v>70</v>
      </c>
      <c r="BB353" s="167" t="s">
        <v>70</v>
      </c>
      <c r="BC353" s="167" t="s">
        <v>70</v>
      </c>
      <c r="BD353" s="167" t="s">
        <v>70</v>
      </c>
      <c r="BE353" s="167" t="s">
        <v>70</v>
      </c>
      <c r="BF353" s="167" t="s">
        <v>70</v>
      </c>
      <c r="BG353" s="167" t="s">
        <v>70</v>
      </c>
      <c r="BH353" s="167" t="s">
        <v>70</v>
      </c>
      <c r="BI353" s="167" t="s">
        <v>70</v>
      </c>
      <c r="BJ353" s="167" t="s">
        <v>70</v>
      </c>
      <c r="BK353" s="167" t="s">
        <v>70</v>
      </c>
      <c r="BL353" s="167" t="s">
        <v>70</v>
      </c>
      <c r="BM353" s="167" t="s">
        <v>70</v>
      </c>
      <c r="BN353" s="167" t="s">
        <v>70</v>
      </c>
      <c r="BO353" s="167" t="s">
        <v>70</v>
      </c>
      <c r="BP353" s="167" t="s">
        <v>70</v>
      </c>
      <c r="BQ353" s="151" t="s">
        <v>256</v>
      </c>
    </row>
    <row r="354" spans="1:135" s="151" customFormat="1" ht="19.5" customHeight="1" x14ac:dyDescent="0.2">
      <c r="A354" s="117">
        <v>351</v>
      </c>
      <c r="B354" s="121" t="s">
        <v>372</v>
      </c>
      <c r="C354" s="122">
        <v>140594</v>
      </c>
      <c r="D354" s="117" t="s">
        <v>212</v>
      </c>
      <c r="E354" s="117" t="s">
        <v>68</v>
      </c>
      <c r="F354" s="146" t="s">
        <v>256</v>
      </c>
      <c r="G354" s="124" t="s">
        <v>69</v>
      </c>
      <c r="H354" s="93">
        <v>42156</v>
      </c>
      <c r="I354" s="93">
        <v>45798</v>
      </c>
      <c r="J354" s="92">
        <f>IF(I354="", "", DATE(YEAR(I354)+3, MONTH(I354), DAY(L354)))</f>
        <v>46893</v>
      </c>
      <c r="K354" s="93">
        <v>42153</v>
      </c>
      <c r="L354" s="93">
        <v>45797</v>
      </c>
      <c r="M354" s="140">
        <f t="shared" si="25"/>
        <v>46893</v>
      </c>
      <c r="N354" s="93">
        <v>45800</v>
      </c>
      <c r="O354" s="93">
        <v>45799</v>
      </c>
      <c r="P354" s="93">
        <v>45796</v>
      </c>
      <c r="Q354" s="167" t="s">
        <v>70</v>
      </c>
      <c r="R354" s="167" t="s">
        <v>70</v>
      </c>
      <c r="S354" s="167" t="s">
        <v>70</v>
      </c>
      <c r="T354" s="167" t="s">
        <v>70</v>
      </c>
      <c r="U354" s="167" t="s">
        <v>70</v>
      </c>
      <c r="V354" s="167" t="s">
        <v>70</v>
      </c>
      <c r="W354" s="167" t="s">
        <v>70</v>
      </c>
      <c r="X354" s="167" t="s">
        <v>70</v>
      </c>
      <c r="Y354" s="167" t="s">
        <v>70</v>
      </c>
      <c r="Z354" s="167" t="s">
        <v>70</v>
      </c>
      <c r="AA354" s="167" t="s">
        <v>70</v>
      </c>
      <c r="AB354" s="167" t="s">
        <v>70</v>
      </c>
      <c r="AC354" s="167" t="s">
        <v>70</v>
      </c>
      <c r="AD354" s="167" t="s">
        <v>70</v>
      </c>
      <c r="AE354" s="167" t="s">
        <v>70</v>
      </c>
      <c r="AF354" s="167" t="s">
        <v>70</v>
      </c>
      <c r="AG354" s="167" t="s">
        <v>70</v>
      </c>
      <c r="AH354" s="167" t="s">
        <v>70</v>
      </c>
      <c r="AI354" s="181">
        <v>46272</v>
      </c>
      <c r="AJ354" s="163">
        <v>45355</v>
      </c>
      <c r="AK354" s="167" t="s">
        <v>70</v>
      </c>
      <c r="AL354" s="167" t="s">
        <v>70</v>
      </c>
      <c r="AM354" s="167"/>
      <c r="AN354" s="167" t="s">
        <v>70</v>
      </c>
      <c r="AO354" s="167" t="s">
        <v>70</v>
      </c>
      <c r="AP354" s="167" t="s">
        <v>70</v>
      </c>
      <c r="AQ354" s="167" t="s">
        <v>70</v>
      </c>
      <c r="AR354" s="166" t="s">
        <v>69</v>
      </c>
      <c r="AS354" s="167" t="s">
        <v>70</v>
      </c>
      <c r="AT354" s="167" t="s">
        <v>70</v>
      </c>
      <c r="AU354" s="167" t="s">
        <v>70</v>
      </c>
      <c r="AV354" s="167" t="s">
        <v>70</v>
      </c>
      <c r="AW354" s="167" t="s">
        <v>70</v>
      </c>
      <c r="AX354" s="167" t="s">
        <v>70</v>
      </c>
      <c r="AY354" s="167" t="s">
        <v>70</v>
      </c>
      <c r="AZ354" s="167" t="s">
        <v>70</v>
      </c>
      <c r="BA354" s="167" t="s">
        <v>70</v>
      </c>
      <c r="BB354" s="167" t="s">
        <v>70</v>
      </c>
      <c r="BC354" s="167" t="s">
        <v>70</v>
      </c>
      <c r="BD354" s="167" t="s">
        <v>70</v>
      </c>
      <c r="BE354" s="167" t="s">
        <v>70</v>
      </c>
      <c r="BF354" s="167" t="s">
        <v>70</v>
      </c>
      <c r="BG354" s="167" t="s">
        <v>70</v>
      </c>
      <c r="BH354" s="167" t="s">
        <v>70</v>
      </c>
      <c r="BI354" s="167" t="s">
        <v>70</v>
      </c>
      <c r="BJ354" s="167" t="s">
        <v>70</v>
      </c>
      <c r="BK354" s="167" t="s">
        <v>70</v>
      </c>
      <c r="BL354" s="167" t="s">
        <v>70</v>
      </c>
      <c r="BM354" s="167" t="s">
        <v>70</v>
      </c>
      <c r="BN354" s="167" t="s">
        <v>70</v>
      </c>
      <c r="BO354" s="167" t="s">
        <v>70</v>
      </c>
      <c r="BP354" s="167" t="s">
        <v>70</v>
      </c>
      <c r="BQ354" s="151" t="s">
        <v>256</v>
      </c>
    </row>
    <row r="355" spans="1:135" s="151" customFormat="1" ht="19.5" customHeight="1" x14ac:dyDescent="0.2">
      <c r="A355" s="117">
        <v>352</v>
      </c>
      <c r="B355" s="121" t="s">
        <v>373</v>
      </c>
      <c r="C355" s="122">
        <v>134584</v>
      </c>
      <c r="D355" s="117" t="s">
        <v>212</v>
      </c>
      <c r="E355" s="117" t="s">
        <v>68</v>
      </c>
      <c r="F355" s="146" t="s">
        <v>256</v>
      </c>
      <c r="G355" s="124" t="s">
        <v>69</v>
      </c>
      <c r="H355" s="93">
        <v>46248</v>
      </c>
      <c r="I355" s="93">
        <v>46248</v>
      </c>
      <c r="J355" s="92">
        <f>IF(I355="", "", DATE(YEAR(I355)+3, MONTH(I355), DAY(I355)))</f>
        <v>47344</v>
      </c>
      <c r="K355" s="93">
        <v>46247</v>
      </c>
      <c r="L355" s="93">
        <v>46247</v>
      </c>
      <c r="M355" s="140">
        <f t="shared" si="25"/>
        <v>47343</v>
      </c>
      <c r="N355" s="93">
        <v>46245</v>
      </c>
      <c r="O355" s="93">
        <v>46258</v>
      </c>
      <c r="P355" s="93">
        <v>46246</v>
      </c>
      <c r="Q355" s="167" t="s">
        <v>70</v>
      </c>
      <c r="R355" s="167" t="s">
        <v>70</v>
      </c>
      <c r="S355" s="167" t="s">
        <v>70</v>
      </c>
      <c r="T355" s="167" t="s">
        <v>70</v>
      </c>
      <c r="U355" s="167" t="s">
        <v>70</v>
      </c>
      <c r="V355" s="167" t="s">
        <v>70</v>
      </c>
      <c r="W355" s="167" t="s">
        <v>70</v>
      </c>
      <c r="X355" s="167" t="s">
        <v>70</v>
      </c>
      <c r="Y355" s="167" t="s">
        <v>70</v>
      </c>
      <c r="Z355" s="167" t="s">
        <v>70</v>
      </c>
      <c r="AA355" s="167" t="s">
        <v>70</v>
      </c>
      <c r="AB355" s="167" t="s">
        <v>70</v>
      </c>
      <c r="AC355" s="167" t="s">
        <v>70</v>
      </c>
      <c r="AD355" s="167" t="s">
        <v>70</v>
      </c>
      <c r="AE355" s="167" t="s">
        <v>70</v>
      </c>
      <c r="AF355" s="167" t="s">
        <v>70</v>
      </c>
      <c r="AG355" s="167" t="s">
        <v>70</v>
      </c>
      <c r="AH355" s="167" t="s">
        <v>70</v>
      </c>
      <c r="AI355" s="186">
        <v>46272</v>
      </c>
      <c r="AJ355" s="163">
        <v>45352</v>
      </c>
      <c r="AK355" s="167" t="s">
        <v>70</v>
      </c>
      <c r="AL355" s="167" t="s">
        <v>70</v>
      </c>
      <c r="AM355" s="167"/>
      <c r="AN355" s="167" t="s">
        <v>70</v>
      </c>
      <c r="AO355" s="167" t="s">
        <v>70</v>
      </c>
      <c r="AP355" s="167" t="s">
        <v>70</v>
      </c>
      <c r="AQ355" s="167" t="s">
        <v>70</v>
      </c>
      <c r="AR355" s="166" t="s">
        <v>69</v>
      </c>
      <c r="AS355" s="167" t="s">
        <v>70</v>
      </c>
      <c r="AT355" s="167" t="s">
        <v>70</v>
      </c>
      <c r="AU355" s="167" t="s">
        <v>70</v>
      </c>
      <c r="AV355" s="167" t="s">
        <v>70</v>
      </c>
      <c r="AW355" s="167" t="s">
        <v>70</v>
      </c>
      <c r="AX355" s="167" t="s">
        <v>70</v>
      </c>
      <c r="AY355" s="167" t="s">
        <v>70</v>
      </c>
      <c r="AZ355" s="167" t="s">
        <v>70</v>
      </c>
      <c r="BA355" s="167" t="s">
        <v>70</v>
      </c>
      <c r="BB355" s="167" t="s">
        <v>70</v>
      </c>
      <c r="BC355" s="167" t="s">
        <v>70</v>
      </c>
      <c r="BD355" s="167" t="s">
        <v>70</v>
      </c>
      <c r="BE355" s="167" t="s">
        <v>70</v>
      </c>
      <c r="BF355" s="167" t="s">
        <v>70</v>
      </c>
      <c r="BG355" s="167" t="s">
        <v>70</v>
      </c>
      <c r="BH355" s="167" t="s">
        <v>70</v>
      </c>
      <c r="BI355" s="167" t="s">
        <v>70</v>
      </c>
      <c r="BJ355" s="167" t="s">
        <v>70</v>
      </c>
      <c r="BK355" s="167" t="s">
        <v>70</v>
      </c>
      <c r="BL355" s="167" t="s">
        <v>70</v>
      </c>
      <c r="BM355" s="167" t="s">
        <v>70</v>
      </c>
      <c r="BN355" s="167" t="s">
        <v>70</v>
      </c>
      <c r="BO355" s="167" t="s">
        <v>70</v>
      </c>
      <c r="BP355" s="167" t="s">
        <v>70</v>
      </c>
      <c r="BQ355" s="151" t="s">
        <v>256</v>
      </c>
    </row>
    <row r="356" spans="1:135" s="151" customFormat="1" ht="19.5" customHeight="1" x14ac:dyDescent="0.2">
      <c r="A356" s="117">
        <v>353</v>
      </c>
      <c r="B356" s="121" t="s">
        <v>374</v>
      </c>
      <c r="C356" s="122">
        <v>83103429</v>
      </c>
      <c r="D356" s="117" t="s">
        <v>212</v>
      </c>
      <c r="E356" s="117" t="s">
        <v>68</v>
      </c>
      <c r="F356" s="146" t="s">
        <v>256</v>
      </c>
      <c r="G356" s="124" t="s">
        <v>69</v>
      </c>
      <c r="H356" s="93">
        <v>42604</v>
      </c>
      <c r="I356" s="93">
        <v>46134</v>
      </c>
      <c r="J356" s="92">
        <f>IF(I356="", "", DATE(YEAR(I356)+3, MONTH(I356), DAY(L356)))</f>
        <v>47229</v>
      </c>
      <c r="K356" s="93">
        <v>42604</v>
      </c>
      <c r="L356" s="93">
        <v>46133</v>
      </c>
      <c r="M356" s="140">
        <f t="shared" si="25"/>
        <v>47229</v>
      </c>
      <c r="N356" s="93">
        <v>46130</v>
      </c>
      <c r="O356" s="93">
        <v>46131</v>
      </c>
      <c r="P356" s="93">
        <v>46132</v>
      </c>
      <c r="Q356" s="167" t="s">
        <v>70</v>
      </c>
      <c r="R356" s="167" t="s">
        <v>70</v>
      </c>
      <c r="S356" s="167" t="s">
        <v>70</v>
      </c>
      <c r="T356" s="167" t="s">
        <v>70</v>
      </c>
      <c r="U356" s="167" t="s">
        <v>70</v>
      </c>
      <c r="V356" s="167" t="s">
        <v>70</v>
      </c>
      <c r="W356" s="167" t="s">
        <v>70</v>
      </c>
      <c r="X356" s="167" t="s">
        <v>70</v>
      </c>
      <c r="Y356" s="167" t="s">
        <v>70</v>
      </c>
      <c r="Z356" s="167" t="s">
        <v>70</v>
      </c>
      <c r="AA356" s="167" t="s">
        <v>70</v>
      </c>
      <c r="AB356" s="167" t="s">
        <v>70</v>
      </c>
      <c r="AC356" s="167" t="s">
        <v>70</v>
      </c>
      <c r="AD356" s="167" t="s">
        <v>70</v>
      </c>
      <c r="AE356" s="167" t="s">
        <v>70</v>
      </c>
      <c r="AF356" s="167" t="s">
        <v>70</v>
      </c>
      <c r="AG356" s="167" t="s">
        <v>70</v>
      </c>
      <c r="AH356" s="167" t="s">
        <v>70</v>
      </c>
      <c r="AI356" s="186">
        <v>46307</v>
      </c>
      <c r="AJ356" s="163">
        <v>45355</v>
      </c>
      <c r="AK356" s="167" t="s">
        <v>70</v>
      </c>
      <c r="AL356" s="167" t="s">
        <v>70</v>
      </c>
      <c r="AM356" s="167"/>
      <c r="AN356" s="167" t="s">
        <v>70</v>
      </c>
      <c r="AO356" s="167" t="s">
        <v>70</v>
      </c>
      <c r="AP356" s="167" t="s">
        <v>70</v>
      </c>
      <c r="AQ356" s="167" t="s">
        <v>70</v>
      </c>
      <c r="AR356" s="166" t="s">
        <v>69</v>
      </c>
      <c r="AS356" s="167" t="s">
        <v>70</v>
      </c>
      <c r="AT356" s="167" t="s">
        <v>70</v>
      </c>
      <c r="AU356" s="167" t="s">
        <v>70</v>
      </c>
      <c r="AV356" s="167" t="s">
        <v>70</v>
      </c>
      <c r="AW356" s="167" t="s">
        <v>70</v>
      </c>
      <c r="AX356" s="167" t="s">
        <v>70</v>
      </c>
      <c r="AY356" s="167" t="s">
        <v>70</v>
      </c>
      <c r="AZ356" s="167" t="s">
        <v>70</v>
      </c>
      <c r="BA356" s="167" t="s">
        <v>70</v>
      </c>
      <c r="BB356" s="167" t="s">
        <v>70</v>
      </c>
      <c r="BC356" s="167" t="s">
        <v>70</v>
      </c>
      <c r="BD356" s="167" t="s">
        <v>70</v>
      </c>
      <c r="BE356" s="167" t="s">
        <v>70</v>
      </c>
      <c r="BF356" s="167" t="s">
        <v>70</v>
      </c>
      <c r="BG356" s="167" t="s">
        <v>70</v>
      </c>
      <c r="BH356" s="167" t="s">
        <v>70</v>
      </c>
      <c r="BI356" s="167" t="s">
        <v>70</v>
      </c>
      <c r="BJ356" s="167" t="s">
        <v>70</v>
      </c>
      <c r="BK356" s="167" t="s">
        <v>70</v>
      </c>
      <c r="BL356" s="167" t="s">
        <v>70</v>
      </c>
      <c r="BM356" s="167" t="s">
        <v>70</v>
      </c>
      <c r="BN356" s="167" t="s">
        <v>70</v>
      </c>
      <c r="BO356" s="167" t="s">
        <v>70</v>
      </c>
      <c r="BP356" s="167" t="s">
        <v>70</v>
      </c>
      <c r="BQ356" s="151" t="s">
        <v>256</v>
      </c>
    </row>
    <row r="357" spans="1:135" s="151" customFormat="1" ht="19.5" customHeight="1" x14ac:dyDescent="0.2">
      <c r="A357" s="117">
        <v>354</v>
      </c>
      <c r="B357" s="121" t="s">
        <v>375</v>
      </c>
      <c r="C357" s="122">
        <v>84122840</v>
      </c>
      <c r="D357" s="117" t="s">
        <v>212</v>
      </c>
      <c r="E357" s="117" t="s">
        <v>68</v>
      </c>
      <c r="F357" s="146" t="s">
        <v>256</v>
      </c>
      <c r="G357" s="124" t="s">
        <v>69</v>
      </c>
      <c r="H357" s="93">
        <v>46199</v>
      </c>
      <c r="I357" s="93">
        <v>46199</v>
      </c>
      <c r="J357" s="92">
        <f>IF(I357="", "", DATE(YEAR(I357)+3, MONTH(I357), DAY(I357)))</f>
        <v>47295</v>
      </c>
      <c r="K357" s="93">
        <v>46198</v>
      </c>
      <c r="L357" s="93">
        <v>46198</v>
      </c>
      <c r="M357" s="140">
        <f t="shared" si="25"/>
        <v>47294</v>
      </c>
      <c r="N357" s="190">
        <v>46195</v>
      </c>
      <c r="O357" s="93">
        <v>46196</v>
      </c>
      <c r="P357" s="93">
        <v>46197</v>
      </c>
      <c r="Q357" s="167" t="s">
        <v>70</v>
      </c>
      <c r="R357" s="167" t="s">
        <v>70</v>
      </c>
      <c r="S357" s="167" t="s">
        <v>70</v>
      </c>
      <c r="T357" s="167" t="s">
        <v>70</v>
      </c>
      <c r="U357" s="167" t="s">
        <v>70</v>
      </c>
      <c r="V357" s="167" t="s">
        <v>70</v>
      </c>
      <c r="W357" s="167" t="s">
        <v>70</v>
      </c>
      <c r="X357" s="167" t="s">
        <v>70</v>
      </c>
      <c r="Y357" s="167" t="s">
        <v>70</v>
      </c>
      <c r="Z357" s="167" t="s">
        <v>70</v>
      </c>
      <c r="AA357" s="167" t="s">
        <v>70</v>
      </c>
      <c r="AB357" s="167" t="s">
        <v>70</v>
      </c>
      <c r="AC357" s="167" t="s">
        <v>70</v>
      </c>
      <c r="AD357" s="167" t="s">
        <v>70</v>
      </c>
      <c r="AE357" s="167" t="s">
        <v>70</v>
      </c>
      <c r="AF357" s="167" t="s">
        <v>70</v>
      </c>
      <c r="AG357" s="167" t="s">
        <v>70</v>
      </c>
      <c r="AH357" s="167" t="s">
        <v>70</v>
      </c>
      <c r="AI357" s="181">
        <v>46233</v>
      </c>
      <c r="AJ357" s="163">
        <v>45343</v>
      </c>
      <c r="AK357" s="167" t="s">
        <v>70</v>
      </c>
      <c r="AL357" s="167" t="s">
        <v>70</v>
      </c>
      <c r="AM357" s="167"/>
      <c r="AN357" s="167" t="s">
        <v>70</v>
      </c>
      <c r="AO357" s="167" t="s">
        <v>70</v>
      </c>
      <c r="AP357" s="167" t="s">
        <v>70</v>
      </c>
      <c r="AQ357" s="167" t="s">
        <v>70</v>
      </c>
      <c r="AR357" s="166" t="s">
        <v>69</v>
      </c>
      <c r="AS357" s="167" t="s">
        <v>70</v>
      </c>
      <c r="AT357" s="167" t="s">
        <v>70</v>
      </c>
      <c r="AU357" s="167" t="s">
        <v>70</v>
      </c>
      <c r="AV357" s="167" t="s">
        <v>70</v>
      </c>
      <c r="AW357" s="167" t="s">
        <v>70</v>
      </c>
      <c r="AX357" s="167" t="s">
        <v>70</v>
      </c>
      <c r="AY357" s="167" t="s">
        <v>70</v>
      </c>
      <c r="AZ357" s="167" t="s">
        <v>70</v>
      </c>
      <c r="BA357" s="167" t="s">
        <v>70</v>
      </c>
      <c r="BB357" s="167" t="s">
        <v>70</v>
      </c>
      <c r="BC357" s="167" t="s">
        <v>70</v>
      </c>
      <c r="BD357" s="167" t="s">
        <v>70</v>
      </c>
      <c r="BE357" s="167" t="s">
        <v>70</v>
      </c>
      <c r="BF357" s="167" t="s">
        <v>70</v>
      </c>
      <c r="BG357" s="167" t="s">
        <v>70</v>
      </c>
      <c r="BH357" s="167" t="s">
        <v>70</v>
      </c>
      <c r="BI357" s="167" t="s">
        <v>70</v>
      </c>
      <c r="BJ357" s="167" t="s">
        <v>70</v>
      </c>
      <c r="BK357" s="167" t="s">
        <v>70</v>
      </c>
      <c r="BL357" s="167" t="s">
        <v>70</v>
      </c>
      <c r="BM357" s="167" t="s">
        <v>70</v>
      </c>
      <c r="BN357" s="167" t="s">
        <v>70</v>
      </c>
      <c r="BO357" s="167" t="s">
        <v>70</v>
      </c>
      <c r="BP357" s="167" t="s">
        <v>70</v>
      </c>
      <c r="BQ357" s="151" t="s">
        <v>256</v>
      </c>
    </row>
    <row r="358" spans="1:135" s="151" customFormat="1" ht="19.5" customHeight="1" x14ac:dyDescent="0.2">
      <c r="A358" s="117">
        <v>355</v>
      </c>
      <c r="B358" s="121" t="s">
        <v>376</v>
      </c>
      <c r="C358" s="122">
        <v>140692</v>
      </c>
      <c r="D358" s="117" t="s">
        <v>212</v>
      </c>
      <c r="E358" s="117" t="s">
        <v>68</v>
      </c>
      <c r="F358" s="146" t="s">
        <v>256</v>
      </c>
      <c r="G358" s="124" t="s">
        <v>69</v>
      </c>
      <c r="H358" s="93">
        <v>42230</v>
      </c>
      <c r="I358" s="93">
        <v>45889</v>
      </c>
      <c r="J358" s="92">
        <f t="shared" ref="J358:J364" si="26">IF(I358="", "", DATE(YEAR(I358)+3, MONTH(I358), DAY(L358)))</f>
        <v>46984</v>
      </c>
      <c r="K358" s="93">
        <v>42093</v>
      </c>
      <c r="L358" s="93">
        <v>45888</v>
      </c>
      <c r="M358" s="140">
        <f t="shared" si="25"/>
        <v>46984</v>
      </c>
      <c r="N358" s="93">
        <v>45891</v>
      </c>
      <c r="O358" s="93">
        <v>45890</v>
      </c>
      <c r="P358" s="93">
        <v>45887</v>
      </c>
      <c r="Q358" s="167" t="s">
        <v>70</v>
      </c>
      <c r="R358" s="167" t="s">
        <v>70</v>
      </c>
      <c r="S358" s="167" t="s">
        <v>70</v>
      </c>
      <c r="T358" s="167" t="s">
        <v>70</v>
      </c>
      <c r="U358" s="167" t="s">
        <v>70</v>
      </c>
      <c r="V358" s="167" t="s">
        <v>70</v>
      </c>
      <c r="W358" s="167" t="s">
        <v>70</v>
      </c>
      <c r="X358" s="167" t="s">
        <v>70</v>
      </c>
      <c r="Y358" s="167" t="s">
        <v>70</v>
      </c>
      <c r="Z358" s="167" t="s">
        <v>70</v>
      </c>
      <c r="AA358" s="167" t="s">
        <v>70</v>
      </c>
      <c r="AB358" s="167" t="s">
        <v>70</v>
      </c>
      <c r="AC358" s="167" t="s">
        <v>70</v>
      </c>
      <c r="AD358" s="167" t="s">
        <v>70</v>
      </c>
      <c r="AE358" s="167" t="s">
        <v>70</v>
      </c>
      <c r="AF358" s="167" t="s">
        <v>70</v>
      </c>
      <c r="AG358" s="167" t="s">
        <v>70</v>
      </c>
      <c r="AH358" s="167" t="s">
        <v>70</v>
      </c>
      <c r="AI358" s="187">
        <v>45995</v>
      </c>
      <c r="AJ358" s="163">
        <v>45345</v>
      </c>
      <c r="AK358" s="167" t="s">
        <v>70</v>
      </c>
      <c r="AL358" s="167" t="s">
        <v>70</v>
      </c>
      <c r="AM358" s="167"/>
      <c r="AN358" s="167" t="s">
        <v>70</v>
      </c>
      <c r="AO358" s="167" t="s">
        <v>70</v>
      </c>
      <c r="AP358" s="167" t="s">
        <v>70</v>
      </c>
      <c r="AQ358" s="167" t="s">
        <v>70</v>
      </c>
      <c r="AR358" s="166" t="s">
        <v>69</v>
      </c>
      <c r="AS358" s="167" t="s">
        <v>70</v>
      </c>
      <c r="AT358" s="167" t="s">
        <v>70</v>
      </c>
      <c r="AU358" s="167" t="s">
        <v>70</v>
      </c>
      <c r="AV358" s="167" t="s">
        <v>70</v>
      </c>
      <c r="AW358" s="167" t="s">
        <v>70</v>
      </c>
      <c r="AX358" s="167" t="s">
        <v>70</v>
      </c>
      <c r="AY358" s="167" t="s">
        <v>70</v>
      </c>
      <c r="AZ358" s="167" t="s">
        <v>70</v>
      </c>
      <c r="BA358" s="167" t="s">
        <v>70</v>
      </c>
      <c r="BB358" s="167" t="s">
        <v>70</v>
      </c>
      <c r="BC358" s="167" t="s">
        <v>70</v>
      </c>
      <c r="BD358" s="167" t="s">
        <v>70</v>
      </c>
      <c r="BE358" s="167" t="s">
        <v>70</v>
      </c>
      <c r="BF358" s="167" t="s">
        <v>70</v>
      </c>
      <c r="BG358" s="167" t="s">
        <v>70</v>
      </c>
      <c r="BH358" s="167" t="s">
        <v>70</v>
      </c>
      <c r="BI358" s="167" t="s">
        <v>70</v>
      </c>
      <c r="BJ358" s="167" t="s">
        <v>70</v>
      </c>
      <c r="BK358" s="167" t="s">
        <v>70</v>
      </c>
      <c r="BL358" s="167" t="s">
        <v>70</v>
      </c>
      <c r="BM358" s="167" t="s">
        <v>70</v>
      </c>
      <c r="BN358" s="167" t="s">
        <v>70</v>
      </c>
      <c r="BO358" s="167" t="s">
        <v>70</v>
      </c>
      <c r="BP358" s="167" t="s">
        <v>70</v>
      </c>
      <c r="BQ358" s="151" t="s">
        <v>256</v>
      </c>
    </row>
    <row r="359" spans="1:135" s="151" customFormat="1" ht="19.5" customHeight="1" x14ac:dyDescent="0.2">
      <c r="A359" s="117">
        <v>356</v>
      </c>
      <c r="B359" s="121" t="s">
        <v>377</v>
      </c>
      <c r="C359" s="122">
        <v>147356</v>
      </c>
      <c r="D359" s="117" t="s">
        <v>212</v>
      </c>
      <c r="E359" s="117" t="s">
        <v>68</v>
      </c>
      <c r="F359" s="146" t="s">
        <v>256</v>
      </c>
      <c r="G359" s="124" t="s">
        <v>69</v>
      </c>
      <c r="H359" s="93">
        <v>42003</v>
      </c>
      <c r="I359" s="93">
        <v>45709</v>
      </c>
      <c r="J359" s="92">
        <f t="shared" si="26"/>
        <v>46801</v>
      </c>
      <c r="K359" s="93">
        <v>43020</v>
      </c>
      <c r="L359" s="93">
        <v>45706</v>
      </c>
      <c r="M359" s="140">
        <f t="shared" si="25"/>
        <v>46801</v>
      </c>
      <c r="N359" s="93">
        <v>45707</v>
      </c>
      <c r="O359" s="93">
        <v>45708</v>
      </c>
      <c r="P359" s="93">
        <v>45705</v>
      </c>
      <c r="Q359" s="167" t="s">
        <v>70</v>
      </c>
      <c r="R359" s="167" t="s">
        <v>70</v>
      </c>
      <c r="S359" s="167" t="s">
        <v>70</v>
      </c>
      <c r="T359" s="167" t="s">
        <v>70</v>
      </c>
      <c r="U359" s="167" t="s">
        <v>70</v>
      </c>
      <c r="V359" s="167" t="s">
        <v>70</v>
      </c>
      <c r="W359" s="167" t="s">
        <v>70</v>
      </c>
      <c r="X359" s="167" t="s">
        <v>70</v>
      </c>
      <c r="Y359" s="167" t="s">
        <v>70</v>
      </c>
      <c r="Z359" s="167" t="s">
        <v>70</v>
      </c>
      <c r="AA359" s="167" t="s">
        <v>70</v>
      </c>
      <c r="AB359" s="167" t="s">
        <v>70</v>
      </c>
      <c r="AC359" s="167" t="s">
        <v>70</v>
      </c>
      <c r="AD359" s="167" t="s">
        <v>70</v>
      </c>
      <c r="AE359" s="167" t="s">
        <v>70</v>
      </c>
      <c r="AF359" s="167" t="s">
        <v>70</v>
      </c>
      <c r="AG359" s="167" t="s">
        <v>70</v>
      </c>
      <c r="AH359" s="167" t="s">
        <v>70</v>
      </c>
      <c r="AI359" s="181">
        <v>46307</v>
      </c>
      <c r="AJ359" s="163">
        <v>45352</v>
      </c>
      <c r="AK359" s="167" t="s">
        <v>70</v>
      </c>
      <c r="AL359" s="167" t="s">
        <v>70</v>
      </c>
      <c r="AM359" s="167"/>
      <c r="AN359" s="167" t="s">
        <v>70</v>
      </c>
      <c r="AO359" s="167" t="s">
        <v>70</v>
      </c>
      <c r="AP359" s="167" t="s">
        <v>70</v>
      </c>
      <c r="AQ359" s="167" t="s">
        <v>70</v>
      </c>
      <c r="AR359" s="166" t="s">
        <v>69</v>
      </c>
      <c r="AS359" s="167" t="s">
        <v>70</v>
      </c>
      <c r="AT359" s="167" t="s">
        <v>70</v>
      </c>
      <c r="AU359" s="167" t="s">
        <v>70</v>
      </c>
      <c r="AV359" s="167" t="s">
        <v>70</v>
      </c>
      <c r="AW359" s="167" t="s">
        <v>70</v>
      </c>
      <c r="AX359" s="167" t="s">
        <v>70</v>
      </c>
      <c r="AY359" s="167" t="s">
        <v>70</v>
      </c>
      <c r="AZ359" s="167" t="s">
        <v>70</v>
      </c>
      <c r="BA359" s="167" t="s">
        <v>70</v>
      </c>
      <c r="BB359" s="167" t="s">
        <v>70</v>
      </c>
      <c r="BC359" s="167" t="s">
        <v>70</v>
      </c>
      <c r="BD359" s="167" t="s">
        <v>70</v>
      </c>
      <c r="BE359" s="167" t="s">
        <v>70</v>
      </c>
      <c r="BF359" s="167" t="s">
        <v>70</v>
      </c>
      <c r="BG359" s="167" t="s">
        <v>70</v>
      </c>
      <c r="BH359" s="167" t="s">
        <v>70</v>
      </c>
      <c r="BI359" s="167" t="s">
        <v>70</v>
      </c>
      <c r="BJ359" s="167" t="s">
        <v>70</v>
      </c>
      <c r="BK359" s="167" t="s">
        <v>70</v>
      </c>
      <c r="BL359" s="167" t="s">
        <v>70</v>
      </c>
      <c r="BM359" s="167" t="s">
        <v>70</v>
      </c>
      <c r="BN359" s="167" t="s">
        <v>70</v>
      </c>
      <c r="BO359" s="167" t="s">
        <v>70</v>
      </c>
      <c r="BP359" s="167" t="s">
        <v>70</v>
      </c>
      <c r="BQ359" s="151" t="s">
        <v>256</v>
      </c>
    </row>
    <row r="360" spans="1:135" s="151" customFormat="1" ht="19.5" customHeight="1" x14ac:dyDescent="0.2">
      <c r="A360" s="117">
        <v>357</v>
      </c>
      <c r="B360" s="121" t="s">
        <v>378</v>
      </c>
      <c r="C360" s="122">
        <v>83105221</v>
      </c>
      <c r="D360" s="117" t="s">
        <v>212</v>
      </c>
      <c r="E360" s="117" t="s">
        <v>68</v>
      </c>
      <c r="F360" s="146" t="s">
        <v>256</v>
      </c>
      <c r="G360" s="124" t="s">
        <v>69</v>
      </c>
      <c r="H360" s="93">
        <v>42534</v>
      </c>
      <c r="I360" s="93">
        <v>45709</v>
      </c>
      <c r="J360" s="92">
        <f t="shared" si="26"/>
        <v>46801</v>
      </c>
      <c r="K360" s="93">
        <v>42534</v>
      </c>
      <c r="L360" s="93">
        <v>45706</v>
      </c>
      <c r="M360" s="140">
        <f t="shared" si="25"/>
        <v>46801</v>
      </c>
      <c r="N360" s="93">
        <v>45707</v>
      </c>
      <c r="O360" s="93">
        <v>45708</v>
      </c>
      <c r="P360" s="93">
        <v>45705</v>
      </c>
      <c r="Q360" s="167" t="s">
        <v>70</v>
      </c>
      <c r="R360" s="167" t="s">
        <v>70</v>
      </c>
      <c r="S360" s="167" t="s">
        <v>70</v>
      </c>
      <c r="T360" s="167" t="s">
        <v>70</v>
      </c>
      <c r="U360" s="167" t="s">
        <v>70</v>
      </c>
      <c r="V360" s="167" t="s">
        <v>70</v>
      </c>
      <c r="W360" s="167" t="s">
        <v>70</v>
      </c>
      <c r="X360" s="167" t="s">
        <v>70</v>
      </c>
      <c r="Y360" s="167" t="s">
        <v>70</v>
      </c>
      <c r="Z360" s="167" t="s">
        <v>70</v>
      </c>
      <c r="AA360" s="167" t="s">
        <v>70</v>
      </c>
      <c r="AB360" s="167" t="s">
        <v>70</v>
      </c>
      <c r="AC360" s="167" t="s">
        <v>70</v>
      </c>
      <c r="AD360" s="167" t="s">
        <v>70</v>
      </c>
      <c r="AE360" s="167" t="s">
        <v>70</v>
      </c>
      <c r="AF360" s="167" t="s">
        <v>70</v>
      </c>
      <c r="AG360" s="167" t="s">
        <v>70</v>
      </c>
      <c r="AH360" s="167" t="s">
        <v>70</v>
      </c>
      <c r="AI360" s="181">
        <v>46149</v>
      </c>
      <c r="AJ360" s="163">
        <v>45341</v>
      </c>
      <c r="AK360" s="167" t="s">
        <v>70</v>
      </c>
      <c r="AL360" s="167" t="s">
        <v>70</v>
      </c>
      <c r="AM360" s="167"/>
      <c r="AN360" s="167" t="s">
        <v>70</v>
      </c>
      <c r="AO360" s="167" t="s">
        <v>70</v>
      </c>
      <c r="AP360" s="167" t="s">
        <v>70</v>
      </c>
      <c r="AQ360" s="167" t="s">
        <v>70</v>
      </c>
      <c r="AR360" s="166" t="s">
        <v>69</v>
      </c>
      <c r="AS360" s="167" t="s">
        <v>70</v>
      </c>
      <c r="AT360" s="167" t="s">
        <v>70</v>
      </c>
      <c r="AU360" s="167" t="s">
        <v>70</v>
      </c>
      <c r="AV360" s="167" t="s">
        <v>70</v>
      </c>
      <c r="AW360" s="167" t="s">
        <v>70</v>
      </c>
      <c r="AX360" s="167" t="s">
        <v>70</v>
      </c>
      <c r="AY360" s="167" t="s">
        <v>70</v>
      </c>
      <c r="AZ360" s="167" t="s">
        <v>70</v>
      </c>
      <c r="BA360" s="167" t="s">
        <v>70</v>
      </c>
      <c r="BB360" s="167" t="s">
        <v>70</v>
      </c>
      <c r="BC360" s="167" t="s">
        <v>70</v>
      </c>
      <c r="BD360" s="167" t="s">
        <v>70</v>
      </c>
      <c r="BE360" s="167" t="s">
        <v>70</v>
      </c>
      <c r="BF360" s="167" t="s">
        <v>70</v>
      </c>
      <c r="BG360" s="167" t="s">
        <v>70</v>
      </c>
      <c r="BH360" s="167" t="s">
        <v>70</v>
      </c>
      <c r="BI360" s="167" t="s">
        <v>70</v>
      </c>
      <c r="BJ360" s="167" t="s">
        <v>70</v>
      </c>
      <c r="BK360" s="167" t="s">
        <v>70</v>
      </c>
      <c r="BL360" s="167" t="s">
        <v>70</v>
      </c>
      <c r="BM360" s="167" t="s">
        <v>70</v>
      </c>
      <c r="BN360" s="167" t="s">
        <v>70</v>
      </c>
      <c r="BO360" s="167" t="s">
        <v>70</v>
      </c>
      <c r="BP360" s="167" t="s">
        <v>70</v>
      </c>
      <c r="BQ360" s="151" t="s">
        <v>256</v>
      </c>
    </row>
    <row r="361" spans="1:135" s="151" customFormat="1" ht="19.5" customHeight="1" x14ac:dyDescent="0.2">
      <c r="A361" s="117">
        <v>358</v>
      </c>
      <c r="B361" s="121" t="s">
        <v>379</v>
      </c>
      <c r="C361" s="122">
        <v>143586</v>
      </c>
      <c r="D361" s="117" t="s">
        <v>212</v>
      </c>
      <c r="E361" s="117" t="s">
        <v>68</v>
      </c>
      <c r="F361" s="146" t="s">
        <v>256</v>
      </c>
      <c r="G361" s="124" t="s">
        <v>69</v>
      </c>
      <c r="H361" s="93">
        <v>41866</v>
      </c>
      <c r="I361" s="93">
        <v>46080</v>
      </c>
      <c r="J361" s="92">
        <f t="shared" si="26"/>
        <v>47175</v>
      </c>
      <c r="K361" s="93">
        <v>43131</v>
      </c>
      <c r="L361" s="93">
        <v>46079</v>
      </c>
      <c r="M361" s="140">
        <f t="shared" si="25"/>
        <v>47175</v>
      </c>
      <c r="N361" s="93">
        <v>46076</v>
      </c>
      <c r="O361" s="93">
        <v>46077</v>
      </c>
      <c r="P361" s="93">
        <v>46078</v>
      </c>
      <c r="Q361" s="167" t="s">
        <v>70</v>
      </c>
      <c r="R361" s="167" t="s">
        <v>70</v>
      </c>
      <c r="S361" s="167" t="s">
        <v>70</v>
      </c>
      <c r="T361" s="167" t="s">
        <v>70</v>
      </c>
      <c r="U361" s="167" t="s">
        <v>70</v>
      </c>
      <c r="V361" s="167" t="s">
        <v>70</v>
      </c>
      <c r="W361" s="167" t="s">
        <v>70</v>
      </c>
      <c r="X361" s="167" t="s">
        <v>70</v>
      </c>
      <c r="Y361" s="167" t="s">
        <v>70</v>
      </c>
      <c r="Z361" s="167" t="s">
        <v>70</v>
      </c>
      <c r="AA361" s="167" t="s">
        <v>70</v>
      </c>
      <c r="AB361" s="167" t="s">
        <v>70</v>
      </c>
      <c r="AC361" s="167" t="s">
        <v>70</v>
      </c>
      <c r="AD361" s="167" t="s">
        <v>70</v>
      </c>
      <c r="AE361" s="167" t="s">
        <v>70</v>
      </c>
      <c r="AF361" s="167" t="s">
        <v>70</v>
      </c>
      <c r="AG361" s="167" t="s">
        <v>70</v>
      </c>
      <c r="AH361" s="167" t="s">
        <v>70</v>
      </c>
      <c r="AI361" s="181">
        <v>46255</v>
      </c>
      <c r="AJ361" s="163">
        <v>45352</v>
      </c>
      <c r="AK361" s="167" t="s">
        <v>70</v>
      </c>
      <c r="AL361" s="167" t="s">
        <v>70</v>
      </c>
      <c r="AM361" s="167"/>
      <c r="AN361" s="167" t="s">
        <v>70</v>
      </c>
      <c r="AO361" s="167" t="s">
        <v>70</v>
      </c>
      <c r="AP361" s="167" t="s">
        <v>70</v>
      </c>
      <c r="AQ361" s="167" t="s">
        <v>70</v>
      </c>
      <c r="AR361" s="166" t="s">
        <v>69</v>
      </c>
      <c r="AS361" s="167" t="s">
        <v>70</v>
      </c>
      <c r="AT361" s="167" t="s">
        <v>70</v>
      </c>
      <c r="AU361" s="167" t="s">
        <v>70</v>
      </c>
      <c r="AV361" s="167" t="s">
        <v>70</v>
      </c>
      <c r="AW361" s="167" t="s">
        <v>70</v>
      </c>
      <c r="AX361" s="167" t="s">
        <v>70</v>
      </c>
      <c r="AY361" s="167" t="s">
        <v>70</v>
      </c>
      <c r="AZ361" s="167" t="s">
        <v>70</v>
      </c>
      <c r="BA361" s="167" t="s">
        <v>70</v>
      </c>
      <c r="BB361" s="167" t="s">
        <v>70</v>
      </c>
      <c r="BC361" s="167" t="s">
        <v>70</v>
      </c>
      <c r="BD361" s="167" t="s">
        <v>70</v>
      </c>
      <c r="BE361" s="167" t="s">
        <v>70</v>
      </c>
      <c r="BF361" s="167" t="s">
        <v>70</v>
      </c>
      <c r="BG361" s="167" t="s">
        <v>70</v>
      </c>
      <c r="BH361" s="167" t="s">
        <v>70</v>
      </c>
      <c r="BI361" s="167" t="s">
        <v>70</v>
      </c>
      <c r="BJ361" s="167" t="s">
        <v>70</v>
      </c>
      <c r="BK361" s="167" t="s">
        <v>70</v>
      </c>
      <c r="BL361" s="167" t="s">
        <v>70</v>
      </c>
      <c r="BM361" s="167" t="s">
        <v>70</v>
      </c>
      <c r="BN361" s="167" t="s">
        <v>70</v>
      </c>
      <c r="BO361" s="167" t="s">
        <v>70</v>
      </c>
      <c r="BP361" s="167" t="s">
        <v>70</v>
      </c>
      <c r="BQ361" s="151" t="s">
        <v>256</v>
      </c>
    </row>
    <row r="362" spans="1:135" s="151" customFormat="1" ht="19.5" customHeight="1" x14ac:dyDescent="0.2">
      <c r="A362" s="117">
        <v>359</v>
      </c>
      <c r="B362" s="121" t="s">
        <v>380</v>
      </c>
      <c r="C362" s="122">
        <v>221918</v>
      </c>
      <c r="D362" s="117" t="s">
        <v>212</v>
      </c>
      <c r="E362" s="117" t="s">
        <v>68</v>
      </c>
      <c r="F362" s="146" t="s">
        <v>256</v>
      </c>
      <c r="G362" s="124" t="s">
        <v>69</v>
      </c>
      <c r="H362" s="93">
        <v>46155</v>
      </c>
      <c r="I362" s="93">
        <v>46155</v>
      </c>
      <c r="J362" s="92">
        <f t="shared" si="26"/>
        <v>47253</v>
      </c>
      <c r="K362" s="93">
        <v>46157</v>
      </c>
      <c r="L362" s="93">
        <v>46157</v>
      </c>
      <c r="M362" s="140">
        <f t="shared" si="25"/>
        <v>47253</v>
      </c>
      <c r="N362" s="93"/>
      <c r="O362" s="93"/>
      <c r="P362" s="190">
        <v>45677</v>
      </c>
      <c r="Q362" s="167" t="s">
        <v>70</v>
      </c>
      <c r="R362" s="167" t="s">
        <v>70</v>
      </c>
      <c r="S362" s="167" t="s">
        <v>70</v>
      </c>
      <c r="T362" s="167" t="s">
        <v>70</v>
      </c>
      <c r="U362" s="167" t="s">
        <v>70</v>
      </c>
      <c r="V362" s="167" t="s">
        <v>70</v>
      </c>
      <c r="W362" s="167" t="s">
        <v>70</v>
      </c>
      <c r="X362" s="167" t="s">
        <v>70</v>
      </c>
      <c r="Y362" s="167" t="s">
        <v>70</v>
      </c>
      <c r="Z362" s="167" t="s">
        <v>70</v>
      </c>
      <c r="AA362" s="167" t="s">
        <v>70</v>
      </c>
      <c r="AB362" s="167" t="s">
        <v>70</v>
      </c>
      <c r="AC362" s="167" t="s">
        <v>70</v>
      </c>
      <c r="AD362" s="167" t="s">
        <v>70</v>
      </c>
      <c r="AE362" s="167" t="s">
        <v>70</v>
      </c>
      <c r="AF362" s="167" t="s">
        <v>70</v>
      </c>
      <c r="AG362" s="167" t="s">
        <v>70</v>
      </c>
      <c r="AH362" s="167" t="s">
        <v>70</v>
      </c>
      <c r="AI362" s="163">
        <v>46255</v>
      </c>
      <c r="AJ362" s="163">
        <v>45359</v>
      </c>
      <c r="AK362" s="167" t="s">
        <v>70</v>
      </c>
      <c r="AL362" s="167" t="s">
        <v>70</v>
      </c>
      <c r="AM362" s="167"/>
      <c r="AN362" s="167" t="s">
        <v>70</v>
      </c>
      <c r="AO362" s="167" t="s">
        <v>70</v>
      </c>
      <c r="AP362" s="167" t="s">
        <v>70</v>
      </c>
      <c r="AQ362" s="167" t="s">
        <v>70</v>
      </c>
      <c r="AR362" s="166" t="s">
        <v>69</v>
      </c>
      <c r="AS362" s="167" t="s">
        <v>70</v>
      </c>
      <c r="AT362" s="167" t="s">
        <v>70</v>
      </c>
      <c r="AU362" s="167" t="s">
        <v>70</v>
      </c>
      <c r="AV362" s="167" t="s">
        <v>70</v>
      </c>
      <c r="AW362" s="167" t="s">
        <v>70</v>
      </c>
      <c r="AX362" s="167" t="s">
        <v>70</v>
      </c>
      <c r="AY362" s="167" t="s">
        <v>70</v>
      </c>
      <c r="AZ362" s="167" t="s">
        <v>70</v>
      </c>
      <c r="BA362" s="167" t="s">
        <v>70</v>
      </c>
      <c r="BB362" s="167" t="s">
        <v>70</v>
      </c>
      <c r="BC362" s="167" t="s">
        <v>70</v>
      </c>
      <c r="BD362" s="167" t="s">
        <v>70</v>
      </c>
      <c r="BE362" s="167" t="s">
        <v>70</v>
      </c>
      <c r="BF362" s="167" t="s">
        <v>70</v>
      </c>
      <c r="BG362" s="167" t="s">
        <v>70</v>
      </c>
      <c r="BH362" s="167" t="s">
        <v>70</v>
      </c>
      <c r="BI362" s="167" t="s">
        <v>70</v>
      </c>
      <c r="BJ362" s="167" t="s">
        <v>70</v>
      </c>
      <c r="BK362" s="167" t="s">
        <v>70</v>
      </c>
      <c r="BL362" s="167" t="s">
        <v>70</v>
      </c>
      <c r="BM362" s="167" t="s">
        <v>70</v>
      </c>
      <c r="BN362" s="167" t="s">
        <v>70</v>
      </c>
      <c r="BO362" s="167" t="s">
        <v>70</v>
      </c>
      <c r="BP362" s="167" t="s">
        <v>70</v>
      </c>
      <c r="BQ362" s="151" t="s">
        <v>256</v>
      </c>
    </row>
    <row r="363" spans="1:135" s="151" customFormat="1" ht="19.5" customHeight="1" x14ac:dyDescent="0.2">
      <c r="A363" s="117">
        <v>360</v>
      </c>
      <c r="B363" s="121" t="s">
        <v>381</v>
      </c>
      <c r="C363" s="122">
        <v>134550</v>
      </c>
      <c r="D363" s="117" t="s">
        <v>212</v>
      </c>
      <c r="E363" s="117" t="s">
        <v>68</v>
      </c>
      <c r="F363" s="146" t="s">
        <v>256</v>
      </c>
      <c r="G363" s="124" t="s">
        <v>69</v>
      </c>
      <c r="H363" s="93">
        <v>41561</v>
      </c>
      <c r="I363" s="93">
        <v>45770</v>
      </c>
      <c r="J363" s="92">
        <f t="shared" si="26"/>
        <v>46865</v>
      </c>
      <c r="K363" s="93">
        <v>43019</v>
      </c>
      <c r="L363" s="93">
        <v>45769</v>
      </c>
      <c r="M363" s="140">
        <f t="shared" si="25"/>
        <v>46865</v>
      </c>
      <c r="N363" s="93">
        <v>45772</v>
      </c>
      <c r="O363" s="93">
        <v>45770</v>
      </c>
      <c r="P363" s="93">
        <v>45768</v>
      </c>
      <c r="Q363" s="167" t="s">
        <v>70</v>
      </c>
      <c r="R363" s="167" t="s">
        <v>70</v>
      </c>
      <c r="S363" s="167" t="s">
        <v>70</v>
      </c>
      <c r="T363" s="167" t="s">
        <v>70</v>
      </c>
      <c r="U363" s="167" t="s">
        <v>70</v>
      </c>
      <c r="V363" s="167" t="s">
        <v>70</v>
      </c>
      <c r="W363" s="167" t="s">
        <v>70</v>
      </c>
      <c r="X363" s="167" t="s">
        <v>70</v>
      </c>
      <c r="Y363" s="167" t="s">
        <v>70</v>
      </c>
      <c r="Z363" s="167" t="s">
        <v>70</v>
      </c>
      <c r="AA363" s="167" t="s">
        <v>70</v>
      </c>
      <c r="AB363" s="167" t="s">
        <v>70</v>
      </c>
      <c r="AC363" s="167" t="s">
        <v>70</v>
      </c>
      <c r="AD363" s="167" t="s">
        <v>70</v>
      </c>
      <c r="AE363" s="167" t="s">
        <v>70</v>
      </c>
      <c r="AF363" s="167" t="s">
        <v>70</v>
      </c>
      <c r="AG363" s="167" t="s">
        <v>70</v>
      </c>
      <c r="AH363" s="167" t="s">
        <v>70</v>
      </c>
      <c r="AI363" s="181">
        <v>46065</v>
      </c>
      <c r="AJ363" s="163">
        <v>45359</v>
      </c>
      <c r="AK363" s="167" t="s">
        <v>70</v>
      </c>
      <c r="AL363" s="167" t="s">
        <v>70</v>
      </c>
      <c r="AM363" s="167"/>
      <c r="AN363" s="167" t="s">
        <v>70</v>
      </c>
      <c r="AO363" s="167" t="s">
        <v>70</v>
      </c>
      <c r="AP363" s="167" t="s">
        <v>70</v>
      </c>
      <c r="AQ363" s="167" t="s">
        <v>70</v>
      </c>
      <c r="AR363" s="166" t="s">
        <v>69</v>
      </c>
      <c r="AS363" s="167" t="s">
        <v>70</v>
      </c>
      <c r="AT363" s="167" t="s">
        <v>70</v>
      </c>
      <c r="AU363" s="167" t="s">
        <v>70</v>
      </c>
      <c r="AV363" s="167" t="s">
        <v>70</v>
      </c>
      <c r="AW363" s="167" t="s">
        <v>70</v>
      </c>
      <c r="AX363" s="167" t="s">
        <v>70</v>
      </c>
      <c r="AY363" s="167" t="s">
        <v>70</v>
      </c>
      <c r="AZ363" s="167" t="s">
        <v>70</v>
      </c>
      <c r="BA363" s="167" t="s">
        <v>70</v>
      </c>
      <c r="BB363" s="167" t="s">
        <v>70</v>
      </c>
      <c r="BC363" s="167" t="s">
        <v>70</v>
      </c>
      <c r="BD363" s="167" t="s">
        <v>70</v>
      </c>
      <c r="BE363" s="167" t="s">
        <v>70</v>
      </c>
      <c r="BF363" s="167" t="s">
        <v>70</v>
      </c>
      <c r="BG363" s="167" t="s">
        <v>70</v>
      </c>
      <c r="BH363" s="167" t="s">
        <v>70</v>
      </c>
      <c r="BI363" s="167" t="s">
        <v>70</v>
      </c>
      <c r="BJ363" s="167" t="s">
        <v>70</v>
      </c>
      <c r="BK363" s="167" t="s">
        <v>70</v>
      </c>
      <c r="BL363" s="167" t="s">
        <v>70</v>
      </c>
      <c r="BM363" s="167" t="s">
        <v>70</v>
      </c>
      <c r="BN363" s="167" t="s">
        <v>70</v>
      </c>
      <c r="BO363" s="167" t="s">
        <v>70</v>
      </c>
      <c r="BP363" s="167" t="s">
        <v>70</v>
      </c>
      <c r="BQ363" s="151" t="s">
        <v>256</v>
      </c>
    </row>
    <row r="364" spans="1:135" s="151" customFormat="1" ht="19.5" customHeight="1" x14ac:dyDescent="0.2">
      <c r="A364" s="117">
        <v>361</v>
      </c>
      <c r="B364" s="121" t="s">
        <v>382</v>
      </c>
      <c r="C364" s="122">
        <v>83116127</v>
      </c>
      <c r="D364" s="117" t="s">
        <v>212</v>
      </c>
      <c r="E364" s="117" t="s">
        <v>68</v>
      </c>
      <c r="F364" s="146" t="s">
        <v>256</v>
      </c>
      <c r="G364" s="124" t="s">
        <v>69</v>
      </c>
      <c r="H364" s="93"/>
      <c r="I364" s="93"/>
      <c r="J364" s="92" t="str">
        <f t="shared" si="26"/>
        <v/>
      </c>
      <c r="K364" s="93"/>
      <c r="L364" s="93"/>
      <c r="M364" s="140" t="str">
        <f t="shared" si="25"/>
        <v/>
      </c>
      <c r="N364" s="93"/>
      <c r="O364" s="93"/>
      <c r="P364" s="93"/>
      <c r="Q364" s="167" t="s">
        <v>70</v>
      </c>
      <c r="R364" s="167" t="s">
        <v>70</v>
      </c>
      <c r="S364" s="167" t="s">
        <v>70</v>
      </c>
      <c r="T364" s="167" t="s">
        <v>70</v>
      </c>
      <c r="U364" s="167" t="s">
        <v>70</v>
      </c>
      <c r="V364" s="167" t="s">
        <v>70</v>
      </c>
      <c r="W364" s="167" t="s">
        <v>70</v>
      </c>
      <c r="X364" s="167" t="s">
        <v>70</v>
      </c>
      <c r="Y364" s="167" t="s">
        <v>70</v>
      </c>
      <c r="Z364" s="167" t="s">
        <v>70</v>
      </c>
      <c r="AA364" s="167" t="s">
        <v>70</v>
      </c>
      <c r="AB364" s="167" t="s">
        <v>70</v>
      </c>
      <c r="AC364" s="167" t="s">
        <v>70</v>
      </c>
      <c r="AD364" s="167" t="s">
        <v>70</v>
      </c>
      <c r="AE364" s="167" t="s">
        <v>70</v>
      </c>
      <c r="AF364" s="167" t="s">
        <v>70</v>
      </c>
      <c r="AG364" s="167" t="s">
        <v>70</v>
      </c>
      <c r="AH364" s="167" t="s">
        <v>70</v>
      </c>
      <c r="AI364" s="181">
        <v>45883</v>
      </c>
      <c r="AJ364" s="163">
        <v>45345</v>
      </c>
      <c r="AK364" s="167" t="s">
        <v>70</v>
      </c>
      <c r="AL364" s="167" t="s">
        <v>70</v>
      </c>
      <c r="AM364" s="167"/>
      <c r="AN364" s="167" t="s">
        <v>70</v>
      </c>
      <c r="AO364" s="167" t="s">
        <v>70</v>
      </c>
      <c r="AP364" s="167" t="s">
        <v>70</v>
      </c>
      <c r="AQ364" s="167" t="s">
        <v>70</v>
      </c>
      <c r="AR364" s="166" t="s">
        <v>69</v>
      </c>
      <c r="AS364" s="167" t="s">
        <v>70</v>
      </c>
      <c r="AT364" s="167" t="s">
        <v>70</v>
      </c>
      <c r="AU364" s="167" t="s">
        <v>70</v>
      </c>
      <c r="AV364" s="167" t="s">
        <v>70</v>
      </c>
      <c r="AW364" s="167" t="s">
        <v>70</v>
      </c>
      <c r="AX364" s="167" t="s">
        <v>70</v>
      </c>
      <c r="AY364" s="167" t="s">
        <v>70</v>
      </c>
      <c r="AZ364" s="167" t="s">
        <v>70</v>
      </c>
      <c r="BA364" s="167" t="s">
        <v>70</v>
      </c>
      <c r="BB364" s="167" t="s">
        <v>70</v>
      </c>
      <c r="BC364" s="167" t="s">
        <v>70</v>
      </c>
      <c r="BD364" s="167" t="s">
        <v>70</v>
      </c>
      <c r="BE364" s="167" t="s">
        <v>70</v>
      </c>
      <c r="BF364" s="167" t="s">
        <v>70</v>
      </c>
      <c r="BG364" s="167" t="s">
        <v>70</v>
      </c>
      <c r="BH364" s="167" t="s">
        <v>70</v>
      </c>
      <c r="BI364" s="167" t="s">
        <v>70</v>
      </c>
      <c r="BJ364" s="167" t="s">
        <v>70</v>
      </c>
      <c r="BK364" s="167" t="s">
        <v>70</v>
      </c>
      <c r="BL364" s="167" t="s">
        <v>70</v>
      </c>
      <c r="BM364" s="167" t="s">
        <v>70</v>
      </c>
      <c r="BN364" s="167" t="s">
        <v>70</v>
      </c>
      <c r="BO364" s="167" t="s">
        <v>70</v>
      </c>
      <c r="BP364" s="167" t="s">
        <v>70</v>
      </c>
      <c r="BQ364" s="151" t="s">
        <v>256</v>
      </c>
    </row>
    <row r="365" spans="1:135" s="151" customFormat="1" ht="19.5" customHeight="1" x14ac:dyDescent="0.2">
      <c r="A365" s="117">
        <v>362</v>
      </c>
      <c r="B365" s="161" t="s">
        <v>588</v>
      </c>
      <c r="C365" s="161">
        <v>83123708</v>
      </c>
      <c r="D365" s="226" t="s">
        <v>839</v>
      </c>
      <c r="E365" s="144" t="s">
        <v>586</v>
      </c>
      <c r="F365" s="146" t="s">
        <v>208</v>
      </c>
      <c r="G365" s="89">
        <v>42129</v>
      </c>
      <c r="H365" s="89">
        <v>42103</v>
      </c>
      <c r="I365" s="89">
        <v>46079</v>
      </c>
      <c r="J365" s="162">
        <f t="shared" ref="J365:J382" si="27">IF(I365="", "", DATE(YEAR(I365)+2, MONTH(I365), DAY(I365)))</f>
        <v>46809</v>
      </c>
      <c r="K365" s="89">
        <v>42312</v>
      </c>
      <c r="L365" s="89">
        <v>45917</v>
      </c>
      <c r="M365" s="163">
        <f t="shared" ref="M365:M382" si="28">IF(L365="", "", DATE(YEAR(L365)+2, MONTH(L365), DAY(L365)))</f>
        <v>46647</v>
      </c>
      <c r="N365" s="112">
        <v>41927</v>
      </c>
      <c r="O365" s="111">
        <v>45469</v>
      </c>
      <c r="P365" s="111">
        <v>41929</v>
      </c>
      <c r="Q365" s="166" t="s">
        <v>69</v>
      </c>
      <c r="R365" s="166" t="s">
        <v>69</v>
      </c>
      <c r="S365" s="166" t="s">
        <v>69</v>
      </c>
      <c r="T365" s="181">
        <v>43609</v>
      </c>
      <c r="U365" s="181">
        <v>43588</v>
      </c>
      <c r="V365" s="181">
        <v>43805</v>
      </c>
      <c r="W365" s="166" t="s">
        <v>69</v>
      </c>
      <c r="X365" s="181">
        <v>42020</v>
      </c>
      <c r="Y365" s="181">
        <v>42359</v>
      </c>
      <c r="Z365" s="181">
        <v>43910</v>
      </c>
      <c r="AA365" s="166" t="s">
        <v>69</v>
      </c>
      <c r="AB365" s="166" t="s">
        <v>69</v>
      </c>
      <c r="AC365" s="166" t="s">
        <v>69</v>
      </c>
      <c r="AD365" s="167" t="s">
        <v>71</v>
      </c>
      <c r="AE365" s="167" t="s">
        <v>70</v>
      </c>
      <c r="AF365" s="112">
        <v>46162</v>
      </c>
      <c r="AG365" s="112" t="s">
        <v>69</v>
      </c>
      <c r="AH365" s="167" t="s">
        <v>71</v>
      </c>
      <c r="AI365" s="167" t="s">
        <v>70</v>
      </c>
      <c r="AJ365" s="167" t="s">
        <v>70</v>
      </c>
      <c r="AK365" s="167" t="s">
        <v>70</v>
      </c>
      <c r="AL365" s="166" t="s">
        <v>69</v>
      </c>
      <c r="AM365" s="166"/>
      <c r="AN365" s="166" t="s">
        <v>69</v>
      </c>
      <c r="AO365" s="167" t="s">
        <v>70</v>
      </c>
      <c r="AP365" s="166" t="s">
        <v>69</v>
      </c>
      <c r="AQ365" s="166" t="s">
        <v>69</v>
      </c>
      <c r="AR365" s="166" t="s">
        <v>69</v>
      </c>
      <c r="AS365" s="166" t="s">
        <v>69</v>
      </c>
      <c r="AT365" s="166" t="s">
        <v>69</v>
      </c>
      <c r="AU365" s="166" t="s">
        <v>69</v>
      </c>
      <c r="AV365" s="166" t="s">
        <v>69</v>
      </c>
      <c r="AW365" s="167" t="s">
        <v>70</v>
      </c>
      <c r="AX365" s="167" t="s">
        <v>70</v>
      </c>
      <c r="AY365" s="166" t="s">
        <v>69</v>
      </c>
      <c r="AZ365" s="166" t="s">
        <v>69</v>
      </c>
      <c r="BA365" s="166" t="s">
        <v>69</v>
      </c>
      <c r="BB365" s="167" t="s">
        <v>70</v>
      </c>
      <c r="BC365" s="167" t="s">
        <v>70</v>
      </c>
      <c r="BD365" s="167" t="s">
        <v>70</v>
      </c>
      <c r="BE365" s="167" t="s">
        <v>70</v>
      </c>
      <c r="BF365" s="167" t="s">
        <v>70</v>
      </c>
      <c r="BG365" s="169" t="s">
        <v>70</v>
      </c>
      <c r="BH365" s="169" t="s">
        <v>70</v>
      </c>
      <c r="BI365" s="169" t="s">
        <v>70</v>
      </c>
      <c r="BJ365" s="167" t="s">
        <v>70</v>
      </c>
      <c r="BK365" s="167" t="s">
        <v>70</v>
      </c>
      <c r="BL365" s="167" t="s">
        <v>70</v>
      </c>
      <c r="BM365" s="167" t="s">
        <v>70</v>
      </c>
      <c r="BN365" s="167" t="s">
        <v>70</v>
      </c>
      <c r="BO365" s="167" t="s">
        <v>70</v>
      </c>
      <c r="BP365" s="167" t="s">
        <v>70</v>
      </c>
      <c r="BQ365" s="151">
        <v>0</v>
      </c>
      <c r="BR365" s="142"/>
      <c r="BS365" s="142"/>
      <c r="BT365" s="142"/>
      <c r="BU365" s="142"/>
      <c r="BV365" s="142"/>
      <c r="BW365" s="142"/>
      <c r="BX365" s="142"/>
      <c r="BY365" s="142"/>
      <c r="BZ365" s="142"/>
      <c r="CA365" s="142"/>
      <c r="CB365" s="142"/>
      <c r="CC365" s="142"/>
      <c r="CD365" s="142"/>
      <c r="CE365" s="142"/>
      <c r="CF365" s="142"/>
      <c r="CG365" s="142"/>
      <c r="CH365" s="142"/>
      <c r="CI365" s="142"/>
      <c r="CJ365" s="142"/>
      <c r="CK365" s="142"/>
      <c r="CL365" s="142"/>
      <c r="CM365" s="142"/>
      <c r="CN365" s="142"/>
      <c r="CO365" s="142"/>
      <c r="CP365" s="142"/>
      <c r="CQ365" s="142"/>
      <c r="CR365" s="142"/>
      <c r="CS365" s="142"/>
      <c r="CT365" s="142"/>
      <c r="CU365" s="142"/>
      <c r="CV365" s="142"/>
      <c r="CW365" s="142"/>
      <c r="CX365" s="142"/>
      <c r="CY365" s="142"/>
      <c r="CZ365" s="142"/>
      <c r="DA365" s="142"/>
      <c r="DB365" s="142"/>
      <c r="DC365" s="142"/>
      <c r="DD365" s="142"/>
      <c r="DE365" s="142"/>
      <c r="DF365" s="142"/>
      <c r="DG365" s="142"/>
      <c r="DH365" s="142"/>
      <c r="DI365" s="142"/>
      <c r="DJ365" s="142"/>
      <c r="DK365" s="142"/>
      <c r="DL365" s="142"/>
      <c r="DM365" s="142"/>
      <c r="DN365" s="142"/>
      <c r="DO365" s="142"/>
      <c r="DP365" s="142"/>
      <c r="DQ365" s="142"/>
      <c r="DR365" s="142"/>
      <c r="DS365" s="142"/>
      <c r="DT365" s="142"/>
      <c r="DU365" s="142"/>
      <c r="DV365" s="142"/>
      <c r="DW365" s="142"/>
      <c r="DX365" s="142"/>
      <c r="DY365" s="142"/>
      <c r="DZ365" s="142"/>
      <c r="EA365" s="142"/>
      <c r="EB365" s="142"/>
      <c r="EC365" s="142"/>
      <c r="ED365" s="142"/>
      <c r="EE365" s="142"/>
    </row>
    <row r="366" spans="1:135" s="151" customFormat="1" ht="19.5" customHeight="1" x14ac:dyDescent="0.2">
      <c r="A366" s="117">
        <v>363</v>
      </c>
      <c r="B366" s="117" t="s">
        <v>585</v>
      </c>
      <c r="C366" s="117">
        <v>145074</v>
      </c>
      <c r="D366" s="117" t="s">
        <v>73</v>
      </c>
      <c r="E366" s="144" t="s">
        <v>586</v>
      </c>
      <c r="F366" s="146" t="s">
        <v>208</v>
      </c>
      <c r="G366" s="89">
        <v>42111</v>
      </c>
      <c r="H366" s="89">
        <v>42446</v>
      </c>
      <c r="I366" s="89">
        <v>46076</v>
      </c>
      <c r="J366" s="162">
        <f t="shared" si="27"/>
        <v>46806</v>
      </c>
      <c r="K366" s="89">
        <v>42124</v>
      </c>
      <c r="L366" s="89">
        <v>45923</v>
      </c>
      <c r="M366" s="163">
        <f t="shared" si="28"/>
        <v>46653</v>
      </c>
      <c r="N366" s="175" t="s">
        <v>69</v>
      </c>
      <c r="O366" s="111">
        <v>45469</v>
      </c>
      <c r="P366" s="111">
        <v>41929</v>
      </c>
      <c r="Q366" s="166" t="s">
        <v>69</v>
      </c>
      <c r="R366" s="166" t="s">
        <v>69</v>
      </c>
      <c r="S366" s="166" t="s">
        <v>69</v>
      </c>
      <c r="T366" s="168">
        <v>42814</v>
      </c>
      <c r="U366" s="166" t="s">
        <v>69</v>
      </c>
      <c r="V366" s="166" t="s">
        <v>69</v>
      </c>
      <c r="W366" s="166" t="s">
        <v>69</v>
      </c>
      <c r="X366" s="166" t="s">
        <v>69</v>
      </c>
      <c r="Y366" s="181">
        <v>44260</v>
      </c>
      <c r="Z366" s="166" t="s">
        <v>69</v>
      </c>
      <c r="AA366" s="166" t="s">
        <v>69</v>
      </c>
      <c r="AB366" s="166" t="s">
        <v>69</v>
      </c>
      <c r="AC366" s="166" t="s">
        <v>69</v>
      </c>
      <c r="AD366" s="167" t="s">
        <v>71</v>
      </c>
      <c r="AE366" s="167" t="s">
        <v>70</v>
      </c>
      <c r="AF366" s="112">
        <v>46294</v>
      </c>
      <c r="AG366" s="112" t="s">
        <v>69</v>
      </c>
      <c r="AH366" s="167" t="s">
        <v>71</v>
      </c>
      <c r="AI366" s="167" t="s">
        <v>70</v>
      </c>
      <c r="AJ366" s="167" t="s">
        <v>70</v>
      </c>
      <c r="AK366" s="167" t="s">
        <v>70</v>
      </c>
      <c r="AL366" s="166" t="s">
        <v>69</v>
      </c>
      <c r="AM366" s="166"/>
      <c r="AN366" s="166" t="s">
        <v>69</v>
      </c>
      <c r="AO366" s="167" t="s">
        <v>70</v>
      </c>
      <c r="AP366" s="166" t="s">
        <v>69</v>
      </c>
      <c r="AQ366" s="166" t="s">
        <v>69</v>
      </c>
      <c r="AR366" s="166" t="s">
        <v>69</v>
      </c>
      <c r="AS366" s="166" t="s">
        <v>69</v>
      </c>
      <c r="AT366" s="166" t="s">
        <v>69</v>
      </c>
      <c r="AU366" s="166" t="s">
        <v>69</v>
      </c>
      <c r="AV366" s="166" t="s">
        <v>69</v>
      </c>
      <c r="AW366" s="166" t="s">
        <v>69</v>
      </c>
      <c r="AX366" s="166" t="s">
        <v>69</v>
      </c>
      <c r="AY366" s="166" t="s">
        <v>69</v>
      </c>
      <c r="AZ366" s="166" t="s">
        <v>69</v>
      </c>
      <c r="BA366" s="166" t="s">
        <v>69</v>
      </c>
      <c r="BB366" s="166" t="s">
        <v>69</v>
      </c>
      <c r="BC366" s="166" t="s">
        <v>69</v>
      </c>
      <c r="BD366" s="166" t="s">
        <v>69</v>
      </c>
      <c r="BE366" s="166" t="s">
        <v>69</v>
      </c>
      <c r="BF366" s="166" t="s">
        <v>69</v>
      </c>
      <c r="BG366" s="167" t="s">
        <v>70</v>
      </c>
      <c r="BH366" s="166" t="s">
        <v>69</v>
      </c>
      <c r="BI366" s="166" t="s">
        <v>69</v>
      </c>
      <c r="BJ366" s="167" t="s">
        <v>70</v>
      </c>
      <c r="BK366" s="166" t="s">
        <v>69</v>
      </c>
      <c r="BL366" s="167" t="s">
        <v>70</v>
      </c>
      <c r="BM366" s="167" t="s">
        <v>70</v>
      </c>
      <c r="BN366" s="167" t="s">
        <v>70</v>
      </c>
      <c r="BO366" s="167" t="s">
        <v>70</v>
      </c>
      <c r="BP366" s="167" t="s">
        <v>70</v>
      </c>
      <c r="BQ366" s="151">
        <v>0</v>
      </c>
      <c r="BR366" s="142"/>
      <c r="BS366" s="142"/>
      <c r="BT366" s="142"/>
      <c r="BU366" s="142"/>
      <c r="BV366" s="142"/>
      <c r="BW366" s="142"/>
      <c r="BX366" s="142"/>
      <c r="BY366" s="142"/>
      <c r="BZ366" s="142"/>
      <c r="CA366" s="142"/>
      <c r="CB366" s="142"/>
      <c r="CC366" s="142"/>
      <c r="CD366" s="142"/>
      <c r="CE366" s="142"/>
      <c r="CF366" s="142"/>
      <c r="CG366" s="142"/>
      <c r="CH366" s="142"/>
      <c r="CI366" s="142"/>
      <c r="CJ366" s="142"/>
      <c r="CK366" s="142"/>
      <c r="CL366" s="142"/>
      <c r="CM366" s="142"/>
      <c r="CN366" s="142"/>
      <c r="CO366" s="142"/>
      <c r="CP366" s="142"/>
      <c r="CQ366" s="142"/>
      <c r="CR366" s="142"/>
      <c r="CS366" s="142"/>
      <c r="CT366" s="142"/>
      <c r="CU366" s="142"/>
      <c r="CV366" s="142"/>
      <c r="CW366" s="142"/>
      <c r="CX366" s="142"/>
      <c r="CY366" s="142"/>
      <c r="CZ366" s="142"/>
      <c r="DA366" s="142"/>
      <c r="DB366" s="142"/>
      <c r="DC366" s="142"/>
      <c r="DD366" s="142"/>
      <c r="DE366" s="142"/>
      <c r="DF366" s="142"/>
      <c r="DG366" s="142"/>
      <c r="DH366" s="142"/>
      <c r="DI366" s="142"/>
      <c r="DJ366" s="142"/>
      <c r="DK366" s="142"/>
      <c r="DL366" s="142"/>
      <c r="DM366" s="142"/>
      <c r="DN366" s="142"/>
      <c r="DO366" s="142"/>
      <c r="DP366" s="142"/>
      <c r="DQ366" s="142"/>
      <c r="DR366" s="142"/>
      <c r="DS366" s="142"/>
      <c r="DT366" s="142"/>
      <c r="DU366" s="142"/>
      <c r="DV366" s="142"/>
      <c r="DW366" s="142"/>
      <c r="DX366" s="142"/>
      <c r="DY366" s="142"/>
      <c r="DZ366" s="142"/>
      <c r="EA366" s="142"/>
      <c r="EB366" s="142"/>
      <c r="EC366" s="142"/>
      <c r="ED366" s="142"/>
      <c r="EE366" s="142"/>
    </row>
    <row r="367" spans="1:135" s="151" customFormat="1" ht="19.5" customHeight="1" x14ac:dyDescent="0.2">
      <c r="A367" s="117">
        <v>364</v>
      </c>
      <c r="B367" s="117" t="s">
        <v>587</v>
      </c>
      <c r="C367" s="117">
        <v>83123707</v>
      </c>
      <c r="D367" s="117" t="s">
        <v>73</v>
      </c>
      <c r="E367" s="144" t="s">
        <v>586</v>
      </c>
      <c r="F367" s="146" t="s">
        <v>208</v>
      </c>
      <c r="G367" s="124" t="s">
        <v>69</v>
      </c>
      <c r="H367" s="89">
        <v>42102</v>
      </c>
      <c r="I367" s="89">
        <v>46077</v>
      </c>
      <c r="J367" s="162">
        <f t="shared" si="27"/>
        <v>46807</v>
      </c>
      <c r="K367" s="112">
        <v>45135</v>
      </c>
      <c r="L367" s="89">
        <v>45917</v>
      </c>
      <c r="M367" s="163">
        <f t="shared" si="28"/>
        <v>46647</v>
      </c>
      <c r="N367" s="213">
        <v>41927</v>
      </c>
      <c r="O367" s="163">
        <v>45433</v>
      </c>
      <c r="P367" s="163">
        <v>41929</v>
      </c>
      <c r="Q367" s="166" t="s">
        <v>69</v>
      </c>
      <c r="R367" s="166" t="s">
        <v>69</v>
      </c>
      <c r="S367" s="166" t="s">
        <v>69</v>
      </c>
      <c r="T367" s="181">
        <v>44358</v>
      </c>
      <c r="U367" s="181">
        <v>43651</v>
      </c>
      <c r="V367" s="181">
        <v>44407</v>
      </c>
      <c r="W367" s="166" t="s">
        <v>69</v>
      </c>
      <c r="X367" s="181">
        <v>43665</v>
      </c>
      <c r="Y367" s="181">
        <v>42234</v>
      </c>
      <c r="Z367" s="181">
        <v>44456</v>
      </c>
      <c r="AA367" s="166" t="s">
        <v>69</v>
      </c>
      <c r="AB367" s="166" t="s">
        <v>69</v>
      </c>
      <c r="AC367" s="166" t="s">
        <v>69</v>
      </c>
      <c r="AD367" s="167" t="s">
        <v>71</v>
      </c>
      <c r="AE367" s="167" t="s">
        <v>70</v>
      </c>
      <c r="AF367" s="94">
        <v>45665</v>
      </c>
      <c r="AG367" s="112" t="s">
        <v>69</v>
      </c>
      <c r="AH367" s="167" t="s">
        <v>71</v>
      </c>
      <c r="AI367" s="167" t="s">
        <v>70</v>
      </c>
      <c r="AJ367" s="167" t="s">
        <v>70</v>
      </c>
      <c r="AK367" s="167" t="s">
        <v>70</v>
      </c>
      <c r="AL367" s="166" t="s">
        <v>69</v>
      </c>
      <c r="AM367" s="166"/>
      <c r="AN367" s="166" t="s">
        <v>69</v>
      </c>
      <c r="AO367" s="167" t="s">
        <v>70</v>
      </c>
      <c r="AP367" s="166" t="s">
        <v>69</v>
      </c>
      <c r="AQ367" s="166" t="s">
        <v>69</v>
      </c>
      <c r="AR367" s="166" t="s">
        <v>69</v>
      </c>
      <c r="AS367" s="166" t="s">
        <v>69</v>
      </c>
      <c r="AT367" s="166" t="s">
        <v>69</v>
      </c>
      <c r="AU367" s="166" t="s">
        <v>69</v>
      </c>
      <c r="AV367" s="166" t="s">
        <v>69</v>
      </c>
      <c r="AW367" s="166" t="s">
        <v>69</v>
      </c>
      <c r="AX367" s="166" t="s">
        <v>69</v>
      </c>
      <c r="AY367" s="166" t="s">
        <v>69</v>
      </c>
      <c r="AZ367" s="166" t="s">
        <v>69</v>
      </c>
      <c r="BA367" s="166" t="s">
        <v>69</v>
      </c>
      <c r="BB367" s="166" t="s">
        <v>69</v>
      </c>
      <c r="BC367" s="166" t="s">
        <v>69</v>
      </c>
      <c r="BD367" s="166" t="s">
        <v>69</v>
      </c>
      <c r="BE367" s="166" t="s">
        <v>69</v>
      </c>
      <c r="BF367" s="166" t="s">
        <v>69</v>
      </c>
      <c r="BG367" s="167" t="s">
        <v>70</v>
      </c>
      <c r="BH367" s="166" t="s">
        <v>69</v>
      </c>
      <c r="BI367" s="166" t="s">
        <v>69</v>
      </c>
      <c r="BJ367" s="167" t="s">
        <v>70</v>
      </c>
      <c r="BK367" s="166" t="s">
        <v>69</v>
      </c>
      <c r="BL367" s="167" t="s">
        <v>70</v>
      </c>
      <c r="BM367" s="167" t="s">
        <v>70</v>
      </c>
      <c r="BN367" s="167" t="s">
        <v>70</v>
      </c>
      <c r="BO367" s="167" t="s">
        <v>70</v>
      </c>
      <c r="BP367" s="167" t="s">
        <v>70</v>
      </c>
      <c r="BQ367" s="151">
        <v>0</v>
      </c>
      <c r="BR367" s="142"/>
      <c r="BS367" s="142"/>
      <c r="BT367" s="142"/>
      <c r="BU367" s="142"/>
      <c r="BV367" s="142"/>
      <c r="BW367" s="142"/>
      <c r="BX367" s="142"/>
      <c r="BY367" s="142"/>
      <c r="BZ367" s="142"/>
      <c r="CA367" s="142"/>
      <c r="CB367" s="142"/>
      <c r="CC367" s="142"/>
      <c r="CD367" s="142"/>
      <c r="CE367" s="142"/>
      <c r="CF367" s="142"/>
      <c r="CG367" s="142"/>
      <c r="CH367" s="142"/>
      <c r="CI367" s="142"/>
      <c r="CJ367" s="142"/>
      <c r="CK367" s="142"/>
      <c r="CL367" s="142"/>
      <c r="CM367" s="142"/>
      <c r="CN367" s="142"/>
      <c r="CO367" s="142"/>
      <c r="CP367" s="142"/>
      <c r="CQ367" s="142"/>
      <c r="CR367" s="142"/>
      <c r="CS367" s="142"/>
      <c r="CT367" s="142"/>
      <c r="CU367" s="142"/>
      <c r="CV367" s="142"/>
      <c r="CW367" s="142"/>
      <c r="CX367" s="142"/>
      <c r="CY367" s="142"/>
      <c r="CZ367" s="142"/>
      <c r="DA367" s="142"/>
      <c r="DB367" s="142"/>
      <c r="DC367" s="142"/>
      <c r="DD367" s="142"/>
      <c r="DE367" s="142"/>
      <c r="DF367" s="142"/>
      <c r="DG367" s="142"/>
      <c r="DH367" s="142"/>
      <c r="DI367" s="142"/>
      <c r="DJ367" s="142"/>
      <c r="DK367" s="142"/>
      <c r="DL367" s="142"/>
      <c r="DM367" s="142"/>
      <c r="DN367" s="142"/>
      <c r="DO367" s="142"/>
      <c r="DP367" s="142"/>
      <c r="DQ367" s="142"/>
      <c r="DR367" s="142"/>
      <c r="DS367" s="142"/>
      <c r="DT367" s="142"/>
      <c r="DU367" s="142"/>
      <c r="DV367" s="142"/>
      <c r="DW367" s="142"/>
      <c r="DX367" s="142"/>
      <c r="DY367" s="142"/>
      <c r="DZ367" s="142"/>
      <c r="EA367" s="142"/>
      <c r="EB367" s="142"/>
      <c r="EC367" s="142"/>
      <c r="ED367" s="142"/>
      <c r="EE367" s="142"/>
    </row>
    <row r="368" spans="1:135" s="151" customFormat="1" ht="19.5" customHeight="1" x14ac:dyDescent="0.2">
      <c r="A368" s="117">
        <v>365</v>
      </c>
      <c r="B368" s="174" t="s">
        <v>589</v>
      </c>
      <c r="C368" s="144">
        <v>83085782</v>
      </c>
      <c r="D368" s="117" t="s">
        <v>73</v>
      </c>
      <c r="E368" s="117" t="s">
        <v>590</v>
      </c>
      <c r="F368" s="146" t="s">
        <v>208</v>
      </c>
      <c r="G368" s="162">
        <v>40737</v>
      </c>
      <c r="H368" s="172">
        <v>41031</v>
      </c>
      <c r="I368" s="172">
        <v>46301</v>
      </c>
      <c r="J368" s="162">
        <f t="shared" si="27"/>
        <v>47032</v>
      </c>
      <c r="K368" s="111">
        <v>40976</v>
      </c>
      <c r="L368" s="163">
        <v>45868</v>
      </c>
      <c r="M368" s="163">
        <f t="shared" si="28"/>
        <v>46598</v>
      </c>
      <c r="N368" s="111">
        <v>40997</v>
      </c>
      <c r="O368" s="111">
        <v>46300</v>
      </c>
      <c r="P368" s="111">
        <v>44462</v>
      </c>
      <c r="Q368" s="166" t="s">
        <v>69</v>
      </c>
      <c r="R368" s="166" t="s">
        <v>69</v>
      </c>
      <c r="S368" s="166" t="s">
        <v>69</v>
      </c>
      <c r="T368" s="168">
        <v>46199</v>
      </c>
      <c r="U368" s="168">
        <v>46146</v>
      </c>
      <c r="V368" s="166" t="s">
        <v>69</v>
      </c>
      <c r="W368" s="166" t="s">
        <v>69</v>
      </c>
      <c r="X368" s="166" t="s">
        <v>69</v>
      </c>
      <c r="Y368" s="166" t="s">
        <v>69</v>
      </c>
      <c r="Z368" s="166" t="s">
        <v>69</v>
      </c>
      <c r="AA368" s="166" t="s">
        <v>69</v>
      </c>
      <c r="AB368" s="166" t="s">
        <v>69</v>
      </c>
      <c r="AC368" s="166" t="s">
        <v>69</v>
      </c>
      <c r="AD368" s="167" t="s">
        <v>71</v>
      </c>
      <c r="AE368" s="167" t="s">
        <v>70</v>
      </c>
      <c r="AF368" s="112" t="s">
        <v>69</v>
      </c>
      <c r="AG368" s="112" t="s">
        <v>69</v>
      </c>
      <c r="AH368" s="167" t="s">
        <v>71</v>
      </c>
      <c r="AI368" s="167" t="s">
        <v>70</v>
      </c>
      <c r="AJ368" s="167" t="s">
        <v>70</v>
      </c>
      <c r="AK368" s="167" t="s">
        <v>70</v>
      </c>
      <c r="AL368" s="166" t="s">
        <v>69</v>
      </c>
      <c r="AM368" s="166"/>
      <c r="AN368" s="166" t="s">
        <v>69</v>
      </c>
      <c r="AO368" s="167" t="s">
        <v>70</v>
      </c>
      <c r="AP368" s="166" t="s">
        <v>69</v>
      </c>
      <c r="AQ368" s="166" t="s">
        <v>69</v>
      </c>
      <c r="AR368" s="166" t="s">
        <v>69</v>
      </c>
      <c r="AS368" s="166" t="s">
        <v>69</v>
      </c>
      <c r="AT368" s="166" t="s">
        <v>69</v>
      </c>
      <c r="AU368" s="166" t="s">
        <v>69</v>
      </c>
      <c r="AV368" s="166" t="s">
        <v>69</v>
      </c>
      <c r="AW368" s="166" t="s">
        <v>69</v>
      </c>
      <c r="AX368" s="166" t="s">
        <v>69</v>
      </c>
      <c r="AY368" s="166" t="s">
        <v>69</v>
      </c>
      <c r="AZ368" s="166" t="s">
        <v>69</v>
      </c>
      <c r="BA368" s="166" t="s">
        <v>69</v>
      </c>
      <c r="BB368" s="166" t="s">
        <v>69</v>
      </c>
      <c r="BC368" s="166" t="s">
        <v>69</v>
      </c>
      <c r="BD368" s="166" t="s">
        <v>69</v>
      </c>
      <c r="BE368" s="166" t="s">
        <v>69</v>
      </c>
      <c r="BF368" s="166" t="s">
        <v>69</v>
      </c>
      <c r="BG368" s="167" t="s">
        <v>70</v>
      </c>
      <c r="BH368" s="166" t="s">
        <v>69</v>
      </c>
      <c r="BI368" s="166" t="s">
        <v>69</v>
      </c>
      <c r="BJ368" s="167" t="s">
        <v>70</v>
      </c>
      <c r="BK368" s="166" t="s">
        <v>69</v>
      </c>
      <c r="BL368" s="167" t="s">
        <v>70</v>
      </c>
      <c r="BM368" s="167" t="s">
        <v>70</v>
      </c>
      <c r="BN368" s="167" t="s">
        <v>70</v>
      </c>
      <c r="BO368" s="167" t="s">
        <v>70</v>
      </c>
      <c r="BP368" s="167" t="s">
        <v>70</v>
      </c>
      <c r="BQ368" s="151">
        <v>0</v>
      </c>
      <c r="BR368" s="142"/>
      <c r="BS368" s="142"/>
      <c r="BT368" s="142"/>
      <c r="BU368" s="142"/>
      <c r="BV368" s="142"/>
      <c r="BW368" s="142"/>
      <c r="BX368" s="142"/>
      <c r="BY368" s="142"/>
      <c r="BZ368" s="142"/>
      <c r="CA368" s="142"/>
      <c r="CB368" s="142"/>
      <c r="CC368" s="142"/>
      <c r="CD368" s="142"/>
      <c r="CE368" s="142"/>
      <c r="CF368" s="142"/>
      <c r="CG368" s="142"/>
      <c r="CH368" s="142"/>
      <c r="CI368" s="142"/>
      <c r="CJ368" s="142"/>
      <c r="CK368" s="142"/>
      <c r="CL368" s="142"/>
      <c r="CM368" s="142"/>
      <c r="CN368" s="142"/>
      <c r="CO368" s="142"/>
      <c r="CP368" s="142"/>
      <c r="CQ368" s="142"/>
      <c r="CR368" s="142"/>
      <c r="CS368" s="142"/>
      <c r="CT368" s="142"/>
      <c r="CU368" s="142"/>
      <c r="CV368" s="142"/>
      <c r="CW368" s="142"/>
      <c r="CX368" s="142"/>
      <c r="CY368" s="142"/>
      <c r="CZ368" s="142"/>
      <c r="DA368" s="142"/>
      <c r="DB368" s="142"/>
      <c r="DC368" s="142"/>
      <c r="DD368" s="142"/>
      <c r="DE368" s="142"/>
      <c r="DF368" s="142"/>
      <c r="DG368" s="142"/>
      <c r="DH368" s="142"/>
      <c r="DI368" s="142"/>
      <c r="DJ368" s="142"/>
      <c r="DK368" s="142"/>
      <c r="DL368" s="142"/>
      <c r="DM368" s="142"/>
      <c r="DN368" s="142"/>
      <c r="DO368" s="142"/>
      <c r="DP368" s="142"/>
      <c r="DQ368" s="142"/>
      <c r="DR368" s="142"/>
      <c r="DS368" s="142"/>
      <c r="DT368" s="142"/>
      <c r="DU368" s="142"/>
      <c r="DV368" s="142"/>
      <c r="DW368" s="142"/>
      <c r="DX368" s="142"/>
      <c r="DY368" s="142"/>
      <c r="DZ368" s="142"/>
      <c r="EA368" s="142"/>
      <c r="EB368" s="142"/>
      <c r="EC368" s="142"/>
      <c r="ED368" s="142"/>
      <c r="EE368" s="141"/>
    </row>
    <row r="369" spans="1:135" s="151" customFormat="1" ht="19.5" customHeight="1" x14ac:dyDescent="0.2">
      <c r="A369" s="117">
        <v>366</v>
      </c>
      <c r="B369" s="117" t="s">
        <v>591</v>
      </c>
      <c r="C369" s="117">
        <v>135037</v>
      </c>
      <c r="D369" s="117" t="s">
        <v>73</v>
      </c>
      <c r="E369" s="144" t="s">
        <v>384</v>
      </c>
      <c r="F369" s="146" t="s">
        <v>208</v>
      </c>
      <c r="G369" s="124" t="s">
        <v>69</v>
      </c>
      <c r="H369" s="89">
        <v>43370</v>
      </c>
      <c r="I369" s="89">
        <v>45995</v>
      </c>
      <c r="J369" s="162">
        <f t="shared" si="27"/>
        <v>46725</v>
      </c>
      <c r="K369" s="89">
        <v>42136</v>
      </c>
      <c r="L369" s="89">
        <v>45677</v>
      </c>
      <c r="M369" s="163">
        <f t="shared" si="28"/>
        <v>46407</v>
      </c>
      <c r="N369" s="165" t="s">
        <v>69</v>
      </c>
      <c r="O369" s="89">
        <v>42153</v>
      </c>
      <c r="P369" s="89">
        <v>42153</v>
      </c>
      <c r="Q369" s="166" t="s">
        <v>69</v>
      </c>
      <c r="R369" s="166" t="s">
        <v>69</v>
      </c>
      <c r="S369" s="166" t="s">
        <v>69</v>
      </c>
      <c r="T369" s="168">
        <v>43476</v>
      </c>
      <c r="U369" s="166" t="s">
        <v>69</v>
      </c>
      <c r="V369" s="166" t="s">
        <v>69</v>
      </c>
      <c r="W369" s="168">
        <v>44295</v>
      </c>
      <c r="X369" s="181">
        <v>42464</v>
      </c>
      <c r="Y369" s="166" t="s">
        <v>69</v>
      </c>
      <c r="Z369" s="168">
        <v>44764</v>
      </c>
      <c r="AA369" s="166" t="s">
        <v>69</v>
      </c>
      <c r="AB369" s="166" t="s">
        <v>69</v>
      </c>
      <c r="AC369" s="166" t="s">
        <v>69</v>
      </c>
      <c r="AD369" s="167" t="s">
        <v>71</v>
      </c>
      <c r="AE369" s="167" t="s">
        <v>70</v>
      </c>
      <c r="AF369" s="112">
        <v>46253</v>
      </c>
      <c r="AG369" s="112" t="s">
        <v>69</v>
      </c>
      <c r="AH369" s="167" t="s">
        <v>71</v>
      </c>
      <c r="AI369" s="167" t="s">
        <v>70</v>
      </c>
      <c r="AJ369" s="167" t="s">
        <v>70</v>
      </c>
      <c r="AK369" s="167" t="s">
        <v>70</v>
      </c>
      <c r="AL369" s="166" t="s">
        <v>69</v>
      </c>
      <c r="AM369" s="166"/>
      <c r="AN369" s="166" t="s">
        <v>69</v>
      </c>
      <c r="AO369" s="167" t="s">
        <v>70</v>
      </c>
      <c r="AP369" s="166" t="s">
        <v>69</v>
      </c>
      <c r="AQ369" s="166" t="s">
        <v>69</v>
      </c>
      <c r="AR369" s="166" t="s">
        <v>69</v>
      </c>
      <c r="AS369" s="166" t="s">
        <v>69</v>
      </c>
      <c r="AT369" s="166" t="s">
        <v>69</v>
      </c>
      <c r="AU369" s="166" t="s">
        <v>69</v>
      </c>
      <c r="AV369" s="166" t="s">
        <v>69</v>
      </c>
      <c r="AW369" s="166" t="s">
        <v>69</v>
      </c>
      <c r="AX369" s="166" t="s">
        <v>69</v>
      </c>
      <c r="AY369" s="166" t="s">
        <v>69</v>
      </c>
      <c r="AZ369" s="166" t="s">
        <v>69</v>
      </c>
      <c r="BA369" s="166" t="s">
        <v>69</v>
      </c>
      <c r="BB369" s="166" t="s">
        <v>69</v>
      </c>
      <c r="BC369" s="166" t="s">
        <v>69</v>
      </c>
      <c r="BD369" s="166" t="s">
        <v>69</v>
      </c>
      <c r="BE369" s="166" t="s">
        <v>69</v>
      </c>
      <c r="BF369" s="166" t="s">
        <v>69</v>
      </c>
      <c r="BG369" s="167" t="s">
        <v>70</v>
      </c>
      <c r="BH369" s="166" t="s">
        <v>69</v>
      </c>
      <c r="BI369" s="166" t="s">
        <v>69</v>
      </c>
      <c r="BJ369" s="167" t="s">
        <v>70</v>
      </c>
      <c r="BK369" s="166" t="s">
        <v>69</v>
      </c>
      <c r="BL369" s="167" t="s">
        <v>70</v>
      </c>
      <c r="BM369" s="167" t="s">
        <v>70</v>
      </c>
      <c r="BN369" s="167" t="s">
        <v>70</v>
      </c>
      <c r="BO369" s="167" t="s">
        <v>70</v>
      </c>
      <c r="BP369" s="167" t="s">
        <v>70</v>
      </c>
      <c r="BQ369" s="151">
        <v>0</v>
      </c>
      <c r="BR369" s="142"/>
      <c r="BS369" s="142"/>
      <c r="BT369" s="142"/>
      <c r="BU369" s="142"/>
      <c r="BV369" s="142"/>
      <c r="BW369" s="142"/>
      <c r="BX369" s="142"/>
      <c r="BY369" s="142"/>
      <c r="BZ369" s="142"/>
      <c r="CA369" s="142"/>
      <c r="CB369" s="142"/>
      <c r="CC369" s="142"/>
      <c r="CD369" s="142"/>
      <c r="CE369" s="142"/>
      <c r="CF369" s="142"/>
      <c r="CG369" s="142"/>
      <c r="CH369" s="142"/>
      <c r="CI369" s="142"/>
      <c r="CJ369" s="142"/>
      <c r="CK369" s="142"/>
      <c r="CL369" s="142"/>
      <c r="CM369" s="142"/>
      <c r="CN369" s="142"/>
      <c r="CO369" s="142"/>
      <c r="CP369" s="142"/>
      <c r="CQ369" s="142"/>
      <c r="CR369" s="142"/>
      <c r="CS369" s="142"/>
      <c r="CT369" s="142"/>
      <c r="CU369" s="142"/>
      <c r="CV369" s="142"/>
      <c r="CW369" s="142"/>
      <c r="CX369" s="142"/>
      <c r="CY369" s="142"/>
      <c r="CZ369" s="142"/>
      <c r="DA369" s="142"/>
      <c r="DB369" s="142"/>
      <c r="DC369" s="142"/>
      <c r="DD369" s="142"/>
      <c r="DE369" s="142"/>
      <c r="DF369" s="142"/>
      <c r="DG369" s="142"/>
      <c r="DH369" s="142"/>
      <c r="DI369" s="142"/>
      <c r="DJ369" s="142"/>
      <c r="DK369" s="142"/>
      <c r="DL369" s="142"/>
      <c r="DM369" s="142"/>
      <c r="DN369" s="142"/>
      <c r="DO369" s="142"/>
      <c r="DP369" s="142"/>
      <c r="DQ369" s="142"/>
      <c r="DR369" s="142"/>
      <c r="DS369" s="142"/>
      <c r="DT369" s="142"/>
      <c r="DU369" s="142"/>
      <c r="DV369" s="142"/>
      <c r="DW369" s="142"/>
      <c r="DX369" s="142"/>
      <c r="DY369" s="142"/>
      <c r="DZ369" s="142"/>
      <c r="EA369" s="142"/>
      <c r="EB369" s="142"/>
      <c r="EC369" s="142"/>
      <c r="ED369" s="142"/>
      <c r="EE369" s="142"/>
    </row>
    <row r="370" spans="1:135" s="151" customFormat="1" ht="19.5" customHeight="1" x14ac:dyDescent="0.2">
      <c r="A370" s="117">
        <v>367</v>
      </c>
      <c r="B370" s="117" t="s">
        <v>592</v>
      </c>
      <c r="C370" s="117">
        <v>142244</v>
      </c>
      <c r="D370" s="117" t="s">
        <v>73</v>
      </c>
      <c r="E370" s="144" t="s">
        <v>384</v>
      </c>
      <c r="F370" s="146" t="s">
        <v>208</v>
      </c>
      <c r="G370" s="89">
        <v>43292</v>
      </c>
      <c r="H370" s="89">
        <v>42317</v>
      </c>
      <c r="I370" s="89">
        <v>46105</v>
      </c>
      <c r="J370" s="162">
        <f t="shared" si="27"/>
        <v>46836</v>
      </c>
      <c r="K370" s="89">
        <v>42076</v>
      </c>
      <c r="L370" s="89">
        <v>46090</v>
      </c>
      <c r="M370" s="163">
        <f t="shared" si="28"/>
        <v>46821</v>
      </c>
      <c r="N370" s="89">
        <v>42002</v>
      </c>
      <c r="O370" s="89">
        <v>46300</v>
      </c>
      <c r="P370" s="89">
        <v>42034</v>
      </c>
      <c r="Q370" s="166" t="s">
        <v>69</v>
      </c>
      <c r="R370" s="166" t="s">
        <v>69</v>
      </c>
      <c r="S370" s="166" t="s">
        <v>69</v>
      </c>
      <c r="T370" s="181">
        <v>43553</v>
      </c>
      <c r="U370" s="166" t="s">
        <v>69</v>
      </c>
      <c r="V370" s="166" t="s">
        <v>69</v>
      </c>
      <c r="W370" s="166" t="s">
        <v>69</v>
      </c>
      <c r="X370" s="181">
        <v>42520</v>
      </c>
      <c r="Y370" s="181">
        <v>42639</v>
      </c>
      <c r="Z370" s="181">
        <v>44372</v>
      </c>
      <c r="AA370" s="166" t="s">
        <v>69</v>
      </c>
      <c r="AB370" s="166" t="s">
        <v>69</v>
      </c>
      <c r="AC370" s="166" t="s">
        <v>69</v>
      </c>
      <c r="AD370" s="167" t="s">
        <v>71</v>
      </c>
      <c r="AE370" s="167" t="s">
        <v>70</v>
      </c>
      <c r="AF370" s="112">
        <v>45645</v>
      </c>
      <c r="AG370" s="112" t="s">
        <v>69</v>
      </c>
      <c r="AH370" s="167" t="s">
        <v>71</v>
      </c>
      <c r="AI370" s="167" t="s">
        <v>70</v>
      </c>
      <c r="AJ370" s="167" t="s">
        <v>70</v>
      </c>
      <c r="AK370" s="167" t="s">
        <v>70</v>
      </c>
      <c r="AL370" s="166" t="s">
        <v>69</v>
      </c>
      <c r="AM370" s="166"/>
      <c r="AN370" s="166" t="s">
        <v>69</v>
      </c>
      <c r="AO370" s="167" t="s">
        <v>70</v>
      </c>
      <c r="AP370" s="166" t="s">
        <v>69</v>
      </c>
      <c r="AQ370" s="166" t="s">
        <v>69</v>
      </c>
      <c r="AR370" s="168">
        <v>46153</v>
      </c>
      <c r="AS370" s="166" t="s">
        <v>69</v>
      </c>
      <c r="AT370" s="166" t="s">
        <v>69</v>
      </c>
      <c r="AU370" s="166" t="s">
        <v>69</v>
      </c>
      <c r="AV370" s="166" t="s">
        <v>69</v>
      </c>
      <c r="AW370" s="166" t="s">
        <v>69</v>
      </c>
      <c r="AX370" s="166" t="s">
        <v>69</v>
      </c>
      <c r="AY370" s="166" t="s">
        <v>69</v>
      </c>
      <c r="AZ370" s="166" t="s">
        <v>69</v>
      </c>
      <c r="BA370" s="166" t="s">
        <v>69</v>
      </c>
      <c r="BB370" s="166" t="s">
        <v>69</v>
      </c>
      <c r="BC370" s="166" t="s">
        <v>69</v>
      </c>
      <c r="BD370" s="166" t="s">
        <v>69</v>
      </c>
      <c r="BE370" s="166" t="s">
        <v>69</v>
      </c>
      <c r="BF370" s="166" t="s">
        <v>69</v>
      </c>
      <c r="BG370" s="167" t="s">
        <v>70</v>
      </c>
      <c r="BH370" s="166" t="s">
        <v>69</v>
      </c>
      <c r="BI370" s="166" t="s">
        <v>69</v>
      </c>
      <c r="BJ370" s="167" t="s">
        <v>70</v>
      </c>
      <c r="BK370" s="166" t="s">
        <v>69</v>
      </c>
      <c r="BL370" s="167" t="s">
        <v>70</v>
      </c>
      <c r="BM370" s="167" t="s">
        <v>70</v>
      </c>
      <c r="BN370" s="167" t="s">
        <v>70</v>
      </c>
      <c r="BO370" s="167" t="s">
        <v>70</v>
      </c>
      <c r="BP370" s="167" t="s">
        <v>70</v>
      </c>
      <c r="BQ370" s="151">
        <v>0</v>
      </c>
      <c r="BR370" s="142"/>
      <c r="BS370" s="142"/>
      <c r="BT370" s="142"/>
      <c r="BU370" s="142"/>
      <c r="BV370" s="142"/>
      <c r="BW370" s="142"/>
      <c r="BX370" s="142"/>
      <c r="BY370" s="142"/>
      <c r="BZ370" s="142"/>
      <c r="CA370" s="142"/>
      <c r="CB370" s="142"/>
      <c r="CC370" s="142"/>
      <c r="CD370" s="142"/>
      <c r="CE370" s="142"/>
      <c r="CF370" s="142"/>
      <c r="CG370" s="142"/>
      <c r="CH370" s="142"/>
      <c r="CI370" s="142"/>
      <c r="CJ370" s="142"/>
      <c r="CK370" s="142"/>
      <c r="CL370" s="142"/>
      <c r="CM370" s="142"/>
      <c r="CN370" s="142"/>
      <c r="CO370" s="142"/>
      <c r="CP370" s="142"/>
      <c r="CQ370" s="142"/>
      <c r="CR370" s="142"/>
      <c r="CS370" s="142"/>
      <c r="CT370" s="142"/>
      <c r="CU370" s="142"/>
      <c r="CV370" s="142"/>
      <c r="CW370" s="142"/>
      <c r="CX370" s="142"/>
      <c r="CY370" s="142"/>
      <c r="CZ370" s="142"/>
      <c r="DA370" s="142"/>
      <c r="DB370" s="142"/>
      <c r="DC370" s="142"/>
      <c r="DD370" s="142"/>
      <c r="DE370" s="142"/>
      <c r="DF370" s="142"/>
      <c r="DG370" s="142"/>
      <c r="DH370" s="142"/>
      <c r="DI370" s="142"/>
      <c r="DJ370" s="142"/>
      <c r="DK370" s="142"/>
      <c r="DL370" s="142"/>
      <c r="DM370" s="142"/>
      <c r="DN370" s="142"/>
      <c r="DO370" s="142"/>
      <c r="DP370" s="142"/>
      <c r="DQ370" s="142"/>
      <c r="DR370" s="142"/>
      <c r="DS370" s="142"/>
      <c r="DT370" s="142"/>
      <c r="DU370" s="142"/>
      <c r="DV370" s="142"/>
      <c r="DW370" s="142"/>
      <c r="DX370" s="142"/>
      <c r="DY370" s="142"/>
      <c r="DZ370" s="142"/>
      <c r="EA370" s="142"/>
      <c r="EB370" s="142"/>
      <c r="EC370" s="142"/>
      <c r="ED370" s="142"/>
      <c r="EE370" s="142"/>
    </row>
    <row r="371" spans="1:135" s="151" customFormat="1" ht="19.5" customHeight="1" x14ac:dyDescent="0.2">
      <c r="A371" s="117">
        <v>368</v>
      </c>
      <c r="B371" s="117" t="s">
        <v>593</v>
      </c>
      <c r="C371" s="117">
        <v>145315</v>
      </c>
      <c r="D371" s="117" t="s">
        <v>73</v>
      </c>
      <c r="E371" s="144" t="s">
        <v>384</v>
      </c>
      <c r="F371" s="146" t="s">
        <v>208</v>
      </c>
      <c r="G371" s="89">
        <v>42062</v>
      </c>
      <c r="H371" s="89">
        <v>43279</v>
      </c>
      <c r="I371" s="89">
        <v>45996</v>
      </c>
      <c r="J371" s="162">
        <f t="shared" si="27"/>
        <v>46726</v>
      </c>
      <c r="K371" s="89">
        <v>42083</v>
      </c>
      <c r="L371" s="89">
        <v>46083</v>
      </c>
      <c r="M371" s="163">
        <f t="shared" si="28"/>
        <v>46814</v>
      </c>
      <c r="N371" s="89">
        <v>43481</v>
      </c>
      <c r="O371" s="89">
        <v>46300</v>
      </c>
      <c r="P371" s="89">
        <v>43480</v>
      </c>
      <c r="Q371" s="166" t="s">
        <v>69</v>
      </c>
      <c r="R371" s="166" t="s">
        <v>69</v>
      </c>
      <c r="S371" s="166" t="s">
        <v>69</v>
      </c>
      <c r="T371" s="166" t="s">
        <v>69</v>
      </c>
      <c r="U371" s="166" t="s">
        <v>69</v>
      </c>
      <c r="V371" s="181">
        <v>43798</v>
      </c>
      <c r="W371" s="166" t="s">
        <v>69</v>
      </c>
      <c r="X371" s="181">
        <v>43714</v>
      </c>
      <c r="Y371" s="181">
        <v>44260</v>
      </c>
      <c r="Z371" s="168">
        <v>44764</v>
      </c>
      <c r="AA371" s="166" t="s">
        <v>69</v>
      </c>
      <c r="AB371" s="166" t="s">
        <v>69</v>
      </c>
      <c r="AC371" s="166" t="s">
        <v>69</v>
      </c>
      <c r="AD371" s="167" t="s">
        <v>71</v>
      </c>
      <c r="AE371" s="167" t="s">
        <v>70</v>
      </c>
      <c r="AF371" s="112">
        <v>46119</v>
      </c>
      <c r="AG371" s="112" t="s">
        <v>69</v>
      </c>
      <c r="AH371" s="167" t="s">
        <v>71</v>
      </c>
      <c r="AI371" s="167" t="s">
        <v>70</v>
      </c>
      <c r="AJ371" s="167" t="s">
        <v>70</v>
      </c>
      <c r="AK371" s="167" t="s">
        <v>70</v>
      </c>
      <c r="AL371" s="166" t="s">
        <v>69</v>
      </c>
      <c r="AM371" s="166"/>
      <c r="AN371" s="166" t="s">
        <v>69</v>
      </c>
      <c r="AO371" s="167" t="s">
        <v>70</v>
      </c>
      <c r="AP371" s="166" t="s">
        <v>69</v>
      </c>
      <c r="AQ371" s="166" t="s">
        <v>69</v>
      </c>
      <c r="AR371" s="168">
        <v>46184</v>
      </c>
      <c r="AS371" s="166" t="s">
        <v>69</v>
      </c>
      <c r="AT371" s="166" t="s">
        <v>69</v>
      </c>
      <c r="AU371" s="166" t="s">
        <v>69</v>
      </c>
      <c r="AV371" s="166" t="s">
        <v>69</v>
      </c>
      <c r="AW371" s="166" t="s">
        <v>69</v>
      </c>
      <c r="AX371" s="166" t="s">
        <v>69</v>
      </c>
      <c r="AY371" s="166" t="s">
        <v>69</v>
      </c>
      <c r="AZ371" s="166" t="s">
        <v>69</v>
      </c>
      <c r="BA371" s="166" t="s">
        <v>69</v>
      </c>
      <c r="BB371" s="166" t="s">
        <v>69</v>
      </c>
      <c r="BC371" s="166" t="s">
        <v>69</v>
      </c>
      <c r="BD371" s="166" t="s">
        <v>69</v>
      </c>
      <c r="BE371" s="166" t="s">
        <v>69</v>
      </c>
      <c r="BF371" s="166" t="s">
        <v>69</v>
      </c>
      <c r="BG371" s="167" t="s">
        <v>70</v>
      </c>
      <c r="BH371" s="166" t="s">
        <v>69</v>
      </c>
      <c r="BI371" s="166" t="s">
        <v>69</v>
      </c>
      <c r="BJ371" s="167" t="s">
        <v>70</v>
      </c>
      <c r="BK371" s="166" t="s">
        <v>69</v>
      </c>
      <c r="BL371" s="167" t="s">
        <v>70</v>
      </c>
      <c r="BM371" s="167" t="s">
        <v>70</v>
      </c>
      <c r="BN371" s="167" t="s">
        <v>70</v>
      </c>
      <c r="BO371" s="167" t="s">
        <v>70</v>
      </c>
      <c r="BP371" s="167" t="s">
        <v>70</v>
      </c>
      <c r="BQ371" s="151">
        <v>0</v>
      </c>
      <c r="BR371" s="142"/>
      <c r="BS371" s="142"/>
      <c r="BT371" s="142"/>
      <c r="BU371" s="142"/>
      <c r="BV371" s="142"/>
      <c r="BW371" s="142"/>
      <c r="BX371" s="142"/>
      <c r="BY371" s="142"/>
      <c r="BZ371" s="142"/>
      <c r="CA371" s="142"/>
      <c r="CB371" s="142"/>
      <c r="CC371" s="142"/>
      <c r="CD371" s="142"/>
      <c r="CE371" s="142"/>
      <c r="CF371" s="142"/>
      <c r="CG371" s="142"/>
      <c r="CH371" s="142"/>
      <c r="CI371" s="142"/>
      <c r="CJ371" s="142"/>
      <c r="CK371" s="142"/>
      <c r="CL371" s="142"/>
      <c r="CM371" s="142"/>
      <c r="CN371" s="142"/>
      <c r="CO371" s="142"/>
      <c r="CP371" s="142"/>
      <c r="CQ371" s="142"/>
      <c r="CR371" s="142"/>
      <c r="CS371" s="142"/>
      <c r="CT371" s="142"/>
      <c r="CU371" s="142"/>
      <c r="CV371" s="142"/>
      <c r="CW371" s="142"/>
      <c r="CX371" s="142"/>
      <c r="CY371" s="142"/>
      <c r="CZ371" s="142"/>
      <c r="DA371" s="142"/>
      <c r="DB371" s="142"/>
      <c r="DC371" s="142"/>
      <c r="DD371" s="142"/>
      <c r="DE371" s="142"/>
      <c r="DF371" s="142"/>
      <c r="DG371" s="142"/>
      <c r="DH371" s="142"/>
      <c r="DI371" s="142"/>
      <c r="DJ371" s="142"/>
      <c r="DK371" s="142"/>
      <c r="DL371" s="142"/>
      <c r="DM371" s="142"/>
      <c r="DN371" s="142"/>
      <c r="DO371" s="142"/>
      <c r="DP371" s="142"/>
      <c r="DQ371" s="142"/>
      <c r="DR371" s="142"/>
      <c r="DS371" s="142"/>
      <c r="DT371" s="142"/>
      <c r="DU371" s="142"/>
      <c r="DV371" s="142"/>
      <c r="DW371" s="142"/>
      <c r="DX371" s="142"/>
      <c r="DY371" s="142"/>
      <c r="DZ371" s="142"/>
      <c r="EA371" s="142"/>
      <c r="EB371" s="142"/>
      <c r="EC371" s="142"/>
      <c r="ED371" s="142"/>
      <c r="EE371" s="142"/>
    </row>
    <row r="372" spans="1:135" s="151" customFormat="1" ht="19.5" customHeight="1" x14ac:dyDescent="0.2">
      <c r="A372" s="117">
        <v>369</v>
      </c>
      <c r="B372" s="117" t="s">
        <v>594</v>
      </c>
      <c r="C372" s="117">
        <v>145341</v>
      </c>
      <c r="D372" s="117" t="s">
        <v>73</v>
      </c>
      <c r="E372" s="144" t="s">
        <v>384</v>
      </c>
      <c r="F372" s="146" t="s">
        <v>208</v>
      </c>
      <c r="G372" s="124" t="s">
        <v>69</v>
      </c>
      <c r="H372" s="89">
        <v>44776</v>
      </c>
      <c r="I372" s="89">
        <v>45546</v>
      </c>
      <c r="J372" s="162">
        <f t="shared" si="27"/>
        <v>46276</v>
      </c>
      <c r="K372" s="89">
        <v>42083</v>
      </c>
      <c r="L372" s="89">
        <v>46076</v>
      </c>
      <c r="M372" s="163">
        <f t="shared" si="28"/>
        <v>46806</v>
      </c>
      <c r="N372" s="89">
        <v>42032</v>
      </c>
      <c r="O372" s="89">
        <v>46300</v>
      </c>
      <c r="P372" s="89">
        <v>40903</v>
      </c>
      <c r="Q372" s="166" t="s">
        <v>69</v>
      </c>
      <c r="R372" s="166" t="s">
        <v>69</v>
      </c>
      <c r="S372" s="166" t="s">
        <v>69</v>
      </c>
      <c r="T372" s="168">
        <v>42975</v>
      </c>
      <c r="U372" s="166" t="s">
        <v>69</v>
      </c>
      <c r="V372" s="166" t="s">
        <v>69</v>
      </c>
      <c r="W372" s="168">
        <v>44141</v>
      </c>
      <c r="X372" s="181">
        <v>43665</v>
      </c>
      <c r="Y372" s="181">
        <v>44664</v>
      </c>
      <c r="Z372" s="166" t="s">
        <v>69</v>
      </c>
      <c r="AA372" s="166" t="s">
        <v>69</v>
      </c>
      <c r="AB372" s="166" t="s">
        <v>69</v>
      </c>
      <c r="AC372" s="166" t="s">
        <v>69</v>
      </c>
      <c r="AD372" s="167" t="s">
        <v>71</v>
      </c>
      <c r="AE372" s="167" t="s">
        <v>70</v>
      </c>
      <c r="AF372" s="112">
        <v>45646</v>
      </c>
      <c r="AG372" s="112" t="s">
        <v>69</v>
      </c>
      <c r="AH372" s="167" t="s">
        <v>71</v>
      </c>
      <c r="AI372" s="167" t="s">
        <v>70</v>
      </c>
      <c r="AJ372" s="167" t="s">
        <v>70</v>
      </c>
      <c r="AK372" s="167" t="s">
        <v>70</v>
      </c>
      <c r="AL372" s="166" t="s">
        <v>69</v>
      </c>
      <c r="AM372" s="166"/>
      <c r="AN372" s="166" t="s">
        <v>69</v>
      </c>
      <c r="AO372" s="167" t="s">
        <v>70</v>
      </c>
      <c r="AP372" s="166" t="s">
        <v>69</v>
      </c>
      <c r="AQ372" s="166" t="s">
        <v>69</v>
      </c>
      <c r="AR372" s="166" t="s">
        <v>69</v>
      </c>
      <c r="AS372" s="166" t="s">
        <v>69</v>
      </c>
      <c r="AT372" s="166" t="s">
        <v>69</v>
      </c>
      <c r="AU372" s="166" t="s">
        <v>69</v>
      </c>
      <c r="AV372" s="166" t="s">
        <v>69</v>
      </c>
      <c r="AW372" s="166" t="s">
        <v>69</v>
      </c>
      <c r="AX372" s="166" t="s">
        <v>69</v>
      </c>
      <c r="AY372" s="166" t="s">
        <v>69</v>
      </c>
      <c r="AZ372" s="166" t="s">
        <v>69</v>
      </c>
      <c r="BA372" s="166" t="s">
        <v>69</v>
      </c>
      <c r="BB372" s="166" t="s">
        <v>69</v>
      </c>
      <c r="BC372" s="166" t="s">
        <v>69</v>
      </c>
      <c r="BD372" s="166" t="s">
        <v>69</v>
      </c>
      <c r="BE372" s="166" t="s">
        <v>69</v>
      </c>
      <c r="BF372" s="166" t="s">
        <v>69</v>
      </c>
      <c r="BG372" s="167" t="s">
        <v>70</v>
      </c>
      <c r="BH372" s="166" t="s">
        <v>69</v>
      </c>
      <c r="BI372" s="166" t="s">
        <v>69</v>
      </c>
      <c r="BJ372" s="167" t="s">
        <v>70</v>
      </c>
      <c r="BK372" s="166" t="s">
        <v>69</v>
      </c>
      <c r="BL372" s="167" t="s">
        <v>70</v>
      </c>
      <c r="BM372" s="167" t="s">
        <v>70</v>
      </c>
      <c r="BN372" s="167" t="s">
        <v>70</v>
      </c>
      <c r="BO372" s="167" t="s">
        <v>70</v>
      </c>
      <c r="BP372" s="167" t="s">
        <v>70</v>
      </c>
      <c r="BQ372" s="151">
        <v>0</v>
      </c>
      <c r="BR372" s="142"/>
      <c r="BS372" s="142"/>
      <c r="BT372" s="142"/>
      <c r="BU372" s="142"/>
      <c r="BV372" s="142"/>
      <c r="BW372" s="142"/>
      <c r="BX372" s="142"/>
      <c r="BY372" s="142"/>
      <c r="BZ372" s="142"/>
      <c r="CA372" s="142"/>
      <c r="CB372" s="142"/>
      <c r="CC372" s="142"/>
      <c r="CD372" s="142"/>
      <c r="CE372" s="142"/>
      <c r="CF372" s="142"/>
      <c r="CG372" s="142"/>
      <c r="CH372" s="142"/>
      <c r="CI372" s="142"/>
      <c r="CJ372" s="142"/>
      <c r="CK372" s="142"/>
      <c r="CL372" s="142"/>
      <c r="CM372" s="142"/>
      <c r="CN372" s="142"/>
      <c r="CO372" s="142"/>
      <c r="CP372" s="142"/>
      <c r="CQ372" s="142"/>
      <c r="CR372" s="142"/>
      <c r="CS372" s="142"/>
      <c r="CT372" s="142"/>
      <c r="CU372" s="142"/>
      <c r="CV372" s="142"/>
      <c r="CW372" s="142"/>
      <c r="CX372" s="142"/>
      <c r="CY372" s="142"/>
      <c r="CZ372" s="142"/>
      <c r="DA372" s="142"/>
      <c r="DB372" s="142"/>
      <c r="DC372" s="142"/>
      <c r="DD372" s="142"/>
      <c r="DE372" s="142"/>
      <c r="DF372" s="142"/>
      <c r="DG372" s="142"/>
      <c r="DH372" s="142"/>
      <c r="DI372" s="142"/>
      <c r="DJ372" s="142"/>
      <c r="DK372" s="142"/>
      <c r="DL372" s="142"/>
      <c r="DM372" s="142"/>
      <c r="DN372" s="142"/>
      <c r="DO372" s="142"/>
      <c r="DP372" s="142"/>
      <c r="DQ372" s="142"/>
      <c r="DR372" s="142"/>
      <c r="DS372" s="142"/>
      <c r="DT372" s="142"/>
      <c r="DU372" s="142"/>
      <c r="DV372" s="142"/>
      <c r="DW372" s="142"/>
      <c r="DX372" s="142"/>
      <c r="DY372" s="142"/>
      <c r="DZ372" s="142"/>
      <c r="EA372" s="142"/>
      <c r="EB372" s="142"/>
      <c r="EC372" s="142"/>
      <c r="ED372" s="142"/>
      <c r="EE372" s="142"/>
    </row>
    <row r="373" spans="1:135" s="151" customFormat="1" ht="19.5" customHeight="1" x14ac:dyDescent="0.2">
      <c r="A373" s="117">
        <v>370</v>
      </c>
      <c r="B373" s="161" t="s">
        <v>595</v>
      </c>
      <c r="C373" s="161">
        <v>145347</v>
      </c>
      <c r="D373" s="161" t="s">
        <v>840</v>
      </c>
      <c r="E373" s="144" t="s">
        <v>384</v>
      </c>
      <c r="F373" s="146" t="s">
        <v>208</v>
      </c>
      <c r="G373" s="89">
        <v>42402</v>
      </c>
      <c r="H373" s="89">
        <v>42457</v>
      </c>
      <c r="I373" s="89">
        <v>45995</v>
      </c>
      <c r="J373" s="162">
        <f t="shared" si="27"/>
        <v>46725</v>
      </c>
      <c r="K373" s="89">
        <v>42431</v>
      </c>
      <c r="L373" s="89">
        <v>45677</v>
      </c>
      <c r="M373" s="163">
        <f t="shared" si="28"/>
        <v>46407</v>
      </c>
      <c r="N373" s="111">
        <v>42276</v>
      </c>
      <c r="O373" s="111">
        <v>46300</v>
      </c>
      <c r="P373" s="111" t="s">
        <v>872</v>
      </c>
      <c r="Q373" s="166" t="s">
        <v>69</v>
      </c>
      <c r="R373" s="89">
        <v>45399</v>
      </c>
      <c r="S373" s="89">
        <v>46129</v>
      </c>
      <c r="T373" s="168">
        <v>42667</v>
      </c>
      <c r="U373" s="166" t="s">
        <v>69</v>
      </c>
      <c r="V373" s="168">
        <v>42793</v>
      </c>
      <c r="W373" s="166" t="s">
        <v>69</v>
      </c>
      <c r="X373" s="166" t="s">
        <v>69</v>
      </c>
      <c r="Y373" s="166" t="s">
        <v>69</v>
      </c>
      <c r="Z373" s="166" t="s">
        <v>69</v>
      </c>
      <c r="AA373" s="166" t="s">
        <v>69</v>
      </c>
      <c r="AB373" s="166" t="s">
        <v>69</v>
      </c>
      <c r="AC373" s="166" t="s">
        <v>69</v>
      </c>
      <c r="AD373" s="167" t="s">
        <v>71</v>
      </c>
      <c r="AE373" s="167" t="s">
        <v>70</v>
      </c>
      <c r="AF373" s="112">
        <v>46064</v>
      </c>
      <c r="AG373" s="112" t="s">
        <v>69</v>
      </c>
      <c r="AH373" s="167" t="s">
        <v>71</v>
      </c>
      <c r="AI373" s="167" t="s">
        <v>70</v>
      </c>
      <c r="AJ373" s="167" t="s">
        <v>70</v>
      </c>
      <c r="AK373" s="167" t="s">
        <v>70</v>
      </c>
      <c r="AL373" s="166" t="s">
        <v>69</v>
      </c>
      <c r="AM373" s="166"/>
      <c r="AN373" s="166" t="s">
        <v>69</v>
      </c>
      <c r="AO373" s="167" t="s">
        <v>70</v>
      </c>
      <c r="AP373" s="166" t="s">
        <v>69</v>
      </c>
      <c r="AQ373" s="166" t="s">
        <v>69</v>
      </c>
      <c r="AR373" s="166" t="s">
        <v>69</v>
      </c>
      <c r="AS373" s="166" t="s">
        <v>69</v>
      </c>
      <c r="AT373" s="166" t="s">
        <v>69</v>
      </c>
      <c r="AU373" s="166" t="s">
        <v>69</v>
      </c>
      <c r="AV373" s="166" t="s">
        <v>69</v>
      </c>
      <c r="AW373" s="167" t="s">
        <v>70</v>
      </c>
      <c r="AX373" s="167" t="s">
        <v>70</v>
      </c>
      <c r="AY373" s="166" t="s">
        <v>69</v>
      </c>
      <c r="AZ373" s="166" t="s">
        <v>69</v>
      </c>
      <c r="BA373" s="166" t="s">
        <v>69</v>
      </c>
      <c r="BB373" s="167" t="s">
        <v>70</v>
      </c>
      <c r="BC373" s="167" t="s">
        <v>70</v>
      </c>
      <c r="BD373" s="167" t="s">
        <v>70</v>
      </c>
      <c r="BE373" s="167" t="s">
        <v>70</v>
      </c>
      <c r="BF373" s="167" t="s">
        <v>70</v>
      </c>
      <c r="BG373" s="169" t="s">
        <v>70</v>
      </c>
      <c r="BH373" s="169" t="s">
        <v>70</v>
      </c>
      <c r="BI373" s="169" t="s">
        <v>70</v>
      </c>
      <c r="BJ373" s="167" t="s">
        <v>70</v>
      </c>
      <c r="BK373" s="167" t="s">
        <v>70</v>
      </c>
      <c r="BL373" s="167" t="s">
        <v>70</v>
      </c>
      <c r="BM373" s="167" t="s">
        <v>70</v>
      </c>
      <c r="BN373" s="167" t="s">
        <v>70</v>
      </c>
      <c r="BO373" s="167" t="s">
        <v>70</v>
      </c>
      <c r="BP373" s="167" t="s">
        <v>70</v>
      </c>
      <c r="BQ373" s="151">
        <v>0</v>
      </c>
      <c r="BR373" s="142"/>
      <c r="BS373" s="142"/>
      <c r="BT373" s="142"/>
      <c r="BU373" s="142"/>
      <c r="BV373" s="142"/>
      <c r="BW373" s="142"/>
      <c r="BX373" s="142"/>
      <c r="BY373" s="142"/>
      <c r="BZ373" s="142"/>
      <c r="CA373" s="142"/>
      <c r="CB373" s="142"/>
      <c r="CC373" s="142"/>
      <c r="CD373" s="142"/>
      <c r="CE373" s="142"/>
      <c r="CF373" s="142"/>
      <c r="CG373" s="142"/>
      <c r="CH373" s="142"/>
      <c r="CI373" s="142"/>
      <c r="CJ373" s="142"/>
      <c r="CK373" s="142"/>
      <c r="CL373" s="142"/>
      <c r="CM373" s="142"/>
      <c r="CN373" s="142"/>
      <c r="CO373" s="142"/>
      <c r="CP373" s="142"/>
      <c r="CQ373" s="142"/>
      <c r="CR373" s="142"/>
      <c r="CS373" s="142"/>
      <c r="CT373" s="142"/>
      <c r="CU373" s="142"/>
      <c r="CV373" s="142"/>
      <c r="CW373" s="142"/>
      <c r="CX373" s="142"/>
      <c r="CY373" s="142"/>
      <c r="CZ373" s="142"/>
      <c r="DA373" s="142"/>
      <c r="DB373" s="142"/>
      <c r="DC373" s="142"/>
      <c r="DD373" s="142"/>
      <c r="DE373" s="142"/>
      <c r="DF373" s="142"/>
      <c r="DG373" s="142"/>
      <c r="DH373" s="142"/>
      <c r="DI373" s="142"/>
      <c r="DJ373" s="142"/>
      <c r="DK373" s="142"/>
      <c r="DL373" s="142"/>
      <c r="DM373" s="142"/>
      <c r="DN373" s="142"/>
      <c r="DO373" s="142"/>
      <c r="DP373" s="142"/>
      <c r="DQ373" s="142"/>
      <c r="DR373" s="142"/>
      <c r="DS373" s="142"/>
      <c r="DT373" s="142"/>
      <c r="DU373" s="142"/>
      <c r="DV373" s="142"/>
      <c r="DW373" s="142"/>
      <c r="DX373" s="142"/>
      <c r="DY373" s="142"/>
      <c r="DZ373" s="142"/>
      <c r="EA373" s="142"/>
      <c r="EB373" s="142"/>
      <c r="EC373" s="142"/>
      <c r="ED373" s="142"/>
      <c r="EE373" s="142"/>
    </row>
    <row r="374" spans="1:135" s="151" customFormat="1" ht="19.5" customHeight="1" x14ac:dyDescent="0.2">
      <c r="A374" s="117">
        <v>371</v>
      </c>
      <c r="B374" s="117" t="s">
        <v>596</v>
      </c>
      <c r="C374" s="117">
        <v>83086304</v>
      </c>
      <c r="D374" s="117" t="s">
        <v>73</v>
      </c>
      <c r="E374" s="144" t="s">
        <v>384</v>
      </c>
      <c r="F374" s="146" t="s">
        <v>208</v>
      </c>
      <c r="G374" s="89">
        <v>41722</v>
      </c>
      <c r="H374" s="89">
        <v>41789</v>
      </c>
      <c r="I374" s="89">
        <v>46034</v>
      </c>
      <c r="J374" s="162">
        <f t="shared" si="27"/>
        <v>46764</v>
      </c>
      <c r="K374" s="89">
        <v>40897</v>
      </c>
      <c r="L374" s="163">
        <v>46168</v>
      </c>
      <c r="M374" s="163">
        <f t="shared" si="28"/>
        <v>46899</v>
      </c>
      <c r="N374" s="89">
        <v>40897</v>
      </c>
      <c r="O374" s="89">
        <v>45331</v>
      </c>
      <c r="P374" s="89">
        <v>43389</v>
      </c>
      <c r="Q374" s="166" t="s">
        <v>69</v>
      </c>
      <c r="R374" s="166" t="s">
        <v>69</v>
      </c>
      <c r="S374" s="166" t="s">
        <v>69</v>
      </c>
      <c r="T374" s="168">
        <v>46213</v>
      </c>
      <c r="U374" s="166" t="s">
        <v>69</v>
      </c>
      <c r="V374" s="168">
        <v>42230</v>
      </c>
      <c r="W374" s="166" t="s">
        <v>69</v>
      </c>
      <c r="X374" s="166" t="s">
        <v>69</v>
      </c>
      <c r="Y374" s="166" t="s">
        <v>69</v>
      </c>
      <c r="Z374" s="166" t="s">
        <v>69</v>
      </c>
      <c r="AA374" s="166" t="s">
        <v>69</v>
      </c>
      <c r="AB374" s="166" t="s">
        <v>69</v>
      </c>
      <c r="AC374" s="166" t="s">
        <v>69</v>
      </c>
      <c r="AD374" s="167" t="s">
        <v>71</v>
      </c>
      <c r="AE374" s="167" t="s">
        <v>70</v>
      </c>
      <c r="AF374" s="112">
        <v>45642</v>
      </c>
      <c r="AG374" s="112" t="s">
        <v>69</v>
      </c>
      <c r="AH374" s="167" t="s">
        <v>71</v>
      </c>
      <c r="AI374" s="167" t="s">
        <v>70</v>
      </c>
      <c r="AJ374" s="167" t="s">
        <v>70</v>
      </c>
      <c r="AK374" s="167" t="s">
        <v>70</v>
      </c>
      <c r="AL374" s="166" t="s">
        <v>69</v>
      </c>
      <c r="AM374" s="166"/>
      <c r="AN374" s="166" t="s">
        <v>69</v>
      </c>
      <c r="AO374" s="167" t="s">
        <v>70</v>
      </c>
      <c r="AP374" s="166" t="s">
        <v>69</v>
      </c>
      <c r="AQ374" s="166" t="s">
        <v>69</v>
      </c>
      <c r="AR374" s="166" t="s">
        <v>69</v>
      </c>
      <c r="AS374" s="166" t="s">
        <v>69</v>
      </c>
      <c r="AT374" s="166" t="s">
        <v>69</v>
      </c>
      <c r="AU374" s="166" t="s">
        <v>69</v>
      </c>
      <c r="AV374" s="166" t="s">
        <v>69</v>
      </c>
      <c r="AW374" s="166" t="s">
        <v>69</v>
      </c>
      <c r="AX374" s="166" t="s">
        <v>69</v>
      </c>
      <c r="AY374" s="166" t="s">
        <v>69</v>
      </c>
      <c r="AZ374" s="166" t="s">
        <v>69</v>
      </c>
      <c r="BA374" s="166" t="s">
        <v>69</v>
      </c>
      <c r="BB374" s="166" t="s">
        <v>69</v>
      </c>
      <c r="BC374" s="166" t="s">
        <v>69</v>
      </c>
      <c r="BD374" s="166" t="s">
        <v>69</v>
      </c>
      <c r="BE374" s="166" t="s">
        <v>69</v>
      </c>
      <c r="BF374" s="166" t="s">
        <v>69</v>
      </c>
      <c r="BG374" s="167" t="s">
        <v>70</v>
      </c>
      <c r="BH374" s="166" t="s">
        <v>69</v>
      </c>
      <c r="BI374" s="166" t="s">
        <v>69</v>
      </c>
      <c r="BJ374" s="167" t="s">
        <v>70</v>
      </c>
      <c r="BK374" s="166" t="s">
        <v>69</v>
      </c>
      <c r="BL374" s="167" t="s">
        <v>70</v>
      </c>
      <c r="BM374" s="167" t="s">
        <v>70</v>
      </c>
      <c r="BN374" s="167" t="s">
        <v>70</v>
      </c>
      <c r="BO374" s="167" t="s">
        <v>70</v>
      </c>
      <c r="BP374" s="167" t="s">
        <v>70</v>
      </c>
      <c r="BQ374" s="151">
        <v>0</v>
      </c>
      <c r="BR374" s="142"/>
      <c r="BS374" s="142"/>
      <c r="BT374" s="142"/>
      <c r="BU374" s="142"/>
      <c r="BV374" s="142"/>
      <c r="BW374" s="142"/>
      <c r="BX374" s="142"/>
      <c r="BY374" s="142"/>
      <c r="BZ374" s="142"/>
      <c r="CA374" s="142"/>
      <c r="CB374" s="142"/>
      <c r="CC374" s="142"/>
      <c r="CD374" s="142"/>
      <c r="CE374" s="142"/>
      <c r="CF374" s="142"/>
      <c r="CG374" s="142"/>
      <c r="CH374" s="142"/>
      <c r="CI374" s="142"/>
      <c r="CJ374" s="142"/>
      <c r="CK374" s="142"/>
      <c r="CL374" s="142"/>
      <c r="CM374" s="142"/>
      <c r="CN374" s="142"/>
      <c r="CO374" s="142"/>
      <c r="CP374" s="142"/>
      <c r="CQ374" s="142"/>
      <c r="CR374" s="142"/>
      <c r="CS374" s="142"/>
      <c r="CT374" s="142"/>
      <c r="CU374" s="142"/>
      <c r="CV374" s="142"/>
      <c r="CW374" s="142"/>
      <c r="CX374" s="142"/>
      <c r="CY374" s="142"/>
      <c r="CZ374" s="142"/>
      <c r="DA374" s="142"/>
      <c r="DB374" s="142"/>
      <c r="DC374" s="142"/>
      <c r="DD374" s="142"/>
      <c r="DE374" s="142"/>
      <c r="DF374" s="142"/>
      <c r="DG374" s="142"/>
      <c r="DH374" s="142"/>
      <c r="DI374" s="142"/>
      <c r="DJ374" s="142"/>
      <c r="DK374" s="142"/>
      <c r="DL374" s="142"/>
      <c r="DM374" s="142"/>
      <c r="DN374" s="142"/>
      <c r="DO374" s="142"/>
      <c r="DP374" s="142"/>
      <c r="DQ374" s="142"/>
      <c r="DR374" s="142"/>
      <c r="DS374" s="142"/>
      <c r="DT374" s="142"/>
      <c r="DU374" s="142"/>
      <c r="DV374" s="142"/>
      <c r="DW374" s="142"/>
      <c r="DX374" s="142"/>
      <c r="DY374" s="142"/>
      <c r="DZ374" s="142"/>
      <c r="EA374" s="142"/>
      <c r="EB374" s="142"/>
      <c r="EC374" s="142"/>
      <c r="ED374" s="142"/>
      <c r="EE374" s="142"/>
    </row>
    <row r="375" spans="1:135" s="151" customFormat="1" ht="19.5" customHeight="1" x14ac:dyDescent="0.2">
      <c r="A375" s="117">
        <v>372</v>
      </c>
      <c r="B375" s="117" t="s">
        <v>597</v>
      </c>
      <c r="C375" s="117">
        <v>83086689</v>
      </c>
      <c r="D375" s="117" t="s">
        <v>73</v>
      </c>
      <c r="E375" s="144" t="s">
        <v>384</v>
      </c>
      <c r="F375" s="146" t="s">
        <v>208</v>
      </c>
      <c r="G375" s="89">
        <v>40980</v>
      </c>
      <c r="H375" s="89">
        <v>40980</v>
      </c>
      <c r="I375" s="89">
        <v>45995</v>
      </c>
      <c r="J375" s="162">
        <f t="shared" si="27"/>
        <v>46725</v>
      </c>
      <c r="K375" s="89">
        <v>40948</v>
      </c>
      <c r="L375" s="89">
        <v>45667</v>
      </c>
      <c r="M375" s="163">
        <f t="shared" si="28"/>
        <v>46397</v>
      </c>
      <c r="N375" s="89">
        <v>41766</v>
      </c>
      <c r="O375" s="89">
        <v>46300</v>
      </c>
      <c r="P375" s="89">
        <v>43320</v>
      </c>
      <c r="Q375" s="181">
        <v>42619</v>
      </c>
      <c r="R375" s="227">
        <v>42648</v>
      </c>
      <c r="S375" s="227">
        <v>43378</v>
      </c>
      <c r="T375" s="166" t="s">
        <v>69</v>
      </c>
      <c r="U375" s="168">
        <v>46199</v>
      </c>
      <c r="V375" s="168">
        <v>42464</v>
      </c>
      <c r="W375" s="181">
        <v>43812</v>
      </c>
      <c r="X375" s="181">
        <v>42020</v>
      </c>
      <c r="Y375" s="166" t="s">
        <v>69</v>
      </c>
      <c r="Z375" s="181">
        <v>43910</v>
      </c>
      <c r="AA375" s="166" t="s">
        <v>69</v>
      </c>
      <c r="AB375" s="166" t="s">
        <v>69</v>
      </c>
      <c r="AC375" s="166" t="s">
        <v>69</v>
      </c>
      <c r="AD375" s="167" t="s">
        <v>71</v>
      </c>
      <c r="AE375" s="167" t="s">
        <v>70</v>
      </c>
      <c r="AF375" s="112">
        <v>46287</v>
      </c>
      <c r="AG375" s="112" t="s">
        <v>69</v>
      </c>
      <c r="AH375" s="167" t="s">
        <v>71</v>
      </c>
      <c r="AI375" s="167" t="s">
        <v>70</v>
      </c>
      <c r="AJ375" s="167" t="s">
        <v>70</v>
      </c>
      <c r="AK375" s="167" t="s">
        <v>70</v>
      </c>
      <c r="AL375" s="166" t="s">
        <v>69</v>
      </c>
      <c r="AM375" s="166"/>
      <c r="AN375" s="166" t="s">
        <v>69</v>
      </c>
      <c r="AO375" s="167" t="s">
        <v>70</v>
      </c>
      <c r="AP375" s="166" t="s">
        <v>69</v>
      </c>
      <c r="AQ375" s="166" t="s">
        <v>69</v>
      </c>
      <c r="AR375" s="166" t="s">
        <v>69</v>
      </c>
      <c r="AS375" s="166" t="s">
        <v>69</v>
      </c>
      <c r="AT375" s="166" t="s">
        <v>69</v>
      </c>
      <c r="AU375" s="166" t="s">
        <v>69</v>
      </c>
      <c r="AV375" s="166" t="s">
        <v>69</v>
      </c>
      <c r="AW375" s="166" t="s">
        <v>69</v>
      </c>
      <c r="AX375" s="166" t="s">
        <v>69</v>
      </c>
      <c r="AY375" s="166" t="s">
        <v>69</v>
      </c>
      <c r="AZ375" s="166" t="s">
        <v>69</v>
      </c>
      <c r="BA375" s="166" t="s">
        <v>69</v>
      </c>
      <c r="BB375" s="166" t="s">
        <v>69</v>
      </c>
      <c r="BC375" s="166" t="s">
        <v>69</v>
      </c>
      <c r="BD375" s="166" t="s">
        <v>69</v>
      </c>
      <c r="BE375" s="166" t="s">
        <v>69</v>
      </c>
      <c r="BF375" s="166" t="s">
        <v>69</v>
      </c>
      <c r="BG375" s="167" t="s">
        <v>70</v>
      </c>
      <c r="BH375" s="166" t="s">
        <v>69</v>
      </c>
      <c r="BI375" s="166" t="s">
        <v>69</v>
      </c>
      <c r="BJ375" s="167" t="s">
        <v>70</v>
      </c>
      <c r="BK375" s="166" t="s">
        <v>69</v>
      </c>
      <c r="BL375" s="167" t="s">
        <v>70</v>
      </c>
      <c r="BM375" s="167" t="s">
        <v>70</v>
      </c>
      <c r="BN375" s="167" t="s">
        <v>70</v>
      </c>
      <c r="BO375" s="167" t="s">
        <v>70</v>
      </c>
      <c r="BP375" s="167" t="s">
        <v>70</v>
      </c>
      <c r="BQ375" s="151">
        <v>0</v>
      </c>
      <c r="BR375" s="142"/>
      <c r="BS375" s="142"/>
      <c r="BT375" s="142"/>
      <c r="BU375" s="142"/>
      <c r="BV375" s="142"/>
      <c r="BW375" s="142"/>
      <c r="BX375" s="142"/>
      <c r="BY375" s="142"/>
      <c r="BZ375" s="142"/>
      <c r="CA375" s="142"/>
      <c r="CB375" s="142"/>
      <c r="CC375" s="142"/>
      <c r="CD375" s="142"/>
      <c r="CE375" s="142"/>
      <c r="CF375" s="142"/>
      <c r="CG375" s="142"/>
      <c r="CH375" s="142"/>
      <c r="CI375" s="142"/>
      <c r="CJ375" s="142"/>
      <c r="CK375" s="142"/>
      <c r="CL375" s="142"/>
      <c r="CM375" s="142"/>
      <c r="CN375" s="142"/>
      <c r="CO375" s="142"/>
      <c r="CP375" s="142"/>
      <c r="CQ375" s="142"/>
      <c r="CR375" s="142"/>
      <c r="CS375" s="142"/>
      <c r="CT375" s="142"/>
      <c r="CU375" s="142"/>
      <c r="CV375" s="142"/>
      <c r="CW375" s="142"/>
      <c r="CX375" s="142"/>
      <c r="CY375" s="142"/>
      <c r="CZ375" s="142"/>
      <c r="DA375" s="142"/>
      <c r="DB375" s="142"/>
      <c r="DC375" s="142"/>
      <c r="DD375" s="142"/>
      <c r="DE375" s="142"/>
      <c r="DF375" s="142"/>
      <c r="DG375" s="142"/>
      <c r="DH375" s="142"/>
      <c r="DI375" s="142"/>
      <c r="DJ375" s="142"/>
      <c r="DK375" s="142"/>
      <c r="DL375" s="142"/>
      <c r="DM375" s="142"/>
      <c r="DN375" s="142"/>
      <c r="DO375" s="142"/>
      <c r="DP375" s="142"/>
      <c r="DQ375" s="142"/>
      <c r="DR375" s="142"/>
      <c r="DS375" s="142"/>
      <c r="DT375" s="142"/>
      <c r="DU375" s="142"/>
      <c r="DV375" s="142"/>
      <c r="DW375" s="142"/>
      <c r="DX375" s="142"/>
      <c r="DY375" s="142"/>
      <c r="DZ375" s="142"/>
      <c r="EA375" s="142"/>
      <c r="EB375" s="142"/>
      <c r="EC375" s="142"/>
      <c r="ED375" s="142"/>
      <c r="EE375" s="142"/>
    </row>
    <row r="376" spans="1:135" s="151" customFormat="1" ht="19.5" customHeight="1" x14ac:dyDescent="0.2">
      <c r="A376" s="117">
        <v>373</v>
      </c>
      <c r="B376" s="161" t="s">
        <v>598</v>
      </c>
      <c r="C376" s="161">
        <v>83102211</v>
      </c>
      <c r="D376" s="161" t="s">
        <v>841</v>
      </c>
      <c r="E376" s="144" t="s">
        <v>384</v>
      </c>
      <c r="F376" s="146" t="s">
        <v>208</v>
      </c>
      <c r="G376" s="89">
        <v>40928</v>
      </c>
      <c r="H376" s="89">
        <v>41836</v>
      </c>
      <c r="I376" s="89">
        <v>46128</v>
      </c>
      <c r="J376" s="162">
        <f t="shared" si="27"/>
        <v>46859</v>
      </c>
      <c r="K376" s="89">
        <v>40906</v>
      </c>
      <c r="L376" s="89">
        <v>46090</v>
      </c>
      <c r="M376" s="163">
        <f t="shared" si="28"/>
        <v>46821</v>
      </c>
      <c r="N376" s="89">
        <v>43481</v>
      </c>
      <c r="O376" s="89">
        <v>46300</v>
      </c>
      <c r="P376" s="89">
        <v>43482</v>
      </c>
      <c r="Q376" s="181">
        <v>42676</v>
      </c>
      <c r="R376" s="227">
        <v>42571</v>
      </c>
      <c r="S376" s="227">
        <v>43301</v>
      </c>
      <c r="T376" s="168">
        <v>42730</v>
      </c>
      <c r="U376" s="166" t="s">
        <v>69</v>
      </c>
      <c r="V376" s="168">
        <v>42027</v>
      </c>
      <c r="W376" s="181">
        <v>43752</v>
      </c>
      <c r="X376" s="166" t="s">
        <v>69</v>
      </c>
      <c r="Y376" s="166" t="s">
        <v>69</v>
      </c>
      <c r="Z376" s="166" t="s">
        <v>69</v>
      </c>
      <c r="AA376" s="166" t="s">
        <v>69</v>
      </c>
      <c r="AB376" s="166" t="s">
        <v>69</v>
      </c>
      <c r="AC376" s="166" t="s">
        <v>69</v>
      </c>
      <c r="AD376" s="167" t="s">
        <v>71</v>
      </c>
      <c r="AE376" s="167" t="s">
        <v>70</v>
      </c>
      <c r="AF376" s="112">
        <v>46119</v>
      </c>
      <c r="AG376" s="112" t="s">
        <v>69</v>
      </c>
      <c r="AH376" s="167" t="s">
        <v>71</v>
      </c>
      <c r="AI376" s="167" t="s">
        <v>70</v>
      </c>
      <c r="AJ376" s="167" t="s">
        <v>70</v>
      </c>
      <c r="AK376" s="167" t="s">
        <v>70</v>
      </c>
      <c r="AL376" s="166" t="s">
        <v>69</v>
      </c>
      <c r="AM376" s="166"/>
      <c r="AN376" s="166" t="s">
        <v>69</v>
      </c>
      <c r="AO376" s="167" t="s">
        <v>70</v>
      </c>
      <c r="AP376" s="166" t="s">
        <v>69</v>
      </c>
      <c r="AQ376" s="166" t="s">
        <v>69</v>
      </c>
      <c r="AR376" s="168">
        <v>46090</v>
      </c>
      <c r="AS376" s="166" t="s">
        <v>69</v>
      </c>
      <c r="AT376" s="166" t="s">
        <v>69</v>
      </c>
      <c r="AU376" s="166" t="s">
        <v>69</v>
      </c>
      <c r="AV376" s="166" t="s">
        <v>69</v>
      </c>
      <c r="AW376" s="167" t="s">
        <v>70</v>
      </c>
      <c r="AX376" s="167" t="s">
        <v>70</v>
      </c>
      <c r="AY376" s="166" t="s">
        <v>69</v>
      </c>
      <c r="AZ376" s="166" t="s">
        <v>69</v>
      </c>
      <c r="BA376" s="166" t="s">
        <v>69</v>
      </c>
      <c r="BB376" s="167" t="s">
        <v>70</v>
      </c>
      <c r="BC376" s="167" t="s">
        <v>70</v>
      </c>
      <c r="BD376" s="167" t="s">
        <v>70</v>
      </c>
      <c r="BE376" s="167" t="s">
        <v>70</v>
      </c>
      <c r="BF376" s="167" t="s">
        <v>70</v>
      </c>
      <c r="BG376" s="169" t="s">
        <v>70</v>
      </c>
      <c r="BH376" s="169" t="s">
        <v>70</v>
      </c>
      <c r="BI376" s="169" t="s">
        <v>70</v>
      </c>
      <c r="BJ376" s="167" t="s">
        <v>70</v>
      </c>
      <c r="BK376" s="167" t="s">
        <v>70</v>
      </c>
      <c r="BL376" s="167" t="s">
        <v>70</v>
      </c>
      <c r="BM376" s="167" t="s">
        <v>70</v>
      </c>
      <c r="BN376" s="167" t="s">
        <v>70</v>
      </c>
      <c r="BO376" s="167" t="s">
        <v>70</v>
      </c>
      <c r="BP376" s="167" t="s">
        <v>70</v>
      </c>
      <c r="BQ376" s="151">
        <v>0</v>
      </c>
      <c r="BR376" s="142"/>
      <c r="BS376" s="142"/>
      <c r="BT376" s="142"/>
      <c r="BU376" s="142"/>
      <c r="BV376" s="142"/>
      <c r="BW376" s="142"/>
      <c r="BX376" s="142"/>
      <c r="BY376" s="142"/>
      <c r="BZ376" s="142"/>
      <c r="CA376" s="142"/>
      <c r="CB376" s="142"/>
      <c r="CC376" s="142"/>
      <c r="CD376" s="142"/>
      <c r="CE376" s="142"/>
      <c r="CF376" s="142"/>
      <c r="CG376" s="142"/>
      <c r="CH376" s="142"/>
      <c r="CI376" s="142"/>
      <c r="CJ376" s="142"/>
      <c r="CK376" s="142"/>
      <c r="CL376" s="142"/>
      <c r="CM376" s="142"/>
      <c r="CN376" s="142"/>
      <c r="CO376" s="142"/>
      <c r="CP376" s="142"/>
      <c r="CQ376" s="142"/>
      <c r="CR376" s="142"/>
      <c r="CS376" s="142"/>
      <c r="CT376" s="142"/>
      <c r="CU376" s="142"/>
      <c r="CV376" s="142"/>
      <c r="CW376" s="142"/>
      <c r="CX376" s="142"/>
      <c r="CY376" s="142"/>
      <c r="CZ376" s="142"/>
      <c r="DA376" s="142"/>
      <c r="DB376" s="142"/>
      <c r="DC376" s="142"/>
      <c r="DD376" s="142"/>
      <c r="DE376" s="142"/>
      <c r="DF376" s="142"/>
      <c r="DG376" s="142"/>
      <c r="DH376" s="142"/>
      <c r="DI376" s="142"/>
      <c r="DJ376" s="142"/>
      <c r="DK376" s="142"/>
      <c r="DL376" s="142"/>
      <c r="DM376" s="142"/>
      <c r="DN376" s="142"/>
      <c r="DO376" s="142"/>
      <c r="DP376" s="142"/>
      <c r="DQ376" s="142"/>
      <c r="DR376" s="142"/>
      <c r="DS376" s="142"/>
      <c r="DT376" s="142"/>
      <c r="DU376" s="142"/>
      <c r="DV376" s="142"/>
      <c r="DW376" s="142"/>
      <c r="DX376" s="142"/>
      <c r="DY376" s="142"/>
      <c r="DZ376" s="142"/>
      <c r="EA376" s="142"/>
      <c r="EB376" s="142"/>
      <c r="EC376" s="142"/>
      <c r="ED376" s="142"/>
      <c r="EE376" s="142"/>
    </row>
    <row r="377" spans="1:135" s="151" customFormat="1" ht="19.5" customHeight="1" x14ac:dyDescent="0.2">
      <c r="A377" s="117">
        <v>374</v>
      </c>
      <c r="B377" s="161" t="s">
        <v>599</v>
      </c>
      <c r="C377" s="161">
        <v>83124750</v>
      </c>
      <c r="D377" s="161" t="s">
        <v>842</v>
      </c>
      <c r="E377" s="144" t="s">
        <v>384</v>
      </c>
      <c r="F377" s="146" t="s">
        <v>208</v>
      </c>
      <c r="G377" s="89">
        <v>44973</v>
      </c>
      <c r="H377" s="89">
        <v>41446</v>
      </c>
      <c r="I377" s="89">
        <v>46079</v>
      </c>
      <c r="J377" s="162">
        <f t="shared" si="27"/>
        <v>46809</v>
      </c>
      <c r="K377" s="89">
        <v>41408</v>
      </c>
      <c r="L377" s="89">
        <v>46083</v>
      </c>
      <c r="M377" s="163">
        <f t="shared" si="28"/>
        <v>46814</v>
      </c>
      <c r="N377" s="111">
        <v>43319</v>
      </c>
      <c r="O377" s="111" t="s">
        <v>874</v>
      </c>
      <c r="P377" s="111">
        <v>43321</v>
      </c>
      <c r="Q377" s="166" t="s">
        <v>69</v>
      </c>
      <c r="R377" s="166" t="s">
        <v>69</v>
      </c>
      <c r="S377" s="166" t="s">
        <v>69</v>
      </c>
      <c r="T377" s="166" t="s">
        <v>69</v>
      </c>
      <c r="U377" s="166" t="s">
        <v>69</v>
      </c>
      <c r="V377" s="181">
        <v>43840</v>
      </c>
      <c r="W377" s="181">
        <v>43665</v>
      </c>
      <c r="X377" s="181">
        <v>42300</v>
      </c>
      <c r="Y377" s="181">
        <v>42639</v>
      </c>
      <c r="Z377" s="181">
        <v>42702</v>
      </c>
      <c r="AA377" s="166" t="s">
        <v>69</v>
      </c>
      <c r="AB377" s="166" t="s">
        <v>69</v>
      </c>
      <c r="AC377" s="166" t="s">
        <v>69</v>
      </c>
      <c r="AD377" s="167" t="s">
        <v>71</v>
      </c>
      <c r="AE377" s="167" t="s">
        <v>70</v>
      </c>
      <c r="AF377" s="94">
        <v>45642</v>
      </c>
      <c r="AG377" s="112" t="s">
        <v>69</v>
      </c>
      <c r="AH377" s="167" t="s">
        <v>71</v>
      </c>
      <c r="AI377" s="167" t="s">
        <v>70</v>
      </c>
      <c r="AJ377" s="167" t="s">
        <v>70</v>
      </c>
      <c r="AK377" s="167" t="s">
        <v>70</v>
      </c>
      <c r="AL377" s="166" t="s">
        <v>69</v>
      </c>
      <c r="AM377" s="166"/>
      <c r="AN377" s="166" t="s">
        <v>69</v>
      </c>
      <c r="AO377" s="167" t="s">
        <v>70</v>
      </c>
      <c r="AP377" s="168">
        <v>46127</v>
      </c>
      <c r="AQ377" s="166" t="s">
        <v>69</v>
      </c>
      <c r="AR377" s="166" t="s">
        <v>69</v>
      </c>
      <c r="AS377" s="166" t="s">
        <v>69</v>
      </c>
      <c r="AT377" s="166" t="s">
        <v>69</v>
      </c>
      <c r="AU377" s="166" t="s">
        <v>69</v>
      </c>
      <c r="AV377" s="166" t="s">
        <v>69</v>
      </c>
      <c r="AW377" s="167" t="s">
        <v>70</v>
      </c>
      <c r="AX377" s="167" t="s">
        <v>70</v>
      </c>
      <c r="AY377" s="166" t="s">
        <v>69</v>
      </c>
      <c r="AZ377" s="166" t="s">
        <v>69</v>
      </c>
      <c r="BA377" s="166" t="s">
        <v>69</v>
      </c>
      <c r="BB377" s="167" t="s">
        <v>70</v>
      </c>
      <c r="BC377" s="167" t="s">
        <v>70</v>
      </c>
      <c r="BD377" s="167" t="s">
        <v>70</v>
      </c>
      <c r="BE377" s="167" t="s">
        <v>70</v>
      </c>
      <c r="BF377" s="167" t="s">
        <v>70</v>
      </c>
      <c r="BG377" s="169" t="s">
        <v>70</v>
      </c>
      <c r="BH377" s="169" t="s">
        <v>70</v>
      </c>
      <c r="BI377" s="169" t="s">
        <v>70</v>
      </c>
      <c r="BJ377" s="167" t="s">
        <v>70</v>
      </c>
      <c r="BK377" s="167" t="s">
        <v>70</v>
      </c>
      <c r="BL377" s="167" t="s">
        <v>70</v>
      </c>
      <c r="BM377" s="167" t="s">
        <v>70</v>
      </c>
      <c r="BN377" s="167" t="s">
        <v>70</v>
      </c>
      <c r="BO377" s="167" t="s">
        <v>70</v>
      </c>
      <c r="BP377" s="167" t="s">
        <v>70</v>
      </c>
      <c r="BQ377" s="151">
        <v>0</v>
      </c>
      <c r="BR377" s="142"/>
      <c r="BS377" s="142"/>
      <c r="BT377" s="142"/>
      <c r="BU377" s="142"/>
      <c r="BV377" s="142"/>
      <c r="BW377" s="142"/>
      <c r="BX377" s="142"/>
      <c r="BY377" s="142"/>
      <c r="BZ377" s="142"/>
      <c r="CA377" s="142"/>
      <c r="CB377" s="142"/>
      <c r="CC377" s="142"/>
      <c r="CD377" s="142"/>
      <c r="CE377" s="142"/>
      <c r="CF377" s="142"/>
      <c r="CG377" s="142"/>
      <c r="CH377" s="142"/>
      <c r="CI377" s="142"/>
      <c r="CJ377" s="142"/>
      <c r="CK377" s="142"/>
      <c r="CL377" s="142"/>
      <c r="CM377" s="142"/>
      <c r="CN377" s="142"/>
      <c r="CO377" s="142"/>
      <c r="CP377" s="142"/>
      <c r="CQ377" s="142"/>
      <c r="CR377" s="142"/>
      <c r="CS377" s="142"/>
      <c r="CT377" s="142"/>
      <c r="CU377" s="142"/>
      <c r="CV377" s="142"/>
      <c r="CW377" s="142"/>
      <c r="CX377" s="142"/>
      <c r="CY377" s="142"/>
      <c r="CZ377" s="142"/>
      <c r="DA377" s="142"/>
      <c r="DB377" s="142"/>
      <c r="DC377" s="142"/>
      <c r="DD377" s="142"/>
      <c r="DE377" s="142"/>
      <c r="DF377" s="142"/>
      <c r="DG377" s="142"/>
      <c r="DH377" s="142"/>
      <c r="DI377" s="142"/>
      <c r="DJ377" s="142"/>
      <c r="DK377" s="142"/>
      <c r="DL377" s="142"/>
      <c r="DM377" s="142"/>
      <c r="DN377" s="142"/>
      <c r="DO377" s="142"/>
      <c r="DP377" s="142"/>
      <c r="DQ377" s="142"/>
      <c r="DR377" s="142"/>
      <c r="DS377" s="142"/>
      <c r="DT377" s="142"/>
      <c r="DU377" s="142"/>
      <c r="DV377" s="142"/>
      <c r="DW377" s="142"/>
      <c r="DX377" s="142"/>
      <c r="DY377" s="142"/>
      <c r="DZ377" s="142"/>
      <c r="EA377" s="142"/>
      <c r="EB377" s="142"/>
      <c r="EC377" s="142"/>
      <c r="ED377" s="142"/>
      <c r="EE377" s="142"/>
    </row>
    <row r="378" spans="1:135" s="151" customFormat="1" ht="19.5" customHeight="1" x14ac:dyDescent="0.2">
      <c r="A378" s="117">
        <v>375</v>
      </c>
      <c r="B378" s="161" t="s">
        <v>600</v>
      </c>
      <c r="C378" s="161">
        <v>83124751</v>
      </c>
      <c r="D378" s="161" t="s">
        <v>843</v>
      </c>
      <c r="E378" s="144" t="s">
        <v>384</v>
      </c>
      <c r="F378" s="146" t="s">
        <v>208</v>
      </c>
      <c r="G378" s="124" t="s">
        <v>69</v>
      </c>
      <c r="H378" s="89">
        <v>41480</v>
      </c>
      <c r="I378" s="89">
        <v>46083</v>
      </c>
      <c r="J378" s="162">
        <f t="shared" si="27"/>
        <v>46814</v>
      </c>
      <c r="K378" s="89">
        <v>41439</v>
      </c>
      <c r="L378" s="89">
        <v>46113</v>
      </c>
      <c r="M378" s="163">
        <f t="shared" si="28"/>
        <v>46844</v>
      </c>
      <c r="N378" s="111">
        <v>43481</v>
      </c>
      <c r="O378" s="111">
        <v>46300</v>
      </c>
      <c r="P378" s="111">
        <v>43480</v>
      </c>
      <c r="Q378" s="166" t="s">
        <v>69</v>
      </c>
      <c r="R378" s="166" t="s">
        <v>69</v>
      </c>
      <c r="S378" s="166" t="s">
        <v>69</v>
      </c>
      <c r="T378" s="181">
        <v>43553</v>
      </c>
      <c r="U378" s="166" t="s">
        <v>69</v>
      </c>
      <c r="V378" s="181">
        <v>43805</v>
      </c>
      <c r="W378" s="181">
        <v>43693</v>
      </c>
      <c r="X378" s="181">
        <v>42520</v>
      </c>
      <c r="Y378" s="181">
        <v>42639</v>
      </c>
      <c r="Z378" s="166" t="s">
        <v>69</v>
      </c>
      <c r="AA378" s="166" t="s">
        <v>69</v>
      </c>
      <c r="AB378" s="166" t="s">
        <v>69</v>
      </c>
      <c r="AC378" s="166" t="s">
        <v>69</v>
      </c>
      <c r="AD378" s="167" t="s">
        <v>71</v>
      </c>
      <c r="AE378" s="167" t="s">
        <v>70</v>
      </c>
      <c r="AF378" s="94">
        <v>45642</v>
      </c>
      <c r="AG378" s="112" t="s">
        <v>69</v>
      </c>
      <c r="AH378" s="167" t="s">
        <v>71</v>
      </c>
      <c r="AI378" s="167" t="s">
        <v>70</v>
      </c>
      <c r="AJ378" s="167" t="s">
        <v>70</v>
      </c>
      <c r="AK378" s="167" t="s">
        <v>70</v>
      </c>
      <c r="AL378" s="166" t="s">
        <v>69</v>
      </c>
      <c r="AM378" s="166"/>
      <c r="AN378" s="166" t="s">
        <v>69</v>
      </c>
      <c r="AO378" s="167" t="s">
        <v>70</v>
      </c>
      <c r="AP378" s="168">
        <v>46260</v>
      </c>
      <c r="AQ378" s="166" t="s">
        <v>69</v>
      </c>
      <c r="AR378" s="166" t="s">
        <v>69</v>
      </c>
      <c r="AS378" s="166" t="s">
        <v>69</v>
      </c>
      <c r="AT378" s="166" t="s">
        <v>69</v>
      </c>
      <c r="AU378" s="166" t="s">
        <v>69</v>
      </c>
      <c r="AV378" s="166" t="s">
        <v>69</v>
      </c>
      <c r="AW378" s="167" t="s">
        <v>70</v>
      </c>
      <c r="AX378" s="167" t="s">
        <v>70</v>
      </c>
      <c r="AY378" s="166" t="s">
        <v>69</v>
      </c>
      <c r="AZ378" s="166" t="s">
        <v>69</v>
      </c>
      <c r="BA378" s="166" t="s">
        <v>69</v>
      </c>
      <c r="BB378" s="167" t="s">
        <v>70</v>
      </c>
      <c r="BC378" s="167" t="s">
        <v>70</v>
      </c>
      <c r="BD378" s="167" t="s">
        <v>70</v>
      </c>
      <c r="BE378" s="167" t="s">
        <v>70</v>
      </c>
      <c r="BF378" s="167" t="s">
        <v>70</v>
      </c>
      <c r="BG378" s="169" t="s">
        <v>70</v>
      </c>
      <c r="BH378" s="169" t="s">
        <v>70</v>
      </c>
      <c r="BI378" s="169" t="s">
        <v>70</v>
      </c>
      <c r="BJ378" s="167" t="s">
        <v>70</v>
      </c>
      <c r="BK378" s="167" t="s">
        <v>70</v>
      </c>
      <c r="BL378" s="167" t="s">
        <v>70</v>
      </c>
      <c r="BM378" s="167" t="s">
        <v>70</v>
      </c>
      <c r="BN378" s="167" t="s">
        <v>70</v>
      </c>
      <c r="BO378" s="167" t="s">
        <v>70</v>
      </c>
      <c r="BP378" s="167" t="s">
        <v>70</v>
      </c>
      <c r="BQ378" s="151">
        <v>0</v>
      </c>
      <c r="BR378" s="142"/>
      <c r="BS378" s="142"/>
      <c r="BT378" s="142"/>
      <c r="BU378" s="142"/>
      <c r="BV378" s="142"/>
      <c r="BW378" s="142"/>
      <c r="BX378" s="142"/>
      <c r="BY378" s="142"/>
      <c r="BZ378" s="142"/>
      <c r="CA378" s="142"/>
      <c r="CB378" s="142"/>
      <c r="CC378" s="142"/>
      <c r="CD378" s="142"/>
      <c r="CE378" s="142"/>
      <c r="CF378" s="142"/>
      <c r="CG378" s="142"/>
      <c r="CH378" s="142"/>
      <c r="CI378" s="142"/>
      <c r="CJ378" s="142"/>
      <c r="CK378" s="142"/>
      <c r="CL378" s="142"/>
      <c r="CM378" s="142"/>
      <c r="CN378" s="142"/>
      <c r="CO378" s="142"/>
      <c r="CP378" s="142"/>
      <c r="CQ378" s="142"/>
      <c r="CR378" s="142"/>
      <c r="CS378" s="142"/>
      <c r="CT378" s="142"/>
      <c r="CU378" s="142"/>
      <c r="CV378" s="142"/>
      <c r="CW378" s="142"/>
      <c r="CX378" s="142"/>
      <c r="CY378" s="142"/>
      <c r="CZ378" s="142"/>
      <c r="DA378" s="142"/>
      <c r="DB378" s="142"/>
      <c r="DC378" s="142"/>
      <c r="DD378" s="142"/>
      <c r="DE378" s="142"/>
      <c r="DF378" s="142"/>
      <c r="DG378" s="142"/>
      <c r="DH378" s="142"/>
      <c r="DI378" s="142"/>
      <c r="DJ378" s="142"/>
      <c r="DK378" s="142"/>
      <c r="DL378" s="142"/>
      <c r="DM378" s="142"/>
      <c r="DN378" s="142"/>
      <c r="DO378" s="142"/>
      <c r="DP378" s="142"/>
      <c r="DQ378" s="142"/>
      <c r="DR378" s="142"/>
      <c r="DS378" s="142"/>
      <c r="DT378" s="142"/>
      <c r="DU378" s="142"/>
      <c r="DV378" s="142"/>
      <c r="DW378" s="142"/>
      <c r="DX378" s="142"/>
      <c r="DY378" s="142"/>
      <c r="DZ378" s="142"/>
      <c r="EA378" s="142"/>
      <c r="EB378" s="142"/>
      <c r="EC378" s="142"/>
      <c r="ED378" s="142"/>
      <c r="EE378" s="142"/>
    </row>
    <row r="379" spans="1:135" s="151" customFormat="1" ht="19.5" customHeight="1" x14ac:dyDescent="0.2">
      <c r="A379" s="117">
        <v>376</v>
      </c>
      <c r="B379" s="174" t="s">
        <v>601</v>
      </c>
      <c r="C379" s="144">
        <v>145329</v>
      </c>
      <c r="D379" s="117" t="s">
        <v>73</v>
      </c>
      <c r="E379" s="146" t="s">
        <v>384</v>
      </c>
      <c r="F379" s="146" t="s">
        <v>208</v>
      </c>
      <c r="G379" s="111">
        <v>42062</v>
      </c>
      <c r="H379" s="111">
        <v>45917</v>
      </c>
      <c r="I379" s="111">
        <v>45917</v>
      </c>
      <c r="J379" s="162">
        <f t="shared" si="27"/>
        <v>46647</v>
      </c>
      <c r="K379" s="111">
        <v>45868</v>
      </c>
      <c r="L379" s="111">
        <v>45868</v>
      </c>
      <c r="M379" s="163">
        <f t="shared" si="28"/>
        <v>46598</v>
      </c>
      <c r="N379" s="111">
        <v>45622</v>
      </c>
      <c r="O379" s="111">
        <v>46300</v>
      </c>
      <c r="P379" s="111">
        <v>42153</v>
      </c>
      <c r="Q379" s="166" t="s">
        <v>69</v>
      </c>
      <c r="R379" s="166" t="s">
        <v>69</v>
      </c>
      <c r="S379" s="166" t="s">
        <v>69</v>
      </c>
      <c r="T379" s="168">
        <v>42975</v>
      </c>
      <c r="U379" s="166" t="s">
        <v>69</v>
      </c>
      <c r="V379" s="166" t="s">
        <v>69</v>
      </c>
      <c r="W379" s="168">
        <v>44176</v>
      </c>
      <c r="X379" s="168">
        <v>43546</v>
      </c>
      <c r="Y379" s="168">
        <v>44260</v>
      </c>
      <c r="Z379" s="168">
        <v>44617</v>
      </c>
      <c r="AA379" s="166" t="s">
        <v>69</v>
      </c>
      <c r="AB379" s="166" t="s">
        <v>69</v>
      </c>
      <c r="AC379" s="166" t="s">
        <v>69</v>
      </c>
      <c r="AD379" s="167" t="s">
        <v>71</v>
      </c>
      <c r="AE379" s="167" t="s">
        <v>70</v>
      </c>
      <c r="AF379" s="112">
        <v>46141</v>
      </c>
      <c r="AG379" s="112" t="s">
        <v>69</v>
      </c>
      <c r="AH379" s="167" t="s">
        <v>71</v>
      </c>
      <c r="AI379" s="167" t="s">
        <v>70</v>
      </c>
      <c r="AJ379" s="167" t="s">
        <v>70</v>
      </c>
      <c r="AK379" s="167" t="s">
        <v>70</v>
      </c>
      <c r="AL379" s="166" t="s">
        <v>69</v>
      </c>
      <c r="AM379" s="166"/>
      <c r="AN379" s="166" t="s">
        <v>69</v>
      </c>
      <c r="AO379" s="167" t="s">
        <v>70</v>
      </c>
      <c r="AP379" s="166" t="s">
        <v>69</v>
      </c>
      <c r="AQ379" s="166" t="s">
        <v>69</v>
      </c>
      <c r="AR379" s="168">
        <v>46276</v>
      </c>
      <c r="AS379" s="166" t="s">
        <v>69</v>
      </c>
      <c r="AT379" s="166" t="s">
        <v>69</v>
      </c>
      <c r="AU379" s="166" t="s">
        <v>69</v>
      </c>
      <c r="AV379" s="166" t="s">
        <v>69</v>
      </c>
      <c r="AW379" s="166" t="s">
        <v>69</v>
      </c>
      <c r="AX379" s="166" t="s">
        <v>69</v>
      </c>
      <c r="AY379" s="166" t="s">
        <v>69</v>
      </c>
      <c r="AZ379" s="166" t="s">
        <v>69</v>
      </c>
      <c r="BA379" s="166" t="s">
        <v>69</v>
      </c>
      <c r="BB379" s="166" t="s">
        <v>69</v>
      </c>
      <c r="BC379" s="166" t="s">
        <v>69</v>
      </c>
      <c r="BD379" s="166" t="s">
        <v>69</v>
      </c>
      <c r="BE379" s="166" t="s">
        <v>69</v>
      </c>
      <c r="BF379" s="166" t="s">
        <v>69</v>
      </c>
      <c r="BG379" s="167" t="s">
        <v>70</v>
      </c>
      <c r="BH379" s="166" t="s">
        <v>69</v>
      </c>
      <c r="BI379" s="166" t="s">
        <v>69</v>
      </c>
      <c r="BJ379" s="167" t="s">
        <v>70</v>
      </c>
      <c r="BK379" s="166" t="s">
        <v>69</v>
      </c>
      <c r="BL379" s="167" t="s">
        <v>70</v>
      </c>
      <c r="BM379" s="167" t="s">
        <v>70</v>
      </c>
      <c r="BN379" s="167" t="s">
        <v>70</v>
      </c>
      <c r="BO379" s="167" t="s">
        <v>70</v>
      </c>
      <c r="BP379" s="167" t="s">
        <v>70</v>
      </c>
      <c r="BQ379" s="151">
        <v>0</v>
      </c>
      <c r="BR379" s="142"/>
      <c r="BS379" s="142"/>
      <c r="BT379" s="142"/>
      <c r="BU379" s="142"/>
      <c r="BV379" s="142"/>
      <c r="BW379" s="142"/>
      <c r="BX379" s="142"/>
      <c r="BY379" s="142"/>
      <c r="BZ379" s="142"/>
      <c r="CA379" s="142"/>
      <c r="CB379" s="142"/>
      <c r="CC379" s="142"/>
      <c r="CD379" s="142"/>
      <c r="CE379" s="142"/>
      <c r="CF379" s="142"/>
      <c r="CG379" s="142"/>
      <c r="CH379" s="142"/>
      <c r="CI379" s="142"/>
      <c r="CJ379" s="142"/>
      <c r="CK379" s="142"/>
      <c r="CL379" s="142"/>
      <c r="CM379" s="142"/>
      <c r="CN379" s="142"/>
      <c r="CO379" s="142"/>
      <c r="CP379" s="142"/>
      <c r="CQ379" s="142"/>
      <c r="CR379" s="142"/>
      <c r="CS379" s="142"/>
      <c r="CT379" s="142"/>
      <c r="CU379" s="142"/>
      <c r="CV379" s="142"/>
      <c r="CW379" s="142"/>
      <c r="CX379" s="142"/>
      <c r="CY379" s="142"/>
      <c r="CZ379" s="142"/>
      <c r="DA379" s="142"/>
      <c r="DB379" s="142"/>
      <c r="DC379" s="142"/>
      <c r="DD379" s="142"/>
      <c r="DE379" s="142"/>
      <c r="DF379" s="142"/>
      <c r="DG379" s="142"/>
      <c r="DH379" s="142"/>
      <c r="DI379" s="142"/>
      <c r="DJ379" s="142"/>
      <c r="DK379" s="142"/>
      <c r="DL379" s="142"/>
      <c r="DM379" s="142"/>
      <c r="DN379" s="142"/>
      <c r="DO379" s="142"/>
      <c r="DP379" s="142"/>
      <c r="DQ379" s="142"/>
      <c r="DR379" s="142"/>
      <c r="DS379" s="142"/>
      <c r="DT379" s="142"/>
      <c r="DU379" s="142"/>
      <c r="DV379" s="142"/>
      <c r="DW379" s="142"/>
      <c r="DX379" s="142"/>
      <c r="DY379" s="142"/>
      <c r="DZ379" s="142"/>
      <c r="EA379" s="142"/>
      <c r="EB379" s="142"/>
      <c r="EC379" s="142"/>
      <c r="ED379" s="142"/>
      <c r="EE379" s="142"/>
    </row>
    <row r="380" spans="1:135" s="151" customFormat="1" ht="19.5" customHeight="1" x14ac:dyDescent="0.2">
      <c r="A380" s="117">
        <v>377</v>
      </c>
      <c r="B380" s="174" t="s">
        <v>602</v>
      </c>
      <c r="C380" s="144">
        <v>151728</v>
      </c>
      <c r="D380" s="117" t="s">
        <v>73</v>
      </c>
      <c r="E380" s="146" t="s">
        <v>384</v>
      </c>
      <c r="F380" s="146" t="s">
        <v>208</v>
      </c>
      <c r="G380" s="111">
        <v>42249</v>
      </c>
      <c r="H380" s="111">
        <v>45350</v>
      </c>
      <c r="I380" s="111">
        <v>46126</v>
      </c>
      <c r="J380" s="162">
        <f t="shared" si="27"/>
        <v>46857</v>
      </c>
      <c r="K380" s="111">
        <v>45351</v>
      </c>
      <c r="L380" s="111">
        <v>46068</v>
      </c>
      <c r="M380" s="163">
        <f t="shared" si="28"/>
        <v>46798</v>
      </c>
      <c r="N380" s="111">
        <v>42234</v>
      </c>
      <c r="O380" s="111">
        <v>46300</v>
      </c>
      <c r="P380" s="111">
        <v>42236</v>
      </c>
      <c r="Q380" s="164">
        <v>42500</v>
      </c>
      <c r="R380" s="166" t="s">
        <v>69</v>
      </c>
      <c r="S380" s="166" t="s">
        <v>69</v>
      </c>
      <c r="T380" s="168">
        <v>43735</v>
      </c>
      <c r="U380" s="168">
        <v>43458</v>
      </c>
      <c r="V380" s="168">
        <v>43420</v>
      </c>
      <c r="W380" s="168">
        <v>44127</v>
      </c>
      <c r="X380" s="166" t="s">
        <v>69</v>
      </c>
      <c r="Y380" s="166" t="s">
        <v>69</v>
      </c>
      <c r="Z380" s="166" t="s">
        <v>69</v>
      </c>
      <c r="AA380" s="166" t="s">
        <v>69</v>
      </c>
      <c r="AB380" s="166" t="s">
        <v>69</v>
      </c>
      <c r="AC380" s="166" t="s">
        <v>69</v>
      </c>
      <c r="AD380" s="167" t="s">
        <v>71</v>
      </c>
      <c r="AE380" s="167" t="s">
        <v>70</v>
      </c>
      <c r="AF380" s="112">
        <v>46217</v>
      </c>
      <c r="AG380" s="112" t="s">
        <v>69</v>
      </c>
      <c r="AH380" s="167" t="s">
        <v>71</v>
      </c>
      <c r="AI380" s="167" t="s">
        <v>70</v>
      </c>
      <c r="AJ380" s="167" t="s">
        <v>70</v>
      </c>
      <c r="AK380" s="167" t="s">
        <v>70</v>
      </c>
      <c r="AL380" s="166" t="s">
        <v>69</v>
      </c>
      <c r="AM380" s="166"/>
      <c r="AN380" s="166" t="s">
        <v>69</v>
      </c>
      <c r="AO380" s="167" t="s">
        <v>70</v>
      </c>
      <c r="AP380" s="166" t="s">
        <v>69</v>
      </c>
      <c r="AQ380" s="166" t="s">
        <v>69</v>
      </c>
      <c r="AR380" s="168">
        <v>46244</v>
      </c>
      <c r="AS380" s="166" t="s">
        <v>69</v>
      </c>
      <c r="AT380" s="166" t="s">
        <v>69</v>
      </c>
      <c r="AU380" s="166" t="s">
        <v>69</v>
      </c>
      <c r="AV380" s="166" t="s">
        <v>69</v>
      </c>
      <c r="AW380" s="166" t="s">
        <v>69</v>
      </c>
      <c r="AX380" s="166" t="s">
        <v>69</v>
      </c>
      <c r="AY380" s="166" t="s">
        <v>69</v>
      </c>
      <c r="AZ380" s="166" t="s">
        <v>69</v>
      </c>
      <c r="BA380" s="166" t="s">
        <v>69</v>
      </c>
      <c r="BB380" s="166" t="s">
        <v>69</v>
      </c>
      <c r="BC380" s="166" t="s">
        <v>69</v>
      </c>
      <c r="BD380" s="166" t="s">
        <v>69</v>
      </c>
      <c r="BE380" s="166" t="s">
        <v>69</v>
      </c>
      <c r="BF380" s="166" t="s">
        <v>69</v>
      </c>
      <c r="BG380" s="167" t="s">
        <v>70</v>
      </c>
      <c r="BH380" s="166" t="s">
        <v>69</v>
      </c>
      <c r="BI380" s="166" t="s">
        <v>69</v>
      </c>
      <c r="BJ380" s="167" t="s">
        <v>70</v>
      </c>
      <c r="BK380" s="166" t="s">
        <v>69</v>
      </c>
      <c r="BL380" s="167" t="s">
        <v>70</v>
      </c>
      <c r="BM380" s="167" t="s">
        <v>70</v>
      </c>
      <c r="BN380" s="167" t="s">
        <v>70</v>
      </c>
      <c r="BO380" s="167" t="s">
        <v>70</v>
      </c>
      <c r="BP380" s="167" t="s">
        <v>70</v>
      </c>
      <c r="BQ380" s="151">
        <v>0</v>
      </c>
      <c r="BR380" s="142"/>
      <c r="BS380" s="142"/>
      <c r="BT380" s="142"/>
      <c r="BU380" s="142"/>
      <c r="BV380" s="142"/>
      <c r="BW380" s="142"/>
      <c r="BX380" s="142"/>
      <c r="BY380" s="142"/>
      <c r="BZ380" s="142"/>
      <c r="CA380" s="142"/>
      <c r="CB380" s="142"/>
      <c r="CC380" s="142"/>
      <c r="CD380" s="142"/>
      <c r="CE380" s="142"/>
      <c r="CF380" s="142"/>
      <c r="CG380" s="142"/>
      <c r="CH380" s="142"/>
      <c r="CI380" s="142"/>
      <c r="CJ380" s="142"/>
      <c r="CK380" s="142"/>
      <c r="CL380" s="142"/>
      <c r="CM380" s="142"/>
      <c r="CN380" s="142"/>
      <c r="CO380" s="142"/>
      <c r="CP380" s="142"/>
      <c r="CQ380" s="142"/>
      <c r="CR380" s="142"/>
      <c r="CS380" s="142"/>
      <c r="CT380" s="142"/>
      <c r="CU380" s="142"/>
      <c r="CV380" s="142"/>
      <c r="CW380" s="142"/>
      <c r="CX380" s="142"/>
      <c r="CY380" s="142"/>
      <c r="CZ380" s="142"/>
      <c r="DA380" s="142"/>
      <c r="DB380" s="142"/>
      <c r="DC380" s="142"/>
      <c r="DD380" s="142"/>
      <c r="DE380" s="142"/>
      <c r="DF380" s="142"/>
      <c r="DG380" s="142"/>
      <c r="DH380" s="142"/>
      <c r="DI380" s="142"/>
      <c r="DJ380" s="142"/>
      <c r="DK380" s="142"/>
      <c r="DL380" s="142"/>
      <c r="DM380" s="142"/>
      <c r="DN380" s="142"/>
      <c r="DO380" s="142"/>
      <c r="DP380" s="142"/>
      <c r="DQ380" s="142"/>
      <c r="DR380" s="142"/>
      <c r="DS380" s="142"/>
      <c r="DT380" s="142"/>
      <c r="DU380" s="142"/>
      <c r="DV380" s="142"/>
      <c r="DW380" s="142"/>
      <c r="DX380" s="142"/>
      <c r="DY380" s="142"/>
      <c r="DZ380" s="142"/>
      <c r="EA380" s="142"/>
      <c r="EB380" s="142"/>
      <c r="EC380" s="142"/>
      <c r="ED380" s="142"/>
      <c r="EE380" s="142"/>
    </row>
    <row r="381" spans="1:135" s="151" customFormat="1" ht="19.5" customHeight="1" x14ac:dyDescent="0.2">
      <c r="A381" s="117">
        <v>378</v>
      </c>
      <c r="B381" s="174" t="s">
        <v>603</v>
      </c>
      <c r="C381" s="144">
        <v>83102118</v>
      </c>
      <c r="D381" s="146" t="s">
        <v>67</v>
      </c>
      <c r="E381" s="146" t="s">
        <v>384</v>
      </c>
      <c r="F381" s="146" t="s">
        <v>208</v>
      </c>
      <c r="G381" s="111">
        <v>40977</v>
      </c>
      <c r="H381" s="111">
        <v>45350</v>
      </c>
      <c r="I381" s="111">
        <v>46171</v>
      </c>
      <c r="J381" s="162">
        <f t="shared" si="27"/>
        <v>46902</v>
      </c>
      <c r="K381" s="111">
        <v>45399</v>
      </c>
      <c r="L381" s="111">
        <v>46127</v>
      </c>
      <c r="M381" s="163">
        <f t="shared" si="28"/>
        <v>46858</v>
      </c>
      <c r="N381" s="111">
        <v>40751</v>
      </c>
      <c r="O381" s="111">
        <v>46300</v>
      </c>
      <c r="P381" s="165" t="s">
        <v>69</v>
      </c>
      <c r="Q381" s="165" t="s">
        <v>69</v>
      </c>
      <c r="R381" s="165" t="s">
        <v>69</v>
      </c>
      <c r="S381" s="165" t="s">
        <v>69</v>
      </c>
      <c r="T381" s="165" t="s">
        <v>69</v>
      </c>
      <c r="U381" s="165" t="s">
        <v>69</v>
      </c>
      <c r="V381" s="165" t="s">
        <v>69</v>
      </c>
      <c r="W381" s="165" t="s">
        <v>69</v>
      </c>
      <c r="X381" s="165" t="s">
        <v>69</v>
      </c>
      <c r="Y381" s="165" t="s">
        <v>69</v>
      </c>
      <c r="Z381" s="165" t="s">
        <v>69</v>
      </c>
      <c r="AA381" s="165" t="s">
        <v>69</v>
      </c>
      <c r="AB381" s="167" t="s">
        <v>70</v>
      </c>
      <c r="AC381" s="167" t="s">
        <v>70</v>
      </c>
      <c r="AD381" s="166" t="s">
        <v>69</v>
      </c>
      <c r="AE381" s="165" t="s">
        <v>69</v>
      </c>
      <c r="AF381" s="112" t="s">
        <v>69</v>
      </c>
      <c r="AG381" s="167" t="s">
        <v>70</v>
      </c>
      <c r="AH381" s="167" t="s">
        <v>70</v>
      </c>
      <c r="AI381" s="167" t="s">
        <v>70</v>
      </c>
      <c r="AJ381" s="167" t="s">
        <v>70</v>
      </c>
      <c r="AK381" s="167" t="s">
        <v>70</v>
      </c>
      <c r="AL381" s="166" t="s">
        <v>69</v>
      </c>
      <c r="AM381" s="166"/>
      <c r="AN381" s="167" t="s">
        <v>70</v>
      </c>
      <c r="AO381" s="167" t="s">
        <v>70</v>
      </c>
      <c r="AP381" s="166" t="s">
        <v>69</v>
      </c>
      <c r="AQ381" s="166" t="s">
        <v>69</v>
      </c>
      <c r="AR381" s="166" t="s">
        <v>69</v>
      </c>
      <c r="AS381" s="111">
        <v>45904</v>
      </c>
      <c r="AT381" s="166" t="s">
        <v>69</v>
      </c>
      <c r="AU381" s="166" t="s">
        <v>69</v>
      </c>
      <c r="AV381" s="166" t="s">
        <v>69</v>
      </c>
      <c r="AW381" s="167" t="s">
        <v>70</v>
      </c>
      <c r="AX381" s="167" t="s">
        <v>70</v>
      </c>
      <c r="AY381" s="167" t="s">
        <v>70</v>
      </c>
      <c r="AZ381" s="166" t="s">
        <v>69</v>
      </c>
      <c r="BA381" s="166" t="s">
        <v>69</v>
      </c>
      <c r="BB381" s="167" t="s">
        <v>70</v>
      </c>
      <c r="BC381" s="167" t="s">
        <v>70</v>
      </c>
      <c r="BD381" s="167" t="s">
        <v>70</v>
      </c>
      <c r="BE381" s="167" t="s">
        <v>70</v>
      </c>
      <c r="BF381" s="167" t="s">
        <v>70</v>
      </c>
      <c r="BG381" s="167" t="s">
        <v>70</v>
      </c>
      <c r="BH381" s="167" t="s">
        <v>70</v>
      </c>
      <c r="BI381" s="167" t="s">
        <v>70</v>
      </c>
      <c r="BJ381" s="167" t="s">
        <v>70</v>
      </c>
      <c r="BK381" s="167" t="s">
        <v>70</v>
      </c>
      <c r="BL381" s="167" t="s">
        <v>70</v>
      </c>
      <c r="BM381" s="167" t="s">
        <v>70</v>
      </c>
      <c r="BN381" s="166" t="s">
        <v>69</v>
      </c>
      <c r="BO381" s="166" t="s">
        <v>69</v>
      </c>
      <c r="BP381" s="167" t="s">
        <v>70</v>
      </c>
      <c r="BQ381" s="151">
        <v>0</v>
      </c>
      <c r="BR381" s="142"/>
      <c r="BS381" s="142"/>
      <c r="BT381" s="142"/>
      <c r="BU381" s="142"/>
      <c r="BV381" s="142"/>
      <c r="BW381" s="142"/>
      <c r="BX381" s="142"/>
      <c r="BY381" s="142"/>
      <c r="BZ381" s="142"/>
      <c r="CA381" s="142"/>
      <c r="CB381" s="142"/>
      <c r="CC381" s="142"/>
      <c r="CD381" s="142"/>
      <c r="CE381" s="142"/>
      <c r="CF381" s="142"/>
      <c r="CG381" s="142"/>
      <c r="CH381" s="142"/>
      <c r="CI381" s="142"/>
      <c r="CJ381" s="142"/>
      <c r="CK381" s="142"/>
      <c r="CL381" s="142"/>
      <c r="CM381" s="142"/>
      <c r="CN381" s="142"/>
      <c r="CO381" s="142"/>
      <c r="CP381" s="142"/>
      <c r="CQ381" s="142"/>
      <c r="CR381" s="142"/>
      <c r="CS381" s="142"/>
      <c r="CT381" s="142"/>
      <c r="CU381" s="142"/>
      <c r="CV381" s="142"/>
      <c r="CW381" s="142"/>
      <c r="CX381" s="142"/>
      <c r="CY381" s="142"/>
      <c r="CZ381" s="142"/>
      <c r="DA381" s="142"/>
      <c r="DB381" s="142"/>
      <c r="DC381" s="142"/>
      <c r="DD381" s="142"/>
      <c r="DE381" s="142"/>
      <c r="DF381" s="142"/>
      <c r="DG381" s="142"/>
      <c r="DH381" s="142"/>
      <c r="DI381" s="142"/>
      <c r="DJ381" s="142"/>
      <c r="DK381" s="142"/>
      <c r="DL381" s="142"/>
      <c r="DM381" s="142"/>
      <c r="DN381" s="142"/>
      <c r="DO381" s="142"/>
      <c r="DP381" s="142"/>
      <c r="DQ381" s="142"/>
      <c r="DR381" s="142"/>
      <c r="DS381" s="142"/>
      <c r="DT381" s="142"/>
      <c r="DU381" s="142"/>
      <c r="DV381" s="142"/>
      <c r="DW381" s="142"/>
      <c r="DX381" s="142"/>
      <c r="DY381" s="142"/>
      <c r="DZ381" s="142"/>
      <c r="EA381" s="142"/>
      <c r="EB381" s="142"/>
      <c r="EC381" s="142"/>
      <c r="ED381" s="142"/>
      <c r="EE381" s="142"/>
    </row>
    <row r="382" spans="1:135" s="151" customFormat="1" ht="19.5" customHeight="1" x14ac:dyDescent="0.2">
      <c r="A382" s="117">
        <v>379</v>
      </c>
      <c r="B382" s="174" t="s">
        <v>604</v>
      </c>
      <c r="C382" s="144">
        <v>147843</v>
      </c>
      <c r="D382" s="146" t="s">
        <v>67</v>
      </c>
      <c r="E382" s="146" t="s">
        <v>384</v>
      </c>
      <c r="F382" s="146" t="s">
        <v>208</v>
      </c>
      <c r="G382" s="162">
        <v>42094</v>
      </c>
      <c r="H382" s="162">
        <v>42338</v>
      </c>
      <c r="I382" s="162">
        <v>46149</v>
      </c>
      <c r="J382" s="162">
        <f t="shared" si="27"/>
        <v>46880</v>
      </c>
      <c r="K382" s="111">
        <v>42160</v>
      </c>
      <c r="L382" s="163">
        <v>46090</v>
      </c>
      <c r="M382" s="163">
        <f t="shared" si="28"/>
        <v>46821</v>
      </c>
      <c r="N382" s="111">
        <v>42234</v>
      </c>
      <c r="O382" s="111">
        <v>46300</v>
      </c>
      <c r="P382" s="111">
        <v>42234</v>
      </c>
      <c r="Q382" s="94">
        <v>42780</v>
      </c>
      <c r="R382" s="94">
        <v>45399</v>
      </c>
      <c r="S382" s="94">
        <v>46129</v>
      </c>
      <c r="T382" s="165" t="s">
        <v>69</v>
      </c>
      <c r="U382" s="165" t="s">
        <v>69</v>
      </c>
      <c r="V382" s="165" t="s">
        <v>69</v>
      </c>
      <c r="W382" s="165" t="s">
        <v>69</v>
      </c>
      <c r="X382" s="165" t="s">
        <v>69</v>
      </c>
      <c r="Y382" s="165" t="s">
        <v>69</v>
      </c>
      <c r="Z382" s="165" t="s">
        <v>69</v>
      </c>
      <c r="AA382" s="165" t="s">
        <v>69</v>
      </c>
      <c r="AB382" s="167" t="s">
        <v>70</v>
      </c>
      <c r="AC382" s="167" t="s">
        <v>70</v>
      </c>
      <c r="AD382" s="166" t="s">
        <v>69</v>
      </c>
      <c r="AE382" s="165" t="s">
        <v>69</v>
      </c>
      <c r="AF382" s="112" t="s">
        <v>69</v>
      </c>
      <c r="AG382" s="167" t="s">
        <v>70</v>
      </c>
      <c r="AH382" s="167" t="s">
        <v>70</v>
      </c>
      <c r="AI382" s="167" t="s">
        <v>70</v>
      </c>
      <c r="AJ382" s="167" t="s">
        <v>70</v>
      </c>
      <c r="AK382" s="167" t="s">
        <v>70</v>
      </c>
      <c r="AL382" s="166" t="s">
        <v>69</v>
      </c>
      <c r="AM382" s="166"/>
      <c r="AN382" s="167" t="s">
        <v>70</v>
      </c>
      <c r="AO382" s="167" t="s">
        <v>70</v>
      </c>
      <c r="AP382" s="166" t="s">
        <v>69</v>
      </c>
      <c r="AQ382" s="166" t="s">
        <v>69</v>
      </c>
      <c r="AR382" s="166" t="s">
        <v>69</v>
      </c>
      <c r="AS382" s="168">
        <v>45940</v>
      </c>
      <c r="AT382" s="166" t="s">
        <v>69</v>
      </c>
      <c r="AU382" s="166" t="s">
        <v>69</v>
      </c>
      <c r="AV382" s="166" t="s">
        <v>69</v>
      </c>
      <c r="AW382" s="167" t="s">
        <v>70</v>
      </c>
      <c r="AX382" s="167" t="s">
        <v>70</v>
      </c>
      <c r="AY382" s="167" t="s">
        <v>70</v>
      </c>
      <c r="AZ382" s="166" t="s">
        <v>69</v>
      </c>
      <c r="BA382" s="166" t="s">
        <v>69</v>
      </c>
      <c r="BB382" s="167" t="s">
        <v>70</v>
      </c>
      <c r="BC382" s="167" t="s">
        <v>70</v>
      </c>
      <c r="BD382" s="167" t="s">
        <v>70</v>
      </c>
      <c r="BE382" s="167" t="s">
        <v>70</v>
      </c>
      <c r="BF382" s="167" t="s">
        <v>70</v>
      </c>
      <c r="BG382" s="167" t="s">
        <v>70</v>
      </c>
      <c r="BH382" s="167" t="s">
        <v>70</v>
      </c>
      <c r="BI382" s="167" t="s">
        <v>70</v>
      </c>
      <c r="BJ382" s="167" t="s">
        <v>70</v>
      </c>
      <c r="BK382" s="167" t="s">
        <v>70</v>
      </c>
      <c r="BL382" s="167" t="s">
        <v>70</v>
      </c>
      <c r="BM382" s="167" t="s">
        <v>70</v>
      </c>
      <c r="BN382" s="166" t="s">
        <v>69</v>
      </c>
      <c r="BO382" s="166" t="s">
        <v>69</v>
      </c>
      <c r="BP382" s="167" t="s">
        <v>70</v>
      </c>
      <c r="BQ382" s="151">
        <v>0</v>
      </c>
      <c r="BR382" s="142"/>
      <c r="BS382" s="142"/>
      <c r="BT382" s="142"/>
      <c r="BU382" s="142"/>
      <c r="BV382" s="142"/>
      <c r="BW382" s="142"/>
      <c r="BX382" s="142"/>
      <c r="BY382" s="142"/>
      <c r="BZ382" s="142"/>
      <c r="CA382" s="142"/>
      <c r="CB382" s="142"/>
      <c r="CC382" s="142"/>
      <c r="CD382" s="142"/>
      <c r="CE382" s="142"/>
      <c r="CF382" s="142"/>
      <c r="CG382" s="142"/>
      <c r="CH382" s="142"/>
      <c r="CI382" s="142"/>
      <c r="CJ382" s="142"/>
      <c r="CK382" s="142"/>
      <c r="CL382" s="142"/>
      <c r="CM382" s="142"/>
      <c r="CN382" s="142"/>
      <c r="CO382" s="142"/>
      <c r="CP382" s="142"/>
      <c r="CQ382" s="142"/>
      <c r="CR382" s="142"/>
      <c r="CS382" s="142"/>
      <c r="CT382" s="142"/>
      <c r="CU382" s="142"/>
      <c r="CV382" s="142"/>
      <c r="CW382" s="142"/>
      <c r="CX382" s="142"/>
      <c r="CY382" s="142"/>
      <c r="CZ382" s="142"/>
      <c r="DA382" s="142"/>
      <c r="DB382" s="142"/>
      <c r="DC382" s="142"/>
      <c r="DD382" s="142"/>
      <c r="DE382" s="142"/>
      <c r="DF382" s="142"/>
      <c r="DG382" s="142"/>
      <c r="DH382" s="142"/>
      <c r="DI382" s="142"/>
      <c r="DJ382" s="142"/>
      <c r="DK382" s="142"/>
      <c r="DL382" s="142"/>
      <c r="DM382" s="142"/>
      <c r="DN382" s="142"/>
      <c r="DO382" s="142"/>
      <c r="DP382" s="142"/>
      <c r="DQ382" s="142"/>
      <c r="DR382" s="142"/>
      <c r="DS382" s="142"/>
      <c r="DT382" s="142"/>
      <c r="DU382" s="142"/>
      <c r="DV382" s="142"/>
      <c r="DW382" s="142"/>
      <c r="DX382" s="142"/>
      <c r="DY382" s="142"/>
      <c r="DZ382" s="142"/>
      <c r="EA382" s="142"/>
      <c r="EB382" s="142"/>
      <c r="EC382" s="142"/>
      <c r="ED382" s="142"/>
      <c r="EE382" s="142"/>
    </row>
    <row r="383" spans="1:135" s="151" customFormat="1" ht="19.5" customHeight="1" x14ac:dyDescent="0.2">
      <c r="A383" s="117">
        <v>380</v>
      </c>
      <c r="B383" s="188" t="s">
        <v>390</v>
      </c>
      <c r="C383" s="189">
        <v>83040081</v>
      </c>
      <c r="D383" s="171" t="s">
        <v>391</v>
      </c>
      <c r="E383" s="117" t="s">
        <v>384</v>
      </c>
      <c r="F383" s="146" t="s">
        <v>256</v>
      </c>
      <c r="G383" s="124" t="s">
        <v>69</v>
      </c>
      <c r="H383" s="190">
        <v>46248</v>
      </c>
      <c r="I383" s="190">
        <v>46248</v>
      </c>
      <c r="J383" s="92">
        <f>IF(I383="", "", DATE(YEAR(I383)+3, MONTH(I383), DAY(I383)))</f>
        <v>47344</v>
      </c>
      <c r="K383" s="190" t="s">
        <v>347</v>
      </c>
      <c r="L383" s="93">
        <v>45678</v>
      </c>
      <c r="M383" s="140">
        <f t="shared" ref="M383:M391" si="29">IF(L383="", "", DATE(YEAR(L383)+3, MONTH(L383), DAY(L383)))</f>
        <v>46773</v>
      </c>
      <c r="N383" s="93">
        <v>46185</v>
      </c>
      <c r="O383" s="93"/>
      <c r="P383" s="93"/>
      <c r="Q383" s="167" t="s">
        <v>70</v>
      </c>
      <c r="R383" s="167" t="s">
        <v>70</v>
      </c>
      <c r="S383" s="167" t="s">
        <v>70</v>
      </c>
      <c r="T383" s="167" t="s">
        <v>70</v>
      </c>
      <c r="U383" s="167" t="s">
        <v>70</v>
      </c>
      <c r="V383" s="167" t="s">
        <v>70</v>
      </c>
      <c r="W383" s="167" t="s">
        <v>70</v>
      </c>
      <c r="X383" s="167" t="s">
        <v>70</v>
      </c>
      <c r="Y383" s="167" t="s">
        <v>70</v>
      </c>
      <c r="Z383" s="167" t="s">
        <v>70</v>
      </c>
      <c r="AA383" s="167" t="s">
        <v>70</v>
      </c>
      <c r="AB383" s="167" t="s">
        <v>70</v>
      </c>
      <c r="AC383" s="167" t="s">
        <v>70</v>
      </c>
      <c r="AD383" s="167" t="s">
        <v>70</v>
      </c>
      <c r="AE383" s="167" t="s">
        <v>70</v>
      </c>
      <c r="AF383" s="167" t="s">
        <v>70</v>
      </c>
      <c r="AG383" s="167" t="s">
        <v>70</v>
      </c>
      <c r="AH383" s="167" t="s">
        <v>70</v>
      </c>
      <c r="AI383" s="181">
        <v>46307</v>
      </c>
      <c r="AJ383" s="163">
        <v>45357</v>
      </c>
      <c r="AK383" s="167" t="s">
        <v>70</v>
      </c>
      <c r="AL383" s="167" t="s">
        <v>70</v>
      </c>
      <c r="AM383" s="167"/>
      <c r="AN383" s="167" t="s">
        <v>70</v>
      </c>
      <c r="AO383" s="167" t="s">
        <v>70</v>
      </c>
      <c r="AP383" s="167" t="s">
        <v>70</v>
      </c>
      <c r="AQ383" s="167" t="s">
        <v>70</v>
      </c>
      <c r="AR383" s="166" t="s">
        <v>69</v>
      </c>
      <c r="AS383" s="167" t="s">
        <v>70</v>
      </c>
      <c r="AT383" s="167" t="s">
        <v>70</v>
      </c>
      <c r="AU383" s="167" t="s">
        <v>70</v>
      </c>
      <c r="AV383" s="167" t="s">
        <v>70</v>
      </c>
      <c r="AW383" s="167" t="s">
        <v>70</v>
      </c>
      <c r="AX383" s="167" t="s">
        <v>70</v>
      </c>
      <c r="AY383" s="167" t="s">
        <v>70</v>
      </c>
      <c r="AZ383" s="167" t="s">
        <v>70</v>
      </c>
      <c r="BA383" s="167" t="s">
        <v>70</v>
      </c>
      <c r="BB383" s="167" t="s">
        <v>70</v>
      </c>
      <c r="BC383" s="167" t="s">
        <v>70</v>
      </c>
      <c r="BD383" s="167" t="s">
        <v>70</v>
      </c>
      <c r="BE383" s="167" t="s">
        <v>70</v>
      </c>
      <c r="BF383" s="167" t="s">
        <v>70</v>
      </c>
      <c r="BG383" s="167" t="s">
        <v>70</v>
      </c>
      <c r="BH383" s="167" t="s">
        <v>70</v>
      </c>
      <c r="BI383" s="167" t="s">
        <v>70</v>
      </c>
      <c r="BJ383" s="167" t="s">
        <v>70</v>
      </c>
      <c r="BK383" s="167" t="s">
        <v>70</v>
      </c>
      <c r="BL383" s="167" t="s">
        <v>70</v>
      </c>
      <c r="BM383" s="167" t="s">
        <v>70</v>
      </c>
      <c r="BN383" s="167" t="s">
        <v>70</v>
      </c>
      <c r="BO383" s="167" t="s">
        <v>70</v>
      </c>
      <c r="BP383" s="167" t="s">
        <v>70</v>
      </c>
      <c r="BQ383" s="151" t="s">
        <v>256</v>
      </c>
    </row>
    <row r="384" spans="1:135" s="151" customFormat="1" ht="19.5" customHeight="1" x14ac:dyDescent="0.2">
      <c r="A384" s="117">
        <v>381</v>
      </c>
      <c r="B384" s="188" t="s">
        <v>385</v>
      </c>
      <c r="C384" s="189">
        <v>154599</v>
      </c>
      <c r="D384" s="161" t="s">
        <v>391</v>
      </c>
      <c r="E384" s="117" t="s">
        <v>384</v>
      </c>
      <c r="F384" s="146" t="s">
        <v>256</v>
      </c>
      <c r="G384" s="124" t="s">
        <v>69</v>
      </c>
      <c r="H384" s="93">
        <v>46183</v>
      </c>
      <c r="I384" s="93">
        <v>46183</v>
      </c>
      <c r="J384" s="92">
        <f>IF(I384="", "", DATE(YEAR(I384)+3, MONTH(I384), DAY(I384)))</f>
        <v>47279</v>
      </c>
      <c r="K384" s="190" t="s">
        <v>347</v>
      </c>
      <c r="L384" s="93">
        <v>45678</v>
      </c>
      <c r="M384" s="140">
        <f t="shared" si="29"/>
        <v>46773</v>
      </c>
      <c r="N384" s="93">
        <v>46245</v>
      </c>
      <c r="O384" s="93">
        <v>46258</v>
      </c>
      <c r="P384" s="93"/>
      <c r="Q384" s="167" t="s">
        <v>70</v>
      </c>
      <c r="R384" s="167" t="s">
        <v>70</v>
      </c>
      <c r="S384" s="167" t="s">
        <v>70</v>
      </c>
      <c r="T384" s="167" t="s">
        <v>70</v>
      </c>
      <c r="U384" s="167" t="s">
        <v>70</v>
      </c>
      <c r="V384" s="167" t="s">
        <v>70</v>
      </c>
      <c r="W384" s="167" t="s">
        <v>70</v>
      </c>
      <c r="X384" s="167" t="s">
        <v>70</v>
      </c>
      <c r="Y384" s="167" t="s">
        <v>70</v>
      </c>
      <c r="Z384" s="167" t="s">
        <v>70</v>
      </c>
      <c r="AA384" s="167" t="s">
        <v>70</v>
      </c>
      <c r="AB384" s="167" t="s">
        <v>70</v>
      </c>
      <c r="AC384" s="167" t="s">
        <v>70</v>
      </c>
      <c r="AD384" s="167" t="s">
        <v>70</v>
      </c>
      <c r="AE384" s="167" t="s">
        <v>70</v>
      </c>
      <c r="AF384" s="167" t="s">
        <v>70</v>
      </c>
      <c r="AG384" s="167" t="s">
        <v>70</v>
      </c>
      <c r="AH384" s="167" t="s">
        <v>70</v>
      </c>
      <c r="AI384" s="181">
        <v>46272</v>
      </c>
      <c r="AJ384" s="163">
        <v>45355</v>
      </c>
      <c r="AK384" s="167" t="s">
        <v>70</v>
      </c>
      <c r="AL384" s="167" t="s">
        <v>70</v>
      </c>
      <c r="AM384" s="167"/>
      <c r="AN384" s="167" t="s">
        <v>70</v>
      </c>
      <c r="AO384" s="167" t="s">
        <v>70</v>
      </c>
      <c r="AP384" s="167" t="s">
        <v>70</v>
      </c>
      <c r="AQ384" s="167" t="s">
        <v>70</v>
      </c>
      <c r="AR384" s="166" t="s">
        <v>69</v>
      </c>
      <c r="AS384" s="167" t="s">
        <v>70</v>
      </c>
      <c r="AT384" s="167" t="s">
        <v>70</v>
      </c>
      <c r="AU384" s="167" t="s">
        <v>70</v>
      </c>
      <c r="AV384" s="167" t="s">
        <v>70</v>
      </c>
      <c r="AW384" s="167" t="s">
        <v>70</v>
      </c>
      <c r="AX384" s="167" t="s">
        <v>70</v>
      </c>
      <c r="AY384" s="167" t="s">
        <v>70</v>
      </c>
      <c r="AZ384" s="167" t="s">
        <v>70</v>
      </c>
      <c r="BA384" s="167" t="s">
        <v>70</v>
      </c>
      <c r="BB384" s="167" t="s">
        <v>70</v>
      </c>
      <c r="BC384" s="167" t="s">
        <v>70</v>
      </c>
      <c r="BD384" s="167" t="s">
        <v>70</v>
      </c>
      <c r="BE384" s="167" t="s">
        <v>70</v>
      </c>
      <c r="BF384" s="167" t="s">
        <v>70</v>
      </c>
      <c r="BG384" s="167" t="s">
        <v>70</v>
      </c>
      <c r="BH384" s="167" t="s">
        <v>70</v>
      </c>
      <c r="BI384" s="167" t="s">
        <v>70</v>
      </c>
      <c r="BJ384" s="167" t="s">
        <v>70</v>
      </c>
      <c r="BK384" s="167" t="s">
        <v>70</v>
      </c>
      <c r="BL384" s="167" t="s">
        <v>70</v>
      </c>
      <c r="BM384" s="167" t="s">
        <v>70</v>
      </c>
      <c r="BN384" s="167" t="s">
        <v>70</v>
      </c>
      <c r="BO384" s="167" t="s">
        <v>70</v>
      </c>
      <c r="BP384" s="167" t="s">
        <v>70</v>
      </c>
      <c r="BQ384" s="151" t="s">
        <v>256</v>
      </c>
    </row>
    <row r="385" spans="1:135" s="151" customFormat="1" ht="19.5" customHeight="1" x14ac:dyDescent="0.2">
      <c r="A385" s="117">
        <v>382</v>
      </c>
      <c r="B385" s="121" t="s">
        <v>383</v>
      </c>
      <c r="C385" s="122">
        <v>147326</v>
      </c>
      <c r="D385" s="117" t="s">
        <v>212</v>
      </c>
      <c r="E385" s="117" t="s">
        <v>384</v>
      </c>
      <c r="F385" s="146" t="s">
        <v>256</v>
      </c>
      <c r="G385" s="124" t="s">
        <v>69</v>
      </c>
      <c r="H385" s="93">
        <v>46164</v>
      </c>
      <c r="I385" s="93">
        <v>46164</v>
      </c>
      <c r="J385" s="92">
        <f>IF(I385="", "", DATE(YEAR(I385)+3, MONTH(I385), DAY(L385)))</f>
        <v>47259</v>
      </c>
      <c r="K385" s="93">
        <v>46163</v>
      </c>
      <c r="L385" s="93">
        <v>46163</v>
      </c>
      <c r="M385" s="140">
        <f t="shared" si="29"/>
        <v>47259</v>
      </c>
      <c r="N385" s="93">
        <v>46167</v>
      </c>
      <c r="O385" s="93">
        <v>46161</v>
      </c>
      <c r="P385" s="93">
        <v>46162</v>
      </c>
      <c r="Q385" s="167" t="s">
        <v>70</v>
      </c>
      <c r="R385" s="167" t="s">
        <v>70</v>
      </c>
      <c r="S385" s="167" t="s">
        <v>70</v>
      </c>
      <c r="T385" s="167" t="s">
        <v>70</v>
      </c>
      <c r="U385" s="167" t="s">
        <v>70</v>
      </c>
      <c r="V385" s="167" t="s">
        <v>70</v>
      </c>
      <c r="W385" s="167" t="s">
        <v>70</v>
      </c>
      <c r="X385" s="167" t="s">
        <v>70</v>
      </c>
      <c r="Y385" s="167" t="s">
        <v>70</v>
      </c>
      <c r="Z385" s="167" t="s">
        <v>70</v>
      </c>
      <c r="AA385" s="167" t="s">
        <v>70</v>
      </c>
      <c r="AB385" s="167" t="s">
        <v>70</v>
      </c>
      <c r="AC385" s="167" t="s">
        <v>70</v>
      </c>
      <c r="AD385" s="167" t="s">
        <v>70</v>
      </c>
      <c r="AE385" s="167" t="s">
        <v>70</v>
      </c>
      <c r="AF385" s="167" t="s">
        <v>70</v>
      </c>
      <c r="AG385" s="167" t="s">
        <v>70</v>
      </c>
      <c r="AH385" s="167" t="s">
        <v>70</v>
      </c>
      <c r="AI385" s="181">
        <v>46044</v>
      </c>
      <c r="AJ385" s="163">
        <v>45352</v>
      </c>
      <c r="AK385" s="167" t="s">
        <v>70</v>
      </c>
      <c r="AL385" s="167" t="s">
        <v>70</v>
      </c>
      <c r="AM385" s="167"/>
      <c r="AN385" s="167" t="s">
        <v>70</v>
      </c>
      <c r="AO385" s="167" t="s">
        <v>70</v>
      </c>
      <c r="AP385" s="167" t="s">
        <v>70</v>
      </c>
      <c r="AQ385" s="167" t="s">
        <v>70</v>
      </c>
      <c r="AR385" s="166" t="s">
        <v>69</v>
      </c>
      <c r="AS385" s="167" t="s">
        <v>70</v>
      </c>
      <c r="AT385" s="167" t="s">
        <v>70</v>
      </c>
      <c r="AU385" s="167" t="s">
        <v>70</v>
      </c>
      <c r="AV385" s="167" t="s">
        <v>70</v>
      </c>
      <c r="AW385" s="167" t="s">
        <v>70</v>
      </c>
      <c r="AX385" s="167" t="s">
        <v>70</v>
      </c>
      <c r="AY385" s="167" t="s">
        <v>70</v>
      </c>
      <c r="AZ385" s="167" t="s">
        <v>70</v>
      </c>
      <c r="BA385" s="167" t="s">
        <v>70</v>
      </c>
      <c r="BB385" s="167" t="s">
        <v>70</v>
      </c>
      <c r="BC385" s="167" t="s">
        <v>70</v>
      </c>
      <c r="BD385" s="167" t="s">
        <v>70</v>
      </c>
      <c r="BE385" s="167" t="s">
        <v>70</v>
      </c>
      <c r="BF385" s="167" t="s">
        <v>70</v>
      </c>
      <c r="BG385" s="167" t="s">
        <v>70</v>
      </c>
      <c r="BH385" s="167" t="s">
        <v>70</v>
      </c>
      <c r="BI385" s="167" t="s">
        <v>70</v>
      </c>
      <c r="BJ385" s="167" t="s">
        <v>70</v>
      </c>
      <c r="BK385" s="167" t="s">
        <v>70</v>
      </c>
      <c r="BL385" s="167" t="s">
        <v>70</v>
      </c>
      <c r="BM385" s="167" t="s">
        <v>70</v>
      </c>
      <c r="BN385" s="167" t="s">
        <v>70</v>
      </c>
      <c r="BO385" s="167" t="s">
        <v>70</v>
      </c>
      <c r="BP385" s="167" t="s">
        <v>70</v>
      </c>
      <c r="BQ385" s="151" t="s">
        <v>256</v>
      </c>
    </row>
    <row r="386" spans="1:135" s="151" customFormat="1" ht="19.5" customHeight="1" x14ac:dyDescent="0.2">
      <c r="A386" s="117">
        <v>383</v>
      </c>
      <c r="B386" s="121" t="s">
        <v>386</v>
      </c>
      <c r="C386" s="122">
        <v>162697</v>
      </c>
      <c r="D386" s="117" t="s">
        <v>212</v>
      </c>
      <c r="E386" s="117" t="s">
        <v>384</v>
      </c>
      <c r="F386" s="146" t="s">
        <v>256</v>
      </c>
      <c r="G386" s="124" t="s">
        <v>69</v>
      </c>
      <c r="H386" s="93">
        <v>46199</v>
      </c>
      <c r="I386" s="93">
        <v>46199</v>
      </c>
      <c r="J386" s="92">
        <f>IF(I386="", "", DATE(YEAR(I386)+3, MONTH(I386), DAY(I386)))</f>
        <v>47295</v>
      </c>
      <c r="K386" s="93">
        <v>46198</v>
      </c>
      <c r="L386" s="93">
        <v>46198</v>
      </c>
      <c r="M386" s="140">
        <f t="shared" si="29"/>
        <v>47294</v>
      </c>
      <c r="N386" s="190">
        <v>46195</v>
      </c>
      <c r="O386" s="93">
        <v>46196</v>
      </c>
      <c r="P386" s="93">
        <v>46197</v>
      </c>
      <c r="Q386" s="167" t="s">
        <v>70</v>
      </c>
      <c r="R386" s="167" t="s">
        <v>70</v>
      </c>
      <c r="S386" s="167" t="s">
        <v>70</v>
      </c>
      <c r="T386" s="167" t="s">
        <v>70</v>
      </c>
      <c r="U386" s="167" t="s">
        <v>70</v>
      </c>
      <c r="V386" s="167" t="s">
        <v>70</v>
      </c>
      <c r="W386" s="167" t="s">
        <v>70</v>
      </c>
      <c r="X386" s="167" t="s">
        <v>70</v>
      </c>
      <c r="Y386" s="167" t="s">
        <v>70</v>
      </c>
      <c r="Z386" s="167" t="s">
        <v>70</v>
      </c>
      <c r="AA386" s="167" t="s">
        <v>70</v>
      </c>
      <c r="AB386" s="167" t="s">
        <v>70</v>
      </c>
      <c r="AC386" s="167" t="s">
        <v>70</v>
      </c>
      <c r="AD386" s="167" t="s">
        <v>70</v>
      </c>
      <c r="AE386" s="167" t="s">
        <v>70</v>
      </c>
      <c r="AF386" s="167" t="s">
        <v>70</v>
      </c>
      <c r="AG386" s="167" t="s">
        <v>70</v>
      </c>
      <c r="AH386" s="167" t="s">
        <v>70</v>
      </c>
      <c r="AI386" s="181">
        <v>45975</v>
      </c>
      <c r="AJ386" s="163">
        <v>45357</v>
      </c>
      <c r="AK386" s="167" t="s">
        <v>70</v>
      </c>
      <c r="AL386" s="167" t="s">
        <v>70</v>
      </c>
      <c r="AM386" s="167"/>
      <c r="AN386" s="167" t="s">
        <v>70</v>
      </c>
      <c r="AO386" s="167" t="s">
        <v>70</v>
      </c>
      <c r="AP386" s="167" t="s">
        <v>70</v>
      </c>
      <c r="AQ386" s="167" t="s">
        <v>70</v>
      </c>
      <c r="AR386" s="166" t="s">
        <v>69</v>
      </c>
      <c r="AS386" s="167" t="s">
        <v>70</v>
      </c>
      <c r="AT386" s="167" t="s">
        <v>70</v>
      </c>
      <c r="AU386" s="167" t="s">
        <v>70</v>
      </c>
      <c r="AV386" s="167" t="s">
        <v>70</v>
      </c>
      <c r="AW386" s="167" t="s">
        <v>70</v>
      </c>
      <c r="AX386" s="167" t="s">
        <v>70</v>
      </c>
      <c r="AY386" s="167" t="s">
        <v>70</v>
      </c>
      <c r="AZ386" s="167" t="s">
        <v>70</v>
      </c>
      <c r="BA386" s="167" t="s">
        <v>70</v>
      </c>
      <c r="BB386" s="167" t="s">
        <v>70</v>
      </c>
      <c r="BC386" s="167" t="s">
        <v>70</v>
      </c>
      <c r="BD386" s="167" t="s">
        <v>70</v>
      </c>
      <c r="BE386" s="167" t="s">
        <v>70</v>
      </c>
      <c r="BF386" s="167" t="s">
        <v>70</v>
      </c>
      <c r="BG386" s="167" t="s">
        <v>70</v>
      </c>
      <c r="BH386" s="167" t="s">
        <v>70</v>
      </c>
      <c r="BI386" s="167" t="s">
        <v>70</v>
      </c>
      <c r="BJ386" s="167" t="s">
        <v>70</v>
      </c>
      <c r="BK386" s="167" t="s">
        <v>70</v>
      </c>
      <c r="BL386" s="167" t="s">
        <v>70</v>
      </c>
      <c r="BM386" s="167" t="s">
        <v>70</v>
      </c>
      <c r="BN386" s="167" t="s">
        <v>70</v>
      </c>
      <c r="BO386" s="167" t="s">
        <v>70</v>
      </c>
      <c r="BP386" s="167" t="s">
        <v>70</v>
      </c>
      <c r="BQ386" s="151" t="s">
        <v>256</v>
      </c>
    </row>
    <row r="387" spans="1:135" s="151" customFormat="1" ht="19.5" customHeight="1" x14ac:dyDescent="0.2">
      <c r="A387" s="117">
        <v>384</v>
      </c>
      <c r="B387" s="121" t="s">
        <v>387</v>
      </c>
      <c r="C387" s="122">
        <v>162705</v>
      </c>
      <c r="D387" s="117" t="s">
        <v>212</v>
      </c>
      <c r="E387" s="117" t="s">
        <v>384</v>
      </c>
      <c r="F387" s="146" t="s">
        <v>256</v>
      </c>
      <c r="G387" s="124" t="s">
        <v>69</v>
      </c>
      <c r="H387" s="93"/>
      <c r="I387" s="93"/>
      <c r="J387" s="92" t="str">
        <f>IF(I387="", "", DATE(YEAR(I387)+3, MONTH(I387), DAY(L387)))</f>
        <v/>
      </c>
      <c r="K387" s="93"/>
      <c r="L387" s="93"/>
      <c r="M387" s="140" t="str">
        <f t="shared" si="29"/>
        <v/>
      </c>
      <c r="N387" s="93"/>
      <c r="O387" s="93"/>
      <c r="P387" s="93"/>
      <c r="Q387" s="167" t="s">
        <v>70</v>
      </c>
      <c r="R387" s="167" t="s">
        <v>70</v>
      </c>
      <c r="S387" s="167" t="s">
        <v>70</v>
      </c>
      <c r="T387" s="167" t="s">
        <v>70</v>
      </c>
      <c r="U387" s="167" t="s">
        <v>70</v>
      </c>
      <c r="V387" s="167" t="s">
        <v>70</v>
      </c>
      <c r="W387" s="167" t="s">
        <v>70</v>
      </c>
      <c r="X387" s="167" t="s">
        <v>70</v>
      </c>
      <c r="Y387" s="167" t="s">
        <v>70</v>
      </c>
      <c r="Z387" s="167" t="s">
        <v>70</v>
      </c>
      <c r="AA387" s="167" t="s">
        <v>70</v>
      </c>
      <c r="AB387" s="167" t="s">
        <v>70</v>
      </c>
      <c r="AC387" s="167" t="s">
        <v>70</v>
      </c>
      <c r="AD387" s="167" t="s">
        <v>70</v>
      </c>
      <c r="AE387" s="167" t="s">
        <v>70</v>
      </c>
      <c r="AF387" s="167" t="s">
        <v>70</v>
      </c>
      <c r="AG387" s="167" t="s">
        <v>70</v>
      </c>
      <c r="AH387" s="167" t="s">
        <v>70</v>
      </c>
      <c r="AI387" s="181">
        <v>45994</v>
      </c>
      <c r="AJ387" s="163">
        <v>45357</v>
      </c>
      <c r="AK387" s="167" t="s">
        <v>70</v>
      </c>
      <c r="AL387" s="167" t="s">
        <v>70</v>
      </c>
      <c r="AM387" s="167"/>
      <c r="AN387" s="167" t="s">
        <v>70</v>
      </c>
      <c r="AO387" s="167" t="s">
        <v>70</v>
      </c>
      <c r="AP387" s="167" t="s">
        <v>70</v>
      </c>
      <c r="AQ387" s="167" t="s">
        <v>70</v>
      </c>
      <c r="AR387" s="166" t="s">
        <v>69</v>
      </c>
      <c r="AS387" s="167" t="s">
        <v>70</v>
      </c>
      <c r="AT387" s="167" t="s">
        <v>70</v>
      </c>
      <c r="AU387" s="167" t="s">
        <v>70</v>
      </c>
      <c r="AV387" s="167" t="s">
        <v>70</v>
      </c>
      <c r="AW387" s="167" t="s">
        <v>70</v>
      </c>
      <c r="AX387" s="167" t="s">
        <v>70</v>
      </c>
      <c r="AY387" s="167" t="s">
        <v>70</v>
      </c>
      <c r="AZ387" s="167" t="s">
        <v>70</v>
      </c>
      <c r="BA387" s="167" t="s">
        <v>70</v>
      </c>
      <c r="BB387" s="167" t="s">
        <v>70</v>
      </c>
      <c r="BC387" s="167" t="s">
        <v>70</v>
      </c>
      <c r="BD387" s="167" t="s">
        <v>70</v>
      </c>
      <c r="BE387" s="167" t="s">
        <v>70</v>
      </c>
      <c r="BF387" s="167" t="s">
        <v>70</v>
      </c>
      <c r="BG387" s="167" t="s">
        <v>70</v>
      </c>
      <c r="BH387" s="167" t="s">
        <v>70</v>
      </c>
      <c r="BI387" s="167" t="s">
        <v>70</v>
      </c>
      <c r="BJ387" s="167" t="s">
        <v>70</v>
      </c>
      <c r="BK387" s="167" t="s">
        <v>70</v>
      </c>
      <c r="BL387" s="167" t="s">
        <v>70</v>
      </c>
      <c r="BM387" s="167" t="s">
        <v>70</v>
      </c>
      <c r="BN387" s="167" t="s">
        <v>70</v>
      </c>
      <c r="BO387" s="167" t="s">
        <v>70</v>
      </c>
      <c r="BP387" s="167" t="s">
        <v>70</v>
      </c>
      <c r="BQ387" s="151" t="s">
        <v>256</v>
      </c>
    </row>
    <row r="388" spans="1:135" s="151" customFormat="1" ht="19.5" customHeight="1" x14ac:dyDescent="0.2">
      <c r="A388" s="117">
        <v>385</v>
      </c>
      <c r="B388" s="121" t="s">
        <v>388</v>
      </c>
      <c r="C388" s="122">
        <v>154184</v>
      </c>
      <c r="D388" s="117" t="s">
        <v>212</v>
      </c>
      <c r="E388" s="117" t="s">
        <v>384</v>
      </c>
      <c r="F388" s="146" t="s">
        <v>256</v>
      </c>
      <c r="G388" s="124" t="s">
        <v>69</v>
      </c>
      <c r="H388" s="93"/>
      <c r="I388" s="93"/>
      <c r="J388" s="92" t="str">
        <f>IF(I388="", "", DATE(YEAR(I388)+3, MONTH(I388), DAY(L388)))</f>
        <v/>
      </c>
      <c r="K388" s="93"/>
      <c r="L388" s="93"/>
      <c r="M388" s="140" t="str">
        <f t="shared" si="29"/>
        <v/>
      </c>
      <c r="N388" s="93"/>
      <c r="O388" s="93"/>
      <c r="P388" s="93"/>
      <c r="Q388" s="167" t="s">
        <v>70</v>
      </c>
      <c r="R388" s="167" t="s">
        <v>70</v>
      </c>
      <c r="S388" s="167" t="s">
        <v>70</v>
      </c>
      <c r="T388" s="167" t="s">
        <v>70</v>
      </c>
      <c r="U388" s="167" t="s">
        <v>70</v>
      </c>
      <c r="V388" s="167" t="s">
        <v>70</v>
      </c>
      <c r="W388" s="167" t="s">
        <v>70</v>
      </c>
      <c r="X388" s="167" t="s">
        <v>70</v>
      </c>
      <c r="Y388" s="167" t="s">
        <v>70</v>
      </c>
      <c r="Z388" s="167" t="s">
        <v>70</v>
      </c>
      <c r="AA388" s="167" t="s">
        <v>70</v>
      </c>
      <c r="AB388" s="167" t="s">
        <v>70</v>
      </c>
      <c r="AC388" s="167" t="s">
        <v>70</v>
      </c>
      <c r="AD388" s="167" t="s">
        <v>70</v>
      </c>
      <c r="AE388" s="167" t="s">
        <v>70</v>
      </c>
      <c r="AF388" s="167" t="s">
        <v>70</v>
      </c>
      <c r="AG388" s="167" t="s">
        <v>70</v>
      </c>
      <c r="AH388" s="167" t="s">
        <v>70</v>
      </c>
      <c r="AI388" s="181">
        <v>46086</v>
      </c>
      <c r="AJ388" s="163">
        <v>45348</v>
      </c>
      <c r="AK388" s="167" t="s">
        <v>70</v>
      </c>
      <c r="AL388" s="167" t="s">
        <v>70</v>
      </c>
      <c r="AM388" s="167"/>
      <c r="AN388" s="167" t="s">
        <v>70</v>
      </c>
      <c r="AO388" s="167" t="s">
        <v>70</v>
      </c>
      <c r="AP388" s="167" t="s">
        <v>70</v>
      </c>
      <c r="AQ388" s="167" t="s">
        <v>70</v>
      </c>
      <c r="AR388" s="166" t="s">
        <v>69</v>
      </c>
      <c r="AS388" s="167" t="s">
        <v>70</v>
      </c>
      <c r="AT388" s="167" t="s">
        <v>70</v>
      </c>
      <c r="AU388" s="167" t="s">
        <v>70</v>
      </c>
      <c r="AV388" s="167" t="s">
        <v>70</v>
      </c>
      <c r="AW388" s="167" t="s">
        <v>70</v>
      </c>
      <c r="AX388" s="167" t="s">
        <v>70</v>
      </c>
      <c r="AY388" s="167" t="s">
        <v>70</v>
      </c>
      <c r="AZ388" s="167" t="s">
        <v>70</v>
      </c>
      <c r="BA388" s="167" t="s">
        <v>70</v>
      </c>
      <c r="BB388" s="167" t="s">
        <v>70</v>
      </c>
      <c r="BC388" s="167" t="s">
        <v>70</v>
      </c>
      <c r="BD388" s="167" t="s">
        <v>70</v>
      </c>
      <c r="BE388" s="167" t="s">
        <v>70</v>
      </c>
      <c r="BF388" s="167" t="s">
        <v>70</v>
      </c>
      <c r="BG388" s="167" t="s">
        <v>70</v>
      </c>
      <c r="BH388" s="167" t="s">
        <v>70</v>
      </c>
      <c r="BI388" s="167" t="s">
        <v>70</v>
      </c>
      <c r="BJ388" s="167" t="s">
        <v>70</v>
      </c>
      <c r="BK388" s="167" t="s">
        <v>70</v>
      </c>
      <c r="BL388" s="167" t="s">
        <v>70</v>
      </c>
      <c r="BM388" s="167" t="s">
        <v>70</v>
      </c>
      <c r="BN388" s="167" t="s">
        <v>70</v>
      </c>
      <c r="BO388" s="167" t="s">
        <v>70</v>
      </c>
      <c r="BP388" s="167" t="s">
        <v>70</v>
      </c>
      <c r="BQ388" s="151" t="s">
        <v>256</v>
      </c>
    </row>
    <row r="389" spans="1:135" s="151" customFormat="1" ht="19.5" customHeight="1" x14ac:dyDescent="0.2">
      <c r="A389" s="117">
        <v>386</v>
      </c>
      <c r="B389" s="121" t="s">
        <v>389</v>
      </c>
      <c r="C389" s="122">
        <v>134571</v>
      </c>
      <c r="D389" s="117" t="s">
        <v>212</v>
      </c>
      <c r="E389" s="117" t="s">
        <v>384</v>
      </c>
      <c r="F389" s="146" t="s">
        <v>256</v>
      </c>
      <c r="G389" s="124" t="s">
        <v>69</v>
      </c>
      <c r="H389" s="190" t="s">
        <v>315</v>
      </c>
      <c r="I389" s="93">
        <v>45679</v>
      </c>
      <c r="J389" s="92">
        <f>IF(I389="", "", DATE(YEAR(I389)+3, MONTH(I389), DAY(L389)))</f>
        <v>46773</v>
      </c>
      <c r="K389" s="190" t="s">
        <v>347</v>
      </c>
      <c r="L389" s="93">
        <v>45678</v>
      </c>
      <c r="M389" s="140">
        <f t="shared" si="29"/>
        <v>46773</v>
      </c>
      <c r="N389" s="93">
        <v>46282</v>
      </c>
      <c r="O389" s="93"/>
      <c r="P389" s="93"/>
      <c r="Q389" s="167" t="s">
        <v>70</v>
      </c>
      <c r="R389" s="167" t="s">
        <v>70</v>
      </c>
      <c r="S389" s="167" t="s">
        <v>70</v>
      </c>
      <c r="T389" s="167" t="s">
        <v>70</v>
      </c>
      <c r="U389" s="167" t="s">
        <v>70</v>
      </c>
      <c r="V389" s="167" t="s">
        <v>70</v>
      </c>
      <c r="W389" s="167" t="s">
        <v>70</v>
      </c>
      <c r="X389" s="167" t="s">
        <v>70</v>
      </c>
      <c r="Y389" s="167" t="s">
        <v>70</v>
      </c>
      <c r="Z389" s="167" t="s">
        <v>70</v>
      </c>
      <c r="AA389" s="167" t="s">
        <v>70</v>
      </c>
      <c r="AB389" s="167" t="s">
        <v>70</v>
      </c>
      <c r="AC389" s="167" t="s">
        <v>70</v>
      </c>
      <c r="AD389" s="167" t="s">
        <v>70</v>
      </c>
      <c r="AE389" s="167" t="s">
        <v>70</v>
      </c>
      <c r="AF389" s="167" t="s">
        <v>70</v>
      </c>
      <c r="AG389" s="167" t="s">
        <v>70</v>
      </c>
      <c r="AH389" s="167" t="s">
        <v>70</v>
      </c>
      <c r="AI389" s="181">
        <v>46128</v>
      </c>
      <c r="AJ389" s="163">
        <v>45348</v>
      </c>
      <c r="AK389" s="167" t="s">
        <v>70</v>
      </c>
      <c r="AL389" s="167" t="s">
        <v>70</v>
      </c>
      <c r="AM389" s="167"/>
      <c r="AN389" s="167" t="s">
        <v>70</v>
      </c>
      <c r="AO389" s="167" t="s">
        <v>70</v>
      </c>
      <c r="AP389" s="167" t="s">
        <v>70</v>
      </c>
      <c r="AQ389" s="167" t="s">
        <v>70</v>
      </c>
      <c r="AR389" s="166" t="s">
        <v>69</v>
      </c>
      <c r="AS389" s="167" t="s">
        <v>70</v>
      </c>
      <c r="AT389" s="167" t="s">
        <v>70</v>
      </c>
      <c r="AU389" s="167" t="s">
        <v>70</v>
      </c>
      <c r="AV389" s="167" t="s">
        <v>70</v>
      </c>
      <c r="AW389" s="167" t="s">
        <v>70</v>
      </c>
      <c r="AX389" s="167" t="s">
        <v>70</v>
      </c>
      <c r="AY389" s="167" t="s">
        <v>70</v>
      </c>
      <c r="AZ389" s="167" t="s">
        <v>70</v>
      </c>
      <c r="BA389" s="167" t="s">
        <v>70</v>
      </c>
      <c r="BB389" s="167" t="s">
        <v>70</v>
      </c>
      <c r="BC389" s="167" t="s">
        <v>70</v>
      </c>
      <c r="BD389" s="167" t="s">
        <v>70</v>
      </c>
      <c r="BE389" s="167" t="s">
        <v>70</v>
      </c>
      <c r="BF389" s="167" t="s">
        <v>70</v>
      </c>
      <c r="BG389" s="167" t="s">
        <v>70</v>
      </c>
      <c r="BH389" s="167" t="s">
        <v>70</v>
      </c>
      <c r="BI389" s="167" t="s">
        <v>70</v>
      </c>
      <c r="BJ389" s="167" t="s">
        <v>70</v>
      </c>
      <c r="BK389" s="167" t="s">
        <v>70</v>
      </c>
      <c r="BL389" s="167" t="s">
        <v>70</v>
      </c>
      <c r="BM389" s="167" t="s">
        <v>70</v>
      </c>
      <c r="BN389" s="167" t="s">
        <v>70</v>
      </c>
      <c r="BO389" s="167" t="s">
        <v>70</v>
      </c>
      <c r="BP389" s="167" t="s">
        <v>70</v>
      </c>
      <c r="BQ389" s="151" t="s">
        <v>256</v>
      </c>
    </row>
    <row r="390" spans="1:135" s="151" customFormat="1" ht="19.5" customHeight="1" x14ac:dyDescent="0.2">
      <c r="A390" s="117">
        <v>387</v>
      </c>
      <c r="B390" s="121" t="s">
        <v>392</v>
      </c>
      <c r="C390" s="122">
        <v>152573</v>
      </c>
      <c r="D390" s="117" t="s">
        <v>212</v>
      </c>
      <c r="E390" s="117" t="s">
        <v>384</v>
      </c>
      <c r="F390" s="146" t="s">
        <v>256</v>
      </c>
      <c r="G390" s="124" t="s">
        <v>69</v>
      </c>
      <c r="H390" s="190"/>
      <c r="I390" s="93"/>
      <c r="J390" s="92"/>
      <c r="K390" s="190" t="s">
        <v>347</v>
      </c>
      <c r="L390" s="93">
        <v>45678</v>
      </c>
      <c r="M390" s="140">
        <f t="shared" si="29"/>
        <v>46773</v>
      </c>
      <c r="N390" s="93"/>
      <c r="O390" s="93">
        <v>46184</v>
      </c>
      <c r="P390" s="93"/>
      <c r="Q390" s="167" t="s">
        <v>70</v>
      </c>
      <c r="R390" s="167" t="s">
        <v>70</v>
      </c>
      <c r="S390" s="167" t="s">
        <v>70</v>
      </c>
      <c r="T390" s="167" t="s">
        <v>70</v>
      </c>
      <c r="U390" s="167" t="s">
        <v>70</v>
      </c>
      <c r="V390" s="167" t="s">
        <v>70</v>
      </c>
      <c r="W390" s="167" t="s">
        <v>70</v>
      </c>
      <c r="X390" s="167" t="s">
        <v>70</v>
      </c>
      <c r="Y390" s="167" t="s">
        <v>70</v>
      </c>
      <c r="Z390" s="167" t="s">
        <v>70</v>
      </c>
      <c r="AA390" s="167" t="s">
        <v>70</v>
      </c>
      <c r="AB390" s="167" t="s">
        <v>70</v>
      </c>
      <c r="AC390" s="167" t="s">
        <v>70</v>
      </c>
      <c r="AD390" s="167" t="s">
        <v>70</v>
      </c>
      <c r="AE390" s="167" t="s">
        <v>70</v>
      </c>
      <c r="AF390" s="167" t="s">
        <v>70</v>
      </c>
      <c r="AG390" s="167" t="s">
        <v>70</v>
      </c>
      <c r="AH390" s="167" t="s">
        <v>70</v>
      </c>
      <c r="AI390" s="111">
        <v>45897</v>
      </c>
      <c r="AJ390" s="163">
        <v>45359</v>
      </c>
      <c r="AK390" s="167" t="s">
        <v>70</v>
      </c>
      <c r="AL390" s="167" t="s">
        <v>70</v>
      </c>
      <c r="AM390" s="167"/>
      <c r="AN390" s="167" t="s">
        <v>70</v>
      </c>
      <c r="AO390" s="167" t="s">
        <v>70</v>
      </c>
      <c r="AP390" s="167" t="s">
        <v>70</v>
      </c>
      <c r="AQ390" s="167" t="s">
        <v>70</v>
      </c>
      <c r="AR390" s="166" t="s">
        <v>69</v>
      </c>
      <c r="AS390" s="167" t="s">
        <v>70</v>
      </c>
      <c r="AT390" s="167" t="s">
        <v>70</v>
      </c>
      <c r="AU390" s="167" t="s">
        <v>70</v>
      </c>
      <c r="AV390" s="167" t="s">
        <v>70</v>
      </c>
      <c r="AW390" s="167" t="s">
        <v>70</v>
      </c>
      <c r="AX390" s="167" t="s">
        <v>70</v>
      </c>
      <c r="AY390" s="167" t="s">
        <v>70</v>
      </c>
      <c r="AZ390" s="167" t="s">
        <v>70</v>
      </c>
      <c r="BA390" s="167" t="s">
        <v>70</v>
      </c>
      <c r="BB390" s="167" t="s">
        <v>70</v>
      </c>
      <c r="BC390" s="167" t="s">
        <v>70</v>
      </c>
      <c r="BD390" s="167" t="s">
        <v>70</v>
      </c>
      <c r="BE390" s="167" t="s">
        <v>70</v>
      </c>
      <c r="BF390" s="167" t="s">
        <v>70</v>
      </c>
      <c r="BG390" s="167" t="s">
        <v>70</v>
      </c>
      <c r="BH390" s="167" t="s">
        <v>70</v>
      </c>
      <c r="BI390" s="167" t="s">
        <v>70</v>
      </c>
      <c r="BJ390" s="167" t="s">
        <v>70</v>
      </c>
      <c r="BK390" s="167" t="s">
        <v>70</v>
      </c>
      <c r="BL390" s="167" t="s">
        <v>70</v>
      </c>
      <c r="BM390" s="167" t="s">
        <v>70</v>
      </c>
      <c r="BN390" s="167" t="s">
        <v>70</v>
      </c>
      <c r="BO390" s="167" t="s">
        <v>70</v>
      </c>
      <c r="BP390" s="167" t="s">
        <v>70</v>
      </c>
      <c r="BQ390" s="151" t="s">
        <v>256</v>
      </c>
    </row>
    <row r="391" spans="1:135" s="151" customFormat="1" ht="19.5" customHeight="1" x14ac:dyDescent="0.2">
      <c r="A391" s="117">
        <v>388</v>
      </c>
      <c r="B391" s="144" t="s">
        <v>393</v>
      </c>
      <c r="C391" s="179">
        <v>251126</v>
      </c>
      <c r="D391" s="117" t="s">
        <v>212</v>
      </c>
      <c r="E391" s="179" t="s">
        <v>384</v>
      </c>
      <c r="F391" s="146" t="s">
        <v>256</v>
      </c>
      <c r="G391" s="124" t="s">
        <v>69</v>
      </c>
      <c r="H391" s="172">
        <v>45828</v>
      </c>
      <c r="I391" s="172">
        <v>45828</v>
      </c>
      <c r="J391" s="92">
        <f>IF(I391="", "", DATE(YEAR(I391)+3, MONTH(I391), DAY(L391)))</f>
        <v>46923</v>
      </c>
      <c r="K391" s="111">
        <v>45827</v>
      </c>
      <c r="L391" s="111">
        <v>45827</v>
      </c>
      <c r="M391" s="140">
        <f t="shared" si="29"/>
        <v>46923</v>
      </c>
      <c r="N391" s="93">
        <v>45825</v>
      </c>
      <c r="O391" s="93">
        <v>45824</v>
      </c>
      <c r="P391" s="93">
        <v>45826</v>
      </c>
      <c r="Q391" s="167" t="s">
        <v>70</v>
      </c>
      <c r="R391" s="167" t="s">
        <v>70</v>
      </c>
      <c r="S391" s="167" t="s">
        <v>70</v>
      </c>
      <c r="T391" s="167" t="s">
        <v>70</v>
      </c>
      <c r="U391" s="167" t="s">
        <v>70</v>
      </c>
      <c r="V391" s="167" t="s">
        <v>70</v>
      </c>
      <c r="W391" s="167" t="s">
        <v>70</v>
      </c>
      <c r="X391" s="167" t="s">
        <v>70</v>
      </c>
      <c r="Y391" s="167" t="s">
        <v>70</v>
      </c>
      <c r="Z391" s="167" t="s">
        <v>70</v>
      </c>
      <c r="AA391" s="167" t="s">
        <v>70</v>
      </c>
      <c r="AB391" s="167" t="s">
        <v>70</v>
      </c>
      <c r="AC391" s="167" t="s">
        <v>70</v>
      </c>
      <c r="AD391" s="167" t="s">
        <v>70</v>
      </c>
      <c r="AE391" s="167" t="s">
        <v>70</v>
      </c>
      <c r="AF391" s="167" t="s">
        <v>70</v>
      </c>
      <c r="AG391" s="167" t="s">
        <v>70</v>
      </c>
      <c r="AH391" s="167" t="s">
        <v>70</v>
      </c>
      <c r="AI391" s="111">
        <v>45967</v>
      </c>
      <c r="AJ391" s="166" t="s">
        <v>69</v>
      </c>
      <c r="AK391" s="167" t="s">
        <v>70</v>
      </c>
      <c r="AL391" s="167" t="s">
        <v>70</v>
      </c>
      <c r="AM391" s="167"/>
      <c r="AN391" s="167" t="s">
        <v>70</v>
      </c>
      <c r="AO391" s="167" t="s">
        <v>70</v>
      </c>
      <c r="AP391" s="167" t="s">
        <v>70</v>
      </c>
      <c r="AQ391" s="167" t="s">
        <v>70</v>
      </c>
      <c r="AR391" s="166" t="s">
        <v>69</v>
      </c>
      <c r="AS391" s="167" t="s">
        <v>70</v>
      </c>
      <c r="AT391" s="167" t="s">
        <v>70</v>
      </c>
      <c r="AU391" s="167" t="s">
        <v>70</v>
      </c>
      <c r="AV391" s="167" t="s">
        <v>70</v>
      </c>
      <c r="AW391" s="167" t="s">
        <v>70</v>
      </c>
      <c r="AX391" s="167" t="s">
        <v>70</v>
      </c>
      <c r="AY391" s="167" t="s">
        <v>70</v>
      </c>
      <c r="AZ391" s="167" t="s">
        <v>70</v>
      </c>
      <c r="BA391" s="167" t="s">
        <v>70</v>
      </c>
      <c r="BB391" s="167" t="s">
        <v>70</v>
      </c>
      <c r="BC391" s="167" t="s">
        <v>70</v>
      </c>
      <c r="BD391" s="167" t="s">
        <v>70</v>
      </c>
      <c r="BE391" s="167" t="s">
        <v>70</v>
      </c>
      <c r="BF391" s="167" t="s">
        <v>70</v>
      </c>
      <c r="BG391" s="167" t="s">
        <v>70</v>
      </c>
      <c r="BH391" s="167" t="s">
        <v>70</v>
      </c>
      <c r="BI391" s="167" t="s">
        <v>70</v>
      </c>
      <c r="BJ391" s="167" t="s">
        <v>70</v>
      </c>
      <c r="BK391" s="167" t="s">
        <v>70</v>
      </c>
      <c r="BL391" s="167" t="s">
        <v>70</v>
      </c>
      <c r="BM391" s="167" t="s">
        <v>70</v>
      </c>
      <c r="BN391" s="167" t="s">
        <v>70</v>
      </c>
      <c r="BO391" s="167" t="s">
        <v>70</v>
      </c>
      <c r="BP391" s="167" t="s">
        <v>70</v>
      </c>
      <c r="BQ391" s="151" t="s">
        <v>256</v>
      </c>
    </row>
    <row r="392" spans="1:135" s="151" customFormat="1" ht="19.5" customHeight="1" x14ac:dyDescent="0.2">
      <c r="A392" s="117">
        <v>389</v>
      </c>
      <c r="B392" s="174" t="s">
        <v>394</v>
      </c>
      <c r="C392" s="144">
        <v>150928</v>
      </c>
      <c r="D392" s="117" t="s">
        <v>212</v>
      </c>
      <c r="E392" s="146" t="s">
        <v>384</v>
      </c>
      <c r="F392" s="146" t="s">
        <v>208</v>
      </c>
      <c r="G392" s="119" t="s">
        <v>69</v>
      </c>
      <c r="H392" s="162">
        <v>42305</v>
      </c>
      <c r="I392" s="163">
        <v>46157</v>
      </c>
      <c r="J392" s="162">
        <f>IF(I392="", "", DATE(YEAR(I392)+2, MONTH(I392), DAY(I392)))</f>
        <v>46888</v>
      </c>
      <c r="K392" s="111">
        <v>42150</v>
      </c>
      <c r="L392" s="163">
        <v>46154</v>
      </c>
      <c r="M392" s="163">
        <f>IF(L392="", "", DATE(YEAR(L392)+2, MONTH(L392), DAY(L392)))</f>
        <v>46885</v>
      </c>
      <c r="N392" s="111">
        <v>42116</v>
      </c>
      <c r="O392" s="111">
        <v>45694</v>
      </c>
      <c r="P392" s="111">
        <v>44482</v>
      </c>
      <c r="Q392" s="167" t="s">
        <v>70</v>
      </c>
      <c r="R392" s="167" t="s">
        <v>70</v>
      </c>
      <c r="S392" s="167" t="s">
        <v>70</v>
      </c>
      <c r="T392" s="167" t="s">
        <v>70</v>
      </c>
      <c r="U392" s="167" t="s">
        <v>70</v>
      </c>
      <c r="V392" s="167" t="s">
        <v>70</v>
      </c>
      <c r="W392" s="167" t="s">
        <v>70</v>
      </c>
      <c r="X392" s="167" t="s">
        <v>70</v>
      </c>
      <c r="Y392" s="167" t="s">
        <v>70</v>
      </c>
      <c r="Z392" s="167" t="s">
        <v>70</v>
      </c>
      <c r="AA392" s="167" t="s">
        <v>70</v>
      </c>
      <c r="AB392" s="167" t="s">
        <v>70</v>
      </c>
      <c r="AC392" s="167" t="s">
        <v>70</v>
      </c>
      <c r="AD392" s="167" t="s">
        <v>70</v>
      </c>
      <c r="AE392" s="167" t="s">
        <v>70</v>
      </c>
      <c r="AF392" s="167" t="s">
        <v>70</v>
      </c>
      <c r="AG392" s="167" t="s">
        <v>70</v>
      </c>
      <c r="AH392" s="167" t="s">
        <v>70</v>
      </c>
      <c r="AI392" s="111">
        <v>45995</v>
      </c>
      <c r="AJ392" s="166" t="s">
        <v>69</v>
      </c>
      <c r="AK392" s="167" t="s">
        <v>70</v>
      </c>
      <c r="AL392" s="167" t="s">
        <v>70</v>
      </c>
      <c r="AM392" s="167"/>
      <c r="AN392" s="167" t="s">
        <v>70</v>
      </c>
      <c r="AO392" s="167" t="s">
        <v>70</v>
      </c>
      <c r="AP392" s="167" t="s">
        <v>70</v>
      </c>
      <c r="AQ392" s="167" t="s">
        <v>70</v>
      </c>
      <c r="AR392" s="166" t="s">
        <v>69</v>
      </c>
      <c r="AS392" s="167" t="s">
        <v>70</v>
      </c>
      <c r="AT392" s="167" t="s">
        <v>70</v>
      </c>
      <c r="AU392" s="167" t="s">
        <v>70</v>
      </c>
      <c r="AV392" s="167" t="s">
        <v>70</v>
      </c>
      <c r="AW392" s="167" t="s">
        <v>70</v>
      </c>
      <c r="AX392" s="167" t="s">
        <v>70</v>
      </c>
      <c r="AY392" s="167" t="s">
        <v>70</v>
      </c>
      <c r="AZ392" s="167" t="s">
        <v>70</v>
      </c>
      <c r="BA392" s="167" t="s">
        <v>70</v>
      </c>
      <c r="BB392" s="167" t="s">
        <v>70</v>
      </c>
      <c r="BC392" s="167" t="s">
        <v>70</v>
      </c>
      <c r="BD392" s="167" t="s">
        <v>70</v>
      </c>
      <c r="BE392" s="167" t="s">
        <v>70</v>
      </c>
      <c r="BF392" s="167" t="s">
        <v>70</v>
      </c>
      <c r="BG392" s="167" t="s">
        <v>70</v>
      </c>
      <c r="BH392" s="167" t="s">
        <v>70</v>
      </c>
      <c r="BI392" s="167" t="s">
        <v>70</v>
      </c>
      <c r="BJ392" s="167" t="s">
        <v>70</v>
      </c>
      <c r="BK392" s="167" t="s">
        <v>70</v>
      </c>
      <c r="BL392" s="167" t="s">
        <v>70</v>
      </c>
      <c r="BM392" s="167" t="s">
        <v>70</v>
      </c>
      <c r="BN392" s="167" t="s">
        <v>70</v>
      </c>
      <c r="BO392" s="167" t="s">
        <v>70</v>
      </c>
      <c r="BP392" s="167" t="s">
        <v>70</v>
      </c>
      <c r="BQ392" s="151" t="s">
        <v>208</v>
      </c>
    </row>
    <row r="393" spans="1:135" s="151" customFormat="1" ht="19.5" customHeight="1" x14ac:dyDescent="0.2">
      <c r="A393" s="117">
        <v>390</v>
      </c>
      <c r="B393" s="161" t="s">
        <v>538</v>
      </c>
      <c r="C393" s="161">
        <v>83102208</v>
      </c>
      <c r="D393" s="161" t="s">
        <v>539</v>
      </c>
      <c r="E393" s="144" t="s">
        <v>397</v>
      </c>
      <c r="F393" s="146" t="s">
        <v>208</v>
      </c>
      <c r="G393" s="111">
        <v>40989</v>
      </c>
      <c r="H393" s="111">
        <v>40906</v>
      </c>
      <c r="I393" s="111">
        <v>46077</v>
      </c>
      <c r="J393" s="162">
        <f>IF(I393="", "", DATE(YEAR(I393)+2, MONTH(I393), DAY(I393)))</f>
        <v>46807</v>
      </c>
      <c r="K393" s="111">
        <v>40850</v>
      </c>
      <c r="L393" s="111">
        <v>46176</v>
      </c>
      <c r="M393" s="163">
        <f>IF(L393="", "", DATE(YEAR(L393)+2, MONTH(L393), DAY(L393)))</f>
        <v>46907</v>
      </c>
      <c r="N393" s="111">
        <v>40892</v>
      </c>
      <c r="O393" s="111">
        <v>40893</v>
      </c>
      <c r="P393" s="111">
        <v>40893</v>
      </c>
      <c r="Q393" s="165" t="s">
        <v>69</v>
      </c>
      <c r="R393" s="165" t="s">
        <v>69</v>
      </c>
      <c r="S393" s="165" t="s">
        <v>69</v>
      </c>
      <c r="T393" s="112">
        <v>41750</v>
      </c>
      <c r="U393" s="112">
        <v>41757</v>
      </c>
      <c r="V393" s="112">
        <v>42146</v>
      </c>
      <c r="W393" s="165" t="s">
        <v>69</v>
      </c>
      <c r="X393" s="165" t="s">
        <v>69</v>
      </c>
      <c r="Y393" s="165" t="s">
        <v>69</v>
      </c>
      <c r="Z393" s="165" t="s">
        <v>69</v>
      </c>
      <c r="AA393" s="165" t="s">
        <v>69</v>
      </c>
      <c r="AB393" s="166" t="s">
        <v>69</v>
      </c>
      <c r="AC393" s="166" t="s">
        <v>69</v>
      </c>
      <c r="AD393" s="167" t="s">
        <v>70</v>
      </c>
      <c r="AE393" s="167" t="s">
        <v>70</v>
      </c>
      <c r="AF393" s="112">
        <v>46261</v>
      </c>
      <c r="AG393" s="185">
        <v>44498</v>
      </c>
      <c r="AH393" s="166" t="s">
        <v>69</v>
      </c>
      <c r="AI393" s="167" t="s">
        <v>70</v>
      </c>
      <c r="AJ393" s="167" t="s">
        <v>70</v>
      </c>
      <c r="AK393" s="166" t="s">
        <v>69</v>
      </c>
      <c r="AL393" s="166" t="s">
        <v>69</v>
      </c>
      <c r="AM393" s="166"/>
      <c r="AN393" s="166" t="s">
        <v>69</v>
      </c>
      <c r="AO393" s="167" t="s">
        <v>70</v>
      </c>
      <c r="AP393" s="166" t="s">
        <v>69</v>
      </c>
      <c r="AQ393" s="166" t="s">
        <v>69</v>
      </c>
      <c r="AR393" s="166" t="s">
        <v>69</v>
      </c>
      <c r="AS393" s="166" t="s">
        <v>69</v>
      </c>
      <c r="AT393" s="166" t="s">
        <v>69</v>
      </c>
      <c r="AU393" s="166" t="s">
        <v>69</v>
      </c>
      <c r="AV393" s="166" t="s">
        <v>69</v>
      </c>
      <c r="AW393" s="166" t="s">
        <v>69</v>
      </c>
      <c r="AX393" s="166" t="s">
        <v>69</v>
      </c>
      <c r="AY393" s="166" t="s">
        <v>69</v>
      </c>
      <c r="AZ393" s="166" t="s">
        <v>69</v>
      </c>
      <c r="BA393" s="166" t="s">
        <v>69</v>
      </c>
      <c r="BB393" s="166" t="s">
        <v>69</v>
      </c>
      <c r="BC393" s="166" t="s">
        <v>69</v>
      </c>
      <c r="BD393" s="166" t="s">
        <v>69</v>
      </c>
      <c r="BE393" s="166" t="s">
        <v>69</v>
      </c>
      <c r="BF393" s="166" t="s">
        <v>69</v>
      </c>
      <c r="BG393" s="167" t="s">
        <v>70</v>
      </c>
      <c r="BH393" s="166" t="s">
        <v>69</v>
      </c>
      <c r="BI393" s="166" t="s">
        <v>69</v>
      </c>
      <c r="BJ393" s="167" t="s">
        <v>70</v>
      </c>
      <c r="BK393" s="166" t="s">
        <v>69</v>
      </c>
      <c r="BL393" s="167" t="s">
        <v>70</v>
      </c>
      <c r="BM393" s="167" t="s">
        <v>70</v>
      </c>
      <c r="BN393" s="167" t="s">
        <v>70</v>
      </c>
      <c r="BO393" s="167" t="s">
        <v>70</v>
      </c>
      <c r="BP393" s="173"/>
      <c r="BQ393" s="151">
        <v>0</v>
      </c>
      <c r="BR393" s="142"/>
      <c r="BS393" s="142"/>
      <c r="BT393" s="142"/>
      <c r="BU393" s="142"/>
      <c r="BV393" s="142"/>
      <c r="BW393" s="142"/>
      <c r="BX393" s="142"/>
      <c r="BY393" s="142"/>
      <c r="BZ393" s="142"/>
      <c r="CA393" s="142"/>
      <c r="CB393" s="142"/>
      <c r="CC393" s="142"/>
      <c r="CD393" s="142"/>
      <c r="CE393" s="142"/>
      <c r="CF393" s="142"/>
      <c r="CG393" s="142"/>
      <c r="CH393" s="142"/>
      <c r="CI393" s="142"/>
      <c r="CJ393" s="142"/>
      <c r="CK393" s="142"/>
      <c r="CL393" s="142"/>
      <c r="CM393" s="142"/>
      <c r="CN393" s="142"/>
      <c r="CO393" s="142"/>
      <c r="CP393" s="142"/>
      <c r="CQ393" s="142"/>
      <c r="CR393" s="142"/>
      <c r="CS393" s="142"/>
      <c r="CT393" s="142"/>
      <c r="CU393" s="142"/>
      <c r="CV393" s="142"/>
      <c r="CW393" s="142"/>
      <c r="CX393" s="142"/>
      <c r="CY393" s="142"/>
      <c r="CZ393" s="142"/>
      <c r="DA393" s="142"/>
      <c r="DB393" s="142"/>
      <c r="DC393" s="142"/>
      <c r="DD393" s="142"/>
      <c r="DE393" s="142"/>
      <c r="DF393" s="142"/>
      <c r="DG393" s="142"/>
      <c r="DH393" s="142"/>
      <c r="DI393" s="142"/>
      <c r="DJ393" s="142"/>
      <c r="DK393" s="142"/>
      <c r="DL393" s="142"/>
      <c r="DM393" s="142"/>
      <c r="DN393" s="142"/>
      <c r="DO393" s="142"/>
      <c r="DP393" s="142"/>
      <c r="DQ393" s="142"/>
      <c r="DR393" s="142"/>
      <c r="DS393" s="142"/>
      <c r="DT393" s="142"/>
      <c r="DU393" s="142"/>
      <c r="DV393" s="142"/>
      <c r="DW393" s="142"/>
      <c r="DX393" s="142"/>
      <c r="DY393" s="142"/>
      <c r="DZ393" s="142"/>
      <c r="EA393" s="142"/>
      <c r="EB393" s="142"/>
      <c r="EC393" s="142"/>
      <c r="ED393" s="142"/>
      <c r="EE393" s="142"/>
    </row>
    <row r="394" spans="1:135" s="151" customFormat="1" ht="19.5" customHeight="1" x14ac:dyDescent="0.2">
      <c r="A394" s="117">
        <v>391</v>
      </c>
      <c r="B394" s="117" t="s">
        <v>540</v>
      </c>
      <c r="C394" s="117">
        <v>83123690</v>
      </c>
      <c r="D394" s="117" t="s">
        <v>73</v>
      </c>
      <c r="E394" s="144" t="s">
        <v>397</v>
      </c>
      <c r="F394" s="146" t="s">
        <v>208</v>
      </c>
      <c r="G394" s="111">
        <v>42297</v>
      </c>
      <c r="H394" s="111">
        <v>42384</v>
      </c>
      <c r="I394" s="111">
        <v>45944</v>
      </c>
      <c r="J394" s="162">
        <f>IF(I394="", "", DATE(YEAR(I394)+2, MONTH(I394), DAY(I394)))</f>
        <v>46674</v>
      </c>
      <c r="K394" s="111">
        <v>42293</v>
      </c>
      <c r="L394" s="111">
        <v>46090</v>
      </c>
      <c r="M394" s="163">
        <f>IF(L394="", "", DATE(YEAR(L394)+2, MONTH(L394), DAY(L394)))</f>
        <v>46821</v>
      </c>
      <c r="N394" s="111">
        <v>42142</v>
      </c>
      <c r="O394" s="111">
        <v>42144</v>
      </c>
      <c r="P394" s="111">
        <v>42144</v>
      </c>
      <c r="Q394" s="166" t="s">
        <v>69</v>
      </c>
      <c r="R394" s="166" t="s">
        <v>69</v>
      </c>
      <c r="S394" s="166" t="s">
        <v>69</v>
      </c>
      <c r="T394" s="168">
        <v>43476</v>
      </c>
      <c r="U394" s="168">
        <v>43588</v>
      </c>
      <c r="V394" s="168">
        <v>42858</v>
      </c>
      <c r="W394" s="166" t="s">
        <v>69</v>
      </c>
      <c r="X394" s="168">
        <v>42464</v>
      </c>
      <c r="Y394" s="168">
        <v>42258</v>
      </c>
      <c r="Z394" s="168">
        <v>44414</v>
      </c>
      <c r="AA394" s="166" t="s">
        <v>69</v>
      </c>
      <c r="AB394" s="166" t="s">
        <v>69</v>
      </c>
      <c r="AC394" s="166" t="s">
        <v>69</v>
      </c>
      <c r="AD394" s="167" t="s">
        <v>71</v>
      </c>
      <c r="AE394" s="167" t="s">
        <v>70</v>
      </c>
      <c r="AF394" s="112">
        <v>46211</v>
      </c>
      <c r="AG394" s="112" t="s">
        <v>69</v>
      </c>
      <c r="AH394" s="167" t="s">
        <v>71</v>
      </c>
      <c r="AI394" s="167" t="s">
        <v>70</v>
      </c>
      <c r="AJ394" s="167" t="s">
        <v>70</v>
      </c>
      <c r="AK394" s="167" t="s">
        <v>70</v>
      </c>
      <c r="AL394" s="166" t="s">
        <v>69</v>
      </c>
      <c r="AM394" s="166"/>
      <c r="AN394" s="166" t="s">
        <v>69</v>
      </c>
      <c r="AO394" s="167" t="s">
        <v>70</v>
      </c>
      <c r="AP394" s="166" t="s">
        <v>69</v>
      </c>
      <c r="AQ394" s="166" t="s">
        <v>69</v>
      </c>
      <c r="AR394" s="166" t="s">
        <v>69</v>
      </c>
      <c r="AS394" s="166" t="s">
        <v>69</v>
      </c>
      <c r="AT394" s="166" t="s">
        <v>69</v>
      </c>
      <c r="AU394" s="166" t="s">
        <v>69</v>
      </c>
      <c r="AV394" s="166" t="s">
        <v>69</v>
      </c>
      <c r="AW394" s="166" t="s">
        <v>69</v>
      </c>
      <c r="AX394" s="166" t="s">
        <v>69</v>
      </c>
      <c r="AY394" s="166" t="s">
        <v>69</v>
      </c>
      <c r="AZ394" s="166" t="s">
        <v>69</v>
      </c>
      <c r="BA394" s="166" t="s">
        <v>69</v>
      </c>
      <c r="BB394" s="166" t="s">
        <v>69</v>
      </c>
      <c r="BC394" s="166" t="s">
        <v>69</v>
      </c>
      <c r="BD394" s="166" t="s">
        <v>69</v>
      </c>
      <c r="BE394" s="166" t="s">
        <v>69</v>
      </c>
      <c r="BF394" s="166" t="s">
        <v>69</v>
      </c>
      <c r="BG394" s="167" t="s">
        <v>70</v>
      </c>
      <c r="BH394" s="166" t="s">
        <v>69</v>
      </c>
      <c r="BI394" s="166" t="s">
        <v>69</v>
      </c>
      <c r="BJ394" s="167" t="s">
        <v>70</v>
      </c>
      <c r="BK394" s="166" t="s">
        <v>69</v>
      </c>
      <c r="BL394" s="167" t="s">
        <v>70</v>
      </c>
      <c r="BM394" s="167" t="s">
        <v>70</v>
      </c>
      <c r="BN394" s="167" t="s">
        <v>70</v>
      </c>
      <c r="BO394" s="167" t="s">
        <v>70</v>
      </c>
      <c r="BP394" s="167" t="s">
        <v>70</v>
      </c>
      <c r="BQ394" s="151">
        <v>0</v>
      </c>
      <c r="BR394" s="142"/>
      <c r="BS394" s="142"/>
      <c r="BT394" s="142"/>
      <c r="BU394" s="142"/>
      <c r="BV394" s="142"/>
      <c r="BW394" s="142"/>
      <c r="BX394" s="142"/>
      <c r="BY394" s="142"/>
      <c r="BZ394" s="142"/>
      <c r="CA394" s="142"/>
      <c r="CB394" s="142"/>
      <c r="CC394" s="142"/>
      <c r="CD394" s="142"/>
      <c r="CE394" s="142"/>
      <c r="CF394" s="142"/>
      <c r="CG394" s="142"/>
      <c r="CH394" s="142"/>
      <c r="CI394" s="142"/>
      <c r="CJ394" s="142"/>
      <c r="CK394" s="142"/>
      <c r="CL394" s="142"/>
      <c r="CM394" s="142"/>
      <c r="CN394" s="142"/>
      <c r="CO394" s="142"/>
      <c r="CP394" s="142"/>
      <c r="CQ394" s="142"/>
      <c r="CR394" s="142"/>
      <c r="CS394" s="142"/>
      <c r="CT394" s="142"/>
      <c r="CU394" s="142"/>
      <c r="CV394" s="142"/>
      <c r="CW394" s="142"/>
      <c r="CX394" s="142"/>
      <c r="CY394" s="142"/>
      <c r="CZ394" s="142"/>
      <c r="DA394" s="142"/>
      <c r="DB394" s="142"/>
      <c r="DC394" s="142"/>
      <c r="DD394" s="142"/>
      <c r="DE394" s="142"/>
      <c r="DF394" s="142"/>
      <c r="DG394" s="142"/>
      <c r="DH394" s="142"/>
      <c r="DI394" s="142"/>
      <c r="DJ394" s="142"/>
      <c r="DK394" s="142"/>
      <c r="DL394" s="142"/>
      <c r="DM394" s="142"/>
      <c r="DN394" s="142"/>
      <c r="DO394" s="142"/>
      <c r="DP394" s="142"/>
      <c r="DQ394" s="142"/>
      <c r="DR394" s="142"/>
      <c r="DS394" s="142"/>
      <c r="DT394" s="142"/>
      <c r="DU394" s="142"/>
      <c r="DV394" s="142"/>
      <c r="DW394" s="142"/>
      <c r="DX394" s="142"/>
      <c r="DY394" s="142"/>
      <c r="DZ394" s="142"/>
      <c r="EA394" s="142"/>
      <c r="EB394" s="142"/>
      <c r="EC394" s="142"/>
      <c r="ED394" s="142"/>
      <c r="EE394" s="142"/>
    </row>
    <row r="395" spans="1:135" s="151" customFormat="1" ht="19.5" customHeight="1" x14ac:dyDescent="0.2">
      <c r="A395" s="117">
        <v>392</v>
      </c>
      <c r="B395" s="174" t="s">
        <v>548</v>
      </c>
      <c r="C395" s="144">
        <v>83104214</v>
      </c>
      <c r="D395" s="117" t="s">
        <v>73</v>
      </c>
      <c r="E395" s="183" t="s">
        <v>549</v>
      </c>
      <c r="F395" s="146" t="s">
        <v>256</v>
      </c>
      <c r="G395" s="119" t="s">
        <v>69</v>
      </c>
      <c r="H395" s="172">
        <v>45370</v>
      </c>
      <c r="I395" s="172">
        <v>46280</v>
      </c>
      <c r="J395" s="162">
        <v>47011</v>
      </c>
      <c r="K395" s="111">
        <v>42551</v>
      </c>
      <c r="L395" s="111">
        <v>46246</v>
      </c>
      <c r="M395" s="163">
        <v>46977</v>
      </c>
      <c r="N395" s="175"/>
      <c r="O395" s="89">
        <v>45370</v>
      </c>
      <c r="P395" s="111">
        <v>42549</v>
      </c>
      <c r="Q395" s="166" t="s">
        <v>69</v>
      </c>
      <c r="R395" s="166" t="s">
        <v>69</v>
      </c>
      <c r="S395" s="166" t="s">
        <v>69</v>
      </c>
      <c r="T395" s="168">
        <v>46265</v>
      </c>
      <c r="U395" s="166" t="s">
        <v>69</v>
      </c>
      <c r="V395" s="166" t="s">
        <v>69</v>
      </c>
      <c r="W395" s="166" t="s">
        <v>69</v>
      </c>
      <c r="X395" s="166" t="s">
        <v>69</v>
      </c>
      <c r="Y395" s="166" t="s">
        <v>69</v>
      </c>
      <c r="Z395" s="166" t="s">
        <v>69</v>
      </c>
      <c r="AA395" s="166" t="s">
        <v>69</v>
      </c>
      <c r="AB395" s="166" t="s">
        <v>69</v>
      </c>
      <c r="AC395" s="166" t="s">
        <v>69</v>
      </c>
      <c r="AD395" s="167" t="s">
        <v>71</v>
      </c>
      <c r="AE395" s="167" t="s">
        <v>70</v>
      </c>
      <c r="AF395" s="112">
        <v>46154</v>
      </c>
      <c r="AG395" s="112" t="s">
        <v>69</v>
      </c>
      <c r="AH395" s="167" t="s">
        <v>71</v>
      </c>
      <c r="AI395" s="167" t="s">
        <v>70</v>
      </c>
      <c r="AJ395" s="167" t="s">
        <v>70</v>
      </c>
      <c r="AK395" s="167" t="s">
        <v>70</v>
      </c>
      <c r="AL395" s="166" t="s">
        <v>69</v>
      </c>
      <c r="AM395" s="166"/>
      <c r="AN395" s="166" t="s">
        <v>69</v>
      </c>
      <c r="AO395" s="167" t="s">
        <v>70</v>
      </c>
      <c r="AP395" s="166" t="s">
        <v>69</v>
      </c>
      <c r="AQ395" s="166" t="s">
        <v>69</v>
      </c>
      <c r="AR395" s="166" t="s">
        <v>69</v>
      </c>
      <c r="AS395" s="166" t="s">
        <v>69</v>
      </c>
      <c r="AT395" s="166" t="s">
        <v>69</v>
      </c>
      <c r="AU395" s="166" t="s">
        <v>69</v>
      </c>
      <c r="AV395" s="166" t="s">
        <v>69</v>
      </c>
      <c r="AW395" s="166" t="s">
        <v>69</v>
      </c>
      <c r="AX395" s="166" t="s">
        <v>69</v>
      </c>
      <c r="AY395" s="166" t="s">
        <v>69</v>
      </c>
      <c r="AZ395" s="166" t="s">
        <v>69</v>
      </c>
      <c r="BA395" s="166" t="s">
        <v>69</v>
      </c>
      <c r="BB395" s="166" t="s">
        <v>69</v>
      </c>
      <c r="BC395" s="166" t="s">
        <v>69</v>
      </c>
      <c r="BD395" s="166" t="s">
        <v>69</v>
      </c>
      <c r="BE395" s="166" t="s">
        <v>69</v>
      </c>
      <c r="BF395" s="166" t="s">
        <v>69</v>
      </c>
      <c r="BG395" s="167" t="s">
        <v>70</v>
      </c>
      <c r="BH395" s="166" t="s">
        <v>69</v>
      </c>
      <c r="BI395" s="166" t="s">
        <v>69</v>
      </c>
      <c r="BJ395" s="167" t="s">
        <v>70</v>
      </c>
      <c r="BK395" s="166" t="s">
        <v>69</v>
      </c>
      <c r="BL395" s="167" t="s">
        <v>70</v>
      </c>
      <c r="BM395" s="167" t="s">
        <v>70</v>
      </c>
      <c r="BN395" s="167" t="s">
        <v>70</v>
      </c>
      <c r="BO395" s="167" t="s">
        <v>70</v>
      </c>
      <c r="BP395" s="167" t="s">
        <v>70</v>
      </c>
      <c r="BQ395" s="151">
        <v>0</v>
      </c>
      <c r="BR395" s="142"/>
      <c r="BS395" s="142"/>
      <c r="BT395" s="142"/>
      <c r="BU395" s="142"/>
      <c r="BV395" s="142"/>
      <c r="BW395" s="142"/>
      <c r="BX395" s="142"/>
      <c r="BY395" s="142"/>
      <c r="BZ395" s="142"/>
      <c r="CA395" s="142"/>
      <c r="CB395" s="142"/>
      <c r="CC395" s="142"/>
      <c r="CD395" s="142"/>
      <c r="CE395" s="142"/>
      <c r="CF395" s="142"/>
      <c r="CG395" s="142"/>
      <c r="CH395" s="142"/>
      <c r="CI395" s="142"/>
      <c r="CJ395" s="142"/>
      <c r="CK395" s="142"/>
      <c r="CL395" s="142"/>
      <c r="CM395" s="142"/>
      <c r="CN395" s="142"/>
      <c r="CO395" s="142"/>
      <c r="CP395" s="142"/>
      <c r="CQ395" s="142"/>
      <c r="CR395" s="142"/>
      <c r="CS395" s="142"/>
      <c r="CT395" s="142"/>
      <c r="CU395" s="142"/>
      <c r="CV395" s="142"/>
      <c r="CW395" s="142"/>
      <c r="CX395" s="142"/>
      <c r="CY395" s="142"/>
      <c r="CZ395" s="142"/>
      <c r="DA395" s="142"/>
      <c r="DB395" s="142"/>
      <c r="DC395" s="142"/>
      <c r="DD395" s="142"/>
      <c r="DE395" s="142"/>
      <c r="DF395" s="142"/>
      <c r="DG395" s="142"/>
      <c r="DH395" s="142"/>
      <c r="DI395" s="142"/>
      <c r="DJ395" s="142"/>
      <c r="DK395" s="142"/>
      <c r="DL395" s="142"/>
      <c r="DM395" s="142"/>
      <c r="DN395" s="142"/>
      <c r="DO395" s="142"/>
      <c r="DP395" s="142"/>
      <c r="DQ395" s="142"/>
      <c r="DR395" s="142"/>
      <c r="DS395" s="142"/>
      <c r="DT395" s="142"/>
      <c r="DU395" s="142"/>
      <c r="DV395" s="142"/>
      <c r="DW395" s="142"/>
      <c r="DX395" s="142"/>
      <c r="DY395" s="142"/>
      <c r="DZ395" s="142"/>
      <c r="EA395" s="142"/>
      <c r="EB395" s="142"/>
      <c r="EC395" s="142"/>
      <c r="ED395" s="142"/>
      <c r="EE395" s="142"/>
    </row>
    <row r="396" spans="1:135" s="151" customFormat="1" ht="19.5" customHeight="1" x14ac:dyDescent="0.2">
      <c r="A396" s="117">
        <v>393</v>
      </c>
      <c r="B396" s="174" t="s">
        <v>559</v>
      </c>
      <c r="C396" s="144">
        <v>150717</v>
      </c>
      <c r="D396" s="117" t="s">
        <v>73</v>
      </c>
      <c r="E396" s="183" t="s">
        <v>549</v>
      </c>
      <c r="F396" s="146" t="s">
        <v>208</v>
      </c>
      <c r="G396" s="162">
        <v>42228</v>
      </c>
      <c r="H396" s="172">
        <v>42137</v>
      </c>
      <c r="I396" s="172">
        <v>46107</v>
      </c>
      <c r="J396" s="162">
        <f>IF(I396="", "", DATE(YEAR(I396)+2, MONTH(I396), DAY(I396)))</f>
        <v>46838</v>
      </c>
      <c r="K396" s="111">
        <v>42223</v>
      </c>
      <c r="L396" s="111">
        <v>45943</v>
      </c>
      <c r="M396" s="163">
        <f>IF(L396="", "", DATE(YEAR(L396)+2, MONTH(L396), DAY(L396)))</f>
        <v>46673</v>
      </c>
      <c r="N396" s="111">
        <v>42247</v>
      </c>
      <c r="O396" s="111">
        <v>45328</v>
      </c>
      <c r="P396" s="111">
        <v>44233</v>
      </c>
      <c r="Q396" s="166" t="s">
        <v>69</v>
      </c>
      <c r="R396" s="166" t="s">
        <v>69</v>
      </c>
      <c r="S396" s="166" t="s">
        <v>69</v>
      </c>
      <c r="T396" s="168">
        <v>46164</v>
      </c>
      <c r="U396" s="168">
        <v>46220</v>
      </c>
      <c r="V396" s="166" t="s">
        <v>69</v>
      </c>
      <c r="W396" s="166" t="s">
        <v>69</v>
      </c>
      <c r="X396" s="166" t="s">
        <v>69</v>
      </c>
      <c r="Y396" s="166" t="s">
        <v>69</v>
      </c>
      <c r="Z396" s="166" t="s">
        <v>69</v>
      </c>
      <c r="AA396" s="166" t="s">
        <v>69</v>
      </c>
      <c r="AB396" s="166" t="s">
        <v>69</v>
      </c>
      <c r="AC396" s="166" t="s">
        <v>69</v>
      </c>
      <c r="AD396" s="167" t="s">
        <v>71</v>
      </c>
      <c r="AE396" s="167" t="s">
        <v>70</v>
      </c>
      <c r="AF396" s="94">
        <v>44932</v>
      </c>
      <c r="AG396" s="112" t="s">
        <v>69</v>
      </c>
      <c r="AH396" s="167" t="s">
        <v>71</v>
      </c>
      <c r="AI396" s="167" t="s">
        <v>70</v>
      </c>
      <c r="AJ396" s="167" t="s">
        <v>70</v>
      </c>
      <c r="AK396" s="167" t="s">
        <v>70</v>
      </c>
      <c r="AL396" s="166" t="s">
        <v>69</v>
      </c>
      <c r="AM396" s="166"/>
      <c r="AN396" s="166" t="s">
        <v>69</v>
      </c>
      <c r="AO396" s="167" t="s">
        <v>70</v>
      </c>
      <c r="AP396" s="166" t="s">
        <v>69</v>
      </c>
      <c r="AQ396" s="166" t="s">
        <v>69</v>
      </c>
      <c r="AR396" s="166" t="s">
        <v>69</v>
      </c>
      <c r="AS396" s="166" t="s">
        <v>69</v>
      </c>
      <c r="AT396" s="166" t="s">
        <v>69</v>
      </c>
      <c r="AU396" s="166" t="s">
        <v>69</v>
      </c>
      <c r="AV396" s="166" t="s">
        <v>69</v>
      </c>
      <c r="AW396" s="166" t="s">
        <v>69</v>
      </c>
      <c r="AX396" s="166" t="s">
        <v>69</v>
      </c>
      <c r="AY396" s="166" t="s">
        <v>69</v>
      </c>
      <c r="AZ396" s="166" t="s">
        <v>69</v>
      </c>
      <c r="BA396" s="166" t="s">
        <v>69</v>
      </c>
      <c r="BB396" s="166" t="s">
        <v>69</v>
      </c>
      <c r="BC396" s="166" t="s">
        <v>69</v>
      </c>
      <c r="BD396" s="166" t="s">
        <v>69</v>
      </c>
      <c r="BE396" s="166" t="s">
        <v>69</v>
      </c>
      <c r="BF396" s="166" t="s">
        <v>69</v>
      </c>
      <c r="BG396" s="167" t="s">
        <v>70</v>
      </c>
      <c r="BH396" s="166" t="s">
        <v>69</v>
      </c>
      <c r="BI396" s="166" t="s">
        <v>69</v>
      </c>
      <c r="BJ396" s="167" t="s">
        <v>70</v>
      </c>
      <c r="BK396" s="166" t="s">
        <v>69</v>
      </c>
      <c r="BL396" s="167" t="s">
        <v>70</v>
      </c>
      <c r="BM396" s="167" t="s">
        <v>70</v>
      </c>
      <c r="BN396" s="167" t="s">
        <v>70</v>
      </c>
      <c r="BO396" s="167" t="s">
        <v>70</v>
      </c>
      <c r="BP396" s="167" t="s">
        <v>70</v>
      </c>
      <c r="BQ396" s="151">
        <v>0</v>
      </c>
      <c r="BR396" s="142"/>
      <c r="BS396" s="142"/>
      <c r="BT396" s="142"/>
      <c r="BU396" s="142"/>
      <c r="BV396" s="142"/>
      <c r="BW396" s="142"/>
      <c r="BX396" s="142"/>
      <c r="BY396" s="142"/>
      <c r="BZ396" s="142"/>
      <c r="CA396" s="142"/>
      <c r="CB396" s="142"/>
      <c r="CC396" s="142"/>
      <c r="CD396" s="142"/>
      <c r="CE396" s="142"/>
      <c r="CF396" s="142"/>
      <c r="CG396" s="142"/>
      <c r="CH396" s="142"/>
      <c r="CI396" s="142"/>
      <c r="CJ396" s="142"/>
      <c r="CK396" s="142"/>
      <c r="CL396" s="142"/>
      <c r="CM396" s="142"/>
      <c r="CN396" s="142"/>
      <c r="CO396" s="142"/>
      <c r="CP396" s="142"/>
      <c r="CQ396" s="142"/>
      <c r="CR396" s="142"/>
      <c r="CS396" s="142"/>
      <c r="CT396" s="142"/>
      <c r="CU396" s="142"/>
      <c r="CV396" s="142"/>
      <c r="CW396" s="142"/>
      <c r="CX396" s="142"/>
      <c r="CY396" s="142"/>
      <c r="CZ396" s="142"/>
      <c r="DA396" s="142"/>
      <c r="DB396" s="142"/>
      <c r="DC396" s="142"/>
      <c r="DD396" s="142"/>
      <c r="DE396" s="142"/>
      <c r="DF396" s="142"/>
      <c r="DG396" s="142"/>
      <c r="DH396" s="142"/>
      <c r="DI396" s="142"/>
      <c r="DJ396" s="142"/>
      <c r="DK396" s="142"/>
      <c r="DL396" s="142"/>
      <c r="DM396" s="142"/>
      <c r="DN396" s="142"/>
      <c r="DO396" s="142"/>
      <c r="DP396" s="142"/>
      <c r="DQ396" s="142"/>
      <c r="DR396" s="142"/>
      <c r="DS396" s="142"/>
      <c r="DT396" s="142"/>
      <c r="DU396" s="142"/>
      <c r="DV396" s="142"/>
      <c r="DW396" s="142"/>
      <c r="DX396" s="142"/>
      <c r="DY396" s="142"/>
      <c r="DZ396" s="142"/>
      <c r="EA396" s="142"/>
      <c r="EB396" s="142"/>
      <c r="EC396" s="142"/>
      <c r="ED396" s="142"/>
      <c r="EE396" s="142"/>
    </row>
    <row r="397" spans="1:135" s="151" customFormat="1" ht="19.5" customHeight="1" x14ac:dyDescent="0.2">
      <c r="A397" s="117">
        <v>394</v>
      </c>
      <c r="B397" s="117" t="s">
        <v>560</v>
      </c>
      <c r="C397" s="117">
        <v>83123675</v>
      </c>
      <c r="D397" s="117" t="s">
        <v>561</v>
      </c>
      <c r="E397" s="144" t="s">
        <v>397</v>
      </c>
      <c r="F397" s="146" t="s">
        <v>208</v>
      </c>
      <c r="G397" s="124" t="s">
        <v>69</v>
      </c>
      <c r="H397" s="111">
        <v>42457</v>
      </c>
      <c r="I397" s="111">
        <v>46147</v>
      </c>
      <c r="J397" s="162">
        <f>IF(I397="", "", DATE(YEAR(I397)+2, MONTH(I397), DAY(I397)))</f>
        <v>46878</v>
      </c>
      <c r="K397" s="111">
        <v>42319</v>
      </c>
      <c r="L397" s="111">
        <v>45943</v>
      </c>
      <c r="M397" s="163">
        <f>IF(L397="", "", DATE(YEAR(L397)+2, MONTH(L397), DAY(L397)))</f>
        <v>46673</v>
      </c>
      <c r="N397" s="111">
        <v>42298</v>
      </c>
      <c r="O397" s="111">
        <v>42296</v>
      </c>
      <c r="P397" s="111">
        <v>42297</v>
      </c>
      <c r="Q397" s="165" t="s">
        <v>69</v>
      </c>
      <c r="R397" s="112">
        <v>45404</v>
      </c>
      <c r="S397" s="112">
        <v>46134</v>
      </c>
      <c r="T397" s="112">
        <v>44085</v>
      </c>
      <c r="U397" s="112">
        <v>42835</v>
      </c>
      <c r="V397" s="112">
        <v>43819</v>
      </c>
      <c r="W397" s="112">
        <v>44435</v>
      </c>
      <c r="X397" s="112">
        <v>42195</v>
      </c>
      <c r="Y397" s="112">
        <v>42258</v>
      </c>
      <c r="Z397" s="112">
        <v>45695</v>
      </c>
      <c r="AA397" s="94">
        <v>45695</v>
      </c>
      <c r="AB397" s="166" t="s">
        <v>69</v>
      </c>
      <c r="AC397" s="166" t="s">
        <v>69</v>
      </c>
      <c r="AD397" s="167" t="s">
        <v>70</v>
      </c>
      <c r="AE397" s="167" t="s">
        <v>70</v>
      </c>
      <c r="AF397" s="112">
        <v>46287</v>
      </c>
      <c r="AG397" s="166" t="s">
        <v>69</v>
      </c>
      <c r="AH397" s="167" t="s">
        <v>71</v>
      </c>
      <c r="AI397" s="167" t="s">
        <v>70</v>
      </c>
      <c r="AJ397" s="167" t="s">
        <v>70</v>
      </c>
      <c r="AK397" s="167" t="s">
        <v>70</v>
      </c>
      <c r="AL397" s="166" t="s">
        <v>69</v>
      </c>
      <c r="AM397" s="166"/>
      <c r="AN397" s="166" t="s">
        <v>69</v>
      </c>
      <c r="AO397" s="167" t="s">
        <v>70</v>
      </c>
      <c r="AP397" s="166" t="s">
        <v>69</v>
      </c>
      <c r="AQ397" s="166" t="s">
        <v>69</v>
      </c>
      <c r="AR397" s="166" t="s">
        <v>69</v>
      </c>
      <c r="AS397" s="166" t="s">
        <v>69</v>
      </c>
      <c r="AT397" s="166" t="s">
        <v>69</v>
      </c>
      <c r="AU397" s="166" t="s">
        <v>69</v>
      </c>
      <c r="AV397" s="166" t="s">
        <v>69</v>
      </c>
      <c r="AW397" s="167" t="s">
        <v>70</v>
      </c>
      <c r="AX397" s="167" t="s">
        <v>70</v>
      </c>
      <c r="AY397" s="166" t="s">
        <v>69</v>
      </c>
      <c r="AZ397" s="166" t="s">
        <v>69</v>
      </c>
      <c r="BA397" s="166" t="s">
        <v>69</v>
      </c>
      <c r="BB397" s="167" t="s">
        <v>70</v>
      </c>
      <c r="BC397" s="167" t="s">
        <v>70</v>
      </c>
      <c r="BD397" s="167" t="s">
        <v>70</v>
      </c>
      <c r="BE397" s="167" t="s">
        <v>70</v>
      </c>
      <c r="BF397" s="167" t="s">
        <v>70</v>
      </c>
      <c r="BG397" s="169" t="s">
        <v>70</v>
      </c>
      <c r="BH397" s="169" t="s">
        <v>70</v>
      </c>
      <c r="BI397" s="169" t="s">
        <v>70</v>
      </c>
      <c r="BJ397" s="167" t="s">
        <v>70</v>
      </c>
      <c r="BK397" s="167" t="s">
        <v>70</v>
      </c>
      <c r="BL397" s="167" t="s">
        <v>70</v>
      </c>
      <c r="BM397" s="167" t="s">
        <v>70</v>
      </c>
      <c r="BN397" s="167" t="s">
        <v>70</v>
      </c>
      <c r="BO397" s="167" t="s">
        <v>70</v>
      </c>
      <c r="BP397" s="167" t="s">
        <v>70</v>
      </c>
      <c r="BQ397" s="151">
        <v>0</v>
      </c>
      <c r="BR397" s="142"/>
      <c r="BS397" s="142"/>
      <c r="BT397" s="142"/>
      <c r="BU397" s="142"/>
      <c r="BV397" s="142"/>
      <c r="BW397" s="142"/>
      <c r="BX397" s="142"/>
      <c r="BY397" s="142"/>
      <c r="BZ397" s="142"/>
      <c r="CA397" s="142"/>
      <c r="CB397" s="142"/>
      <c r="CC397" s="142"/>
      <c r="CD397" s="142"/>
      <c r="CE397" s="142"/>
      <c r="CF397" s="142"/>
      <c r="CG397" s="142"/>
      <c r="CH397" s="142"/>
      <c r="CI397" s="142"/>
      <c r="CJ397" s="142"/>
      <c r="CK397" s="142"/>
      <c r="CL397" s="142"/>
      <c r="CM397" s="142"/>
      <c r="CN397" s="142"/>
      <c r="CO397" s="142"/>
      <c r="CP397" s="142"/>
      <c r="CQ397" s="142"/>
      <c r="CR397" s="142"/>
      <c r="CS397" s="142"/>
      <c r="CT397" s="142"/>
      <c r="CU397" s="142"/>
      <c r="CV397" s="142"/>
      <c r="CW397" s="142"/>
      <c r="CX397" s="142"/>
      <c r="CY397" s="142"/>
      <c r="CZ397" s="142"/>
      <c r="DA397" s="142"/>
      <c r="DB397" s="142"/>
      <c r="DC397" s="142"/>
      <c r="DD397" s="142"/>
      <c r="DE397" s="142"/>
      <c r="DF397" s="142"/>
      <c r="DG397" s="142"/>
      <c r="DH397" s="142"/>
      <c r="DI397" s="142"/>
      <c r="DJ397" s="142"/>
      <c r="DK397" s="142"/>
      <c r="DL397" s="142"/>
      <c r="DM397" s="142"/>
      <c r="DN397" s="142"/>
      <c r="DO397" s="142"/>
      <c r="DP397" s="142"/>
      <c r="DQ397" s="142"/>
      <c r="DR397" s="142"/>
      <c r="DS397" s="142"/>
      <c r="DT397" s="142"/>
      <c r="DU397" s="142"/>
      <c r="DV397" s="142"/>
      <c r="DW397" s="142"/>
      <c r="DX397" s="142"/>
      <c r="DY397" s="142"/>
      <c r="DZ397" s="142"/>
      <c r="EA397" s="142"/>
      <c r="EB397" s="142"/>
      <c r="EC397" s="142"/>
      <c r="ED397" s="142"/>
      <c r="EE397" s="142"/>
    </row>
    <row r="398" spans="1:135" s="151" customFormat="1" ht="19.5" customHeight="1" x14ac:dyDescent="0.2">
      <c r="A398" s="117">
        <v>395</v>
      </c>
      <c r="B398" s="117" t="s">
        <v>562</v>
      </c>
      <c r="C398" s="117">
        <v>183507</v>
      </c>
      <c r="D398" s="117" t="s">
        <v>73</v>
      </c>
      <c r="E398" s="144" t="s">
        <v>397</v>
      </c>
      <c r="F398" s="146" t="s">
        <v>256</v>
      </c>
      <c r="G398" s="124" t="s">
        <v>69</v>
      </c>
      <c r="H398" s="111">
        <v>43369</v>
      </c>
      <c r="I398" s="111">
        <v>46007</v>
      </c>
      <c r="J398" s="162">
        <v>46737</v>
      </c>
      <c r="K398" s="111">
        <v>43362</v>
      </c>
      <c r="L398" s="111">
        <v>46001</v>
      </c>
      <c r="M398" s="163">
        <v>46731</v>
      </c>
      <c r="N398" s="112">
        <v>45434</v>
      </c>
      <c r="O398" s="111"/>
      <c r="P398" s="111"/>
      <c r="Q398" s="166" t="s">
        <v>69</v>
      </c>
      <c r="R398" s="166" t="s">
        <v>69</v>
      </c>
      <c r="S398" s="166" t="s">
        <v>69</v>
      </c>
      <c r="T398" s="166" t="s">
        <v>69</v>
      </c>
      <c r="U398" s="166" t="s">
        <v>69</v>
      </c>
      <c r="V398" s="166" t="s">
        <v>69</v>
      </c>
      <c r="W398" s="166" t="s">
        <v>69</v>
      </c>
      <c r="X398" s="166" t="s">
        <v>69</v>
      </c>
      <c r="Y398" s="168">
        <v>45828</v>
      </c>
      <c r="Z398" s="168">
        <v>45702</v>
      </c>
      <c r="AA398" s="94">
        <v>45723</v>
      </c>
      <c r="AB398" s="166" t="s">
        <v>69</v>
      </c>
      <c r="AC398" s="166" t="s">
        <v>69</v>
      </c>
      <c r="AD398" s="167" t="s">
        <v>71</v>
      </c>
      <c r="AE398" s="167" t="s">
        <v>70</v>
      </c>
      <c r="AF398" s="112" t="s">
        <v>69</v>
      </c>
      <c r="AG398" s="112" t="s">
        <v>69</v>
      </c>
      <c r="AH398" s="167" t="s">
        <v>71</v>
      </c>
      <c r="AI398" s="167" t="s">
        <v>70</v>
      </c>
      <c r="AJ398" s="167" t="s">
        <v>70</v>
      </c>
      <c r="AK398" s="167" t="s">
        <v>70</v>
      </c>
      <c r="AL398" s="166" t="s">
        <v>69</v>
      </c>
      <c r="AM398" s="166"/>
      <c r="AN398" s="166" t="s">
        <v>69</v>
      </c>
      <c r="AO398" s="167" t="s">
        <v>70</v>
      </c>
      <c r="AP398" s="166" t="s">
        <v>69</v>
      </c>
      <c r="AQ398" s="166" t="s">
        <v>69</v>
      </c>
      <c r="AR398" s="166" t="s">
        <v>69</v>
      </c>
      <c r="AS398" s="166" t="s">
        <v>69</v>
      </c>
      <c r="AT398" s="166" t="s">
        <v>69</v>
      </c>
      <c r="AU398" s="166" t="s">
        <v>69</v>
      </c>
      <c r="AV398" s="166" t="s">
        <v>69</v>
      </c>
      <c r="AW398" s="166" t="s">
        <v>69</v>
      </c>
      <c r="AX398" s="166" t="s">
        <v>69</v>
      </c>
      <c r="AY398" s="166" t="s">
        <v>69</v>
      </c>
      <c r="AZ398" s="166" t="s">
        <v>69</v>
      </c>
      <c r="BA398" s="166" t="s">
        <v>69</v>
      </c>
      <c r="BB398" s="166" t="s">
        <v>69</v>
      </c>
      <c r="BC398" s="166" t="s">
        <v>69</v>
      </c>
      <c r="BD398" s="166" t="s">
        <v>69</v>
      </c>
      <c r="BE398" s="166" t="s">
        <v>69</v>
      </c>
      <c r="BF398" s="166" t="s">
        <v>69</v>
      </c>
      <c r="BG398" s="167" t="s">
        <v>70</v>
      </c>
      <c r="BH398" s="166" t="s">
        <v>69</v>
      </c>
      <c r="BI398" s="166" t="s">
        <v>69</v>
      </c>
      <c r="BJ398" s="167" t="s">
        <v>70</v>
      </c>
      <c r="BK398" s="166" t="s">
        <v>69</v>
      </c>
      <c r="BL398" s="167" t="s">
        <v>70</v>
      </c>
      <c r="BM398" s="167" t="s">
        <v>70</v>
      </c>
      <c r="BN398" s="167" t="s">
        <v>70</v>
      </c>
      <c r="BO398" s="167" t="s">
        <v>70</v>
      </c>
      <c r="BP398" s="167" t="s">
        <v>70</v>
      </c>
      <c r="BQ398" s="151">
        <v>0</v>
      </c>
      <c r="BR398" s="142"/>
      <c r="BS398" s="142"/>
      <c r="BT398" s="142"/>
      <c r="BU398" s="142"/>
      <c r="BV398" s="142"/>
      <c r="BW398" s="142"/>
      <c r="BX398" s="142"/>
      <c r="BY398" s="142"/>
      <c r="BZ398" s="142"/>
      <c r="CA398" s="142"/>
      <c r="CB398" s="142"/>
      <c r="CC398" s="142"/>
      <c r="CD398" s="142"/>
      <c r="CE398" s="142"/>
      <c r="CF398" s="142"/>
      <c r="CG398" s="142"/>
      <c r="CH398" s="142"/>
      <c r="CI398" s="142"/>
      <c r="CJ398" s="142"/>
      <c r="CK398" s="142"/>
      <c r="CL398" s="142"/>
      <c r="CM398" s="142"/>
      <c r="CN398" s="142"/>
      <c r="CO398" s="142"/>
      <c r="CP398" s="142"/>
      <c r="CQ398" s="142"/>
      <c r="CR398" s="142"/>
      <c r="CS398" s="142"/>
      <c r="CT398" s="142"/>
      <c r="CU398" s="142"/>
      <c r="CV398" s="142"/>
      <c r="CW398" s="142"/>
      <c r="CX398" s="142"/>
      <c r="CY398" s="142"/>
      <c r="CZ398" s="142"/>
      <c r="DA398" s="142"/>
      <c r="DB398" s="142"/>
      <c r="DC398" s="142"/>
      <c r="DD398" s="142"/>
      <c r="DE398" s="142"/>
      <c r="DF398" s="142"/>
      <c r="DG398" s="142"/>
      <c r="DH398" s="142"/>
      <c r="DI398" s="142"/>
      <c r="DJ398" s="142"/>
      <c r="DK398" s="142"/>
      <c r="DL398" s="142"/>
      <c r="DM398" s="142"/>
      <c r="DN398" s="142"/>
      <c r="DO398" s="142"/>
      <c r="DP398" s="142"/>
      <c r="DQ398" s="142"/>
      <c r="DR398" s="142"/>
      <c r="DS398" s="142"/>
      <c r="DT398" s="142"/>
      <c r="DU398" s="142"/>
      <c r="DV398" s="142"/>
      <c r="DW398" s="142"/>
      <c r="DX398" s="142"/>
      <c r="DY398" s="142"/>
      <c r="DZ398" s="142"/>
      <c r="EA398" s="142"/>
      <c r="EB398" s="142"/>
      <c r="EC398" s="142"/>
      <c r="ED398" s="142"/>
      <c r="EE398" s="142"/>
    </row>
    <row r="399" spans="1:135" s="151" customFormat="1" ht="19.5" customHeight="1" x14ac:dyDescent="0.2">
      <c r="A399" s="117">
        <v>396</v>
      </c>
      <c r="B399" s="161" t="s">
        <v>556</v>
      </c>
      <c r="C399" s="161">
        <v>83123687</v>
      </c>
      <c r="D399" s="161" t="s">
        <v>557</v>
      </c>
      <c r="E399" s="144" t="s">
        <v>397</v>
      </c>
      <c r="F399" s="146" t="s">
        <v>208</v>
      </c>
      <c r="G399" s="111">
        <v>42285</v>
      </c>
      <c r="H399" s="111">
        <v>41402</v>
      </c>
      <c r="I399" s="111">
        <v>46105</v>
      </c>
      <c r="J399" s="162">
        <f t="shared" ref="J399:J405" si="30">IF(I399="", "", DATE(YEAR(I399)+2, MONTH(I399), DAY(I399)))</f>
        <v>46836</v>
      </c>
      <c r="K399" s="111">
        <v>42150</v>
      </c>
      <c r="L399" s="111">
        <v>45943</v>
      </c>
      <c r="M399" s="163">
        <f t="shared" ref="M399:M405" si="31">IF(L399="", "", DATE(YEAR(L399)+2, MONTH(L399), DAY(L399)))</f>
        <v>46673</v>
      </c>
      <c r="N399" s="111">
        <v>40744</v>
      </c>
      <c r="O399" s="111">
        <v>42284</v>
      </c>
      <c r="P399" s="111">
        <v>40745</v>
      </c>
      <c r="Q399" s="165" t="s">
        <v>69</v>
      </c>
      <c r="R399" s="165" t="s">
        <v>69</v>
      </c>
      <c r="S399" s="165" t="s">
        <v>69</v>
      </c>
      <c r="T399" s="112" t="s">
        <v>69</v>
      </c>
      <c r="U399" s="112">
        <v>43371</v>
      </c>
      <c r="V399" s="228">
        <v>43637</v>
      </c>
      <c r="W399" s="112">
        <v>43518</v>
      </c>
      <c r="X399" s="112">
        <v>42195</v>
      </c>
      <c r="Y399" s="112">
        <v>42234</v>
      </c>
      <c r="Z399" s="112">
        <v>42314</v>
      </c>
      <c r="AA399" s="165" t="s">
        <v>69</v>
      </c>
      <c r="AB399" s="166" t="s">
        <v>69</v>
      </c>
      <c r="AC399" s="166" t="s">
        <v>69</v>
      </c>
      <c r="AD399" s="167" t="s">
        <v>70</v>
      </c>
      <c r="AE399" s="167" t="s">
        <v>70</v>
      </c>
      <c r="AF399" s="112">
        <v>46162</v>
      </c>
      <c r="AG399" s="166" t="s">
        <v>69</v>
      </c>
      <c r="AH399" s="167" t="s">
        <v>71</v>
      </c>
      <c r="AI399" s="167" t="s">
        <v>70</v>
      </c>
      <c r="AJ399" s="167" t="s">
        <v>70</v>
      </c>
      <c r="AK399" s="167" t="s">
        <v>70</v>
      </c>
      <c r="AL399" s="166" t="s">
        <v>69</v>
      </c>
      <c r="AM399" s="166"/>
      <c r="AN399" s="166" t="s">
        <v>69</v>
      </c>
      <c r="AO399" s="167" t="s">
        <v>70</v>
      </c>
      <c r="AP399" s="168">
        <v>43738</v>
      </c>
      <c r="AQ399" s="166" t="s">
        <v>69</v>
      </c>
      <c r="AR399" s="94">
        <v>45967</v>
      </c>
      <c r="AS399" s="166" t="s">
        <v>69</v>
      </c>
      <c r="AT399" s="166" t="s">
        <v>69</v>
      </c>
      <c r="AU399" s="166" t="s">
        <v>69</v>
      </c>
      <c r="AV399" s="166" t="s">
        <v>69</v>
      </c>
      <c r="AW399" s="167" t="s">
        <v>70</v>
      </c>
      <c r="AX399" s="167" t="s">
        <v>70</v>
      </c>
      <c r="AY399" s="166" t="s">
        <v>69</v>
      </c>
      <c r="AZ399" s="166" t="s">
        <v>69</v>
      </c>
      <c r="BA399" s="166" t="s">
        <v>69</v>
      </c>
      <c r="BB399" s="167" t="s">
        <v>70</v>
      </c>
      <c r="BC399" s="167" t="s">
        <v>70</v>
      </c>
      <c r="BD399" s="167" t="s">
        <v>70</v>
      </c>
      <c r="BE399" s="167" t="s">
        <v>70</v>
      </c>
      <c r="BF399" s="167" t="s">
        <v>70</v>
      </c>
      <c r="BG399" s="169" t="s">
        <v>70</v>
      </c>
      <c r="BH399" s="169" t="s">
        <v>70</v>
      </c>
      <c r="BI399" s="169" t="s">
        <v>70</v>
      </c>
      <c r="BJ399" s="167" t="s">
        <v>70</v>
      </c>
      <c r="BK399" s="167" t="s">
        <v>70</v>
      </c>
      <c r="BL399" s="167" t="s">
        <v>70</v>
      </c>
      <c r="BM399" s="167" t="s">
        <v>70</v>
      </c>
      <c r="BN399" s="167" t="s">
        <v>70</v>
      </c>
      <c r="BO399" s="167" t="s">
        <v>70</v>
      </c>
      <c r="BP399" s="167" t="s">
        <v>70</v>
      </c>
      <c r="BQ399" s="151">
        <v>0</v>
      </c>
      <c r="BR399" s="142"/>
      <c r="BS399" s="142"/>
      <c r="BT399" s="142"/>
      <c r="BU399" s="142"/>
      <c r="BV399" s="142"/>
      <c r="BW399" s="142"/>
      <c r="BX399" s="142"/>
      <c r="BY399" s="142"/>
      <c r="BZ399" s="142"/>
      <c r="CA399" s="142"/>
      <c r="CB399" s="142"/>
      <c r="CC399" s="142"/>
      <c r="CD399" s="142"/>
      <c r="CE399" s="142"/>
      <c r="CF399" s="142"/>
      <c r="CG399" s="142"/>
      <c r="CH399" s="142"/>
      <c r="CI399" s="142"/>
      <c r="CJ399" s="142"/>
      <c r="CK399" s="142"/>
      <c r="CL399" s="142"/>
      <c r="CM399" s="142"/>
      <c r="CN399" s="142"/>
      <c r="CO399" s="142"/>
      <c r="CP399" s="142"/>
      <c r="CQ399" s="142"/>
      <c r="CR399" s="142"/>
      <c r="CS399" s="142"/>
      <c r="CT399" s="142"/>
      <c r="CU399" s="142"/>
      <c r="CV399" s="142"/>
      <c r="CW399" s="142"/>
      <c r="CX399" s="142"/>
      <c r="CY399" s="142"/>
      <c r="CZ399" s="142"/>
      <c r="DA399" s="142"/>
      <c r="DB399" s="142"/>
      <c r="DC399" s="142"/>
      <c r="DD399" s="142"/>
      <c r="DE399" s="142"/>
      <c r="DF399" s="142"/>
      <c r="DG399" s="142"/>
      <c r="DH399" s="142"/>
      <c r="DI399" s="142"/>
      <c r="DJ399" s="142"/>
      <c r="DK399" s="142"/>
      <c r="DL399" s="142"/>
      <c r="DM399" s="142"/>
      <c r="DN399" s="142"/>
      <c r="DO399" s="142"/>
      <c r="DP399" s="142"/>
      <c r="DQ399" s="142"/>
      <c r="DR399" s="142"/>
      <c r="DS399" s="142"/>
      <c r="DT399" s="142"/>
      <c r="DU399" s="142"/>
      <c r="DV399" s="142"/>
      <c r="DW399" s="142"/>
      <c r="DX399" s="142"/>
      <c r="DY399" s="142"/>
      <c r="DZ399" s="142"/>
      <c r="EA399" s="142"/>
      <c r="EB399" s="142"/>
      <c r="EC399" s="142"/>
      <c r="ED399" s="142"/>
      <c r="EE399" s="142"/>
    </row>
    <row r="400" spans="1:135" s="151" customFormat="1" ht="19.5" customHeight="1" x14ac:dyDescent="0.2">
      <c r="A400" s="117">
        <v>397</v>
      </c>
      <c r="B400" s="117" t="s">
        <v>541</v>
      </c>
      <c r="C400" s="117">
        <v>83123683</v>
      </c>
      <c r="D400" s="117" t="s">
        <v>73</v>
      </c>
      <c r="E400" s="144" t="s">
        <v>397</v>
      </c>
      <c r="F400" s="146" t="s">
        <v>208</v>
      </c>
      <c r="G400" s="111">
        <v>42698</v>
      </c>
      <c r="H400" s="111">
        <v>42193</v>
      </c>
      <c r="I400" s="111">
        <v>46086</v>
      </c>
      <c r="J400" s="162">
        <f t="shared" si="30"/>
        <v>46817</v>
      </c>
      <c r="K400" s="111">
        <v>44340</v>
      </c>
      <c r="L400" s="111">
        <v>45943</v>
      </c>
      <c r="M400" s="163">
        <f t="shared" si="31"/>
        <v>46673</v>
      </c>
      <c r="N400" s="111">
        <v>42282</v>
      </c>
      <c r="O400" s="111">
        <v>44233</v>
      </c>
      <c r="P400" s="111">
        <v>42284</v>
      </c>
      <c r="Q400" s="166" t="s">
        <v>69</v>
      </c>
      <c r="R400" s="166" t="s">
        <v>69</v>
      </c>
      <c r="S400" s="166" t="s">
        <v>69</v>
      </c>
      <c r="T400" s="168">
        <v>42843</v>
      </c>
      <c r="U400" s="168">
        <v>43756</v>
      </c>
      <c r="V400" s="168">
        <v>43868</v>
      </c>
      <c r="W400" s="166" t="s">
        <v>69</v>
      </c>
      <c r="X400" s="168">
        <v>43770</v>
      </c>
      <c r="Y400" s="168">
        <v>42083</v>
      </c>
      <c r="Z400" s="168">
        <v>44316</v>
      </c>
      <c r="AA400" s="94">
        <v>45695</v>
      </c>
      <c r="AB400" s="166" t="s">
        <v>69</v>
      </c>
      <c r="AC400" s="166" t="s">
        <v>69</v>
      </c>
      <c r="AD400" s="167" t="s">
        <v>71</v>
      </c>
      <c r="AE400" s="167" t="s">
        <v>70</v>
      </c>
      <c r="AF400" s="112" t="s">
        <v>69</v>
      </c>
      <c r="AG400" s="112" t="s">
        <v>69</v>
      </c>
      <c r="AH400" s="167" t="s">
        <v>71</v>
      </c>
      <c r="AI400" s="167" t="s">
        <v>70</v>
      </c>
      <c r="AJ400" s="167" t="s">
        <v>70</v>
      </c>
      <c r="AK400" s="167" t="s">
        <v>70</v>
      </c>
      <c r="AL400" s="166" t="s">
        <v>69</v>
      </c>
      <c r="AM400" s="166"/>
      <c r="AN400" s="166" t="s">
        <v>69</v>
      </c>
      <c r="AO400" s="167" t="s">
        <v>70</v>
      </c>
      <c r="AP400" s="166" t="s">
        <v>69</v>
      </c>
      <c r="AQ400" s="166" t="s">
        <v>69</v>
      </c>
      <c r="AR400" s="168">
        <v>46276</v>
      </c>
      <c r="AS400" s="166" t="s">
        <v>69</v>
      </c>
      <c r="AT400" s="166" t="s">
        <v>69</v>
      </c>
      <c r="AU400" s="166" t="s">
        <v>69</v>
      </c>
      <c r="AV400" s="166" t="s">
        <v>69</v>
      </c>
      <c r="AW400" s="166" t="s">
        <v>69</v>
      </c>
      <c r="AX400" s="166" t="s">
        <v>69</v>
      </c>
      <c r="AY400" s="166" t="s">
        <v>69</v>
      </c>
      <c r="AZ400" s="166" t="s">
        <v>69</v>
      </c>
      <c r="BA400" s="166" t="s">
        <v>69</v>
      </c>
      <c r="BB400" s="166" t="s">
        <v>69</v>
      </c>
      <c r="BC400" s="166" t="s">
        <v>69</v>
      </c>
      <c r="BD400" s="166" t="s">
        <v>69</v>
      </c>
      <c r="BE400" s="166" t="s">
        <v>69</v>
      </c>
      <c r="BF400" s="166" t="s">
        <v>69</v>
      </c>
      <c r="BG400" s="167" t="s">
        <v>70</v>
      </c>
      <c r="BH400" s="166" t="s">
        <v>69</v>
      </c>
      <c r="BI400" s="166" t="s">
        <v>69</v>
      </c>
      <c r="BJ400" s="167" t="s">
        <v>70</v>
      </c>
      <c r="BK400" s="166" t="s">
        <v>69</v>
      </c>
      <c r="BL400" s="167" t="s">
        <v>70</v>
      </c>
      <c r="BM400" s="167" t="s">
        <v>70</v>
      </c>
      <c r="BN400" s="167" t="s">
        <v>70</v>
      </c>
      <c r="BO400" s="167" t="s">
        <v>70</v>
      </c>
      <c r="BP400" s="167" t="s">
        <v>70</v>
      </c>
      <c r="BQ400" s="151">
        <v>0</v>
      </c>
      <c r="BR400" s="142"/>
      <c r="BS400" s="142"/>
      <c r="BT400" s="142"/>
      <c r="BU400" s="142"/>
      <c r="BV400" s="142"/>
      <c r="BW400" s="142"/>
      <c r="BX400" s="142"/>
      <c r="BY400" s="142"/>
      <c r="BZ400" s="142"/>
      <c r="CA400" s="142"/>
      <c r="CB400" s="142"/>
      <c r="CC400" s="142"/>
      <c r="CD400" s="142"/>
      <c r="CE400" s="142"/>
      <c r="CF400" s="142"/>
      <c r="CG400" s="142"/>
      <c r="CH400" s="142"/>
      <c r="CI400" s="142"/>
      <c r="CJ400" s="142"/>
      <c r="CK400" s="142"/>
      <c r="CL400" s="142"/>
      <c r="CM400" s="142"/>
      <c r="CN400" s="142"/>
      <c r="CO400" s="142"/>
      <c r="CP400" s="142"/>
      <c r="CQ400" s="142"/>
      <c r="CR400" s="142"/>
      <c r="CS400" s="142"/>
      <c r="CT400" s="142"/>
      <c r="CU400" s="142"/>
      <c r="CV400" s="142"/>
      <c r="CW400" s="142"/>
      <c r="CX400" s="142"/>
      <c r="CY400" s="142"/>
      <c r="CZ400" s="142"/>
      <c r="DA400" s="142"/>
      <c r="DB400" s="142"/>
      <c r="DC400" s="142"/>
      <c r="DD400" s="142"/>
      <c r="DE400" s="142"/>
      <c r="DF400" s="142"/>
      <c r="DG400" s="142"/>
      <c r="DH400" s="142"/>
      <c r="DI400" s="142"/>
      <c r="DJ400" s="142"/>
      <c r="DK400" s="142"/>
      <c r="DL400" s="142"/>
      <c r="DM400" s="142"/>
      <c r="DN400" s="142"/>
      <c r="DO400" s="142"/>
      <c r="DP400" s="142"/>
      <c r="DQ400" s="142"/>
      <c r="DR400" s="142"/>
      <c r="DS400" s="142"/>
      <c r="DT400" s="142"/>
      <c r="DU400" s="142"/>
      <c r="DV400" s="142"/>
      <c r="DW400" s="142"/>
      <c r="DX400" s="142"/>
      <c r="DY400" s="142"/>
      <c r="DZ400" s="142"/>
      <c r="EA400" s="142"/>
      <c r="EB400" s="142"/>
      <c r="EC400" s="142"/>
      <c r="ED400" s="142"/>
      <c r="EE400" s="142"/>
    </row>
    <row r="401" spans="1:135" s="151" customFormat="1" ht="19.5" customHeight="1" x14ac:dyDescent="0.2">
      <c r="A401" s="117">
        <v>398</v>
      </c>
      <c r="B401" s="117" t="s">
        <v>542</v>
      </c>
      <c r="C401" s="117">
        <v>141439</v>
      </c>
      <c r="D401" s="117" t="s">
        <v>73</v>
      </c>
      <c r="E401" s="144" t="s">
        <v>397</v>
      </c>
      <c r="F401" s="146" t="s">
        <v>208</v>
      </c>
      <c r="G401" s="111">
        <v>42451</v>
      </c>
      <c r="H401" s="111">
        <v>44468</v>
      </c>
      <c r="I401" s="111">
        <v>46076</v>
      </c>
      <c r="J401" s="162">
        <f t="shared" si="30"/>
        <v>46806</v>
      </c>
      <c r="K401" s="111">
        <v>44340</v>
      </c>
      <c r="L401" s="111">
        <v>45943</v>
      </c>
      <c r="M401" s="163">
        <f t="shared" si="31"/>
        <v>46673</v>
      </c>
      <c r="N401" s="111">
        <v>42444</v>
      </c>
      <c r="O401" s="111">
        <v>42446</v>
      </c>
      <c r="P401" s="111">
        <v>42445</v>
      </c>
      <c r="Q401" s="166" t="s">
        <v>69</v>
      </c>
      <c r="R401" s="166" t="s">
        <v>69</v>
      </c>
      <c r="S401" s="166" t="s">
        <v>69</v>
      </c>
      <c r="T401" s="168" t="s">
        <v>69</v>
      </c>
      <c r="U401" s="168">
        <v>44120</v>
      </c>
      <c r="V401" s="168">
        <v>43784</v>
      </c>
      <c r="W401" s="166" t="s">
        <v>69</v>
      </c>
      <c r="X401" s="168">
        <v>42360</v>
      </c>
      <c r="Y401" s="168">
        <v>42338</v>
      </c>
      <c r="Z401" s="168">
        <v>44386</v>
      </c>
      <c r="AA401" s="168">
        <v>46146</v>
      </c>
      <c r="AB401" s="166" t="s">
        <v>69</v>
      </c>
      <c r="AC401" s="166" t="s">
        <v>69</v>
      </c>
      <c r="AD401" s="167" t="s">
        <v>71</v>
      </c>
      <c r="AE401" s="167" t="s">
        <v>70</v>
      </c>
      <c r="AF401" s="112" t="s">
        <v>69</v>
      </c>
      <c r="AG401" s="112" t="s">
        <v>69</v>
      </c>
      <c r="AH401" s="167" t="s">
        <v>71</v>
      </c>
      <c r="AI401" s="167" t="s">
        <v>70</v>
      </c>
      <c r="AJ401" s="167" t="s">
        <v>70</v>
      </c>
      <c r="AK401" s="167" t="s">
        <v>70</v>
      </c>
      <c r="AL401" s="166" t="s">
        <v>69</v>
      </c>
      <c r="AM401" s="166"/>
      <c r="AN401" s="166" t="s">
        <v>69</v>
      </c>
      <c r="AO401" s="167" t="s">
        <v>70</v>
      </c>
      <c r="AP401" s="166" t="s">
        <v>69</v>
      </c>
      <c r="AQ401" s="166" t="s">
        <v>69</v>
      </c>
      <c r="AR401" s="168">
        <v>46220</v>
      </c>
      <c r="AS401" s="166" t="s">
        <v>69</v>
      </c>
      <c r="AT401" s="166" t="s">
        <v>69</v>
      </c>
      <c r="AU401" s="166" t="s">
        <v>69</v>
      </c>
      <c r="AV401" s="166" t="s">
        <v>69</v>
      </c>
      <c r="AW401" s="166" t="s">
        <v>69</v>
      </c>
      <c r="AX401" s="166" t="s">
        <v>69</v>
      </c>
      <c r="AY401" s="166" t="s">
        <v>69</v>
      </c>
      <c r="AZ401" s="166" t="s">
        <v>69</v>
      </c>
      <c r="BA401" s="166" t="s">
        <v>69</v>
      </c>
      <c r="BB401" s="166" t="s">
        <v>69</v>
      </c>
      <c r="BC401" s="166" t="s">
        <v>69</v>
      </c>
      <c r="BD401" s="166" t="s">
        <v>69</v>
      </c>
      <c r="BE401" s="166" t="s">
        <v>69</v>
      </c>
      <c r="BF401" s="166" t="s">
        <v>69</v>
      </c>
      <c r="BG401" s="167" t="s">
        <v>70</v>
      </c>
      <c r="BH401" s="166" t="s">
        <v>69</v>
      </c>
      <c r="BI401" s="166" t="s">
        <v>69</v>
      </c>
      <c r="BJ401" s="167" t="s">
        <v>70</v>
      </c>
      <c r="BK401" s="166" t="s">
        <v>69</v>
      </c>
      <c r="BL401" s="167" t="s">
        <v>70</v>
      </c>
      <c r="BM401" s="167" t="s">
        <v>70</v>
      </c>
      <c r="BN401" s="167" t="s">
        <v>70</v>
      </c>
      <c r="BO401" s="167" t="s">
        <v>70</v>
      </c>
      <c r="BP401" s="167" t="s">
        <v>70</v>
      </c>
      <c r="BQ401" s="151">
        <v>0</v>
      </c>
      <c r="BR401" s="142"/>
      <c r="BS401" s="142"/>
      <c r="BT401" s="142"/>
      <c r="BU401" s="142"/>
      <c r="BV401" s="142"/>
      <c r="BW401" s="142"/>
      <c r="BX401" s="142"/>
      <c r="BY401" s="142"/>
      <c r="BZ401" s="142"/>
      <c r="CA401" s="142"/>
      <c r="CB401" s="142"/>
      <c r="CC401" s="142"/>
      <c r="CD401" s="142"/>
      <c r="CE401" s="142"/>
      <c r="CF401" s="142"/>
      <c r="CG401" s="142"/>
      <c r="CH401" s="142"/>
      <c r="CI401" s="142"/>
      <c r="CJ401" s="142"/>
      <c r="CK401" s="142"/>
      <c r="CL401" s="142"/>
      <c r="CM401" s="142"/>
      <c r="CN401" s="142"/>
      <c r="CO401" s="142"/>
      <c r="CP401" s="142"/>
      <c r="CQ401" s="142"/>
      <c r="CR401" s="142"/>
      <c r="CS401" s="142"/>
      <c r="CT401" s="142"/>
      <c r="CU401" s="142"/>
      <c r="CV401" s="142"/>
      <c r="CW401" s="142"/>
      <c r="CX401" s="142"/>
      <c r="CY401" s="142"/>
      <c r="CZ401" s="142"/>
      <c r="DA401" s="142"/>
      <c r="DB401" s="142"/>
      <c r="DC401" s="142"/>
      <c r="DD401" s="142"/>
      <c r="DE401" s="142"/>
      <c r="DF401" s="142"/>
      <c r="DG401" s="142"/>
      <c r="DH401" s="142"/>
      <c r="DI401" s="142"/>
      <c r="DJ401" s="142"/>
      <c r="DK401" s="142"/>
      <c r="DL401" s="142"/>
      <c r="DM401" s="142"/>
      <c r="DN401" s="142"/>
      <c r="DO401" s="142"/>
      <c r="DP401" s="142"/>
      <c r="DQ401" s="142"/>
      <c r="DR401" s="142"/>
      <c r="DS401" s="142"/>
      <c r="DT401" s="142"/>
      <c r="DU401" s="142"/>
      <c r="DV401" s="142"/>
      <c r="DW401" s="142"/>
      <c r="DX401" s="142"/>
      <c r="DY401" s="142"/>
      <c r="DZ401" s="142"/>
      <c r="EA401" s="142"/>
      <c r="EB401" s="142"/>
      <c r="EC401" s="142"/>
      <c r="ED401" s="142"/>
      <c r="EE401" s="142"/>
    </row>
    <row r="402" spans="1:135" s="151" customFormat="1" ht="19.5" customHeight="1" x14ac:dyDescent="0.2">
      <c r="A402" s="117">
        <v>399</v>
      </c>
      <c r="B402" s="117" t="s">
        <v>543</v>
      </c>
      <c r="C402" s="117">
        <v>141440</v>
      </c>
      <c r="D402" s="117" t="s">
        <v>73</v>
      </c>
      <c r="E402" s="144" t="s">
        <v>397</v>
      </c>
      <c r="F402" s="146" t="s">
        <v>208</v>
      </c>
      <c r="G402" s="111">
        <v>42698</v>
      </c>
      <c r="H402" s="111">
        <v>42144</v>
      </c>
      <c r="I402" s="111">
        <v>45965</v>
      </c>
      <c r="J402" s="162">
        <f t="shared" si="30"/>
        <v>46695</v>
      </c>
      <c r="K402" s="111">
        <v>44524</v>
      </c>
      <c r="L402" s="111">
        <v>45943</v>
      </c>
      <c r="M402" s="163">
        <f t="shared" si="31"/>
        <v>46673</v>
      </c>
      <c r="N402" s="111">
        <v>42282</v>
      </c>
      <c r="O402" s="111">
        <v>42446</v>
      </c>
      <c r="P402" s="111">
        <v>42445</v>
      </c>
      <c r="Q402" s="166" t="s">
        <v>69</v>
      </c>
      <c r="R402" s="166" t="s">
        <v>69</v>
      </c>
      <c r="S402" s="166" t="s">
        <v>69</v>
      </c>
      <c r="T402" s="168">
        <v>43777</v>
      </c>
      <c r="U402" s="168">
        <v>43693</v>
      </c>
      <c r="V402" s="166" t="s">
        <v>69</v>
      </c>
      <c r="W402" s="166" t="s">
        <v>69</v>
      </c>
      <c r="X402" s="168">
        <v>42360</v>
      </c>
      <c r="Y402" s="166" t="s">
        <v>69</v>
      </c>
      <c r="Z402" s="168">
        <v>42338</v>
      </c>
      <c r="AA402" s="166" t="s">
        <v>69</v>
      </c>
      <c r="AB402" s="166" t="s">
        <v>69</v>
      </c>
      <c r="AC402" s="166" t="s">
        <v>69</v>
      </c>
      <c r="AD402" s="167" t="s">
        <v>71</v>
      </c>
      <c r="AE402" s="167" t="s">
        <v>70</v>
      </c>
      <c r="AF402" s="112" t="s">
        <v>69</v>
      </c>
      <c r="AG402" s="112" t="s">
        <v>69</v>
      </c>
      <c r="AH402" s="167" t="s">
        <v>71</v>
      </c>
      <c r="AI402" s="167" t="s">
        <v>70</v>
      </c>
      <c r="AJ402" s="167" t="s">
        <v>70</v>
      </c>
      <c r="AK402" s="167" t="s">
        <v>70</v>
      </c>
      <c r="AL402" s="166" t="s">
        <v>69</v>
      </c>
      <c r="AM402" s="166"/>
      <c r="AN402" s="166" t="s">
        <v>69</v>
      </c>
      <c r="AO402" s="167" t="s">
        <v>70</v>
      </c>
      <c r="AP402" s="166" t="s">
        <v>69</v>
      </c>
      <c r="AQ402" s="166" t="s">
        <v>69</v>
      </c>
      <c r="AR402" s="168">
        <v>46244</v>
      </c>
      <c r="AS402" s="166" t="s">
        <v>69</v>
      </c>
      <c r="AT402" s="166" t="s">
        <v>69</v>
      </c>
      <c r="AU402" s="166" t="s">
        <v>69</v>
      </c>
      <c r="AV402" s="166" t="s">
        <v>69</v>
      </c>
      <c r="AW402" s="166" t="s">
        <v>69</v>
      </c>
      <c r="AX402" s="166" t="s">
        <v>69</v>
      </c>
      <c r="AY402" s="166" t="s">
        <v>69</v>
      </c>
      <c r="AZ402" s="166" t="s">
        <v>69</v>
      </c>
      <c r="BA402" s="166" t="s">
        <v>69</v>
      </c>
      <c r="BB402" s="166" t="s">
        <v>69</v>
      </c>
      <c r="BC402" s="166" t="s">
        <v>69</v>
      </c>
      <c r="BD402" s="166" t="s">
        <v>69</v>
      </c>
      <c r="BE402" s="166" t="s">
        <v>69</v>
      </c>
      <c r="BF402" s="166" t="s">
        <v>69</v>
      </c>
      <c r="BG402" s="167" t="s">
        <v>70</v>
      </c>
      <c r="BH402" s="166" t="s">
        <v>69</v>
      </c>
      <c r="BI402" s="166" t="s">
        <v>69</v>
      </c>
      <c r="BJ402" s="167" t="s">
        <v>70</v>
      </c>
      <c r="BK402" s="166" t="s">
        <v>69</v>
      </c>
      <c r="BL402" s="167" t="s">
        <v>70</v>
      </c>
      <c r="BM402" s="167" t="s">
        <v>70</v>
      </c>
      <c r="BN402" s="167" t="s">
        <v>70</v>
      </c>
      <c r="BO402" s="167" t="s">
        <v>70</v>
      </c>
      <c r="BP402" s="167" t="s">
        <v>70</v>
      </c>
      <c r="BQ402" s="151">
        <v>0</v>
      </c>
      <c r="BR402" s="142"/>
      <c r="BS402" s="142"/>
      <c r="BT402" s="142"/>
      <c r="BU402" s="142"/>
      <c r="BV402" s="142"/>
      <c r="BW402" s="142"/>
      <c r="BX402" s="142"/>
      <c r="BY402" s="142"/>
      <c r="BZ402" s="142"/>
      <c r="CA402" s="142"/>
      <c r="CB402" s="142"/>
      <c r="CC402" s="142"/>
      <c r="CD402" s="142"/>
      <c r="CE402" s="142"/>
      <c r="CF402" s="142"/>
      <c r="CG402" s="142"/>
      <c r="CH402" s="142"/>
      <c r="CI402" s="142"/>
      <c r="CJ402" s="142"/>
      <c r="CK402" s="142"/>
      <c r="CL402" s="142"/>
      <c r="CM402" s="142"/>
      <c r="CN402" s="142"/>
      <c r="CO402" s="142"/>
      <c r="CP402" s="142"/>
      <c r="CQ402" s="142"/>
      <c r="CR402" s="142"/>
      <c r="CS402" s="142"/>
      <c r="CT402" s="142"/>
      <c r="CU402" s="142"/>
      <c r="CV402" s="142"/>
      <c r="CW402" s="142"/>
      <c r="CX402" s="142"/>
      <c r="CY402" s="142"/>
      <c r="CZ402" s="142"/>
      <c r="DA402" s="142"/>
      <c r="DB402" s="142"/>
      <c r="DC402" s="142"/>
      <c r="DD402" s="142"/>
      <c r="DE402" s="142"/>
      <c r="DF402" s="142"/>
      <c r="DG402" s="142"/>
      <c r="DH402" s="142"/>
      <c r="DI402" s="142"/>
      <c r="DJ402" s="142"/>
      <c r="DK402" s="142"/>
      <c r="DL402" s="142"/>
      <c r="DM402" s="142"/>
      <c r="DN402" s="142"/>
      <c r="DO402" s="142"/>
      <c r="DP402" s="142"/>
      <c r="DQ402" s="142"/>
      <c r="DR402" s="142"/>
      <c r="DS402" s="142"/>
      <c r="DT402" s="142"/>
      <c r="DU402" s="142"/>
      <c r="DV402" s="142"/>
      <c r="DW402" s="142"/>
      <c r="DX402" s="142"/>
      <c r="DY402" s="142"/>
      <c r="DZ402" s="142"/>
      <c r="EA402" s="142"/>
      <c r="EB402" s="142"/>
      <c r="EC402" s="142"/>
      <c r="ED402" s="142"/>
      <c r="EE402" s="142"/>
    </row>
    <row r="403" spans="1:135" s="151" customFormat="1" ht="19.5" customHeight="1" x14ac:dyDescent="0.2">
      <c r="A403" s="117">
        <v>400</v>
      </c>
      <c r="B403" s="161" t="s">
        <v>553</v>
      </c>
      <c r="C403" s="161">
        <v>145565</v>
      </c>
      <c r="D403" s="161" t="s">
        <v>554</v>
      </c>
      <c r="E403" s="144" t="s">
        <v>397</v>
      </c>
      <c r="F403" s="146" t="s">
        <v>208</v>
      </c>
      <c r="G403" s="111">
        <v>42306</v>
      </c>
      <c r="H403" s="111">
        <v>42657</v>
      </c>
      <c r="I403" s="111">
        <v>45932</v>
      </c>
      <c r="J403" s="162">
        <f t="shared" si="30"/>
        <v>46662</v>
      </c>
      <c r="K403" s="111">
        <v>42235</v>
      </c>
      <c r="L403" s="111">
        <v>46113</v>
      </c>
      <c r="M403" s="163">
        <f t="shared" si="31"/>
        <v>46844</v>
      </c>
      <c r="N403" s="111">
        <v>42710</v>
      </c>
      <c r="O403" s="111">
        <v>42711</v>
      </c>
      <c r="P403" s="111">
        <v>42712</v>
      </c>
      <c r="Q403" s="165" t="s">
        <v>69</v>
      </c>
      <c r="R403" s="165" t="s">
        <v>69</v>
      </c>
      <c r="S403" s="165" t="s">
        <v>69</v>
      </c>
      <c r="T403" s="112">
        <v>43059</v>
      </c>
      <c r="U403" s="112">
        <v>43791</v>
      </c>
      <c r="V403" s="112">
        <v>42779</v>
      </c>
      <c r="W403" s="112">
        <v>43490</v>
      </c>
      <c r="X403" s="112">
        <v>42345</v>
      </c>
      <c r="Y403" s="112">
        <v>43854</v>
      </c>
      <c r="Z403" s="112">
        <v>43166</v>
      </c>
      <c r="AA403" s="165" t="s">
        <v>69</v>
      </c>
      <c r="AB403" s="166" t="s">
        <v>69</v>
      </c>
      <c r="AC403" s="166" t="s">
        <v>69</v>
      </c>
      <c r="AD403" s="167" t="s">
        <v>70</v>
      </c>
      <c r="AE403" s="167" t="s">
        <v>70</v>
      </c>
      <c r="AF403" s="112">
        <v>45818</v>
      </c>
      <c r="AG403" s="166" t="s">
        <v>69</v>
      </c>
      <c r="AH403" s="167" t="s">
        <v>71</v>
      </c>
      <c r="AI403" s="167" t="s">
        <v>70</v>
      </c>
      <c r="AJ403" s="167" t="s">
        <v>70</v>
      </c>
      <c r="AK403" s="167" t="s">
        <v>70</v>
      </c>
      <c r="AL403" s="166" t="s">
        <v>69</v>
      </c>
      <c r="AM403" s="166"/>
      <c r="AN403" s="168" t="s">
        <v>69</v>
      </c>
      <c r="AO403" s="167" t="s">
        <v>70</v>
      </c>
      <c r="AP403" s="117"/>
      <c r="AQ403" s="166" t="s">
        <v>69</v>
      </c>
      <c r="AR403" s="168">
        <v>46090</v>
      </c>
      <c r="AS403" s="166" t="s">
        <v>69</v>
      </c>
      <c r="AT403" s="166" t="s">
        <v>69</v>
      </c>
      <c r="AU403" s="166" t="s">
        <v>69</v>
      </c>
      <c r="AV403" s="166" t="s">
        <v>69</v>
      </c>
      <c r="AW403" s="167" t="s">
        <v>70</v>
      </c>
      <c r="AX403" s="167" t="s">
        <v>70</v>
      </c>
      <c r="AY403" s="166" t="s">
        <v>69</v>
      </c>
      <c r="AZ403" s="166" t="s">
        <v>69</v>
      </c>
      <c r="BA403" s="166" t="s">
        <v>69</v>
      </c>
      <c r="BB403" s="167" t="s">
        <v>70</v>
      </c>
      <c r="BC403" s="167" t="s">
        <v>70</v>
      </c>
      <c r="BD403" s="167" t="s">
        <v>70</v>
      </c>
      <c r="BE403" s="167" t="s">
        <v>70</v>
      </c>
      <c r="BF403" s="167" t="s">
        <v>70</v>
      </c>
      <c r="BG403" s="169" t="s">
        <v>70</v>
      </c>
      <c r="BH403" s="169" t="s">
        <v>70</v>
      </c>
      <c r="BI403" s="169" t="s">
        <v>70</v>
      </c>
      <c r="BJ403" s="167" t="s">
        <v>70</v>
      </c>
      <c r="BK403" s="167" t="s">
        <v>70</v>
      </c>
      <c r="BL403" s="167" t="s">
        <v>70</v>
      </c>
      <c r="BM403" s="167" t="s">
        <v>70</v>
      </c>
      <c r="BN403" s="167" t="s">
        <v>70</v>
      </c>
      <c r="BO403" s="167" t="s">
        <v>70</v>
      </c>
      <c r="BP403" s="167" t="s">
        <v>70</v>
      </c>
      <c r="BQ403" s="151">
        <v>0</v>
      </c>
      <c r="BR403" s="142"/>
      <c r="BS403" s="142"/>
      <c r="BT403" s="142"/>
      <c r="BU403" s="142"/>
      <c r="BV403" s="142"/>
      <c r="BW403" s="142"/>
      <c r="BX403" s="142"/>
      <c r="BY403" s="142"/>
      <c r="BZ403" s="142"/>
      <c r="CA403" s="142"/>
      <c r="CB403" s="142"/>
      <c r="CC403" s="142"/>
      <c r="CD403" s="142"/>
      <c r="CE403" s="142"/>
      <c r="CF403" s="142"/>
      <c r="CG403" s="142"/>
      <c r="CH403" s="142"/>
      <c r="CI403" s="142"/>
      <c r="CJ403" s="142"/>
      <c r="CK403" s="142"/>
      <c r="CL403" s="142"/>
      <c r="CM403" s="142"/>
      <c r="CN403" s="142"/>
      <c r="CO403" s="142"/>
      <c r="CP403" s="142"/>
      <c r="CQ403" s="142"/>
      <c r="CR403" s="142"/>
      <c r="CS403" s="142"/>
      <c r="CT403" s="142"/>
      <c r="CU403" s="142"/>
      <c r="CV403" s="142"/>
      <c r="CW403" s="142"/>
      <c r="CX403" s="142"/>
      <c r="CY403" s="142"/>
      <c r="CZ403" s="142"/>
      <c r="DA403" s="142"/>
      <c r="DB403" s="142"/>
      <c r="DC403" s="142"/>
      <c r="DD403" s="142"/>
      <c r="DE403" s="142"/>
      <c r="DF403" s="142"/>
      <c r="DG403" s="142"/>
      <c r="DH403" s="142"/>
      <c r="DI403" s="142"/>
      <c r="DJ403" s="142"/>
      <c r="DK403" s="142"/>
      <c r="DL403" s="142"/>
      <c r="DM403" s="142"/>
      <c r="DN403" s="142"/>
      <c r="DO403" s="142"/>
      <c r="DP403" s="142"/>
      <c r="DQ403" s="142"/>
      <c r="DR403" s="142"/>
      <c r="DS403" s="142"/>
      <c r="DT403" s="142"/>
      <c r="DU403" s="142"/>
      <c r="DV403" s="142"/>
      <c r="DW403" s="142"/>
      <c r="DX403" s="142"/>
      <c r="DY403" s="142"/>
      <c r="DZ403" s="142"/>
      <c r="EA403" s="142"/>
      <c r="EB403" s="142"/>
      <c r="EC403" s="142"/>
      <c r="ED403" s="142"/>
      <c r="EE403" s="142"/>
    </row>
    <row r="404" spans="1:135" s="151" customFormat="1" ht="19.5" customHeight="1" x14ac:dyDescent="0.2">
      <c r="A404" s="117">
        <v>401</v>
      </c>
      <c r="B404" s="117" t="s">
        <v>555</v>
      </c>
      <c r="C404" s="117">
        <v>142875</v>
      </c>
      <c r="D404" s="117" t="s">
        <v>73</v>
      </c>
      <c r="E404" s="144" t="s">
        <v>397</v>
      </c>
      <c r="F404" s="146" t="s">
        <v>208</v>
      </c>
      <c r="G404" s="111">
        <v>42523</v>
      </c>
      <c r="H404" s="111">
        <v>42433</v>
      </c>
      <c r="I404" s="111">
        <v>45953</v>
      </c>
      <c r="J404" s="162">
        <f t="shared" si="30"/>
        <v>46683</v>
      </c>
      <c r="K404" s="111">
        <v>42318</v>
      </c>
      <c r="L404" s="111">
        <v>45943</v>
      </c>
      <c r="M404" s="163">
        <f t="shared" si="31"/>
        <v>46673</v>
      </c>
      <c r="N404" s="111">
        <v>42282</v>
      </c>
      <c r="O404" s="111">
        <v>42283</v>
      </c>
      <c r="P404" s="111">
        <v>42284</v>
      </c>
      <c r="Q404" s="166" t="s">
        <v>69</v>
      </c>
      <c r="R404" s="166" t="s">
        <v>69</v>
      </c>
      <c r="S404" s="166" t="s">
        <v>69</v>
      </c>
      <c r="T404" s="168">
        <v>43812</v>
      </c>
      <c r="U404" s="168">
        <v>44148</v>
      </c>
      <c r="V404" s="166" t="s">
        <v>69</v>
      </c>
      <c r="W404" s="166" t="s">
        <v>69</v>
      </c>
      <c r="X404" s="168">
        <v>42464</v>
      </c>
      <c r="Y404" s="168">
        <v>42359</v>
      </c>
      <c r="Z404" s="166" t="s">
        <v>69</v>
      </c>
      <c r="AA404" s="166" t="s">
        <v>69</v>
      </c>
      <c r="AB404" s="166" t="s">
        <v>69</v>
      </c>
      <c r="AC404" s="166" t="s">
        <v>69</v>
      </c>
      <c r="AD404" s="167" t="s">
        <v>71</v>
      </c>
      <c r="AE404" s="167" t="s">
        <v>70</v>
      </c>
      <c r="AF404" s="112">
        <v>46190</v>
      </c>
      <c r="AG404" s="112" t="s">
        <v>69</v>
      </c>
      <c r="AH404" s="167" t="s">
        <v>71</v>
      </c>
      <c r="AI404" s="167" t="s">
        <v>70</v>
      </c>
      <c r="AJ404" s="167" t="s">
        <v>70</v>
      </c>
      <c r="AK404" s="167" t="s">
        <v>70</v>
      </c>
      <c r="AL404" s="166" t="s">
        <v>69</v>
      </c>
      <c r="AM404" s="166"/>
      <c r="AN404" s="166" t="s">
        <v>69</v>
      </c>
      <c r="AO404" s="167" t="s">
        <v>70</v>
      </c>
      <c r="AP404" s="166" t="s">
        <v>69</v>
      </c>
      <c r="AQ404" s="166" t="s">
        <v>69</v>
      </c>
      <c r="AR404" s="168">
        <v>46153</v>
      </c>
      <c r="AS404" s="166" t="s">
        <v>69</v>
      </c>
      <c r="AT404" s="166" t="s">
        <v>69</v>
      </c>
      <c r="AU404" s="166" t="s">
        <v>69</v>
      </c>
      <c r="AV404" s="166" t="s">
        <v>69</v>
      </c>
      <c r="AW404" s="166" t="s">
        <v>69</v>
      </c>
      <c r="AX404" s="166" t="s">
        <v>69</v>
      </c>
      <c r="AY404" s="166" t="s">
        <v>69</v>
      </c>
      <c r="AZ404" s="166" t="s">
        <v>69</v>
      </c>
      <c r="BA404" s="166" t="s">
        <v>69</v>
      </c>
      <c r="BB404" s="166" t="s">
        <v>69</v>
      </c>
      <c r="BC404" s="166" t="s">
        <v>69</v>
      </c>
      <c r="BD404" s="166" t="s">
        <v>69</v>
      </c>
      <c r="BE404" s="166" t="s">
        <v>69</v>
      </c>
      <c r="BF404" s="166" t="s">
        <v>69</v>
      </c>
      <c r="BG404" s="167" t="s">
        <v>70</v>
      </c>
      <c r="BH404" s="166" t="s">
        <v>69</v>
      </c>
      <c r="BI404" s="166" t="s">
        <v>69</v>
      </c>
      <c r="BJ404" s="167" t="s">
        <v>70</v>
      </c>
      <c r="BK404" s="166" t="s">
        <v>69</v>
      </c>
      <c r="BL404" s="167" t="s">
        <v>70</v>
      </c>
      <c r="BM404" s="167" t="s">
        <v>70</v>
      </c>
      <c r="BN404" s="167" t="s">
        <v>70</v>
      </c>
      <c r="BO404" s="167" t="s">
        <v>70</v>
      </c>
      <c r="BP404" s="167" t="s">
        <v>70</v>
      </c>
      <c r="BQ404" s="151">
        <v>0</v>
      </c>
      <c r="BR404" s="142"/>
      <c r="BS404" s="142"/>
      <c r="BT404" s="142"/>
      <c r="BU404" s="142"/>
      <c r="BV404" s="142"/>
      <c r="BW404" s="142"/>
      <c r="BX404" s="142"/>
      <c r="BY404" s="142"/>
      <c r="BZ404" s="142"/>
      <c r="CA404" s="142"/>
      <c r="CB404" s="142"/>
      <c r="CC404" s="142"/>
      <c r="CD404" s="142"/>
      <c r="CE404" s="142"/>
      <c r="CF404" s="142"/>
      <c r="CG404" s="142"/>
      <c r="CH404" s="142"/>
      <c r="CI404" s="142"/>
      <c r="CJ404" s="142"/>
      <c r="CK404" s="142"/>
      <c r="CL404" s="142"/>
      <c r="CM404" s="142"/>
      <c r="CN404" s="142"/>
      <c r="CO404" s="142"/>
      <c r="CP404" s="142"/>
      <c r="CQ404" s="142"/>
      <c r="CR404" s="142"/>
      <c r="CS404" s="142"/>
      <c r="CT404" s="142"/>
      <c r="CU404" s="142"/>
      <c r="CV404" s="142"/>
      <c r="CW404" s="142"/>
      <c r="CX404" s="142"/>
      <c r="CY404" s="142"/>
      <c r="CZ404" s="142"/>
      <c r="DA404" s="142"/>
      <c r="DB404" s="142"/>
      <c r="DC404" s="142"/>
      <c r="DD404" s="142"/>
      <c r="DE404" s="142"/>
      <c r="DF404" s="142"/>
      <c r="DG404" s="142"/>
      <c r="DH404" s="142"/>
      <c r="DI404" s="142"/>
      <c r="DJ404" s="142"/>
      <c r="DK404" s="142"/>
      <c r="DL404" s="142"/>
      <c r="DM404" s="142"/>
      <c r="DN404" s="142"/>
      <c r="DO404" s="142"/>
      <c r="DP404" s="142"/>
      <c r="DQ404" s="142"/>
      <c r="DR404" s="142"/>
      <c r="DS404" s="142"/>
      <c r="DT404" s="142"/>
      <c r="DU404" s="142"/>
      <c r="DV404" s="142"/>
      <c r="DW404" s="142"/>
      <c r="DX404" s="142"/>
      <c r="DY404" s="142"/>
      <c r="DZ404" s="142"/>
      <c r="EA404" s="142"/>
      <c r="EB404" s="142"/>
      <c r="EC404" s="142"/>
      <c r="ED404" s="142"/>
      <c r="EE404" s="142"/>
    </row>
    <row r="405" spans="1:135" s="151" customFormat="1" ht="19.5" customHeight="1" x14ac:dyDescent="0.2">
      <c r="A405" s="117">
        <v>402</v>
      </c>
      <c r="B405" s="174" t="s">
        <v>551</v>
      </c>
      <c r="C405" s="144">
        <v>135705</v>
      </c>
      <c r="D405" s="117" t="s">
        <v>73</v>
      </c>
      <c r="E405" s="117" t="s">
        <v>549</v>
      </c>
      <c r="F405" s="146" t="s">
        <v>208</v>
      </c>
      <c r="G405" s="162">
        <v>42045</v>
      </c>
      <c r="H405" s="172">
        <v>42436</v>
      </c>
      <c r="I405" s="172">
        <v>45776</v>
      </c>
      <c r="J405" s="162">
        <f t="shared" si="30"/>
        <v>46506</v>
      </c>
      <c r="K405" s="111">
        <v>41836</v>
      </c>
      <c r="L405" s="163">
        <v>46001</v>
      </c>
      <c r="M405" s="163">
        <f t="shared" si="31"/>
        <v>46731</v>
      </c>
      <c r="N405" s="111">
        <v>42142</v>
      </c>
      <c r="O405" s="111">
        <v>42144</v>
      </c>
      <c r="P405" s="111">
        <v>42144</v>
      </c>
      <c r="Q405" s="166" t="s">
        <v>69</v>
      </c>
      <c r="R405" s="166" t="s">
        <v>69</v>
      </c>
      <c r="S405" s="166" t="s">
        <v>69</v>
      </c>
      <c r="T405" s="168">
        <v>46213</v>
      </c>
      <c r="U405" s="168">
        <v>46094</v>
      </c>
      <c r="V405" s="166" t="s">
        <v>69</v>
      </c>
      <c r="W405" s="166" t="s">
        <v>69</v>
      </c>
      <c r="X405" s="166" t="s">
        <v>69</v>
      </c>
      <c r="Y405" s="166" t="s">
        <v>69</v>
      </c>
      <c r="Z405" s="166" t="s">
        <v>69</v>
      </c>
      <c r="AA405" s="166" t="s">
        <v>69</v>
      </c>
      <c r="AB405" s="166" t="s">
        <v>69</v>
      </c>
      <c r="AC405" s="166" t="s">
        <v>69</v>
      </c>
      <c r="AD405" s="167" t="s">
        <v>71</v>
      </c>
      <c r="AE405" s="167" t="s">
        <v>70</v>
      </c>
      <c r="AF405" s="112">
        <v>44931</v>
      </c>
      <c r="AG405" s="112" t="s">
        <v>69</v>
      </c>
      <c r="AH405" s="167" t="s">
        <v>71</v>
      </c>
      <c r="AI405" s="167" t="s">
        <v>70</v>
      </c>
      <c r="AJ405" s="167" t="s">
        <v>70</v>
      </c>
      <c r="AK405" s="167" t="s">
        <v>70</v>
      </c>
      <c r="AL405" s="166" t="s">
        <v>69</v>
      </c>
      <c r="AM405" s="166"/>
      <c r="AN405" s="166" t="s">
        <v>69</v>
      </c>
      <c r="AO405" s="167" t="s">
        <v>70</v>
      </c>
      <c r="AP405" s="168">
        <v>46162</v>
      </c>
      <c r="AQ405" s="166" t="s">
        <v>69</v>
      </c>
      <c r="AR405" s="166" t="s">
        <v>69</v>
      </c>
      <c r="AS405" s="166" t="s">
        <v>69</v>
      </c>
      <c r="AT405" s="166" t="s">
        <v>69</v>
      </c>
      <c r="AU405" s="166" t="s">
        <v>69</v>
      </c>
      <c r="AV405" s="166" t="s">
        <v>69</v>
      </c>
      <c r="AW405" s="166" t="s">
        <v>69</v>
      </c>
      <c r="AX405" s="166" t="s">
        <v>69</v>
      </c>
      <c r="AY405" s="166" t="s">
        <v>69</v>
      </c>
      <c r="AZ405" s="166" t="s">
        <v>69</v>
      </c>
      <c r="BA405" s="166" t="s">
        <v>69</v>
      </c>
      <c r="BB405" s="166" t="s">
        <v>69</v>
      </c>
      <c r="BC405" s="166" t="s">
        <v>69</v>
      </c>
      <c r="BD405" s="166" t="s">
        <v>69</v>
      </c>
      <c r="BE405" s="166" t="s">
        <v>69</v>
      </c>
      <c r="BF405" s="166" t="s">
        <v>69</v>
      </c>
      <c r="BG405" s="167" t="s">
        <v>70</v>
      </c>
      <c r="BH405" s="166" t="s">
        <v>69</v>
      </c>
      <c r="BI405" s="166" t="s">
        <v>69</v>
      </c>
      <c r="BJ405" s="167" t="s">
        <v>70</v>
      </c>
      <c r="BK405" s="166" t="s">
        <v>69</v>
      </c>
      <c r="BL405" s="167" t="s">
        <v>70</v>
      </c>
      <c r="BM405" s="167" t="s">
        <v>70</v>
      </c>
      <c r="BN405" s="167" t="s">
        <v>70</v>
      </c>
      <c r="BO405" s="167" t="s">
        <v>70</v>
      </c>
      <c r="BP405" s="167" t="s">
        <v>70</v>
      </c>
      <c r="BQ405" s="151">
        <v>0</v>
      </c>
      <c r="BR405" s="142"/>
      <c r="BS405" s="142"/>
      <c r="BT405" s="142"/>
      <c r="BU405" s="142"/>
      <c r="BV405" s="142"/>
      <c r="BW405" s="142"/>
      <c r="BX405" s="142"/>
      <c r="BY405" s="142"/>
      <c r="BZ405" s="142"/>
      <c r="CA405" s="142"/>
      <c r="CB405" s="142"/>
      <c r="CC405" s="142"/>
      <c r="CD405" s="142"/>
      <c r="CE405" s="142"/>
      <c r="CF405" s="142"/>
      <c r="CG405" s="142"/>
      <c r="CH405" s="142"/>
      <c r="CI405" s="142"/>
      <c r="CJ405" s="142"/>
      <c r="CK405" s="142"/>
      <c r="CL405" s="142"/>
      <c r="CM405" s="142"/>
      <c r="CN405" s="142"/>
      <c r="CO405" s="142"/>
      <c r="CP405" s="142"/>
      <c r="CQ405" s="142"/>
      <c r="CR405" s="142"/>
      <c r="CS405" s="142"/>
      <c r="CT405" s="142"/>
      <c r="CU405" s="142"/>
      <c r="CV405" s="142"/>
      <c r="CW405" s="142"/>
      <c r="CX405" s="142"/>
      <c r="CY405" s="142"/>
      <c r="CZ405" s="142"/>
      <c r="DA405" s="142"/>
      <c r="DB405" s="142"/>
      <c r="DC405" s="142"/>
      <c r="DD405" s="142"/>
      <c r="DE405" s="142"/>
      <c r="DF405" s="142"/>
      <c r="DG405" s="142"/>
      <c r="DH405" s="142"/>
      <c r="DI405" s="142"/>
      <c r="DJ405" s="142"/>
      <c r="DK405" s="142"/>
      <c r="DL405" s="142"/>
      <c r="DM405" s="142"/>
      <c r="DN405" s="142"/>
      <c r="DO405" s="142"/>
      <c r="DP405" s="142"/>
      <c r="DQ405" s="142"/>
      <c r="DR405" s="142"/>
      <c r="DS405" s="142"/>
      <c r="DT405" s="142"/>
      <c r="DU405" s="142"/>
      <c r="DV405" s="142"/>
      <c r="DW405" s="142"/>
      <c r="DX405" s="142"/>
      <c r="DY405" s="142"/>
      <c r="DZ405" s="142"/>
      <c r="EA405" s="142"/>
      <c r="EB405" s="142"/>
      <c r="EC405" s="142"/>
      <c r="ED405" s="142"/>
      <c r="EE405" s="142"/>
    </row>
    <row r="406" spans="1:135" s="151" customFormat="1" ht="19.5" customHeight="1" x14ac:dyDescent="0.2">
      <c r="A406" s="117">
        <v>404</v>
      </c>
      <c r="B406" s="161" t="s">
        <v>545</v>
      </c>
      <c r="C406" s="161">
        <v>83123685</v>
      </c>
      <c r="D406" s="161" t="s">
        <v>546</v>
      </c>
      <c r="E406" s="144" t="s">
        <v>397</v>
      </c>
      <c r="F406" s="146" t="s">
        <v>208</v>
      </c>
      <c r="G406" s="111">
        <v>42418</v>
      </c>
      <c r="H406" s="111">
        <v>41402</v>
      </c>
      <c r="I406" s="111">
        <v>46079</v>
      </c>
      <c r="J406" s="162">
        <f>IF(I406="", "", DATE(YEAR(I406)+2, MONTH(I406), DAY(I406)))</f>
        <v>46809</v>
      </c>
      <c r="K406" s="111">
        <v>44467</v>
      </c>
      <c r="L406" s="111">
        <v>46090</v>
      </c>
      <c r="M406" s="163">
        <f>IF(L406="", "", DATE(YEAR(L406)+2, MONTH(L406), DAY(L406)))</f>
        <v>46821</v>
      </c>
      <c r="N406" s="111">
        <v>40751</v>
      </c>
      <c r="O406" s="112">
        <v>40752</v>
      </c>
      <c r="P406" s="111">
        <v>40752</v>
      </c>
      <c r="Q406" s="165" t="s">
        <v>69</v>
      </c>
      <c r="R406" s="165" t="s">
        <v>69</v>
      </c>
      <c r="S406" s="165" t="s">
        <v>69</v>
      </c>
      <c r="T406" s="112">
        <v>42814</v>
      </c>
      <c r="U406" s="112">
        <v>43805</v>
      </c>
      <c r="V406" s="112">
        <v>43728</v>
      </c>
      <c r="W406" s="112">
        <v>43903</v>
      </c>
      <c r="X406" s="112">
        <v>42195</v>
      </c>
      <c r="Y406" s="112">
        <v>42234</v>
      </c>
      <c r="Z406" s="112">
        <v>42314</v>
      </c>
      <c r="AA406" s="112">
        <v>42234</v>
      </c>
      <c r="AB406" s="166" t="s">
        <v>69</v>
      </c>
      <c r="AC406" s="166" t="s">
        <v>69</v>
      </c>
      <c r="AD406" s="167" t="s">
        <v>70</v>
      </c>
      <c r="AE406" s="167" t="s">
        <v>70</v>
      </c>
      <c r="AF406" s="112">
        <v>46253</v>
      </c>
      <c r="AG406" s="166" t="s">
        <v>69</v>
      </c>
      <c r="AH406" s="167" t="s">
        <v>71</v>
      </c>
      <c r="AI406" s="167" t="s">
        <v>70</v>
      </c>
      <c r="AJ406" s="167" t="s">
        <v>70</v>
      </c>
      <c r="AK406" s="167" t="s">
        <v>70</v>
      </c>
      <c r="AL406" s="166" t="s">
        <v>69</v>
      </c>
      <c r="AM406" s="166"/>
      <c r="AN406" s="166" t="s">
        <v>69</v>
      </c>
      <c r="AO406" s="167" t="s">
        <v>70</v>
      </c>
      <c r="AP406" s="168">
        <v>43059</v>
      </c>
      <c r="AQ406" s="166" t="s">
        <v>69</v>
      </c>
      <c r="AR406" s="168">
        <v>46119</v>
      </c>
      <c r="AS406" s="166" t="s">
        <v>69</v>
      </c>
      <c r="AT406" s="166" t="s">
        <v>69</v>
      </c>
      <c r="AU406" s="166" t="s">
        <v>69</v>
      </c>
      <c r="AV406" s="166" t="s">
        <v>69</v>
      </c>
      <c r="AW406" s="167" t="s">
        <v>70</v>
      </c>
      <c r="AX406" s="167" t="s">
        <v>70</v>
      </c>
      <c r="AY406" s="166" t="s">
        <v>69</v>
      </c>
      <c r="AZ406" s="166" t="s">
        <v>69</v>
      </c>
      <c r="BA406" s="166" t="s">
        <v>69</v>
      </c>
      <c r="BB406" s="167" t="s">
        <v>70</v>
      </c>
      <c r="BC406" s="167" t="s">
        <v>70</v>
      </c>
      <c r="BD406" s="167" t="s">
        <v>70</v>
      </c>
      <c r="BE406" s="167" t="s">
        <v>70</v>
      </c>
      <c r="BF406" s="167" t="s">
        <v>70</v>
      </c>
      <c r="BG406" s="169" t="s">
        <v>70</v>
      </c>
      <c r="BH406" s="169" t="s">
        <v>70</v>
      </c>
      <c r="BI406" s="169" t="s">
        <v>70</v>
      </c>
      <c r="BJ406" s="167" t="s">
        <v>70</v>
      </c>
      <c r="BK406" s="167" t="s">
        <v>70</v>
      </c>
      <c r="BL406" s="167" t="s">
        <v>70</v>
      </c>
      <c r="BM406" s="167" t="s">
        <v>70</v>
      </c>
      <c r="BN406" s="167" t="s">
        <v>70</v>
      </c>
      <c r="BO406" s="167" t="s">
        <v>70</v>
      </c>
      <c r="BP406" s="167" t="s">
        <v>70</v>
      </c>
      <c r="BQ406" s="151">
        <v>0</v>
      </c>
      <c r="BR406" s="142"/>
      <c r="BS406" s="142"/>
      <c r="BT406" s="142"/>
      <c r="BU406" s="142"/>
      <c r="BV406" s="142"/>
      <c r="BW406" s="142"/>
      <c r="BX406" s="142"/>
      <c r="BY406" s="142"/>
      <c r="BZ406" s="142"/>
      <c r="CA406" s="142"/>
      <c r="CB406" s="142"/>
      <c r="CC406" s="142"/>
      <c r="CD406" s="142"/>
      <c r="CE406" s="142"/>
      <c r="CF406" s="142"/>
      <c r="CG406" s="142"/>
      <c r="CH406" s="142"/>
      <c r="CI406" s="142"/>
      <c r="CJ406" s="142"/>
      <c r="CK406" s="142"/>
      <c r="CL406" s="142"/>
      <c r="CM406" s="142"/>
      <c r="CN406" s="142"/>
      <c r="CO406" s="142"/>
      <c r="CP406" s="142"/>
      <c r="CQ406" s="142"/>
      <c r="CR406" s="142"/>
      <c r="CS406" s="142"/>
      <c r="CT406" s="142"/>
      <c r="CU406" s="142"/>
      <c r="CV406" s="142"/>
      <c r="CW406" s="142"/>
      <c r="CX406" s="142"/>
      <c r="CY406" s="142"/>
      <c r="CZ406" s="142"/>
      <c r="DA406" s="142"/>
      <c r="DB406" s="142"/>
      <c r="DC406" s="142"/>
      <c r="DD406" s="142"/>
      <c r="DE406" s="142"/>
      <c r="DF406" s="142"/>
      <c r="DG406" s="142"/>
      <c r="DH406" s="142"/>
      <c r="DI406" s="142"/>
      <c r="DJ406" s="142"/>
      <c r="DK406" s="142"/>
      <c r="DL406" s="142"/>
      <c r="DM406" s="142"/>
      <c r="DN406" s="142"/>
      <c r="DO406" s="142"/>
      <c r="DP406" s="142"/>
      <c r="DQ406" s="142"/>
      <c r="DR406" s="142"/>
      <c r="DS406" s="142"/>
      <c r="DT406" s="142"/>
      <c r="DU406" s="142"/>
      <c r="DV406" s="142"/>
      <c r="DW406" s="142"/>
      <c r="DX406" s="142"/>
      <c r="DY406" s="142"/>
      <c r="DZ406" s="142"/>
      <c r="EA406" s="142"/>
      <c r="EB406" s="142"/>
      <c r="EC406" s="142"/>
      <c r="ED406" s="142"/>
      <c r="EE406" s="142"/>
    </row>
    <row r="407" spans="1:135" s="151" customFormat="1" ht="19.5" customHeight="1" x14ac:dyDescent="0.2">
      <c r="A407" s="117">
        <v>405</v>
      </c>
      <c r="B407" s="117" t="s">
        <v>544</v>
      </c>
      <c r="C407" s="117">
        <v>83123689</v>
      </c>
      <c r="D407" s="117" t="s">
        <v>73</v>
      </c>
      <c r="E407" s="144" t="s">
        <v>397</v>
      </c>
      <c r="F407" s="146" t="s">
        <v>208</v>
      </c>
      <c r="G407" s="111">
        <v>42523</v>
      </c>
      <c r="H407" s="111">
        <v>42151</v>
      </c>
      <c r="I407" s="111">
        <v>45954</v>
      </c>
      <c r="J407" s="162">
        <f>IF(I407="", "", DATE(YEAR(I407)+2, MONTH(I407), DAY(I407)))</f>
        <v>46684</v>
      </c>
      <c r="K407" s="111">
        <v>45058</v>
      </c>
      <c r="L407" s="111">
        <v>45943</v>
      </c>
      <c r="M407" s="163">
        <f>IF(L407="", "", DATE(YEAR(L407)+2, MONTH(L407), DAY(L407)))</f>
        <v>46673</v>
      </c>
      <c r="N407" s="111">
        <v>42523</v>
      </c>
      <c r="O407" s="111">
        <v>42283</v>
      </c>
      <c r="P407" s="111">
        <v>42284</v>
      </c>
      <c r="Q407" s="166" t="s">
        <v>69</v>
      </c>
      <c r="R407" s="166" t="s">
        <v>69</v>
      </c>
      <c r="S407" s="166" t="s">
        <v>69</v>
      </c>
      <c r="T407" s="168">
        <v>44358</v>
      </c>
      <c r="U407" s="168">
        <v>43651</v>
      </c>
      <c r="V407" s="168">
        <v>42821</v>
      </c>
      <c r="W407" s="166" t="s">
        <v>69</v>
      </c>
      <c r="X407" s="166" t="s">
        <v>69</v>
      </c>
      <c r="Y407" s="168">
        <v>42338</v>
      </c>
      <c r="Z407" s="168">
        <v>42702</v>
      </c>
      <c r="AA407" s="166" t="s">
        <v>69</v>
      </c>
      <c r="AB407" s="166" t="s">
        <v>69</v>
      </c>
      <c r="AC407" s="166" t="s">
        <v>69</v>
      </c>
      <c r="AD407" s="167" t="s">
        <v>71</v>
      </c>
      <c r="AE407" s="167" t="s">
        <v>70</v>
      </c>
      <c r="AF407" s="112" t="s">
        <v>69</v>
      </c>
      <c r="AG407" s="112" t="s">
        <v>69</v>
      </c>
      <c r="AH407" s="167" t="s">
        <v>71</v>
      </c>
      <c r="AI407" s="167" t="s">
        <v>70</v>
      </c>
      <c r="AJ407" s="167" t="s">
        <v>70</v>
      </c>
      <c r="AK407" s="167" t="s">
        <v>70</v>
      </c>
      <c r="AL407" s="166" t="s">
        <v>69</v>
      </c>
      <c r="AM407" s="166"/>
      <c r="AN407" s="166" t="s">
        <v>69</v>
      </c>
      <c r="AO407" s="167" t="s">
        <v>70</v>
      </c>
      <c r="AP407" s="166" t="s">
        <v>69</v>
      </c>
      <c r="AQ407" s="166" t="s">
        <v>69</v>
      </c>
      <c r="AR407" s="166" t="s">
        <v>69</v>
      </c>
      <c r="AS407" s="168">
        <v>46136</v>
      </c>
      <c r="AT407" s="166" t="s">
        <v>69</v>
      </c>
      <c r="AU407" s="166" t="s">
        <v>69</v>
      </c>
      <c r="AV407" s="166" t="s">
        <v>69</v>
      </c>
      <c r="AW407" s="166" t="s">
        <v>69</v>
      </c>
      <c r="AX407" s="166" t="s">
        <v>69</v>
      </c>
      <c r="AY407" s="166" t="s">
        <v>69</v>
      </c>
      <c r="AZ407" s="166" t="s">
        <v>69</v>
      </c>
      <c r="BA407" s="166" t="s">
        <v>69</v>
      </c>
      <c r="BB407" s="166" t="s">
        <v>69</v>
      </c>
      <c r="BC407" s="166" t="s">
        <v>69</v>
      </c>
      <c r="BD407" s="166" t="s">
        <v>69</v>
      </c>
      <c r="BE407" s="166" t="s">
        <v>69</v>
      </c>
      <c r="BF407" s="166" t="s">
        <v>69</v>
      </c>
      <c r="BG407" s="167" t="s">
        <v>70</v>
      </c>
      <c r="BH407" s="166" t="s">
        <v>69</v>
      </c>
      <c r="BI407" s="166" t="s">
        <v>69</v>
      </c>
      <c r="BJ407" s="167" t="s">
        <v>70</v>
      </c>
      <c r="BK407" s="166" t="s">
        <v>69</v>
      </c>
      <c r="BL407" s="167" t="s">
        <v>70</v>
      </c>
      <c r="BM407" s="167" t="s">
        <v>70</v>
      </c>
      <c r="BN407" s="167" t="s">
        <v>70</v>
      </c>
      <c r="BO407" s="167" t="s">
        <v>70</v>
      </c>
      <c r="BP407" s="167" t="s">
        <v>70</v>
      </c>
      <c r="BQ407" s="151">
        <v>0</v>
      </c>
      <c r="BR407" s="142"/>
      <c r="BS407" s="142"/>
      <c r="BT407" s="142"/>
      <c r="BU407" s="142"/>
      <c r="BV407" s="142"/>
      <c r="BW407" s="142"/>
      <c r="BX407" s="142"/>
      <c r="BY407" s="142"/>
      <c r="BZ407" s="142"/>
      <c r="CA407" s="142"/>
      <c r="CB407" s="142"/>
      <c r="CC407" s="142"/>
      <c r="CD407" s="142"/>
      <c r="CE407" s="142"/>
      <c r="CF407" s="142"/>
      <c r="CG407" s="142"/>
      <c r="CH407" s="142"/>
      <c r="CI407" s="142"/>
      <c r="CJ407" s="142"/>
      <c r="CK407" s="142"/>
      <c r="CL407" s="142"/>
      <c r="CM407" s="142"/>
      <c r="CN407" s="142"/>
      <c r="CO407" s="142"/>
      <c r="CP407" s="142"/>
      <c r="CQ407" s="142"/>
      <c r="CR407" s="142"/>
      <c r="CS407" s="142"/>
      <c r="CT407" s="142"/>
      <c r="CU407" s="142"/>
      <c r="CV407" s="142"/>
      <c r="CW407" s="142"/>
      <c r="CX407" s="142"/>
      <c r="CY407" s="142"/>
      <c r="CZ407" s="142"/>
      <c r="DA407" s="142"/>
      <c r="DB407" s="142"/>
      <c r="DC407" s="142"/>
      <c r="DD407" s="142"/>
      <c r="DE407" s="142"/>
      <c r="DF407" s="142"/>
      <c r="DG407" s="142"/>
      <c r="DH407" s="142"/>
      <c r="DI407" s="142"/>
      <c r="DJ407" s="142"/>
      <c r="DK407" s="142"/>
      <c r="DL407" s="142"/>
      <c r="DM407" s="142"/>
      <c r="DN407" s="142"/>
      <c r="DO407" s="142"/>
      <c r="DP407" s="142"/>
      <c r="DQ407" s="142"/>
      <c r="DR407" s="142"/>
      <c r="DS407" s="142"/>
      <c r="DT407" s="142"/>
      <c r="DU407" s="142"/>
      <c r="DV407" s="142"/>
      <c r="DW407" s="142"/>
      <c r="DX407" s="142"/>
      <c r="DY407" s="142"/>
      <c r="DZ407" s="142"/>
      <c r="EA407" s="142"/>
      <c r="EB407" s="142"/>
      <c r="EC407" s="142"/>
      <c r="ED407" s="142"/>
      <c r="EE407" s="142"/>
    </row>
    <row r="408" spans="1:135" s="151" customFormat="1" ht="19.5" customHeight="1" x14ac:dyDescent="0.2">
      <c r="A408" s="117">
        <v>406</v>
      </c>
      <c r="B408" s="117" t="s">
        <v>547</v>
      </c>
      <c r="C408" s="117">
        <v>83123688</v>
      </c>
      <c r="D408" s="117" t="s">
        <v>73</v>
      </c>
      <c r="E408" s="144" t="s">
        <v>397</v>
      </c>
      <c r="F408" s="146" t="s">
        <v>208</v>
      </c>
      <c r="G408" s="111">
        <v>42429</v>
      </c>
      <c r="H408" s="111">
        <v>42299</v>
      </c>
      <c r="I408" s="111">
        <v>46107</v>
      </c>
      <c r="J408" s="162">
        <f>IF(I408="", "", DATE(YEAR(I408)+2, MONTH(I408), DAY(I408)))</f>
        <v>46838</v>
      </c>
      <c r="K408" s="111">
        <v>44467</v>
      </c>
      <c r="L408" s="111">
        <v>46113</v>
      </c>
      <c r="M408" s="163">
        <f>IF(L408="", "", DATE(YEAR(L408)+2, MONTH(L408), DAY(L408)))</f>
        <v>46844</v>
      </c>
      <c r="N408" s="111">
        <v>42261</v>
      </c>
      <c r="O408" s="111">
        <v>42262</v>
      </c>
      <c r="P408" s="111">
        <v>42263</v>
      </c>
      <c r="Q408" s="166" t="s">
        <v>69</v>
      </c>
      <c r="R408" s="166" t="s">
        <v>69</v>
      </c>
      <c r="S408" s="166" t="s">
        <v>69</v>
      </c>
      <c r="T408" s="168">
        <v>43791</v>
      </c>
      <c r="U408" s="168">
        <v>43546</v>
      </c>
      <c r="V408" s="168">
        <v>43495</v>
      </c>
      <c r="W408" s="166" t="s">
        <v>69</v>
      </c>
      <c r="X408" s="168">
        <v>42409</v>
      </c>
      <c r="Y408" s="168">
        <v>42338</v>
      </c>
      <c r="Z408" s="168">
        <v>44281</v>
      </c>
      <c r="AA408" s="166" t="s">
        <v>69</v>
      </c>
      <c r="AB408" s="166" t="s">
        <v>69</v>
      </c>
      <c r="AC408" s="166" t="s">
        <v>69</v>
      </c>
      <c r="AD408" s="167" t="s">
        <v>71</v>
      </c>
      <c r="AE408" s="167" t="s">
        <v>70</v>
      </c>
      <c r="AF408" s="112">
        <v>46064</v>
      </c>
      <c r="AG408" s="112" t="s">
        <v>69</v>
      </c>
      <c r="AH408" s="167" t="s">
        <v>71</v>
      </c>
      <c r="AI408" s="167" t="s">
        <v>70</v>
      </c>
      <c r="AJ408" s="167" t="s">
        <v>70</v>
      </c>
      <c r="AK408" s="167" t="s">
        <v>70</v>
      </c>
      <c r="AL408" s="166" t="s">
        <v>69</v>
      </c>
      <c r="AM408" s="166"/>
      <c r="AN408" s="166" t="s">
        <v>69</v>
      </c>
      <c r="AO408" s="167" t="s">
        <v>70</v>
      </c>
      <c r="AP408" s="166" t="s">
        <v>69</v>
      </c>
      <c r="AQ408" s="166" t="s">
        <v>69</v>
      </c>
      <c r="AR408" s="166" t="s">
        <v>69</v>
      </c>
      <c r="AS408" s="166" t="s">
        <v>69</v>
      </c>
      <c r="AT408" s="166" t="s">
        <v>69</v>
      </c>
      <c r="AU408" s="166" t="s">
        <v>69</v>
      </c>
      <c r="AV408" s="166" t="s">
        <v>69</v>
      </c>
      <c r="AW408" s="166" t="s">
        <v>69</v>
      </c>
      <c r="AX408" s="166" t="s">
        <v>69</v>
      </c>
      <c r="AY408" s="166" t="s">
        <v>69</v>
      </c>
      <c r="AZ408" s="166" t="s">
        <v>69</v>
      </c>
      <c r="BA408" s="166" t="s">
        <v>69</v>
      </c>
      <c r="BB408" s="166" t="s">
        <v>69</v>
      </c>
      <c r="BC408" s="166" t="s">
        <v>69</v>
      </c>
      <c r="BD408" s="166" t="s">
        <v>69</v>
      </c>
      <c r="BE408" s="166" t="s">
        <v>69</v>
      </c>
      <c r="BF408" s="166" t="s">
        <v>69</v>
      </c>
      <c r="BG408" s="167" t="s">
        <v>70</v>
      </c>
      <c r="BH408" s="166" t="s">
        <v>69</v>
      </c>
      <c r="BI408" s="166" t="s">
        <v>69</v>
      </c>
      <c r="BJ408" s="167" t="s">
        <v>70</v>
      </c>
      <c r="BK408" s="166" t="s">
        <v>69</v>
      </c>
      <c r="BL408" s="167" t="s">
        <v>70</v>
      </c>
      <c r="BM408" s="167" t="s">
        <v>70</v>
      </c>
      <c r="BN408" s="167" t="s">
        <v>70</v>
      </c>
      <c r="BO408" s="167" t="s">
        <v>70</v>
      </c>
      <c r="BP408" s="167" t="s">
        <v>70</v>
      </c>
      <c r="BQ408" s="151">
        <v>0</v>
      </c>
      <c r="BR408" s="142"/>
      <c r="BS408" s="142"/>
      <c r="BT408" s="142"/>
      <c r="BU408" s="142"/>
      <c r="BV408" s="142"/>
      <c r="BW408" s="142"/>
      <c r="BX408" s="142"/>
      <c r="BY408" s="142"/>
      <c r="BZ408" s="142"/>
      <c r="CA408" s="142"/>
      <c r="CB408" s="142"/>
      <c r="CC408" s="142"/>
      <c r="CD408" s="142"/>
      <c r="CE408" s="142"/>
      <c r="CF408" s="142"/>
      <c r="CG408" s="142"/>
      <c r="CH408" s="142"/>
      <c r="CI408" s="142"/>
      <c r="CJ408" s="142"/>
      <c r="CK408" s="142"/>
      <c r="CL408" s="142"/>
      <c r="CM408" s="142"/>
      <c r="CN408" s="142"/>
      <c r="CO408" s="142"/>
      <c r="CP408" s="142"/>
      <c r="CQ408" s="142"/>
      <c r="CR408" s="142"/>
      <c r="CS408" s="142"/>
      <c r="CT408" s="142"/>
      <c r="CU408" s="142"/>
      <c r="CV408" s="142"/>
      <c r="CW408" s="142"/>
      <c r="CX408" s="142"/>
      <c r="CY408" s="142"/>
      <c r="CZ408" s="142"/>
      <c r="DA408" s="142"/>
      <c r="DB408" s="142"/>
      <c r="DC408" s="142"/>
      <c r="DD408" s="142"/>
      <c r="DE408" s="142"/>
      <c r="DF408" s="142"/>
      <c r="DG408" s="142"/>
      <c r="DH408" s="142"/>
      <c r="DI408" s="142"/>
      <c r="DJ408" s="142"/>
      <c r="DK408" s="142"/>
      <c r="DL408" s="142"/>
      <c r="DM408" s="142"/>
      <c r="DN408" s="142"/>
      <c r="DO408" s="142"/>
      <c r="DP408" s="142"/>
      <c r="DQ408" s="142"/>
      <c r="DR408" s="142"/>
      <c r="DS408" s="142"/>
      <c r="DT408" s="142"/>
      <c r="DU408" s="142"/>
      <c r="DV408" s="142"/>
      <c r="DW408" s="142"/>
      <c r="DX408" s="142"/>
      <c r="DY408" s="142"/>
      <c r="DZ408" s="142"/>
      <c r="EA408" s="142"/>
      <c r="EB408" s="142"/>
      <c r="EC408" s="142"/>
      <c r="ED408" s="142"/>
      <c r="EE408" s="142"/>
    </row>
    <row r="409" spans="1:135" s="151" customFormat="1" ht="19.5" customHeight="1" x14ac:dyDescent="0.2">
      <c r="A409" s="117">
        <v>407</v>
      </c>
      <c r="B409" s="117" t="s">
        <v>550</v>
      </c>
      <c r="C409" s="117">
        <v>83123686</v>
      </c>
      <c r="D409" s="117" t="s">
        <v>73</v>
      </c>
      <c r="E409" s="144" t="s">
        <v>397</v>
      </c>
      <c r="F409" s="146" t="s">
        <v>208</v>
      </c>
      <c r="G409" s="111">
        <v>42451</v>
      </c>
      <c r="H409" s="111">
        <v>42387</v>
      </c>
      <c r="I409" s="111">
        <v>45986</v>
      </c>
      <c r="J409" s="162">
        <f>IF(I409="", "", DATE(YEAR(I409)+2, MONTH(I409), DAY(I409)))</f>
        <v>46716</v>
      </c>
      <c r="K409" s="111">
        <v>44514</v>
      </c>
      <c r="L409" s="111">
        <v>46090</v>
      </c>
      <c r="M409" s="163">
        <f>IF(L409="", "", DATE(YEAR(L409)+2, MONTH(L409), DAY(L409)))</f>
        <v>46821</v>
      </c>
      <c r="N409" s="111">
        <v>40753</v>
      </c>
      <c r="O409" s="111">
        <v>40753</v>
      </c>
      <c r="P409" s="111">
        <v>42263</v>
      </c>
      <c r="Q409" s="166" t="s">
        <v>69</v>
      </c>
      <c r="R409" s="166" t="s">
        <v>69</v>
      </c>
      <c r="S409" s="166" t="s">
        <v>69</v>
      </c>
      <c r="T409" s="168">
        <v>42843</v>
      </c>
      <c r="U409" s="168">
        <v>43518</v>
      </c>
      <c r="V409" s="168">
        <v>42674</v>
      </c>
      <c r="W409" s="166" t="s">
        <v>69</v>
      </c>
      <c r="X409" s="168">
        <v>42300</v>
      </c>
      <c r="Y409" s="168">
        <v>42258</v>
      </c>
      <c r="Z409" s="168">
        <v>44113</v>
      </c>
      <c r="AA409" s="166" t="s">
        <v>69</v>
      </c>
      <c r="AB409" s="166" t="s">
        <v>69</v>
      </c>
      <c r="AC409" s="166" t="s">
        <v>69</v>
      </c>
      <c r="AD409" s="167" t="s">
        <v>71</v>
      </c>
      <c r="AE409" s="167" t="s">
        <v>70</v>
      </c>
      <c r="AF409" s="112" t="s">
        <v>69</v>
      </c>
      <c r="AG409" s="112" t="s">
        <v>69</v>
      </c>
      <c r="AH409" s="167" t="s">
        <v>71</v>
      </c>
      <c r="AI409" s="167" t="s">
        <v>70</v>
      </c>
      <c r="AJ409" s="167" t="s">
        <v>70</v>
      </c>
      <c r="AK409" s="167" t="s">
        <v>70</v>
      </c>
      <c r="AL409" s="166" t="s">
        <v>69</v>
      </c>
      <c r="AM409" s="166"/>
      <c r="AN409" s="166" t="s">
        <v>69</v>
      </c>
      <c r="AO409" s="167" t="s">
        <v>70</v>
      </c>
      <c r="AP409" s="166" t="s">
        <v>69</v>
      </c>
      <c r="AQ409" s="166" t="s">
        <v>69</v>
      </c>
      <c r="AR409" s="166" t="s">
        <v>69</v>
      </c>
      <c r="AS409" s="166" t="s">
        <v>69</v>
      </c>
      <c r="AT409" s="166" t="s">
        <v>69</v>
      </c>
      <c r="AU409" s="166" t="s">
        <v>69</v>
      </c>
      <c r="AV409" s="166" t="s">
        <v>69</v>
      </c>
      <c r="AW409" s="166" t="s">
        <v>69</v>
      </c>
      <c r="AX409" s="166" t="s">
        <v>69</v>
      </c>
      <c r="AY409" s="166" t="s">
        <v>69</v>
      </c>
      <c r="AZ409" s="166" t="s">
        <v>69</v>
      </c>
      <c r="BA409" s="166" t="s">
        <v>69</v>
      </c>
      <c r="BB409" s="166" t="s">
        <v>69</v>
      </c>
      <c r="BC409" s="166" t="s">
        <v>69</v>
      </c>
      <c r="BD409" s="166" t="s">
        <v>69</v>
      </c>
      <c r="BE409" s="166" t="s">
        <v>69</v>
      </c>
      <c r="BF409" s="166" t="s">
        <v>69</v>
      </c>
      <c r="BG409" s="167" t="s">
        <v>70</v>
      </c>
      <c r="BH409" s="166" t="s">
        <v>69</v>
      </c>
      <c r="BI409" s="166" t="s">
        <v>69</v>
      </c>
      <c r="BJ409" s="167" t="s">
        <v>70</v>
      </c>
      <c r="BK409" s="166" t="s">
        <v>69</v>
      </c>
      <c r="BL409" s="167" t="s">
        <v>70</v>
      </c>
      <c r="BM409" s="167" t="s">
        <v>70</v>
      </c>
      <c r="BN409" s="167" t="s">
        <v>70</v>
      </c>
      <c r="BO409" s="167" t="s">
        <v>70</v>
      </c>
      <c r="BP409" s="167" t="s">
        <v>70</v>
      </c>
      <c r="BQ409" s="151">
        <v>0</v>
      </c>
      <c r="BR409" s="142"/>
      <c r="BS409" s="142"/>
      <c r="BT409" s="142"/>
      <c r="BU409" s="142"/>
      <c r="BV409" s="142"/>
      <c r="BW409" s="142"/>
      <c r="BX409" s="142"/>
      <c r="BY409" s="142"/>
      <c r="BZ409" s="142"/>
      <c r="CA409" s="142"/>
      <c r="CB409" s="142"/>
      <c r="CC409" s="142"/>
      <c r="CD409" s="142"/>
      <c r="CE409" s="142"/>
      <c r="CF409" s="142"/>
      <c r="CG409" s="142"/>
      <c r="CH409" s="142"/>
      <c r="CI409" s="142"/>
      <c r="CJ409" s="142"/>
      <c r="CK409" s="142"/>
      <c r="CL409" s="142"/>
      <c r="CM409" s="142"/>
      <c r="CN409" s="142"/>
      <c r="CO409" s="142"/>
      <c r="CP409" s="142"/>
      <c r="CQ409" s="142"/>
      <c r="CR409" s="142"/>
      <c r="CS409" s="142"/>
      <c r="CT409" s="142"/>
      <c r="CU409" s="142"/>
      <c r="CV409" s="142"/>
      <c r="CW409" s="142"/>
      <c r="CX409" s="142"/>
      <c r="CY409" s="142"/>
      <c r="CZ409" s="142"/>
      <c r="DA409" s="142"/>
      <c r="DB409" s="142"/>
      <c r="DC409" s="142"/>
      <c r="DD409" s="142"/>
      <c r="DE409" s="142"/>
      <c r="DF409" s="142"/>
      <c r="DG409" s="142"/>
      <c r="DH409" s="142"/>
      <c r="DI409" s="142"/>
      <c r="DJ409" s="142"/>
      <c r="DK409" s="142"/>
      <c r="DL409" s="142"/>
      <c r="DM409" s="142"/>
      <c r="DN409" s="142"/>
      <c r="DO409" s="142"/>
      <c r="DP409" s="142"/>
      <c r="DQ409" s="142"/>
      <c r="DR409" s="142"/>
      <c r="DS409" s="142"/>
      <c r="DT409" s="142"/>
      <c r="DU409" s="142"/>
      <c r="DV409" s="142"/>
      <c r="DW409" s="142"/>
      <c r="DX409" s="142"/>
      <c r="DY409" s="142"/>
      <c r="DZ409" s="142"/>
      <c r="EA409" s="142"/>
      <c r="EB409" s="142"/>
      <c r="EC409" s="142"/>
      <c r="ED409" s="142"/>
      <c r="EE409" s="142"/>
    </row>
    <row r="410" spans="1:135" s="151" customFormat="1" ht="19.5" customHeight="1" x14ac:dyDescent="0.2">
      <c r="A410" s="117">
        <v>408</v>
      </c>
      <c r="B410" s="117" t="s">
        <v>552</v>
      </c>
      <c r="C410" s="117">
        <v>183506</v>
      </c>
      <c r="D410" s="117" t="s">
        <v>73</v>
      </c>
      <c r="E410" s="144" t="s">
        <v>397</v>
      </c>
      <c r="F410" s="146" t="s">
        <v>256</v>
      </c>
      <c r="G410" s="124" t="s">
        <v>69</v>
      </c>
      <c r="H410" s="111">
        <v>43361</v>
      </c>
      <c r="I410" s="111">
        <v>46017</v>
      </c>
      <c r="J410" s="162">
        <v>46747</v>
      </c>
      <c r="K410" s="111">
        <v>43362</v>
      </c>
      <c r="L410" s="111">
        <v>46008</v>
      </c>
      <c r="M410" s="163">
        <v>46738</v>
      </c>
      <c r="N410" s="111">
        <v>45434</v>
      </c>
      <c r="O410" s="111">
        <v>44204</v>
      </c>
      <c r="P410" s="111"/>
      <c r="Q410" s="166" t="s">
        <v>69</v>
      </c>
      <c r="R410" s="166" t="s">
        <v>69</v>
      </c>
      <c r="S410" s="166" t="s">
        <v>69</v>
      </c>
      <c r="T410" s="166" t="s">
        <v>69</v>
      </c>
      <c r="U410" s="166" t="s">
        <v>69</v>
      </c>
      <c r="V410" s="166" t="s">
        <v>69</v>
      </c>
      <c r="W410" s="166" t="s">
        <v>69</v>
      </c>
      <c r="X410" s="168">
        <v>45870</v>
      </c>
      <c r="Y410" s="94">
        <v>45716</v>
      </c>
      <c r="Z410" s="168" t="s">
        <v>69</v>
      </c>
      <c r="AA410" s="94">
        <v>45772</v>
      </c>
      <c r="AB410" s="166" t="s">
        <v>69</v>
      </c>
      <c r="AC410" s="166" t="s">
        <v>69</v>
      </c>
      <c r="AD410" s="167" t="s">
        <v>71</v>
      </c>
      <c r="AE410" s="167" t="s">
        <v>70</v>
      </c>
      <c r="AF410" s="112" t="s">
        <v>69</v>
      </c>
      <c r="AG410" s="112" t="s">
        <v>69</v>
      </c>
      <c r="AH410" s="167" t="s">
        <v>71</v>
      </c>
      <c r="AI410" s="167" t="s">
        <v>70</v>
      </c>
      <c r="AJ410" s="167" t="s">
        <v>70</v>
      </c>
      <c r="AK410" s="167" t="s">
        <v>70</v>
      </c>
      <c r="AL410" s="166" t="s">
        <v>69</v>
      </c>
      <c r="AM410" s="166"/>
      <c r="AN410" s="166" t="s">
        <v>69</v>
      </c>
      <c r="AO410" s="167" t="s">
        <v>70</v>
      </c>
      <c r="AP410" s="166" t="s">
        <v>69</v>
      </c>
      <c r="AQ410" s="166" t="s">
        <v>69</v>
      </c>
      <c r="AR410" s="166" t="s">
        <v>69</v>
      </c>
      <c r="AS410" s="166" t="s">
        <v>69</v>
      </c>
      <c r="AT410" s="166" t="s">
        <v>69</v>
      </c>
      <c r="AU410" s="166" t="s">
        <v>69</v>
      </c>
      <c r="AV410" s="166" t="s">
        <v>69</v>
      </c>
      <c r="AW410" s="166" t="s">
        <v>69</v>
      </c>
      <c r="AX410" s="166" t="s">
        <v>69</v>
      </c>
      <c r="AY410" s="166" t="s">
        <v>69</v>
      </c>
      <c r="AZ410" s="166" t="s">
        <v>69</v>
      </c>
      <c r="BA410" s="166" t="s">
        <v>69</v>
      </c>
      <c r="BB410" s="166" t="s">
        <v>69</v>
      </c>
      <c r="BC410" s="166" t="s">
        <v>69</v>
      </c>
      <c r="BD410" s="166" t="s">
        <v>69</v>
      </c>
      <c r="BE410" s="166" t="s">
        <v>69</v>
      </c>
      <c r="BF410" s="166" t="s">
        <v>69</v>
      </c>
      <c r="BG410" s="167" t="s">
        <v>70</v>
      </c>
      <c r="BH410" s="166" t="s">
        <v>69</v>
      </c>
      <c r="BI410" s="166" t="s">
        <v>69</v>
      </c>
      <c r="BJ410" s="167" t="s">
        <v>70</v>
      </c>
      <c r="BK410" s="166" t="s">
        <v>69</v>
      </c>
      <c r="BL410" s="167" t="s">
        <v>70</v>
      </c>
      <c r="BM410" s="167" t="s">
        <v>70</v>
      </c>
      <c r="BN410" s="167" t="s">
        <v>70</v>
      </c>
      <c r="BO410" s="167" t="s">
        <v>70</v>
      </c>
      <c r="BP410" s="167" t="s">
        <v>70</v>
      </c>
      <c r="BQ410" s="151">
        <v>0</v>
      </c>
      <c r="BR410" s="142"/>
      <c r="BS410" s="142"/>
      <c r="BT410" s="142"/>
      <c r="BU410" s="142"/>
      <c r="BV410" s="142"/>
      <c r="BW410" s="142"/>
      <c r="BX410" s="142"/>
      <c r="BY410" s="142"/>
      <c r="BZ410" s="142"/>
      <c r="CA410" s="142"/>
      <c r="CB410" s="142"/>
      <c r="CC410" s="142"/>
      <c r="CD410" s="142"/>
      <c r="CE410" s="142"/>
      <c r="CF410" s="142"/>
      <c r="CG410" s="142"/>
      <c r="CH410" s="142"/>
      <c r="CI410" s="142"/>
      <c r="CJ410" s="142"/>
      <c r="CK410" s="142"/>
      <c r="CL410" s="142"/>
      <c r="CM410" s="142"/>
      <c r="CN410" s="142"/>
      <c r="CO410" s="142"/>
      <c r="CP410" s="142"/>
      <c r="CQ410" s="142"/>
      <c r="CR410" s="142"/>
      <c r="CS410" s="142"/>
      <c r="CT410" s="142"/>
      <c r="CU410" s="142"/>
      <c r="CV410" s="142"/>
      <c r="CW410" s="142"/>
      <c r="CX410" s="142"/>
      <c r="CY410" s="142"/>
      <c r="CZ410" s="142"/>
      <c r="DA410" s="142"/>
      <c r="DB410" s="142"/>
      <c r="DC410" s="142"/>
      <c r="DD410" s="142"/>
      <c r="DE410" s="142"/>
      <c r="DF410" s="142"/>
      <c r="DG410" s="142"/>
      <c r="DH410" s="142"/>
      <c r="DI410" s="142"/>
      <c r="DJ410" s="142"/>
      <c r="DK410" s="142"/>
      <c r="DL410" s="142"/>
      <c r="DM410" s="142"/>
      <c r="DN410" s="142"/>
      <c r="DO410" s="142"/>
      <c r="DP410" s="142"/>
      <c r="DQ410" s="142"/>
      <c r="DR410" s="142"/>
      <c r="DS410" s="142"/>
      <c r="DT410" s="142"/>
      <c r="DU410" s="142"/>
      <c r="DV410" s="142"/>
      <c r="DW410" s="142"/>
      <c r="DX410" s="142"/>
      <c r="DY410" s="142"/>
      <c r="DZ410" s="142"/>
      <c r="EA410" s="142"/>
      <c r="EB410" s="142"/>
      <c r="EC410" s="142"/>
      <c r="ED410" s="142"/>
      <c r="EE410" s="142"/>
    </row>
    <row r="411" spans="1:135" s="151" customFormat="1" ht="19.5" customHeight="1" x14ac:dyDescent="0.2">
      <c r="A411" s="117">
        <v>409</v>
      </c>
      <c r="B411" s="117" t="s">
        <v>703</v>
      </c>
      <c r="C411" s="117">
        <v>83103403</v>
      </c>
      <c r="D411" s="117" t="s">
        <v>212</v>
      </c>
      <c r="E411" s="117" t="s">
        <v>397</v>
      </c>
      <c r="F411" s="146" t="s">
        <v>256</v>
      </c>
      <c r="G411" s="124" t="s">
        <v>69</v>
      </c>
      <c r="H411" s="124"/>
      <c r="I411" s="112"/>
      <c r="J411" s="162"/>
      <c r="K411" s="175"/>
      <c r="L411" s="165"/>
      <c r="M411" s="163"/>
      <c r="N411" s="165"/>
      <c r="O411" s="112"/>
      <c r="P411" s="165"/>
      <c r="Q411" s="167" t="s">
        <v>70</v>
      </c>
      <c r="R411" s="167" t="s">
        <v>70</v>
      </c>
      <c r="S411" s="167" t="s">
        <v>70</v>
      </c>
      <c r="T411" s="167" t="s">
        <v>70</v>
      </c>
      <c r="U411" s="167" t="s">
        <v>70</v>
      </c>
      <c r="V411" s="167" t="s">
        <v>70</v>
      </c>
      <c r="W411" s="167" t="s">
        <v>70</v>
      </c>
      <c r="X411" s="167" t="s">
        <v>70</v>
      </c>
      <c r="Y411" s="167" t="s">
        <v>70</v>
      </c>
      <c r="Z411" s="167" t="s">
        <v>70</v>
      </c>
      <c r="AA411" s="167" t="s">
        <v>70</v>
      </c>
      <c r="AB411" s="167" t="s">
        <v>70</v>
      </c>
      <c r="AC411" s="167" t="s">
        <v>70</v>
      </c>
      <c r="AD411" s="167" t="s">
        <v>70</v>
      </c>
      <c r="AE411" s="167" t="s">
        <v>70</v>
      </c>
      <c r="AF411" s="167" t="s">
        <v>70</v>
      </c>
      <c r="AG411" s="167" t="s">
        <v>70</v>
      </c>
      <c r="AH411" s="167" t="s">
        <v>70</v>
      </c>
      <c r="AI411" s="111">
        <v>45799</v>
      </c>
      <c r="AJ411" s="166" t="s">
        <v>69</v>
      </c>
      <c r="AK411" s="167" t="s">
        <v>70</v>
      </c>
      <c r="AL411" s="167" t="s">
        <v>70</v>
      </c>
      <c r="AM411" s="167"/>
      <c r="AN411" s="167" t="s">
        <v>70</v>
      </c>
      <c r="AO411" s="167" t="s">
        <v>70</v>
      </c>
      <c r="AP411" s="167" t="s">
        <v>70</v>
      </c>
      <c r="AQ411" s="167" t="s">
        <v>70</v>
      </c>
      <c r="AR411" s="166" t="s">
        <v>69</v>
      </c>
      <c r="AS411" s="167" t="s">
        <v>70</v>
      </c>
      <c r="AT411" s="167" t="s">
        <v>70</v>
      </c>
      <c r="AU411" s="167" t="s">
        <v>70</v>
      </c>
      <c r="AV411" s="167" t="s">
        <v>70</v>
      </c>
      <c r="AW411" s="167" t="s">
        <v>70</v>
      </c>
      <c r="AX411" s="167" t="s">
        <v>70</v>
      </c>
      <c r="AY411" s="167" t="s">
        <v>70</v>
      </c>
      <c r="AZ411" s="167" t="s">
        <v>70</v>
      </c>
      <c r="BA411" s="167" t="s">
        <v>70</v>
      </c>
      <c r="BB411" s="167" t="s">
        <v>70</v>
      </c>
      <c r="BC411" s="167" t="s">
        <v>70</v>
      </c>
      <c r="BD411" s="167" t="s">
        <v>70</v>
      </c>
      <c r="BE411" s="167" t="s">
        <v>70</v>
      </c>
      <c r="BF411" s="167" t="s">
        <v>70</v>
      </c>
      <c r="BG411" s="167" t="s">
        <v>70</v>
      </c>
      <c r="BH411" s="167" t="s">
        <v>70</v>
      </c>
      <c r="BI411" s="167" t="s">
        <v>70</v>
      </c>
      <c r="BJ411" s="167" t="s">
        <v>70</v>
      </c>
      <c r="BK411" s="167" t="s">
        <v>70</v>
      </c>
      <c r="BL411" s="167" t="s">
        <v>70</v>
      </c>
      <c r="BM411" s="167" t="s">
        <v>70</v>
      </c>
      <c r="BN411" s="167" t="s">
        <v>70</v>
      </c>
      <c r="BO411" s="167" t="s">
        <v>70</v>
      </c>
      <c r="BP411" s="167" t="s">
        <v>70</v>
      </c>
      <c r="BQ411" s="151" t="s">
        <v>208</v>
      </c>
    </row>
    <row r="412" spans="1:135" s="151" customFormat="1" ht="19.5" customHeight="1" x14ac:dyDescent="0.2">
      <c r="A412" s="117">
        <v>410</v>
      </c>
      <c r="B412" s="117" t="s">
        <v>704</v>
      </c>
      <c r="C412" s="117">
        <v>83103566</v>
      </c>
      <c r="D412" s="117" t="s">
        <v>212</v>
      </c>
      <c r="E412" s="117" t="s">
        <v>397</v>
      </c>
      <c r="F412" s="146" t="s">
        <v>256</v>
      </c>
      <c r="G412" s="124" t="s">
        <v>69</v>
      </c>
      <c r="H412" s="124"/>
      <c r="I412" s="112"/>
      <c r="J412" s="162" t="str">
        <f>IF(I412="", "", DATE(YEAR(I412)+2, MONTH(I412), DAY(I412)))</f>
        <v/>
      </c>
      <c r="K412" s="175"/>
      <c r="L412" s="112"/>
      <c r="M412" s="163"/>
      <c r="N412" s="112"/>
      <c r="O412" s="112">
        <v>46171</v>
      </c>
      <c r="P412" s="112">
        <v>46170</v>
      </c>
      <c r="Q412" s="167" t="s">
        <v>70</v>
      </c>
      <c r="R412" s="167" t="s">
        <v>70</v>
      </c>
      <c r="S412" s="167" t="s">
        <v>70</v>
      </c>
      <c r="T412" s="167" t="s">
        <v>70</v>
      </c>
      <c r="U412" s="167" t="s">
        <v>70</v>
      </c>
      <c r="V412" s="167" t="s">
        <v>70</v>
      </c>
      <c r="W412" s="167" t="s">
        <v>70</v>
      </c>
      <c r="X412" s="167" t="s">
        <v>70</v>
      </c>
      <c r="Y412" s="167" t="s">
        <v>70</v>
      </c>
      <c r="Z412" s="167" t="s">
        <v>70</v>
      </c>
      <c r="AA412" s="167" t="s">
        <v>70</v>
      </c>
      <c r="AB412" s="167" t="s">
        <v>70</v>
      </c>
      <c r="AC412" s="167" t="s">
        <v>70</v>
      </c>
      <c r="AD412" s="167" t="s">
        <v>70</v>
      </c>
      <c r="AE412" s="167" t="s">
        <v>70</v>
      </c>
      <c r="AF412" s="167" t="s">
        <v>70</v>
      </c>
      <c r="AG412" s="167" t="s">
        <v>70</v>
      </c>
      <c r="AH412" s="167" t="s">
        <v>70</v>
      </c>
      <c r="AI412" s="181">
        <v>45708</v>
      </c>
      <c r="AJ412" s="166" t="s">
        <v>69</v>
      </c>
      <c r="AK412" s="167" t="s">
        <v>70</v>
      </c>
      <c r="AL412" s="167" t="s">
        <v>70</v>
      </c>
      <c r="AM412" s="167"/>
      <c r="AN412" s="167" t="s">
        <v>70</v>
      </c>
      <c r="AO412" s="167" t="s">
        <v>70</v>
      </c>
      <c r="AP412" s="167" t="s">
        <v>70</v>
      </c>
      <c r="AQ412" s="167" t="s">
        <v>70</v>
      </c>
      <c r="AR412" s="166" t="s">
        <v>69</v>
      </c>
      <c r="AS412" s="167" t="s">
        <v>70</v>
      </c>
      <c r="AT412" s="167" t="s">
        <v>70</v>
      </c>
      <c r="AU412" s="167" t="s">
        <v>70</v>
      </c>
      <c r="AV412" s="167" t="s">
        <v>70</v>
      </c>
      <c r="AW412" s="167" t="s">
        <v>70</v>
      </c>
      <c r="AX412" s="167" t="s">
        <v>70</v>
      </c>
      <c r="AY412" s="167" t="s">
        <v>70</v>
      </c>
      <c r="AZ412" s="167" t="s">
        <v>70</v>
      </c>
      <c r="BA412" s="167" t="s">
        <v>70</v>
      </c>
      <c r="BB412" s="167" t="s">
        <v>70</v>
      </c>
      <c r="BC412" s="167" t="s">
        <v>70</v>
      </c>
      <c r="BD412" s="167" t="s">
        <v>70</v>
      </c>
      <c r="BE412" s="167" t="s">
        <v>70</v>
      </c>
      <c r="BF412" s="167" t="s">
        <v>70</v>
      </c>
      <c r="BG412" s="167" t="s">
        <v>70</v>
      </c>
      <c r="BH412" s="167" t="s">
        <v>70</v>
      </c>
      <c r="BI412" s="167" t="s">
        <v>70</v>
      </c>
      <c r="BJ412" s="167" t="s">
        <v>70</v>
      </c>
      <c r="BK412" s="167" t="s">
        <v>70</v>
      </c>
      <c r="BL412" s="167" t="s">
        <v>70</v>
      </c>
      <c r="BM412" s="167" t="s">
        <v>70</v>
      </c>
      <c r="BN412" s="167" t="s">
        <v>70</v>
      </c>
      <c r="BO412" s="167" t="s">
        <v>70</v>
      </c>
      <c r="BP412" s="167" t="s">
        <v>70</v>
      </c>
      <c r="BQ412" s="151" t="s">
        <v>208</v>
      </c>
    </row>
    <row r="413" spans="1:135" s="151" customFormat="1" ht="19.5" customHeight="1" x14ac:dyDescent="0.2">
      <c r="A413" s="117">
        <v>411</v>
      </c>
      <c r="B413" s="117" t="s">
        <v>739</v>
      </c>
      <c r="C413" s="117">
        <v>83117001</v>
      </c>
      <c r="D413" s="117" t="s">
        <v>212</v>
      </c>
      <c r="E413" s="117" t="s">
        <v>397</v>
      </c>
      <c r="F413" s="146" t="s">
        <v>256</v>
      </c>
      <c r="G413" s="124" t="s">
        <v>69</v>
      </c>
      <c r="H413" s="89">
        <v>45863</v>
      </c>
      <c r="I413" s="89">
        <v>45863</v>
      </c>
      <c r="J413" s="162">
        <f>IF(I413="", "", DATE(YEAR(I413)+3, MONTH(I413), DAY(I413)))</f>
        <v>46959</v>
      </c>
      <c r="K413" s="89">
        <v>45862</v>
      </c>
      <c r="L413" s="89">
        <v>45862</v>
      </c>
      <c r="M413" s="163">
        <f>IF(L413="", "", DATE(YEAR(L413)+3, MONTH(L413), DAY(L413)))</f>
        <v>46958</v>
      </c>
      <c r="N413" s="111">
        <v>45859</v>
      </c>
      <c r="O413" s="111">
        <v>45860</v>
      </c>
      <c r="P413" s="111">
        <v>45861</v>
      </c>
      <c r="Q413" s="167" t="s">
        <v>70</v>
      </c>
      <c r="R413" s="167" t="s">
        <v>70</v>
      </c>
      <c r="S413" s="167" t="s">
        <v>70</v>
      </c>
      <c r="T413" s="167" t="s">
        <v>70</v>
      </c>
      <c r="U413" s="167" t="s">
        <v>70</v>
      </c>
      <c r="V413" s="167" t="s">
        <v>70</v>
      </c>
      <c r="W413" s="167" t="s">
        <v>70</v>
      </c>
      <c r="X413" s="167" t="s">
        <v>70</v>
      </c>
      <c r="Y413" s="167" t="s">
        <v>70</v>
      </c>
      <c r="Z413" s="167" t="s">
        <v>70</v>
      </c>
      <c r="AA413" s="167" t="s">
        <v>70</v>
      </c>
      <c r="AB413" s="167" t="s">
        <v>70</v>
      </c>
      <c r="AC413" s="167" t="s">
        <v>70</v>
      </c>
      <c r="AD413" s="167" t="s">
        <v>70</v>
      </c>
      <c r="AE413" s="167" t="s">
        <v>70</v>
      </c>
      <c r="AF413" s="167" t="s">
        <v>70</v>
      </c>
      <c r="AG413" s="167" t="s">
        <v>70</v>
      </c>
      <c r="AH413" s="167" t="s">
        <v>70</v>
      </c>
      <c r="AI413" s="111">
        <v>45785</v>
      </c>
      <c r="AJ413" s="166" t="s">
        <v>69</v>
      </c>
      <c r="AK413" s="167" t="s">
        <v>70</v>
      </c>
      <c r="AL413" s="167" t="s">
        <v>70</v>
      </c>
      <c r="AM413" s="167"/>
      <c r="AN413" s="167" t="s">
        <v>70</v>
      </c>
      <c r="AO413" s="167" t="s">
        <v>70</v>
      </c>
      <c r="AP413" s="167" t="s">
        <v>70</v>
      </c>
      <c r="AQ413" s="167" t="s">
        <v>70</v>
      </c>
      <c r="AR413" s="166" t="s">
        <v>69</v>
      </c>
      <c r="AS413" s="167" t="s">
        <v>70</v>
      </c>
      <c r="AT413" s="167" t="s">
        <v>70</v>
      </c>
      <c r="AU413" s="167" t="s">
        <v>70</v>
      </c>
      <c r="AV413" s="167" t="s">
        <v>70</v>
      </c>
      <c r="AW413" s="167" t="s">
        <v>70</v>
      </c>
      <c r="AX413" s="167" t="s">
        <v>70</v>
      </c>
      <c r="AY413" s="167" t="s">
        <v>70</v>
      </c>
      <c r="AZ413" s="167" t="s">
        <v>70</v>
      </c>
      <c r="BA413" s="167" t="s">
        <v>70</v>
      </c>
      <c r="BB413" s="167" t="s">
        <v>70</v>
      </c>
      <c r="BC413" s="167" t="s">
        <v>70</v>
      </c>
      <c r="BD413" s="167" t="s">
        <v>70</v>
      </c>
      <c r="BE413" s="167" t="s">
        <v>70</v>
      </c>
      <c r="BF413" s="167" t="s">
        <v>70</v>
      </c>
      <c r="BG413" s="167" t="s">
        <v>70</v>
      </c>
      <c r="BH413" s="167" t="s">
        <v>70</v>
      </c>
      <c r="BI413" s="167" t="s">
        <v>70</v>
      </c>
      <c r="BJ413" s="167" t="s">
        <v>70</v>
      </c>
      <c r="BK413" s="167" t="s">
        <v>70</v>
      </c>
      <c r="BL413" s="167" t="s">
        <v>70</v>
      </c>
      <c r="BM413" s="167" t="s">
        <v>70</v>
      </c>
      <c r="BN413" s="167" t="s">
        <v>70</v>
      </c>
      <c r="BO413" s="167" t="s">
        <v>70</v>
      </c>
      <c r="BP413" s="167" t="s">
        <v>70</v>
      </c>
      <c r="BQ413" s="151" t="s">
        <v>208</v>
      </c>
      <c r="BR413" s="142"/>
      <c r="BS413" s="142"/>
      <c r="BT413" s="142"/>
      <c r="BU413" s="142"/>
      <c r="BV413" s="142"/>
      <c r="BW413" s="142"/>
      <c r="BX413" s="142"/>
      <c r="BY413" s="142"/>
      <c r="BZ413" s="142"/>
      <c r="CA413" s="142"/>
      <c r="CB413" s="142"/>
      <c r="CC413" s="142"/>
      <c r="CD413" s="142"/>
      <c r="CE413" s="142"/>
      <c r="CF413" s="142"/>
      <c r="CG413" s="142"/>
      <c r="CH413" s="142"/>
      <c r="CI413" s="142"/>
      <c r="CJ413" s="142"/>
      <c r="CK413" s="142"/>
      <c r="CL413" s="142"/>
      <c r="CM413" s="142"/>
      <c r="CN413" s="142"/>
      <c r="CO413" s="142"/>
      <c r="CP413" s="142"/>
      <c r="CQ413" s="142"/>
      <c r="CR413" s="142"/>
      <c r="CS413" s="142"/>
      <c r="CT413" s="142"/>
      <c r="CU413" s="142"/>
      <c r="CV413" s="142"/>
      <c r="CW413" s="142"/>
      <c r="CX413" s="142"/>
      <c r="CY413" s="142"/>
      <c r="CZ413" s="142"/>
      <c r="DA413" s="142"/>
      <c r="DB413" s="142"/>
      <c r="DC413" s="142"/>
      <c r="DD413" s="142"/>
      <c r="DE413" s="142"/>
      <c r="DF413" s="142"/>
      <c r="DG413" s="142"/>
      <c r="DH413" s="142"/>
      <c r="DI413" s="142"/>
      <c r="DJ413" s="142"/>
      <c r="DK413" s="142"/>
      <c r="DL413" s="142"/>
      <c r="DM413" s="142"/>
      <c r="DN413" s="142"/>
      <c r="DO413" s="142"/>
      <c r="DP413" s="142"/>
      <c r="DQ413" s="142"/>
      <c r="DR413" s="142"/>
      <c r="DS413" s="142"/>
      <c r="DT413" s="142"/>
      <c r="DU413" s="142"/>
      <c r="DV413" s="142"/>
      <c r="DW413" s="142"/>
      <c r="DX413" s="142"/>
      <c r="DY413" s="142"/>
      <c r="DZ413" s="142"/>
      <c r="EA413" s="142"/>
      <c r="EB413" s="142"/>
      <c r="EC413" s="142"/>
      <c r="ED413" s="142"/>
      <c r="EE413" s="142"/>
    </row>
    <row r="414" spans="1:135" s="151" customFormat="1" ht="19.5" customHeight="1" x14ac:dyDescent="0.2">
      <c r="A414" s="117">
        <v>412</v>
      </c>
      <c r="B414" s="188" t="s">
        <v>398</v>
      </c>
      <c r="C414" s="189">
        <v>84088210</v>
      </c>
      <c r="D414" s="177" t="s">
        <v>399</v>
      </c>
      <c r="E414" s="117" t="s">
        <v>397</v>
      </c>
      <c r="F414" s="146" t="s">
        <v>256</v>
      </c>
      <c r="G414" s="124" t="s">
        <v>69</v>
      </c>
      <c r="H414" s="93">
        <v>46227</v>
      </c>
      <c r="I414" s="93">
        <v>46227</v>
      </c>
      <c r="J414" s="92">
        <f>IF(I414="", "", DATE(YEAR(I414)+3, MONTH(I414), DAY(L414)))</f>
        <v>47322</v>
      </c>
      <c r="K414" s="93">
        <v>46226</v>
      </c>
      <c r="L414" s="93">
        <v>46226</v>
      </c>
      <c r="M414" s="140">
        <f>IF(L414="", "", DATE(YEAR(L414)+3, MONTH(L414), DAY(L414)))</f>
        <v>47322</v>
      </c>
      <c r="N414" s="93">
        <v>46223</v>
      </c>
      <c r="O414" s="93">
        <v>46224</v>
      </c>
      <c r="P414" s="93">
        <v>46225</v>
      </c>
      <c r="Q414" s="167" t="s">
        <v>70</v>
      </c>
      <c r="R414" s="167" t="s">
        <v>70</v>
      </c>
      <c r="S414" s="167" t="s">
        <v>70</v>
      </c>
      <c r="T414" s="167" t="s">
        <v>70</v>
      </c>
      <c r="U414" s="167" t="s">
        <v>70</v>
      </c>
      <c r="V414" s="167" t="s">
        <v>70</v>
      </c>
      <c r="W414" s="167" t="s">
        <v>70</v>
      </c>
      <c r="X414" s="167" t="s">
        <v>70</v>
      </c>
      <c r="Y414" s="167" t="s">
        <v>70</v>
      </c>
      <c r="Z414" s="167" t="s">
        <v>70</v>
      </c>
      <c r="AA414" s="167" t="s">
        <v>70</v>
      </c>
      <c r="AB414" s="167" t="s">
        <v>70</v>
      </c>
      <c r="AC414" s="167" t="s">
        <v>70</v>
      </c>
      <c r="AD414" s="167" t="s">
        <v>70</v>
      </c>
      <c r="AE414" s="167" t="s">
        <v>70</v>
      </c>
      <c r="AF414" s="167" t="s">
        <v>70</v>
      </c>
      <c r="AG414" s="167" t="s">
        <v>70</v>
      </c>
      <c r="AH414" s="167" t="s">
        <v>70</v>
      </c>
      <c r="AI414" s="111">
        <v>45912</v>
      </c>
      <c r="AJ414" s="166" t="s">
        <v>69</v>
      </c>
      <c r="AK414" s="167" t="s">
        <v>70</v>
      </c>
      <c r="AL414" s="167" t="s">
        <v>70</v>
      </c>
      <c r="AM414" s="167"/>
      <c r="AN414" s="167" t="s">
        <v>70</v>
      </c>
      <c r="AO414" s="167" t="s">
        <v>70</v>
      </c>
      <c r="AP414" s="167" t="s">
        <v>70</v>
      </c>
      <c r="AQ414" s="167" t="s">
        <v>70</v>
      </c>
      <c r="AR414" s="166" t="s">
        <v>69</v>
      </c>
      <c r="AS414" s="167" t="s">
        <v>70</v>
      </c>
      <c r="AT414" s="167" t="s">
        <v>70</v>
      </c>
      <c r="AU414" s="167" t="s">
        <v>70</v>
      </c>
      <c r="AV414" s="167" t="s">
        <v>70</v>
      </c>
      <c r="AW414" s="167" t="s">
        <v>70</v>
      </c>
      <c r="AX414" s="167" t="s">
        <v>70</v>
      </c>
      <c r="AY414" s="167" t="s">
        <v>70</v>
      </c>
      <c r="AZ414" s="167" t="s">
        <v>70</v>
      </c>
      <c r="BA414" s="167" t="s">
        <v>70</v>
      </c>
      <c r="BB414" s="167" t="s">
        <v>70</v>
      </c>
      <c r="BC414" s="167" t="s">
        <v>70</v>
      </c>
      <c r="BD414" s="167" t="s">
        <v>70</v>
      </c>
      <c r="BE414" s="167" t="s">
        <v>70</v>
      </c>
      <c r="BF414" s="167" t="s">
        <v>70</v>
      </c>
      <c r="BG414" s="167" t="s">
        <v>70</v>
      </c>
      <c r="BH414" s="167" t="s">
        <v>70</v>
      </c>
      <c r="BI414" s="167" t="s">
        <v>70</v>
      </c>
      <c r="BJ414" s="167" t="s">
        <v>70</v>
      </c>
      <c r="BK414" s="167" t="s">
        <v>70</v>
      </c>
      <c r="BL414" s="167" t="s">
        <v>70</v>
      </c>
      <c r="BM414" s="167" t="s">
        <v>70</v>
      </c>
      <c r="BN414" s="167" t="s">
        <v>70</v>
      </c>
      <c r="BO414" s="167" t="s">
        <v>70</v>
      </c>
      <c r="BP414" s="167" t="s">
        <v>70</v>
      </c>
      <c r="BQ414" s="151" t="s">
        <v>256</v>
      </c>
    </row>
    <row r="415" spans="1:135" s="151" customFormat="1" ht="19.5" customHeight="1" x14ac:dyDescent="0.2">
      <c r="A415" s="117">
        <v>413</v>
      </c>
      <c r="B415" s="117" t="s">
        <v>722</v>
      </c>
      <c r="C415" s="117">
        <v>84124047</v>
      </c>
      <c r="D415" s="117" t="s">
        <v>212</v>
      </c>
      <c r="E415" s="117" t="s">
        <v>397</v>
      </c>
      <c r="F415" s="146" t="s">
        <v>256</v>
      </c>
      <c r="G415" s="124" t="s">
        <v>69</v>
      </c>
      <c r="H415" s="89">
        <v>46003</v>
      </c>
      <c r="I415" s="89">
        <v>46003</v>
      </c>
      <c r="J415" s="162">
        <f>IF(I415="", "", DATE(YEAR(I415)+3, MONTH(I415), DAY(I415)))</f>
        <v>47099</v>
      </c>
      <c r="K415" s="89">
        <v>42146</v>
      </c>
      <c r="L415" s="140">
        <v>46001</v>
      </c>
      <c r="M415" s="163">
        <f>IF(L415="", "", DATE(YEAR(L415)+3, MONTH(L415), DAY(L415)))</f>
        <v>47097</v>
      </c>
      <c r="N415" s="124">
        <v>45999</v>
      </c>
      <c r="O415" s="124"/>
      <c r="P415" s="124">
        <v>46000</v>
      </c>
      <c r="Q415" s="167" t="s">
        <v>70</v>
      </c>
      <c r="R415" s="167" t="s">
        <v>70</v>
      </c>
      <c r="S415" s="167" t="s">
        <v>70</v>
      </c>
      <c r="T415" s="167" t="s">
        <v>70</v>
      </c>
      <c r="U415" s="167" t="s">
        <v>70</v>
      </c>
      <c r="V415" s="167" t="s">
        <v>70</v>
      </c>
      <c r="W415" s="167" t="s">
        <v>70</v>
      </c>
      <c r="X415" s="167" t="s">
        <v>70</v>
      </c>
      <c r="Y415" s="167" t="s">
        <v>70</v>
      </c>
      <c r="Z415" s="167" t="s">
        <v>70</v>
      </c>
      <c r="AA415" s="167" t="s">
        <v>70</v>
      </c>
      <c r="AB415" s="167" t="s">
        <v>70</v>
      </c>
      <c r="AC415" s="167" t="s">
        <v>70</v>
      </c>
      <c r="AD415" s="167" t="s">
        <v>70</v>
      </c>
      <c r="AE415" s="167" t="s">
        <v>70</v>
      </c>
      <c r="AF415" s="167" t="s">
        <v>70</v>
      </c>
      <c r="AG415" s="167" t="s">
        <v>70</v>
      </c>
      <c r="AH415" s="167" t="s">
        <v>70</v>
      </c>
      <c r="AI415" s="186">
        <v>45769</v>
      </c>
      <c r="AJ415" s="166" t="s">
        <v>69</v>
      </c>
      <c r="AK415" s="167" t="s">
        <v>70</v>
      </c>
      <c r="AL415" s="167" t="s">
        <v>70</v>
      </c>
      <c r="AM415" s="167"/>
      <c r="AN415" s="167" t="s">
        <v>70</v>
      </c>
      <c r="AO415" s="167" t="s">
        <v>70</v>
      </c>
      <c r="AP415" s="167" t="s">
        <v>70</v>
      </c>
      <c r="AQ415" s="167" t="s">
        <v>70</v>
      </c>
      <c r="AR415" s="166" t="s">
        <v>69</v>
      </c>
      <c r="AS415" s="167" t="s">
        <v>70</v>
      </c>
      <c r="AT415" s="167" t="s">
        <v>70</v>
      </c>
      <c r="AU415" s="167" t="s">
        <v>70</v>
      </c>
      <c r="AV415" s="167" t="s">
        <v>70</v>
      </c>
      <c r="AW415" s="167" t="s">
        <v>70</v>
      </c>
      <c r="AX415" s="167" t="s">
        <v>70</v>
      </c>
      <c r="AY415" s="167" t="s">
        <v>70</v>
      </c>
      <c r="AZ415" s="167" t="s">
        <v>70</v>
      </c>
      <c r="BA415" s="167" t="s">
        <v>70</v>
      </c>
      <c r="BB415" s="167" t="s">
        <v>70</v>
      </c>
      <c r="BC415" s="167" t="s">
        <v>70</v>
      </c>
      <c r="BD415" s="167" t="s">
        <v>70</v>
      </c>
      <c r="BE415" s="167" t="s">
        <v>70</v>
      </c>
      <c r="BF415" s="167" t="s">
        <v>70</v>
      </c>
      <c r="BG415" s="167" t="s">
        <v>70</v>
      </c>
      <c r="BH415" s="167" t="s">
        <v>70</v>
      </c>
      <c r="BI415" s="167" t="s">
        <v>70</v>
      </c>
      <c r="BJ415" s="167" t="s">
        <v>70</v>
      </c>
      <c r="BK415" s="167" t="s">
        <v>70</v>
      </c>
      <c r="BL415" s="167" t="s">
        <v>70</v>
      </c>
      <c r="BM415" s="167" t="s">
        <v>70</v>
      </c>
      <c r="BN415" s="167" t="s">
        <v>70</v>
      </c>
      <c r="BO415" s="167" t="s">
        <v>70</v>
      </c>
      <c r="BP415" s="167" t="s">
        <v>70</v>
      </c>
      <c r="BQ415" s="151" t="s">
        <v>208</v>
      </c>
    </row>
    <row r="416" spans="1:135" s="151" customFormat="1" ht="19.5" customHeight="1" x14ac:dyDescent="0.2">
      <c r="A416" s="117">
        <v>414</v>
      </c>
      <c r="B416" s="117" t="s">
        <v>718</v>
      </c>
      <c r="C416" s="117">
        <v>84088184</v>
      </c>
      <c r="D416" s="117" t="s">
        <v>212</v>
      </c>
      <c r="E416" s="117" t="s">
        <v>397</v>
      </c>
      <c r="F416" s="146" t="s">
        <v>256</v>
      </c>
      <c r="G416" s="124" t="s">
        <v>69</v>
      </c>
      <c r="H416" s="89">
        <v>45926</v>
      </c>
      <c r="I416" s="89">
        <v>45926</v>
      </c>
      <c r="J416" s="162">
        <f>IF(I416="", "", DATE(YEAR(I416)+3, MONTH(I416), DAY(I416)))</f>
        <v>47022</v>
      </c>
      <c r="K416" s="89">
        <v>45925</v>
      </c>
      <c r="L416" s="89">
        <v>45925</v>
      </c>
      <c r="M416" s="163">
        <f>IF(L416="", "", DATE(YEAR(L416)+3, MONTH(L416), DAY(L416)))</f>
        <v>47021</v>
      </c>
      <c r="N416" s="89">
        <v>45924</v>
      </c>
      <c r="O416" s="89">
        <v>45923</v>
      </c>
      <c r="P416" s="89"/>
      <c r="Q416" s="167" t="s">
        <v>70</v>
      </c>
      <c r="R416" s="167" t="s">
        <v>70</v>
      </c>
      <c r="S416" s="167" t="s">
        <v>70</v>
      </c>
      <c r="T416" s="167" t="s">
        <v>70</v>
      </c>
      <c r="U416" s="167" t="s">
        <v>70</v>
      </c>
      <c r="V416" s="167" t="s">
        <v>70</v>
      </c>
      <c r="W416" s="167" t="s">
        <v>70</v>
      </c>
      <c r="X416" s="167" t="s">
        <v>70</v>
      </c>
      <c r="Y416" s="167" t="s">
        <v>70</v>
      </c>
      <c r="Z416" s="167" t="s">
        <v>70</v>
      </c>
      <c r="AA416" s="167" t="s">
        <v>70</v>
      </c>
      <c r="AB416" s="167" t="s">
        <v>70</v>
      </c>
      <c r="AC416" s="167" t="s">
        <v>70</v>
      </c>
      <c r="AD416" s="167" t="s">
        <v>70</v>
      </c>
      <c r="AE416" s="167" t="s">
        <v>70</v>
      </c>
      <c r="AF416" s="167" t="s">
        <v>70</v>
      </c>
      <c r="AG416" s="167" t="s">
        <v>70</v>
      </c>
      <c r="AH416" s="167" t="s">
        <v>70</v>
      </c>
      <c r="AI416" s="181">
        <v>45855</v>
      </c>
      <c r="AJ416" s="166" t="s">
        <v>69</v>
      </c>
      <c r="AK416" s="167" t="s">
        <v>70</v>
      </c>
      <c r="AL416" s="167" t="s">
        <v>70</v>
      </c>
      <c r="AM416" s="167"/>
      <c r="AN416" s="167" t="s">
        <v>70</v>
      </c>
      <c r="AO416" s="167" t="s">
        <v>70</v>
      </c>
      <c r="AP416" s="167" t="s">
        <v>70</v>
      </c>
      <c r="AQ416" s="167" t="s">
        <v>70</v>
      </c>
      <c r="AR416" s="166" t="s">
        <v>69</v>
      </c>
      <c r="AS416" s="167" t="s">
        <v>70</v>
      </c>
      <c r="AT416" s="167" t="s">
        <v>70</v>
      </c>
      <c r="AU416" s="167" t="s">
        <v>70</v>
      </c>
      <c r="AV416" s="167" t="s">
        <v>70</v>
      </c>
      <c r="AW416" s="167" t="s">
        <v>70</v>
      </c>
      <c r="AX416" s="167" t="s">
        <v>70</v>
      </c>
      <c r="AY416" s="167" t="s">
        <v>70</v>
      </c>
      <c r="AZ416" s="167" t="s">
        <v>70</v>
      </c>
      <c r="BA416" s="167" t="s">
        <v>70</v>
      </c>
      <c r="BB416" s="167" t="s">
        <v>70</v>
      </c>
      <c r="BC416" s="167" t="s">
        <v>70</v>
      </c>
      <c r="BD416" s="167" t="s">
        <v>70</v>
      </c>
      <c r="BE416" s="167" t="s">
        <v>70</v>
      </c>
      <c r="BF416" s="167" t="s">
        <v>70</v>
      </c>
      <c r="BG416" s="167" t="s">
        <v>70</v>
      </c>
      <c r="BH416" s="167" t="s">
        <v>70</v>
      </c>
      <c r="BI416" s="167" t="s">
        <v>70</v>
      </c>
      <c r="BJ416" s="167" t="s">
        <v>70</v>
      </c>
      <c r="BK416" s="167" t="s">
        <v>70</v>
      </c>
      <c r="BL416" s="167" t="s">
        <v>70</v>
      </c>
      <c r="BM416" s="167" t="s">
        <v>70</v>
      </c>
      <c r="BN416" s="167" t="s">
        <v>70</v>
      </c>
      <c r="BO416" s="167" t="s">
        <v>70</v>
      </c>
      <c r="BP416" s="167" t="s">
        <v>70</v>
      </c>
      <c r="BQ416" s="151" t="s">
        <v>208</v>
      </c>
    </row>
    <row r="417" spans="1:135" s="151" customFormat="1" ht="19.5" customHeight="1" x14ac:dyDescent="0.2">
      <c r="A417" s="117">
        <v>415</v>
      </c>
      <c r="B417" s="117" t="s">
        <v>723</v>
      </c>
      <c r="C417" s="117">
        <v>84124054</v>
      </c>
      <c r="D417" s="117" t="s">
        <v>212</v>
      </c>
      <c r="E417" s="117" t="s">
        <v>397</v>
      </c>
      <c r="F417" s="146" t="s">
        <v>256</v>
      </c>
      <c r="G417" s="124" t="s">
        <v>69</v>
      </c>
      <c r="H417" s="89">
        <v>46052</v>
      </c>
      <c r="I417" s="89">
        <v>46052</v>
      </c>
      <c r="J417" s="162">
        <f>IF(I417="", "", DATE(YEAR(I417)+3, MONTH(I417), DAY(I417)))</f>
        <v>47148</v>
      </c>
      <c r="K417" s="89">
        <v>46051</v>
      </c>
      <c r="L417" s="89">
        <v>46051</v>
      </c>
      <c r="M417" s="162">
        <f>IF(L417="", "", DATE(YEAR(L417)+3, MONTH(L417), DAY(L417)))</f>
        <v>47147</v>
      </c>
      <c r="N417" s="112">
        <v>46048</v>
      </c>
      <c r="O417" s="112">
        <v>46049</v>
      </c>
      <c r="P417" s="112">
        <v>46050</v>
      </c>
      <c r="Q417" s="167" t="s">
        <v>70</v>
      </c>
      <c r="R417" s="167" t="s">
        <v>70</v>
      </c>
      <c r="S417" s="167" t="s">
        <v>70</v>
      </c>
      <c r="T417" s="167" t="s">
        <v>70</v>
      </c>
      <c r="U417" s="167" t="s">
        <v>70</v>
      </c>
      <c r="V417" s="167" t="s">
        <v>70</v>
      </c>
      <c r="W417" s="167" t="s">
        <v>70</v>
      </c>
      <c r="X417" s="167" t="s">
        <v>70</v>
      </c>
      <c r="Y417" s="167" t="s">
        <v>70</v>
      </c>
      <c r="Z417" s="167" t="s">
        <v>70</v>
      </c>
      <c r="AA417" s="167" t="s">
        <v>70</v>
      </c>
      <c r="AB417" s="167" t="s">
        <v>70</v>
      </c>
      <c r="AC417" s="167" t="s">
        <v>70</v>
      </c>
      <c r="AD417" s="167" t="s">
        <v>70</v>
      </c>
      <c r="AE417" s="167" t="s">
        <v>70</v>
      </c>
      <c r="AF417" s="167" t="s">
        <v>70</v>
      </c>
      <c r="AG417" s="167" t="s">
        <v>70</v>
      </c>
      <c r="AH417" s="167" t="s">
        <v>70</v>
      </c>
      <c r="AI417" s="186">
        <v>45869</v>
      </c>
      <c r="AJ417" s="166" t="s">
        <v>69</v>
      </c>
      <c r="AK417" s="167" t="s">
        <v>70</v>
      </c>
      <c r="AL417" s="167" t="s">
        <v>70</v>
      </c>
      <c r="AM417" s="167"/>
      <c r="AN417" s="167" t="s">
        <v>70</v>
      </c>
      <c r="AO417" s="167" t="s">
        <v>70</v>
      </c>
      <c r="AP417" s="167" t="s">
        <v>70</v>
      </c>
      <c r="AQ417" s="167" t="s">
        <v>70</v>
      </c>
      <c r="AR417" s="166" t="s">
        <v>69</v>
      </c>
      <c r="AS417" s="167" t="s">
        <v>70</v>
      </c>
      <c r="AT417" s="167" t="s">
        <v>70</v>
      </c>
      <c r="AU417" s="167" t="s">
        <v>70</v>
      </c>
      <c r="AV417" s="167" t="s">
        <v>70</v>
      </c>
      <c r="AW417" s="167" t="s">
        <v>70</v>
      </c>
      <c r="AX417" s="167" t="s">
        <v>70</v>
      </c>
      <c r="AY417" s="167" t="s">
        <v>70</v>
      </c>
      <c r="AZ417" s="167" t="s">
        <v>70</v>
      </c>
      <c r="BA417" s="167" t="s">
        <v>70</v>
      </c>
      <c r="BB417" s="167" t="s">
        <v>70</v>
      </c>
      <c r="BC417" s="167" t="s">
        <v>70</v>
      </c>
      <c r="BD417" s="167" t="s">
        <v>70</v>
      </c>
      <c r="BE417" s="167" t="s">
        <v>70</v>
      </c>
      <c r="BF417" s="167" t="s">
        <v>70</v>
      </c>
      <c r="BG417" s="167" t="s">
        <v>70</v>
      </c>
      <c r="BH417" s="167" t="s">
        <v>70</v>
      </c>
      <c r="BI417" s="167" t="s">
        <v>70</v>
      </c>
      <c r="BJ417" s="167" t="s">
        <v>70</v>
      </c>
      <c r="BK417" s="167" t="s">
        <v>70</v>
      </c>
      <c r="BL417" s="167" t="s">
        <v>70</v>
      </c>
      <c r="BM417" s="167" t="s">
        <v>70</v>
      </c>
      <c r="BN417" s="167" t="s">
        <v>70</v>
      </c>
      <c r="BO417" s="167" t="s">
        <v>70</v>
      </c>
      <c r="BP417" s="167" t="s">
        <v>70</v>
      </c>
      <c r="BQ417" s="151" t="s">
        <v>208</v>
      </c>
    </row>
    <row r="418" spans="1:135" s="151" customFormat="1" ht="19.5" customHeight="1" x14ac:dyDescent="0.2">
      <c r="A418" s="117">
        <v>416</v>
      </c>
      <c r="B418" s="117" t="s">
        <v>724</v>
      </c>
      <c r="C418" s="117">
        <v>84130564</v>
      </c>
      <c r="D418" s="117" t="s">
        <v>212</v>
      </c>
      <c r="E418" s="117" t="s">
        <v>397</v>
      </c>
      <c r="F418" s="146" t="s">
        <v>256</v>
      </c>
      <c r="G418" s="124" t="s">
        <v>69</v>
      </c>
      <c r="H418" s="124"/>
      <c r="I418" s="112"/>
      <c r="J418" s="162"/>
      <c r="K418" s="175"/>
      <c r="L418" s="165"/>
      <c r="M418" s="163"/>
      <c r="N418" s="165"/>
      <c r="O418" s="165"/>
      <c r="P418" s="165"/>
      <c r="Q418" s="167" t="s">
        <v>70</v>
      </c>
      <c r="R418" s="167" t="s">
        <v>70</v>
      </c>
      <c r="S418" s="167" t="s">
        <v>70</v>
      </c>
      <c r="T418" s="167" t="s">
        <v>70</v>
      </c>
      <c r="U418" s="167" t="s">
        <v>70</v>
      </c>
      <c r="V418" s="167" t="s">
        <v>70</v>
      </c>
      <c r="W418" s="167" t="s">
        <v>70</v>
      </c>
      <c r="X418" s="167" t="s">
        <v>70</v>
      </c>
      <c r="Y418" s="167" t="s">
        <v>70</v>
      </c>
      <c r="Z418" s="167" t="s">
        <v>70</v>
      </c>
      <c r="AA418" s="167" t="s">
        <v>70</v>
      </c>
      <c r="AB418" s="167" t="s">
        <v>70</v>
      </c>
      <c r="AC418" s="167" t="s">
        <v>70</v>
      </c>
      <c r="AD418" s="167" t="s">
        <v>70</v>
      </c>
      <c r="AE418" s="167" t="s">
        <v>70</v>
      </c>
      <c r="AF418" s="167" t="s">
        <v>70</v>
      </c>
      <c r="AG418" s="167" t="s">
        <v>70</v>
      </c>
      <c r="AH418" s="167" t="s">
        <v>70</v>
      </c>
      <c r="AI418" s="181">
        <v>45708</v>
      </c>
      <c r="AJ418" s="166" t="s">
        <v>69</v>
      </c>
      <c r="AK418" s="167" t="s">
        <v>70</v>
      </c>
      <c r="AL418" s="167" t="s">
        <v>70</v>
      </c>
      <c r="AM418" s="167"/>
      <c r="AN418" s="167" t="s">
        <v>70</v>
      </c>
      <c r="AO418" s="167" t="s">
        <v>70</v>
      </c>
      <c r="AP418" s="167" t="s">
        <v>70</v>
      </c>
      <c r="AQ418" s="167" t="s">
        <v>70</v>
      </c>
      <c r="AR418" s="166" t="s">
        <v>69</v>
      </c>
      <c r="AS418" s="167" t="s">
        <v>70</v>
      </c>
      <c r="AT418" s="167" t="s">
        <v>70</v>
      </c>
      <c r="AU418" s="167" t="s">
        <v>70</v>
      </c>
      <c r="AV418" s="167" t="s">
        <v>70</v>
      </c>
      <c r="AW418" s="167" t="s">
        <v>70</v>
      </c>
      <c r="AX418" s="167" t="s">
        <v>70</v>
      </c>
      <c r="AY418" s="167" t="s">
        <v>70</v>
      </c>
      <c r="AZ418" s="167" t="s">
        <v>70</v>
      </c>
      <c r="BA418" s="167" t="s">
        <v>70</v>
      </c>
      <c r="BB418" s="167" t="s">
        <v>70</v>
      </c>
      <c r="BC418" s="167" t="s">
        <v>70</v>
      </c>
      <c r="BD418" s="167" t="s">
        <v>70</v>
      </c>
      <c r="BE418" s="167" t="s">
        <v>70</v>
      </c>
      <c r="BF418" s="167" t="s">
        <v>70</v>
      </c>
      <c r="BG418" s="167" t="s">
        <v>70</v>
      </c>
      <c r="BH418" s="167" t="s">
        <v>70</v>
      </c>
      <c r="BI418" s="167" t="s">
        <v>70</v>
      </c>
      <c r="BJ418" s="167" t="s">
        <v>70</v>
      </c>
      <c r="BK418" s="167" t="s">
        <v>70</v>
      </c>
      <c r="BL418" s="167" t="s">
        <v>70</v>
      </c>
      <c r="BM418" s="167" t="s">
        <v>70</v>
      </c>
      <c r="BN418" s="167" t="s">
        <v>70</v>
      </c>
      <c r="BO418" s="167" t="s">
        <v>70</v>
      </c>
      <c r="BP418" s="167" t="s">
        <v>70</v>
      </c>
      <c r="BQ418" s="151" t="s">
        <v>208</v>
      </c>
    </row>
    <row r="419" spans="1:135" s="151" customFormat="1" ht="19.5" customHeight="1" x14ac:dyDescent="0.2">
      <c r="A419" s="117">
        <v>417</v>
      </c>
      <c r="B419" s="117" t="s">
        <v>652</v>
      </c>
      <c r="C419" s="117">
        <v>133792</v>
      </c>
      <c r="D419" s="117" t="s">
        <v>212</v>
      </c>
      <c r="E419" s="117" t="s">
        <v>397</v>
      </c>
      <c r="F419" s="146" t="s">
        <v>256</v>
      </c>
      <c r="G419" s="124" t="s">
        <v>69</v>
      </c>
      <c r="H419" s="89">
        <v>45926</v>
      </c>
      <c r="I419" s="89">
        <v>45926</v>
      </c>
      <c r="J419" s="162">
        <f>IF(I419="", "", DATE(YEAR(I419)+3, MONTH(I419), DAY(I419)))</f>
        <v>47022</v>
      </c>
      <c r="K419" s="89">
        <v>45925</v>
      </c>
      <c r="L419" s="89">
        <v>45925</v>
      </c>
      <c r="M419" s="163">
        <f>IF(L419="", "", DATE(YEAR(L419)+3, MONTH(L419), DAY(L419)))</f>
        <v>47021</v>
      </c>
      <c r="N419" s="89">
        <v>45924</v>
      </c>
      <c r="O419" s="89">
        <v>45923</v>
      </c>
      <c r="P419" s="89">
        <v>45922</v>
      </c>
      <c r="Q419" s="167" t="s">
        <v>70</v>
      </c>
      <c r="R419" s="167" t="s">
        <v>70</v>
      </c>
      <c r="S419" s="167" t="s">
        <v>70</v>
      </c>
      <c r="T419" s="167" t="s">
        <v>70</v>
      </c>
      <c r="U419" s="167" t="s">
        <v>70</v>
      </c>
      <c r="V419" s="167" t="s">
        <v>70</v>
      </c>
      <c r="W419" s="167" t="s">
        <v>70</v>
      </c>
      <c r="X419" s="167" t="s">
        <v>70</v>
      </c>
      <c r="Y419" s="167" t="s">
        <v>70</v>
      </c>
      <c r="Z419" s="167" t="s">
        <v>70</v>
      </c>
      <c r="AA419" s="167" t="s">
        <v>70</v>
      </c>
      <c r="AB419" s="167" t="s">
        <v>70</v>
      </c>
      <c r="AC419" s="167" t="s">
        <v>70</v>
      </c>
      <c r="AD419" s="167" t="s">
        <v>70</v>
      </c>
      <c r="AE419" s="167" t="s">
        <v>70</v>
      </c>
      <c r="AF419" s="167" t="s">
        <v>70</v>
      </c>
      <c r="AG419" s="167" t="s">
        <v>70</v>
      </c>
      <c r="AH419" s="167" t="s">
        <v>70</v>
      </c>
      <c r="AI419" s="111">
        <v>45722</v>
      </c>
      <c r="AJ419" s="166" t="s">
        <v>69</v>
      </c>
      <c r="AK419" s="167" t="s">
        <v>70</v>
      </c>
      <c r="AL419" s="167" t="s">
        <v>70</v>
      </c>
      <c r="AM419" s="167"/>
      <c r="AN419" s="167" t="s">
        <v>70</v>
      </c>
      <c r="AO419" s="167" t="s">
        <v>70</v>
      </c>
      <c r="AP419" s="167" t="s">
        <v>70</v>
      </c>
      <c r="AQ419" s="167" t="s">
        <v>70</v>
      </c>
      <c r="AR419" s="166" t="s">
        <v>69</v>
      </c>
      <c r="AS419" s="167" t="s">
        <v>70</v>
      </c>
      <c r="AT419" s="167" t="s">
        <v>70</v>
      </c>
      <c r="AU419" s="167" t="s">
        <v>70</v>
      </c>
      <c r="AV419" s="167" t="s">
        <v>70</v>
      </c>
      <c r="AW419" s="167" t="s">
        <v>70</v>
      </c>
      <c r="AX419" s="167" t="s">
        <v>70</v>
      </c>
      <c r="AY419" s="167" t="s">
        <v>70</v>
      </c>
      <c r="AZ419" s="167" t="s">
        <v>70</v>
      </c>
      <c r="BA419" s="167" t="s">
        <v>70</v>
      </c>
      <c r="BB419" s="167" t="s">
        <v>70</v>
      </c>
      <c r="BC419" s="167" t="s">
        <v>70</v>
      </c>
      <c r="BD419" s="167" t="s">
        <v>70</v>
      </c>
      <c r="BE419" s="167" t="s">
        <v>70</v>
      </c>
      <c r="BF419" s="167" t="s">
        <v>70</v>
      </c>
      <c r="BG419" s="167" t="s">
        <v>70</v>
      </c>
      <c r="BH419" s="167" t="s">
        <v>70</v>
      </c>
      <c r="BI419" s="167" t="s">
        <v>70</v>
      </c>
      <c r="BJ419" s="167" t="s">
        <v>70</v>
      </c>
      <c r="BK419" s="167" t="s">
        <v>70</v>
      </c>
      <c r="BL419" s="167" t="s">
        <v>70</v>
      </c>
      <c r="BM419" s="167" t="s">
        <v>70</v>
      </c>
      <c r="BN419" s="167" t="s">
        <v>70</v>
      </c>
      <c r="BO419" s="167" t="s">
        <v>70</v>
      </c>
      <c r="BP419" s="167" t="s">
        <v>70</v>
      </c>
      <c r="BQ419" s="151" t="s">
        <v>208</v>
      </c>
      <c r="BR419" s="142"/>
      <c r="BS419" s="142"/>
      <c r="BT419" s="142"/>
      <c r="BU419" s="142"/>
      <c r="BV419" s="142"/>
      <c r="BW419" s="142"/>
      <c r="BX419" s="142"/>
      <c r="BY419" s="142"/>
      <c r="BZ419" s="142"/>
      <c r="CA419" s="142"/>
      <c r="CB419" s="142"/>
      <c r="CC419" s="142"/>
      <c r="CD419" s="142"/>
      <c r="CE419" s="142"/>
      <c r="CF419" s="142"/>
      <c r="CG419" s="142"/>
      <c r="CH419" s="142"/>
      <c r="CI419" s="142"/>
      <c r="CJ419" s="142"/>
      <c r="CK419" s="142"/>
      <c r="CL419" s="142"/>
      <c r="CM419" s="142"/>
      <c r="CN419" s="142"/>
      <c r="CO419" s="142"/>
      <c r="CP419" s="142"/>
      <c r="CQ419" s="142"/>
      <c r="CR419" s="142"/>
      <c r="CS419" s="142"/>
      <c r="CT419" s="142"/>
      <c r="CU419" s="142"/>
      <c r="CV419" s="142"/>
      <c r="CW419" s="142"/>
      <c r="CX419" s="142"/>
      <c r="CY419" s="142"/>
      <c r="CZ419" s="142"/>
      <c r="DA419" s="142"/>
      <c r="DB419" s="142"/>
      <c r="DC419" s="142"/>
      <c r="DD419" s="142"/>
      <c r="DE419" s="142"/>
      <c r="DF419" s="142"/>
      <c r="DG419" s="142"/>
      <c r="DH419" s="142"/>
      <c r="DI419" s="142"/>
      <c r="DJ419" s="142"/>
      <c r="DK419" s="142"/>
      <c r="DL419" s="142"/>
      <c r="DM419" s="142"/>
      <c r="DN419" s="142"/>
      <c r="DO419" s="142"/>
      <c r="DP419" s="142"/>
      <c r="DQ419" s="142"/>
      <c r="DR419" s="142"/>
      <c r="DS419" s="142"/>
      <c r="DT419" s="142"/>
      <c r="DU419" s="142"/>
      <c r="DV419" s="142"/>
      <c r="DW419" s="142"/>
      <c r="DX419" s="142"/>
      <c r="DY419" s="142"/>
      <c r="DZ419" s="142"/>
      <c r="EA419" s="142"/>
      <c r="EB419" s="142"/>
      <c r="EC419" s="142"/>
      <c r="ED419" s="142"/>
      <c r="EE419" s="142"/>
    </row>
    <row r="420" spans="1:135" s="151" customFormat="1" ht="19.5" customHeight="1" x14ac:dyDescent="0.2">
      <c r="A420" s="117">
        <v>418</v>
      </c>
      <c r="B420" s="117" t="s">
        <v>653</v>
      </c>
      <c r="C420" s="117">
        <v>133799</v>
      </c>
      <c r="D420" s="117" t="s">
        <v>212</v>
      </c>
      <c r="E420" s="117" t="s">
        <v>397</v>
      </c>
      <c r="F420" s="146" t="s">
        <v>256</v>
      </c>
      <c r="G420" s="124" t="s">
        <v>69</v>
      </c>
      <c r="H420" s="124">
        <v>45988</v>
      </c>
      <c r="I420" s="124">
        <v>45988</v>
      </c>
      <c r="J420" s="162">
        <f>IF(I420="", "", DATE(YEAR(I420)+2, MONTH(I420), DAY(I420)))</f>
        <v>46718</v>
      </c>
      <c r="K420" s="112">
        <v>45989</v>
      </c>
      <c r="L420" s="112">
        <v>45989</v>
      </c>
      <c r="M420" s="163">
        <f>IF(L420="", "", DATE(YEAR(L420)+3, MONTH(L420), DAY(L420)))</f>
        <v>47085</v>
      </c>
      <c r="N420" s="89">
        <v>45985</v>
      </c>
      <c r="O420" s="89">
        <v>45987</v>
      </c>
      <c r="P420" s="175">
        <v>46006</v>
      </c>
      <c r="Q420" s="167" t="s">
        <v>70</v>
      </c>
      <c r="R420" s="167" t="s">
        <v>70</v>
      </c>
      <c r="S420" s="167" t="s">
        <v>70</v>
      </c>
      <c r="T420" s="167" t="s">
        <v>70</v>
      </c>
      <c r="U420" s="167" t="s">
        <v>70</v>
      </c>
      <c r="V420" s="167" t="s">
        <v>70</v>
      </c>
      <c r="W420" s="167" t="s">
        <v>70</v>
      </c>
      <c r="X420" s="167" t="s">
        <v>70</v>
      </c>
      <c r="Y420" s="167" t="s">
        <v>70</v>
      </c>
      <c r="Z420" s="167" t="s">
        <v>70</v>
      </c>
      <c r="AA420" s="167" t="s">
        <v>70</v>
      </c>
      <c r="AB420" s="167" t="s">
        <v>70</v>
      </c>
      <c r="AC420" s="167" t="s">
        <v>70</v>
      </c>
      <c r="AD420" s="167" t="s">
        <v>70</v>
      </c>
      <c r="AE420" s="167" t="s">
        <v>70</v>
      </c>
      <c r="AF420" s="167" t="s">
        <v>70</v>
      </c>
      <c r="AG420" s="167" t="s">
        <v>70</v>
      </c>
      <c r="AH420" s="167" t="s">
        <v>70</v>
      </c>
      <c r="AI420" s="111">
        <v>45799</v>
      </c>
      <c r="AJ420" s="166" t="s">
        <v>69</v>
      </c>
      <c r="AK420" s="167" t="s">
        <v>70</v>
      </c>
      <c r="AL420" s="167" t="s">
        <v>70</v>
      </c>
      <c r="AM420" s="167"/>
      <c r="AN420" s="167" t="s">
        <v>70</v>
      </c>
      <c r="AO420" s="167" t="s">
        <v>70</v>
      </c>
      <c r="AP420" s="167" t="s">
        <v>70</v>
      </c>
      <c r="AQ420" s="167" t="s">
        <v>70</v>
      </c>
      <c r="AR420" s="166" t="s">
        <v>69</v>
      </c>
      <c r="AS420" s="167" t="s">
        <v>70</v>
      </c>
      <c r="AT420" s="167" t="s">
        <v>70</v>
      </c>
      <c r="AU420" s="167" t="s">
        <v>70</v>
      </c>
      <c r="AV420" s="167" t="s">
        <v>70</v>
      </c>
      <c r="AW420" s="167" t="s">
        <v>70</v>
      </c>
      <c r="AX420" s="167" t="s">
        <v>70</v>
      </c>
      <c r="AY420" s="167" t="s">
        <v>70</v>
      </c>
      <c r="AZ420" s="167" t="s">
        <v>70</v>
      </c>
      <c r="BA420" s="167" t="s">
        <v>70</v>
      </c>
      <c r="BB420" s="167" t="s">
        <v>70</v>
      </c>
      <c r="BC420" s="167" t="s">
        <v>70</v>
      </c>
      <c r="BD420" s="167" t="s">
        <v>70</v>
      </c>
      <c r="BE420" s="167" t="s">
        <v>70</v>
      </c>
      <c r="BF420" s="167" t="s">
        <v>70</v>
      </c>
      <c r="BG420" s="167" t="s">
        <v>70</v>
      </c>
      <c r="BH420" s="167" t="s">
        <v>70</v>
      </c>
      <c r="BI420" s="167" t="s">
        <v>70</v>
      </c>
      <c r="BJ420" s="167" t="s">
        <v>70</v>
      </c>
      <c r="BK420" s="167" t="s">
        <v>70</v>
      </c>
      <c r="BL420" s="167" t="s">
        <v>70</v>
      </c>
      <c r="BM420" s="167" t="s">
        <v>70</v>
      </c>
      <c r="BN420" s="167" t="s">
        <v>70</v>
      </c>
      <c r="BO420" s="167" t="s">
        <v>70</v>
      </c>
      <c r="BP420" s="167" t="s">
        <v>70</v>
      </c>
      <c r="BQ420" s="151" t="s">
        <v>208</v>
      </c>
      <c r="BR420" s="142"/>
      <c r="BS420" s="142"/>
      <c r="BT420" s="142"/>
      <c r="BU420" s="142"/>
      <c r="BV420" s="142"/>
      <c r="BW420" s="142"/>
      <c r="BX420" s="142"/>
      <c r="BY420" s="142"/>
      <c r="BZ420" s="142"/>
      <c r="CA420" s="142"/>
      <c r="CB420" s="142"/>
      <c r="CC420" s="142"/>
      <c r="CD420" s="142"/>
      <c r="CE420" s="142"/>
      <c r="CF420" s="142"/>
      <c r="CG420" s="142"/>
      <c r="CH420" s="142"/>
      <c r="CI420" s="142"/>
      <c r="CJ420" s="142"/>
      <c r="CK420" s="142"/>
      <c r="CL420" s="142"/>
      <c r="CM420" s="142"/>
      <c r="CN420" s="142"/>
      <c r="CO420" s="142"/>
      <c r="CP420" s="142"/>
      <c r="CQ420" s="142"/>
      <c r="CR420" s="142"/>
      <c r="CS420" s="142"/>
      <c r="CT420" s="142"/>
      <c r="CU420" s="142"/>
      <c r="CV420" s="142"/>
      <c r="CW420" s="142"/>
      <c r="CX420" s="142"/>
      <c r="CY420" s="142"/>
      <c r="CZ420" s="142"/>
      <c r="DA420" s="142"/>
      <c r="DB420" s="142"/>
      <c r="DC420" s="142"/>
      <c r="DD420" s="142"/>
      <c r="DE420" s="142"/>
      <c r="DF420" s="142"/>
      <c r="DG420" s="142"/>
      <c r="DH420" s="142"/>
      <c r="DI420" s="142"/>
      <c r="DJ420" s="142"/>
      <c r="DK420" s="142"/>
      <c r="DL420" s="142"/>
      <c r="DM420" s="142"/>
      <c r="DN420" s="142"/>
      <c r="DO420" s="142"/>
      <c r="DP420" s="142"/>
      <c r="DQ420" s="142"/>
      <c r="DR420" s="142"/>
      <c r="DS420" s="142"/>
      <c r="DT420" s="142"/>
      <c r="DU420" s="142"/>
      <c r="DV420" s="142"/>
      <c r="DW420" s="142"/>
      <c r="DX420" s="142"/>
      <c r="DY420" s="142"/>
      <c r="DZ420" s="142"/>
      <c r="EA420" s="142"/>
      <c r="EB420" s="142"/>
      <c r="EC420" s="142"/>
      <c r="ED420" s="142"/>
      <c r="EE420" s="142"/>
    </row>
    <row r="421" spans="1:135" s="151" customFormat="1" ht="19.5" customHeight="1" x14ac:dyDescent="0.2">
      <c r="A421" s="117">
        <v>419</v>
      </c>
      <c r="B421" s="117" t="s">
        <v>694</v>
      </c>
      <c r="C421" s="117">
        <v>183490</v>
      </c>
      <c r="D421" s="117" t="s">
        <v>212</v>
      </c>
      <c r="E421" s="117" t="s">
        <v>397</v>
      </c>
      <c r="F421" s="146" t="s">
        <v>256</v>
      </c>
      <c r="G421" s="124" t="s">
        <v>69</v>
      </c>
      <c r="H421" s="124"/>
      <c r="I421" s="89"/>
      <c r="J421" s="162" t="str">
        <f>IF(I421="", "", DATE(YEAR(I421)+2, MONTH(I421), DAY(I421)))</f>
        <v/>
      </c>
      <c r="K421" s="112">
        <v>45989</v>
      </c>
      <c r="L421" s="112">
        <v>45989</v>
      </c>
      <c r="M421" s="163">
        <f>IF(L421="", "", DATE(YEAR(L421)+3, MONTH(L421), DAY(L421)))</f>
        <v>47085</v>
      </c>
      <c r="N421" s="89">
        <v>45985</v>
      </c>
      <c r="O421" s="89">
        <v>45987</v>
      </c>
      <c r="P421" s="175">
        <v>46006</v>
      </c>
      <c r="Q421" s="167" t="s">
        <v>70</v>
      </c>
      <c r="R421" s="167" t="s">
        <v>70</v>
      </c>
      <c r="S421" s="167" t="s">
        <v>70</v>
      </c>
      <c r="T421" s="167" t="s">
        <v>70</v>
      </c>
      <c r="U421" s="167" t="s">
        <v>70</v>
      </c>
      <c r="V421" s="167" t="s">
        <v>70</v>
      </c>
      <c r="W421" s="167" t="s">
        <v>70</v>
      </c>
      <c r="X421" s="167" t="s">
        <v>70</v>
      </c>
      <c r="Y421" s="167" t="s">
        <v>70</v>
      </c>
      <c r="Z421" s="167" t="s">
        <v>70</v>
      </c>
      <c r="AA421" s="167" t="s">
        <v>70</v>
      </c>
      <c r="AB421" s="167" t="s">
        <v>70</v>
      </c>
      <c r="AC421" s="167" t="s">
        <v>70</v>
      </c>
      <c r="AD421" s="167" t="s">
        <v>70</v>
      </c>
      <c r="AE421" s="167" t="s">
        <v>70</v>
      </c>
      <c r="AF421" s="167" t="s">
        <v>70</v>
      </c>
      <c r="AG421" s="167" t="s">
        <v>70</v>
      </c>
      <c r="AH421" s="167" t="s">
        <v>70</v>
      </c>
      <c r="AI421" s="186">
        <v>45715</v>
      </c>
      <c r="AJ421" s="166" t="s">
        <v>69</v>
      </c>
      <c r="AK421" s="167" t="s">
        <v>70</v>
      </c>
      <c r="AL421" s="167" t="s">
        <v>70</v>
      </c>
      <c r="AM421" s="167"/>
      <c r="AN421" s="167" t="s">
        <v>70</v>
      </c>
      <c r="AO421" s="167" t="s">
        <v>70</v>
      </c>
      <c r="AP421" s="167" t="s">
        <v>70</v>
      </c>
      <c r="AQ421" s="167" t="s">
        <v>70</v>
      </c>
      <c r="AR421" s="166" t="s">
        <v>69</v>
      </c>
      <c r="AS421" s="167" t="s">
        <v>70</v>
      </c>
      <c r="AT421" s="167" t="s">
        <v>70</v>
      </c>
      <c r="AU421" s="167" t="s">
        <v>70</v>
      </c>
      <c r="AV421" s="167" t="s">
        <v>70</v>
      </c>
      <c r="AW421" s="167" t="s">
        <v>70</v>
      </c>
      <c r="AX421" s="167" t="s">
        <v>70</v>
      </c>
      <c r="AY421" s="167" t="s">
        <v>70</v>
      </c>
      <c r="AZ421" s="167" t="s">
        <v>70</v>
      </c>
      <c r="BA421" s="167" t="s">
        <v>70</v>
      </c>
      <c r="BB421" s="167" t="s">
        <v>70</v>
      </c>
      <c r="BC421" s="167" t="s">
        <v>70</v>
      </c>
      <c r="BD421" s="167" t="s">
        <v>70</v>
      </c>
      <c r="BE421" s="167" t="s">
        <v>70</v>
      </c>
      <c r="BF421" s="167" t="s">
        <v>70</v>
      </c>
      <c r="BG421" s="167" t="s">
        <v>70</v>
      </c>
      <c r="BH421" s="167" t="s">
        <v>70</v>
      </c>
      <c r="BI421" s="167" t="s">
        <v>70</v>
      </c>
      <c r="BJ421" s="167" t="s">
        <v>70</v>
      </c>
      <c r="BK421" s="167" t="s">
        <v>70</v>
      </c>
      <c r="BL421" s="167" t="s">
        <v>70</v>
      </c>
      <c r="BM421" s="167" t="s">
        <v>70</v>
      </c>
      <c r="BN421" s="167" t="s">
        <v>70</v>
      </c>
      <c r="BO421" s="167" t="s">
        <v>70</v>
      </c>
      <c r="BP421" s="167" t="s">
        <v>70</v>
      </c>
      <c r="BQ421" s="151" t="s">
        <v>208</v>
      </c>
    </row>
    <row r="422" spans="1:135" s="151" customFormat="1" ht="19.5" customHeight="1" x14ac:dyDescent="0.2">
      <c r="A422" s="117">
        <v>420</v>
      </c>
      <c r="B422" s="117" t="s">
        <v>695</v>
      </c>
      <c r="C422" s="117">
        <v>183516</v>
      </c>
      <c r="D422" s="117" t="s">
        <v>212</v>
      </c>
      <c r="E422" s="117" t="s">
        <v>397</v>
      </c>
      <c r="F422" s="146" t="s">
        <v>256</v>
      </c>
      <c r="G422" s="124" t="s">
        <v>69</v>
      </c>
      <c r="H422" s="89">
        <v>42478</v>
      </c>
      <c r="I422" s="140">
        <v>46080</v>
      </c>
      <c r="J422" s="162">
        <f>IF(I422="", "", DATE(YEAR(I422)+3, MONTH(I422), DAY(I422)))</f>
        <v>47176</v>
      </c>
      <c r="K422" s="89">
        <v>42478</v>
      </c>
      <c r="L422" s="111">
        <v>46079</v>
      </c>
      <c r="M422" s="163">
        <f>IF(L422="", "", DATE(YEAR(L422)+3, MONTH(L422), DAY(L422)))</f>
        <v>47175</v>
      </c>
      <c r="N422" s="89">
        <v>46076</v>
      </c>
      <c r="O422" s="89">
        <v>46077</v>
      </c>
      <c r="P422" s="89">
        <v>46078</v>
      </c>
      <c r="Q422" s="167" t="s">
        <v>70</v>
      </c>
      <c r="R422" s="167" t="s">
        <v>70</v>
      </c>
      <c r="S422" s="167" t="s">
        <v>70</v>
      </c>
      <c r="T422" s="167" t="s">
        <v>70</v>
      </c>
      <c r="U422" s="167" t="s">
        <v>70</v>
      </c>
      <c r="V422" s="167" t="s">
        <v>70</v>
      </c>
      <c r="W422" s="167" t="s">
        <v>70</v>
      </c>
      <c r="X422" s="167" t="s">
        <v>70</v>
      </c>
      <c r="Y422" s="167" t="s">
        <v>70</v>
      </c>
      <c r="Z422" s="167" t="s">
        <v>70</v>
      </c>
      <c r="AA422" s="167" t="s">
        <v>70</v>
      </c>
      <c r="AB422" s="167" t="s">
        <v>70</v>
      </c>
      <c r="AC422" s="167" t="s">
        <v>70</v>
      </c>
      <c r="AD422" s="167" t="s">
        <v>70</v>
      </c>
      <c r="AE422" s="167" t="s">
        <v>70</v>
      </c>
      <c r="AF422" s="167" t="s">
        <v>70</v>
      </c>
      <c r="AG422" s="167" t="s">
        <v>70</v>
      </c>
      <c r="AH422" s="167" t="s">
        <v>70</v>
      </c>
      <c r="AI422" s="186">
        <v>45715</v>
      </c>
      <c r="AJ422" s="166" t="s">
        <v>69</v>
      </c>
      <c r="AK422" s="167" t="s">
        <v>70</v>
      </c>
      <c r="AL422" s="167" t="s">
        <v>70</v>
      </c>
      <c r="AM422" s="167"/>
      <c r="AN422" s="167" t="s">
        <v>70</v>
      </c>
      <c r="AO422" s="167" t="s">
        <v>70</v>
      </c>
      <c r="AP422" s="167" t="s">
        <v>70</v>
      </c>
      <c r="AQ422" s="167" t="s">
        <v>70</v>
      </c>
      <c r="AR422" s="166" t="s">
        <v>69</v>
      </c>
      <c r="AS422" s="167" t="s">
        <v>70</v>
      </c>
      <c r="AT422" s="167" t="s">
        <v>70</v>
      </c>
      <c r="AU422" s="167" t="s">
        <v>70</v>
      </c>
      <c r="AV422" s="167" t="s">
        <v>70</v>
      </c>
      <c r="AW422" s="167" t="s">
        <v>70</v>
      </c>
      <c r="AX422" s="167" t="s">
        <v>70</v>
      </c>
      <c r="AY422" s="167" t="s">
        <v>70</v>
      </c>
      <c r="AZ422" s="167" t="s">
        <v>70</v>
      </c>
      <c r="BA422" s="167" t="s">
        <v>70</v>
      </c>
      <c r="BB422" s="167" t="s">
        <v>70</v>
      </c>
      <c r="BC422" s="167" t="s">
        <v>70</v>
      </c>
      <c r="BD422" s="167" t="s">
        <v>70</v>
      </c>
      <c r="BE422" s="167" t="s">
        <v>70</v>
      </c>
      <c r="BF422" s="167" t="s">
        <v>70</v>
      </c>
      <c r="BG422" s="167" t="s">
        <v>70</v>
      </c>
      <c r="BH422" s="167" t="s">
        <v>70</v>
      </c>
      <c r="BI422" s="167" t="s">
        <v>70</v>
      </c>
      <c r="BJ422" s="167" t="s">
        <v>70</v>
      </c>
      <c r="BK422" s="167" t="s">
        <v>70</v>
      </c>
      <c r="BL422" s="167" t="s">
        <v>70</v>
      </c>
      <c r="BM422" s="167" t="s">
        <v>70</v>
      </c>
      <c r="BN422" s="167" t="s">
        <v>70</v>
      </c>
      <c r="BO422" s="167" t="s">
        <v>70</v>
      </c>
      <c r="BP422" s="167" t="s">
        <v>70</v>
      </c>
      <c r="BQ422" s="151" t="s">
        <v>208</v>
      </c>
    </row>
    <row r="423" spans="1:135" s="151" customFormat="1" ht="19.5" customHeight="1" x14ac:dyDescent="0.2">
      <c r="A423" s="117">
        <v>421</v>
      </c>
      <c r="B423" s="117" t="s">
        <v>696</v>
      </c>
      <c r="C423" s="117">
        <v>183517</v>
      </c>
      <c r="D423" s="117" t="s">
        <v>212</v>
      </c>
      <c r="E423" s="117" t="s">
        <v>397</v>
      </c>
      <c r="F423" s="146" t="s">
        <v>256</v>
      </c>
      <c r="G423" s="124" t="s">
        <v>69</v>
      </c>
      <c r="H423" s="124"/>
      <c r="I423" s="112"/>
      <c r="J423" s="162"/>
      <c r="K423" s="112"/>
      <c r="L423" s="112"/>
      <c r="M423" s="163"/>
      <c r="N423" s="112">
        <v>46167</v>
      </c>
      <c r="O423" s="165" t="s">
        <v>69</v>
      </c>
      <c r="P423" s="165" t="s">
        <v>69</v>
      </c>
      <c r="Q423" s="167" t="s">
        <v>70</v>
      </c>
      <c r="R423" s="167" t="s">
        <v>70</v>
      </c>
      <c r="S423" s="167" t="s">
        <v>70</v>
      </c>
      <c r="T423" s="167" t="s">
        <v>70</v>
      </c>
      <c r="U423" s="167" t="s">
        <v>70</v>
      </c>
      <c r="V423" s="167" t="s">
        <v>70</v>
      </c>
      <c r="W423" s="167" t="s">
        <v>70</v>
      </c>
      <c r="X423" s="167" t="s">
        <v>70</v>
      </c>
      <c r="Y423" s="167" t="s">
        <v>70</v>
      </c>
      <c r="Z423" s="167" t="s">
        <v>70</v>
      </c>
      <c r="AA423" s="167" t="s">
        <v>70</v>
      </c>
      <c r="AB423" s="167" t="s">
        <v>70</v>
      </c>
      <c r="AC423" s="167" t="s">
        <v>70</v>
      </c>
      <c r="AD423" s="167" t="s">
        <v>70</v>
      </c>
      <c r="AE423" s="167" t="s">
        <v>70</v>
      </c>
      <c r="AF423" s="167" t="s">
        <v>70</v>
      </c>
      <c r="AG423" s="167" t="s">
        <v>70</v>
      </c>
      <c r="AH423" s="167" t="s">
        <v>70</v>
      </c>
      <c r="AI423" s="111">
        <v>45785</v>
      </c>
      <c r="AJ423" s="166" t="s">
        <v>69</v>
      </c>
      <c r="AK423" s="167" t="s">
        <v>70</v>
      </c>
      <c r="AL423" s="167" t="s">
        <v>70</v>
      </c>
      <c r="AM423" s="167"/>
      <c r="AN423" s="167" t="s">
        <v>70</v>
      </c>
      <c r="AO423" s="167" t="s">
        <v>70</v>
      </c>
      <c r="AP423" s="167" t="s">
        <v>70</v>
      </c>
      <c r="AQ423" s="167" t="s">
        <v>70</v>
      </c>
      <c r="AR423" s="166" t="s">
        <v>69</v>
      </c>
      <c r="AS423" s="167" t="s">
        <v>70</v>
      </c>
      <c r="AT423" s="167" t="s">
        <v>70</v>
      </c>
      <c r="AU423" s="167" t="s">
        <v>70</v>
      </c>
      <c r="AV423" s="167" t="s">
        <v>70</v>
      </c>
      <c r="AW423" s="167" t="s">
        <v>70</v>
      </c>
      <c r="AX423" s="167" t="s">
        <v>70</v>
      </c>
      <c r="AY423" s="167" t="s">
        <v>70</v>
      </c>
      <c r="AZ423" s="167" t="s">
        <v>70</v>
      </c>
      <c r="BA423" s="167" t="s">
        <v>70</v>
      </c>
      <c r="BB423" s="167" t="s">
        <v>70</v>
      </c>
      <c r="BC423" s="167" t="s">
        <v>70</v>
      </c>
      <c r="BD423" s="167" t="s">
        <v>70</v>
      </c>
      <c r="BE423" s="167" t="s">
        <v>70</v>
      </c>
      <c r="BF423" s="167" t="s">
        <v>70</v>
      </c>
      <c r="BG423" s="167" t="s">
        <v>70</v>
      </c>
      <c r="BH423" s="167" t="s">
        <v>70</v>
      </c>
      <c r="BI423" s="167" t="s">
        <v>70</v>
      </c>
      <c r="BJ423" s="167" t="s">
        <v>70</v>
      </c>
      <c r="BK423" s="167" t="s">
        <v>70</v>
      </c>
      <c r="BL423" s="167" t="s">
        <v>70</v>
      </c>
      <c r="BM423" s="167" t="s">
        <v>70</v>
      </c>
      <c r="BN423" s="167" t="s">
        <v>70</v>
      </c>
      <c r="BO423" s="167" t="s">
        <v>70</v>
      </c>
      <c r="BP423" s="167" t="s">
        <v>70</v>
      </c>
      <c r="BQ423" s="151" t="s">
        <v>208</v>
      </c>
    </row>
    <row r="424" spans="1:135" s="151" customFormat="1" ht="19.5" customHeight="1" x14ac:dyDescent="0.2">
      <c r="A424" s="117">
        <v>422</v>
      </c>
      <c r="B424" s="117" t="s">
        <v>697</v>
      </c>
      <c r="C424" s="117">
        <v>183523</v>
      </c>
      <c r="D424" s="117" t="s">
        <v>212</v>
      </c>
      <c r="E424" s="117" t="s">
        <v>397</v>
      </c>
      <c r="F424" s="146" t="s">
        <v>256</v>
      </c>
      <c r="G424" s="124" t="s">
        <v>69</v>
      </c>
      <c r="H424" s="124"/>
      <c r="I424" s="112"/>
      <c r="J424" s="162"/>
      <c r="K424" s="112"/>
      <c r="L424" s="112"/>
      <c r="M424" s="163"/>
      <c r="N424" s="213">
        <v>46167</v>
      </c>
      <c r="O424" s="112">
        <v>46161</v>
      </c>
      <c r="P424" s="112">
        <v>46162</v>
      </c>
      <c r="Q424" s="167" t="s">
        <v>70</v>
      </c>
      <c r="R424" s="167" t="s">
        <v>70</v>
      </c>
      <c r="S424" s="167" t="s">
        <v>70</v>
      </c>
      <c r="T424" s="167" t="s">
        <v>70</v>
      </c>
      <c r="U424" s="167" t="s">
        <v>70</v>
      </c>
      <c r="V424" s="167" t="s">
        <v>70</v>
      </c>
      <c r="W424" s="167" t="s">
        <v>70</v>
      </c>
      <c r="X424" s="167" t="s">
        <v>70</v>
      </c>
      <c r="Y424" s="167" t="s">
        <v>70</v>
      </c>
      <c r="Z424" s="167" t="s">
        <v>70</v>
      </c>
      <c r="AA424" s="167" t="s">
        <v>70</v>
      </c>
      <c r="AB424" s="167" t="s">
        <v>70</v>
      </c>
      <c r="AC424" s="167" t="s">
        <v>70</v>
      </c>
      <c r="AD424" s="167" t="s">
        <v>70</v>
      </c>
      <c r="AE424" s="167" t="s">
        <v>70</v>
      </c>
      <c r="AF424" s="167" t="s">
        <v>70</v>
      </c>
      <c r="AG424" s="167" t="s">
        <v>70</v>
      </c>
      <c r="AH424" s="167" t="s">
        <v>70</v>
      </c>
      <c r="AI424" s="111">
        <v>45722</v>
      </c>
      <c r="AJ424" s="166" t="s">
        <v>69</v>
      </c>
      <c r="AK424" s="167" t="s">
        <v>70</v>
      </c>
      <c r="AL424" s="167" t="s">
        <v>70</v>
      </c>
      <c r="AM424" s="167"/>
      <c r="AN424" s="167" t="s">
        <v>70</v>
      </c>
      <c r="AO424" s="167" t="s">
        <v>70</v>
      </c>
      <c r="AP424" s="167" t="s">
        <v>70</v>
      </c>
      <c r="AQ424" s="167" t="s">
        <v>70</v>
      </c>
      <c r="AR424" s="166" t="s">
        <v>69</v>
      </c>
      <c r="AS424" s="167" t="s">
        <v>70</v>
      </c>
      <c r="AT424" s="167" t="s">
        <v>70</v>
      </c>
      <c r="AU424" s="167" t="s">
        <v>70</v>
      </c>
      <c r="AV424" s="167" t="s">
        <v>70</v>
      </c>
      <c r="AW424" s="167" t="s">
        <v>70</v>
      </c>
      <c r="AX424" s="167" t="s">
        <v>70</v>
      </c>
      <c r="AY424" s="167" t="s">
        <v>70</v>
      </c>
      <c r="AZ424" s="167" t="s">
        <v>70</v>
      </c>
      <c r="BA424" s="167" t="s">
        <v>70</v>
      </c>
      <c r="BB424" s="167" t="s">
        <v>70</v>
      </c>
      <c r="BC424" s="167" t="s">
        <v>70</v>
      </c>
      <c r="BD424" s="167" t="s">
        <v>70</v>
      </c>
      <c r="BE424" s="167" t="s">
        <v>70</v>
      </c>
      <c r="BF424" s="167" t="s">
        <v>70</v>
      </c>
      <c r="BG424" s="167" t="s">
        <v>70</v>
      </c>
      <c r="BH424" s="167" t="s">
        <v>70</v>
      </c>
      <c r="BI424" s="167" t="s">
        <v>70</v>
      </c>
      <c r="BJ424" s="167" t="s">
        <v>70</v>
      </c>
      <c r="BK424" s="167" t="s">
        <v>70</v>
      </c>
      <c r="BL424" s="167" t="s">
        <v>70</v>
      </c>
      <c r="BM424" s="167" t="s">
        <v>70</v>
      </c>
      <c r="BN424" s="167" t="s">
        <v>70</v>
      </c>
      <c r="BO424" s="167" t="s">
        <v>70</v>
      </c>
      <c r="BP424" s="167" t="s">
        <v>70</v>
      </c>
      <c r="BQ424" s="151" t="s">
        <v>208</v>
      </c>
    </row>
    <row r="425" spans="1:135" s="151" customFormat="1" ht="19.5" customHeight="1" x14ac:dyDescent="0.2">
      <c r="A425" s="117">
        <v>423</v>
      </c>
      <c r="B425" s="117" t="s">
        <v>698</v>
      </c>
      <c r="C425" s="117">
        <v>83088944</v>
      </c>
      <c r="D425" s="117" t="s">
        <v>212</v>
      </c>
      <c r="E425" s="117" t="s">
        <v>397</v>
      </c>
      <c r="F425" s="146" t="s">
        <v>256</v>
      </c>
      <c r="G425" s="124" t="s">
        <v>69</v>
      </c>
      <c r="H425" s="124">
        <v>46218</v>
      </c>
      <c r="I425" s="124">
        <v>46218</v>
      </c>
      <c r="J425" s="162">
        <f>IF(I425="", "", DATE(YEAR(I425)+3, MONTH(I425), DAY(I425)))</f>
        <v>47314</v>
      </c>
      <c r="K425" s="112">
        <v>46220</v>
      </c>
      <c r="L425" s="112">
        <v>46220</v>
      </c>
      <c r="M425" s="163">
        <f>IF(L425="", "", DATE(YEAR(L425)+3, MONTH(L425), DAY(L425)))</f>
        <v>47316</v>
      </c>
      <c r="N425" s="165"/>
      <c r="O425" s="165"/>
      <c r="P425" s="165"/>
      <c r="Q425" s="167" t="s">
        <v>70</v>
      </c>
      <c r="R425" s="167" t="s">
        <v>70</v>
      </c>
      <c r="S425" s="167" t="s">
        <v>70</v>
      </c>
      <c r="T425" s="167" t="s">
        <v>70</v>
      </c>
      <c r="U425" s="167" t="s">
        <v>70</v>
      </c>
      <c r="V425" s="167" t="s">
        <v>70</v>
      </c>
      <c r="W425" s="167" t="s">
        <v>70</v>
      </c>
      <c r="X425" s="167" t="s">
        <v>70</v>
      </c>
      <c r="Y425" s="167" t="s">
        <v>70</v>
      </c>
      <c r="Z425" s="167" t="s">
        <v>70</v>
      </c>
      <c r="AA425" s="167" t="s">
        <v>70</v>
      </c>
      <c r="AB425" s="167" t="s">
        <v>70</v>
      </c>
      <c r="AC425" s="167" t="s">
        <v>70</v>
      </c>
      <c r="AD425" s="167" t="s">
        <v>70</v>
      </c>
      <c r="AE425" s="167" t="s">
        <v>70</v>
      </c>
      <c r="AF425" s="167" t="s">
        <v>70</v>
      </c>
      <c r="AG425" s="167" t="s">
        <v>70</v>
      </c>
      <c r="AH425" s="167" t="s">
        <v>70</v>
      </c>
      <c r="AI425" s="111">
        <v>45694</v>
      </c>
      <c r="AJ425" s="166" t="s">
        <v>69</v>
      </c>
      <c r="AK425" s="167" t="s">
        <v>70</v>
      </c>
      <c r="AL425" s="167" t="s">
        <v>70</v>
      </c>
      <c r="AM425" s="167"/>
      <c r="AN425" s="167" t="s">
        <v>70</v>
      </c>
      <c r="AO425" s="167" t="s">
        <v>70</v>
      </c>
      <c r="AP425" s="167" t="s">
        <v>70</v>
      </c>
      <c r="AQ425" s="167" t="s">
        <v>70</v>
      </c>
      <c r="AR425" s="166" t="s">
        <v>69</v>
      </c>
      <c r="AS425" s="167" t="s">
        <v>70</v>
      </c>
      <c r="AT425" s="167" t="s">
        <v>70</v>
      </c>
      <c r="AU425" s="167" t="s">
        <v>70</v>
      </c>
      <c r="AV425" s="167" t="s">
        <v>70</v>
      </c>
      <c r="AW425" s="167" t="s">
        <v>70</v>
      </c>
      <c r="AX425" s="167" t="s">
        <v>70</v>
      </c>
      <c r="AY425" s="167" t="s">
        <v>70</v>
      </c>
      <c r="AZ425" s="167" t="s">
        <v>70</v>
      </c>
      <c r="BA425" s="167" t="s">
        <v>70</v>
      </c>
      <c r="BB425" s="167" t="s">
        <v>70</v>
      </c>
      <c r="BC425" s="167" t="s">
        <v>70</v>
      </c>
      <c r="BD425" s="167" t="s">
        <v>70</v>
      </c>
      <c r="BE425" s="167" t="s">
        <v>70</v>
      </c>
      <c r="BF425" s="167" t="s">
        <v>70</v>
      </c>
      <c r="BG425" s="167" t="s">
        <v>70</v>
      </c>
      <c r="BH425" s="167" t="s">
        <v>70</v>
      </c>
      <c r="BI425" s="167" t="s">
        <v>70</v>
      </c>
      <c r="BJ425" s="167" t="s">
        <v>70</v>
      </c>
      <c r="BK425" s="167" t="s">
        <v>70</v>
      </c>
      <c r="BL425" s="167" t="s">
        <v>70</v>
      </c>
      <c r="BM425" s="167" t="s">
        <v>70</v>
      </c>
      <c r="BN425" s="167" t="s">
        <v>70</v>
      </c>
      <c r="BO425" s="167" t="s">
        <v>70</v>
      </c>
      <c r="BP425" s="167" t="s">
        <v>70</v>
      </c>
      <c r="BQ425" s="151" t="s">
        <v>208</v>
      </c>
    </row>
    <row r="426" spans="1:135" s="151" customFormat="1" ht="19.5" customHeight="1" x14ac:dyDescent="0.2">
      <c r="A426" s="117">
        <v>424</v>
      </c>
      <c r="B426" s="117" t="s">
        <v>740</v>
      </c>
      <c r="C426" s="117">
        <v>83103111</v>
      </c>
      <c r="D426" s="117" t="s">
        <v>212</v>
      </c>
      <c r="E426" s="117" t="s">
        <v>397</v>
      </c>
      <c r="F426" s="146" t="s">
        <v>256</v>
      </c>
      <c r="G426" s="124" t="s">
        <v>69</v>
      </c>
      <c r="H426" s="93">
        <v>46227</v>
      </c>
      <c r="I426" s="93">
        <v>46227</v>
      </c>
      <c r="J426" s="92">
        <f>IF(I426="", "", DATE(YEAR(I426)+3, MONTH(I426), DAY(L426)))</f>
        <v>47322</v>
      </c>
      <c r="K426" s="93">
        <v>46226</v>
      </c>
      <c r="L426" s="93">
        <v>46226</v>
      </c>
      <c r="M426" s="140">
        <f>IF(L426="", "", DATE(YEAR(L426)+3, MONTH(L426), DAY(L426)))</f>
        <v>47322</v>
      </c>
      <c r="N426" s="93">
        <v>46223</v>
      </c>
      <c r="O426" s="93">
        <v>46224</v>
      </c>
      <c r="P426" s="93">
        <v>46225</v>
      </c>
      <c r="Q426" s="167" t="s">
        <v>70</v>
      </c>
      <c r="R426" s="167" t="s">
        <v>70</v>
      </c>
      <c r="S426" s="167" t="s">
        <v>70</v>
      </c>
      <c r="T426" s="167" t="s">
        <v>70</v>
      </c>
      <c r="U426" s="167" t="s">
        <v>70</v>
      </c>
      <c r="V426" s="167" t="s">
        <v>70</v>
      </c>
      <c r="W426" s="167" t="s">
        <v>70</v>
      </c>
      <c r="X426" s="167" t="s">
        <v>70</v>
      </c>
      <c r="Y426" s="167" t="s">
        <v>70</v>
      </c>
      <c r="Z426" s="167" t="s">
        <v>70</v>
      </c>
      <c r="AA426" s="167" t="s">
        <v>70</v>
      </c>
      <c r="AB426" s="167" t="s">
        <v>70</v>
      </c>
      <c r="AC426" s="167" t="s">
        <v>70</v>
      </c>
      <c r="AD426" s="167" t="s">
        <v>70</v>
      </c>
      <c r="AE426" s="167" t="s">
        <v>70</v>
      </c>
      <c r="AF426" s="167" t="s">
        <v>70</v>
      </c>
      <c r="AG426" s="167" t="s">
        <v>70</v>
      </c>
      <c r="AH426" s="167" t="s">
        <v>70</v>
      </c>
      <c r="AI426" s="186">
        <v>45769</v>
      </c>
      <c r="AJ426" s="166" t="s">
        <v>69</v>
      </c>
      <c r="AK426" s="167" t="s">
        <v>70</v>
      </c>
      <c r="AL426" s="167" t="s">
        <v>70</v>
      </c>
      <c r="AM426" s="167"/>
      <c r="AN426" s="167" t="s">
        <v>70</v>
      </c>
      <c r="AO426" s="167" t="s">
        <v>70</v>
      </c>
      <c r="AP426" s="167" t="s">
        <v>70</v>
      </c>
      <c r="AQ426" s="167" t="s">
        <v>70</v>
      </c>
      <c r="AR426" s="166" t="s">
        <v>69</v>
      </c>
      <c r="AS426" s="167" t="s">
        <v>70</v>
      </c>
      <c r="AT426" s="167" t="s">
        <v>70</v>
      </c>
      <c r="AU426" s="167" t="s">
        <v>70</v>
      </c>
      <c r="AV426" s="167" t="s">
        <v>70</v>
      </c>
      <c r="AW426" s="167" t="s">
        <v>70</v>
      </c>
      <c r="AX426" s="167" t="s">
        <v>70</v>
      </c>
      <c r="AY426" s="167" t="s">
        <v>70</v>
      </c>
      <c r="AZ426" s="167" t="s">
        <v>70</v>
      </c>
      <c r="BA426" s="167" t="s">
        <v>70</v>
      </c>
      <c r="BB426" s="167" t="s">
        <v>70</v>
      </c>
      <c r="BC426" s="167" t="s">
        <v>70</v>
      </c>
      <c r="BD426" s="167" t="s">
        <v>70</v>
      </c>
      <c r="BE426" s="167" t="s">
        <v>70</v>
      </c>
      <c r="BF426" s="167" t="s">
        <v>70</v>
      </c>
      <c r="BG426" s="167" t="s">
        <v>70</v>
      </c>
      <c r="BH426" s="167" t="s">
        <v>70</v>
      </c>
      <c r="BI426" s="167" t="s">
        <v>70</v>
      </c>
      <c r="BJ426" s="167" t="s">
        <v>70</v>
      </c>
      <c r="BK426" s="167" t="s">
        <v>70</v>
      </c>
      <c r="BL426" s="167" t="s">
        <v>70</v>
      </c>
      <c r="BM426" s="167" t="s">
        <v>70</v>
      </c>
      <c r="BN426" s="167" t="s">
        <v>70</v>
      </c>
      <c r="BO426" s="167" t="s">
        <v>70</v>
      </c>
      <c r="BP426" s="167" t="s">
        <v>70</v>
      </c>
      <c r="BQ426" s="151" t="s">
        <v>208</v>
      </c>
      <c r="BR426" s="142"/>
      <c r="BS426" s="142"/>
      <c r="BT426" s="142"/>
      <c r="BU426" s="142"/>
      <c r="BV426" s="142"/>
      <c r="BW426" s="142"/>
      <c r="BX426" s="142"/>
      <c r="BY426" s="142"/>
      <c r="BZ426" s="142"/>
      <c r="CA426" s="142"/>
      <c r="CB426" s="142"/>
      <c r="CC426" s="142"/>
      <c r="CD426" s="142"/>
      <c r="CE426" s="142"/>
      <c r="CF426" s="142"/>
      <c r="CG426" s="142"/>
      <c r="CH426" s="142"/>
      <c r="CI426" s="142"/>
      <c r="CJ426" s="142"/>
      <c r="CK426" s="142"/>
      <c r="CL426" s="142"/>
      <c r="CM426" s="142"/>
      <c r="CN426" s="142"/>
      <c r="CO426" s="142"/>
      <c r="CP426" s="142"/>
      <c r="CQ426" s="142"/>
      <c r="CR426" s="142"/>
      <c r="CS426" s="142"/>
      <c r="CT426" s="142"/>
      <c r="CU426" s="142"/>
      <c r="CV426" s="142"/>
      <c r="CW426" s="142"/>
      <c r="CX426" s="142"/>
      <c r="CY426" s="142"/>
      <c r="CZ426" s="142"/>
      <c r="DA426" s="142"/>
      <c r="DB426" s="142"/>
      <c r="DC426" s="142"/>
      <c r="DD426" s="142"/>
      <c r="DE426" s="142"/>
      <c r="DF426" s="142"/>
      <c r="DG426" s="142"/>
      <c r="DH426" s="142"/>
      <c r="DI426" s="142"/>
      <c r="DJ426" s="142"/>
      <c r="DK426" s="142"/>
      <c r="DL426" s="142"/>
      <c r="DM426" s="142"/>
      <c r="DN426" s="142"/>
      <c r="DO426" s="142"/>
      <c r="DP426" s="142"/>
      <c r="DQ426" s="142"/>
      <c r="DR426" s="142"/>
      <c r="DS426" s="142"/>
      <c r="DT426" s="142"/>
      <c r="DU426" s="142"/>
      <c r="DV426" s="142"/>
      <c r="DW426" s="142"/>
      <c r="DX426" s="142"/>
      <c r="DY426" s="142"/>
      <c r="DZ426" s="142"/>
      <c r="EA426" s="142"/>
      <c r="EB426" s="142"/>
      <c r="EC426" s="142"/>
      <c r="ED426" s="142"/>
      <c r="EE426" s="142"/>
    </row>
    <row r="427" spans="1:135" s="151" customFormat="1" ht="19.5" customHeight="1" x14ac:dyDescent="0.2">
      <c r="A427" s="117">
        <v>425</v>
      </c>
      <c r="B427" s="117" t="s">
        <v>741</v>
      </c>
      <c r="C427" s="117">
        <v>133797</v>
      </c>
      <c r="D427" s="117" t="s">
        <v>212</v>
      </c>
      <c r="E427" s="117" t="s">
        <v>397</v>
      </c>
      <c r="F427" s="146" t="s">
        <v>256</v>
      </c>
      <c r="G427" s="124" t="s">
        <v>69</v>
      </c>
      <c r="H427" s="119"/>
      <c r="I427" s="229">
        <v>46136</v>
      </c>
      <c r="J427" s="162">
        <f>IF(I427="", "", DATE(YEAR(I427)+3, MONTH(I427), DAY(I427)))</f>
        <v>47232</v>
      </c>
      <c r="K427" s="229">
        <v>42513</v>
      </c>
      <c r="L427" s="89">
        <v>46135</v>
      </c>
      <c r="M427" s="163">
        <f>IF(L427="", "", DATE(YEAR(L427)+3, MONTH(L427), DAY(L427)))</f>
        <v>47231</v>
      </c>
      <c r="N427" s="229">
        <v>46132</v>
      </c>
      <c r="O427" s="112">
        <v>46133</v>
      </c>
      <c r="P427" s="229">
        <v>46133</v>
      </c>
      <c r="Q427" s="167" t="s">
        <v>70</v>
      </c>
      <c r="R427" s="167" t="s">
        <v>70</v>
      </c>
      <c r="S427" s="167" t="s">
        <v>70</v>
      </c>
      <c r="T427" s="167" t="s">
        <v>70</v>
      </c>
      <c r="U427" s="167" t="s">
        <v>70</v>
      </c>
      <c r="V427" s="167" t="s">
        <v>70</v>
      </c>
      <c r="W427" s="167" t="s">
        <v>70</v>
      </c>
      <c r="X427" s="167" t="s">
        <v>70</v>
      </c>
      <c r="Y427" s="167" t="s">
        <v>70</v>
      </c>
      <c r="Z427" s="167" t="s">
        <v>70</v>
      </c>
      <c r="AA427" s="167" t="s">
        <v>70</v>
      </c>
      <c r="AB427" s="167" t="s">
        <v>70</v>
      </c>
      <c r="AC427" s="167" t="s">
        <v>70</v>
      </c>
      <c r="AD427" s="167" t="s">
        <v>70</v>
      </c>
      <c r="AE427" s="167" t="s">
        <v>70</v>
      </c>
      <c r="AF427" s="167" t="s">
        <v>70</v>
      </c>
      <c r="AG427" s="167" t="s">
        <v>70</v>
      </c>
      <c r="AH427" s="167" t="s">
        <v>70</v>
      </c>
      <c r="AI427" s="111">
        <v>45722</v>
      </c>
      <c r="AJ427" s="166" t="s">
        <v>69</v>
      </c>
      <c r="AK427" s="167" t="s">
        <v>70</v>
      </c>
      <c r="AL427" s="167" t="s">
        <v>70</v>
      </c>
      <c r="AM427" s="167"/>
      <c r="AN427" s="167" t="s">
        <v>70</v>
      </c>
      <c r="AO427" s="167" t="s">
        <v>70</v>
      </c>
      <c r="AP427" s="167" t="s">
        <v>70</v>
      </c>
      <c r="AQ427" s="167" t="s">
        <v>70</v>
      </c>
      <c r="AR427" s="166" t="s">
        <v>69</v>
      </c>
      <c r="AS427" s="167" t="s">
        <v>70</v>
      </c>
      <c r="AT427" s="167" t="s">
        <v>70</v>
      </c>
      <c r="AU427" s="167" t="s">
        <v>70</v>
      </c>
      <c r="AV427" s="167" t="s">
        <v>70</v>
      </c>
      <c r="AW427" s="167" t="s">
        <v>70</v>
      </c>
      <c r="AX427" s="167" t="s">
        <v>70</v>
      </c>
      <c r="AY427" s="167" t="s">
        <v>70</v>
      </c>
      <c r="AZ427" s="167" t="s">
        <v>70</v>
      </c>
      <c r="BA427" s="167" t="s">
        <v>70</v>
      </c>
      <c r="BB427" s="167" t="s">
        <v>70</v>
      </c>
      <c r="BC427" s="167" t="s">
        <v>70</v>
      </c>
      <c r="BD427" s="167" t="s">
        <v>70</v>
      </c>
      <c r="BE427" s="167" t="s">
        <v>70</v>
      </c>
      <c r="BF427" s="167" t="s">
        <v>70</v>
      </c>
      <c r="BG427" s="167" t="s">
        <v>70</v>
      </c>
      <c r="BH427" s="167" t="s">
        <v>70</v>
      </c>
      <c r="BI427" s="167" t="s">
        <v>70</v>
      </c>
      <c r="BJ427" s="167" t="s">
        <v>70</v>
      </c>
      <c r="BK427" s="167" t="s">
        <v>70</v>
      </c>
      <c r="BL427" s="167" t="s">
        <v>70</v>
      </c>
      <c r="BM427" s="167" t="s">
        <v>70</v>
      </c>
      <c r="BN427" s="167" t="s">
        <v>70</v>
      </c>
      <c r="BO427" s="167" t="s">
        <v>70</v>
      </c>
      <c r="BP427" s="167" t="s">
        <v>70</v>
      </c>
      <c r="BQ427" s="151" t="s">
        <v>208</v>
      </c>
      <c r="BR427" s="142"/>
      <c r="BS427" s="142"/>
      <c r="BT427" s="142"/>
      <c r="BU427" s="142"/>
      <c r="BV427" s="142"/>
      <c r="BW427" s="142"/>
      <c r="BX427" s="142"/>
      <c r="BY427" s="142"/>
      <c r="BZ427" s="142"/>
      <c r="CA427" s="142"/>
      <c r="CB427" s="142"/>
      <c r="CC427" s="142"/>
      <c r="CD427" s="142"/>
      <c r="CE427" s="142"/>
      <c r="CF427" s="142"/>
      <c r="CG427" s="142"/>
      <c r="CH427" s="142"/>
      <c r="CI427" s="142"/>
      <c r="CJ427" s="142"/>
      <c r="CK427" s="142"/>
      <c r="CL427" s="142"/>
      <c r="CM427" s="142"/>
      <c r="CN427" s="142"/>
      <c r="CO427" s="142"/>
      <c r="CP427" s="142"/>
      <c r="CQ427" s="142"/>
      <c r="CR427" s="142"/>
      <c r="CS427" s="142"/>
      <c r="CT427" s="142"/>
      <c r="CU427" s="142"/>
      <c r="CV427" s="142"/>
      <c r="CW427" s="142"/>
      <c r="CX427" s="142"/>
      <c r="CY427" s="142"/>
      <c r="CZ427" s="142"/>
      <c r="DA427" s="142"/>
      <c r="DB427" s="142"/>
      <c r="DC427" s="142"/>
      <c r="DD427" s="142"/>
      <c r="DE427" s="142"/>
      <c r="DF427" s="142"/>
      <c r="DG427" s="142"/>
      <c r="DH427" s="142"/>
      <c r="DI427" s="142"/>
      <c r="DJ427" s="142"/>
      <c r="DK427" s="142"/>
      <c r="DL427" s="142"/>
      <c r="DM427" s="142"/>
      <c r="DN427" s="142"/>
      <c r="DO427" s="142"/>
      <c r="DP427" s="142"/>
      <c r="DQ427" s="142"/>
      <c r="DR427" s="142"/>
      <c r="DS427" s="142"/>
      <c r="DT427" s="142"/>
      <c r="DU427" s="142"/>
      <c r="DV427" s="142"/>
      <c r="DW427" s="142"/>
      <c r="DX427" s="142"/>
      <c r="DY427" s="142"/>
      <c r="DZ427" s="142"/>
      <c r="EA427" s="142"/>
      <c r="EB427" s="142"/>
      <c r="EC427" s="142"/>
      <c r="ED427" s="142"/>
      <c r="EE427" s="142"/>
    </row>
    <row r="428" spans="1:135" s="151" customFormat="1" ht="19.5" customHeight="1" x14ac:dyDescent="0.2">
      <c r="A428" s="117">
        <v>426</v>
      </c>
      <c r="B428" s="117" t="s">
        <v>700</v>
      </c>
      <c r="C428" s="117">
        <v>83102441</v>
      </c>
      <c r="D428" s="117" t="s">
        <v>212</v>
      </c>
      <c r="E428" s="117" t="s">
        <v>397</v>
      </c>
      <c r="F428" s="146" t="s">
        <v>256</v>
      </c>
      <c r="G428" s="124" t="s">
        <v>69</v>
      </c>
      <c r="H428" s="124"/>
      <c r="I428" s="112"/>
      <c r="J428" s="162"/>
      <c r="K428" s="112"/>
      <c r="L428" s="112"/>
      <c r="M428" s="163"/>
      <c r="N428" s="112"/>
      <c r="O428" s="112"/>
      <c r="P428" s="112"/>
      <c r="Q428" s="167" t="s">
        <v>70</v>
      </c>
      <c r="R428" s="167" t="s">
        <v>70</v>
      </c>
      <c r="S428" s="167" t="s">
        <v>70</v>
      </c>
      <c r="T428" s="167" t="s">
        <v>70</v>
      </c>
      <c r="U428" s="167" t="s">
        <v>70</v>
      </c>
      <c r="V428" s="167" t="s">
        <v>70</v>
      </c>
      <c r="W428" s="167" t="s">
        <v>70</v>
      </c>
      <c r="X428" s="167" t="s">
        <v>70</v>
      </c>
      <c r="Y428" s="167" t="s">
        <v>70</v>
      </c>
      <c r="Z428" s="167" t="s">
        <v>70</v>
      </c>
      <c r="AA428" s="167" t="s">
        <v>70</v>
      </c>
      <c r="AB428" s="167" t="s">
        <v>70</v>
      </c>
      <c r="AC428" s="167" t="s">
        <v>70</v>
      </c>
      <c r="AD428" s="167" t="s">
        <v>70</v>
      </c>
      <c r="AE428" s="167" t="s">
        <v>70</v>
      </c>
      <c r="AF428" s="167" t="s">
        <v>70</v>
      </c>
      <c r="AG428" s="167" t="s">
        <v>70</v>
      </c>
      <c r="AH428" s="167" t="s">
        <v>70</v>
      </c>
      <c r="AI428" s="186">
        <v>45769</v>
      </c>
      <c r="AJ428" s="166" t="s">
        <v>69</v>
      </c>
      <c r="AK428" s="167" t="s">
        <v>70</v>
      </c>
      <c r="AL428" s="167" t="s">
        <v>70</v>
      </c>
      <c r="AM428" s="167"/>
      <c r="AN428" s="167" t="s">
        <v>70</v>
      </c>
      <c r="AO428" s="167" t="s">
        <v>70</v>
      </c>
      <c r="AP428" s="167" t="s">
        <v>70</v>
      </c>
      <c r="AQ428" s="167" t="s">
        <v>70</v>
      </c>
      <c r="AR428" s="166" t="s">
        <v>69</v>
      </c>
      <c r="AS428" s="167" t="s">
        <v>70</v>
      </c>
      <c r="AT428" s="167" t="s">
        <v>70</v>
      </c>
      <c r="AU428" s="167" t="s">
        <v>70</v>
      </c>
      <c r="AV428" s="167" t="s">
        <v>70</v>
      </c>
      <c r="AW428" s="167" t="s">
        <v>70</v>
      </c>
      <c r="AX428" s="167" t="s">
        <v>70</v>
      </c>
      <c r="AY428" s="167" t="s">
        <v>70</v>
      </c>
      <c r="AZ428" s="167" t="s">
        <v>70</v>
      </c>
      <c r="BA428" s="167" t="s">
        <v>70</v>
      </c>
      <c r="BB428" s="167" t="s">
        <v>70</v>
      </c>
      <c r="BC428" s="167" t="s">
        <v>70</v>
      </c>
      <c r="BD428" s="167" t="s">
        <v>70</v>
      </c>
      <c r="BE428" s="167" t="s">
        <v>70</v>
      </c>
      <c r="BF428" s="167" t="s">
        <v>70</v>
      </c>
      <c r="BG428" s="167" t="s">
        <v>70</v>
      </c>
      <c r="BH428" s="167" t="s">
        <v>70</v>
      </c>
      <c r="BI428" s="167" t="s">
        <v>70</v>
      </c>
      <c r="BJ428" s="167" t="s">
        <v>70</v>
      </c>
      <c r="BK428" s="167" t="s">
        <v>70</v>
      </c>
      <c r="BL428" s="167" t="s">
        <v>70</v>
      </c>
      <c r="BM428" s="167" t="s">
        <v>70</v>
      </c>
      <c r="BN428" s="167" t="s">
        <v>70</v>
      </c>
      <c r="BO428" s="167" t="s">
        <v>70</v>
      </c>
      <c r="BP428" s="167" t="s">
        <v>70</v>
      </c>
      <c r="BQ428" s="151" t="s">
        <v>208</v>
      </c>
    </row>
    <row r="429" spans="1:135" s="151" customFormat="1" ht="19.5" customHeight="1" x14ac:dyDescent="0.2">
      <c r="A429" s="117">
        <v>427</v>
      </c>
      <c r="B429" s="161" t="s">
        <v>729</v>
      </c>
      <c r="C429" s="161">
        <v>84088198</v>
      </c>
      <c r="D429" s="177" t="s">
        <v>730</v>
      </c>
      <c r="E429" s="117" t="s">
        <v>397</v>
      </c>
      <c r="F429" s="146" t="s">
        <v>256</v>
      </c>
      <c r="G429" s="124" t="s">
        <v>69</v>
      </c>
      <c r="H429" s="124">
        <v>45988</v>
      </c>
      <c r="I429" s="124">
        <v>45988</v>
      </c>
      <c r="J429" s="162">
        <f>IF(I429="", "", DATE(YEAR(I429)+3, MONTH(I429), DAY(I429)))</f>
        <v>47084</v>
      </c>
      <c r="K429" s="112">
        <v>45989</v>
      </c>
      <c r="L429" s="112">
        <v>45989</v>
      </c>
      <c r="M429" s="163">
        <f t="shared" ref="M429:M442" si="32">IF(L429="", "", DATE(YEAR(L429)+3, MONTH(L429), DAY(L429)))</f>
        <v>47085</v>
      </c>
      <c r="N429" s="89">
        <v>45985</v>
      </c>
      <c r="O429" s="89">
        <v>45987</v>
      </c>
      <c r="P429" s="175"/>
      <c r="Q429" s="167" t="s">
        <v>70</v>
      </c>
      <c r="R429" s="167" t="s">
        <v>70</v>
      </c>
      <c r="S429" s="167" t="s">
        <v>70</v>
      </c>
      <c r="T429" s="167" t="s">
        <v>70</v>
      </c>
      <c r="U429" s="167" t="s">
        <v>70</v>
      </c>
      <c r="V429" s="167" t="s">
        <v>70</v>
      </c>
      <c r="W429" s="167" t="s">
        <v>70</v>
      </c>
      <c r="X429" s="167" t="s">
        <v>70</v>
      </c>
      <c r="Y429" s="167" t="s">
        <v>70</v>
      </c>
      <c r="Z429" s="167" t="s">
        <v>70</v>
      </c>
      <c r="AA429" s="167" t="s">
        <v>70</v>
      </c>
      <c r="AB429" s="167" t="s">
        <v>70</v>
      </c>
      <c r="AC429" s="167" t="s">
        <v>70</v>
      </c>
      <c r="AD429" s="167" t="s">
        <v>70</v>
      </c>
      <c r="AE429" s="167" t="s">
        <v>70</v>
      </c>
      <c r="AF429" s="167" t="s">
        <v>70</v>
      </c>
      <c r="AG429" s="167" t="s">
        <v>70</v>
      </c>
      <c r="AH429" s="167" t="s">
        <v>70</v>
      </c>
      <c r="AI429" s="111">
        <v>45827</v>
      </c>
      <c r="AJ429" s="166" t="s">
        <v>69</v>
      </c>
      <c r="AK429" s="167" t="s">
        <v>70</v>
      </c>
      <c r="AL429" s="167" t="s">
        <v>70</v>
      </c>
      <c r="AM429" s="167"/>
      <c r="AN429" s="167" t="s">
        <v>70</v>
      </c>
      <c r="AO429" s="167" t="s">
        <v>70</v>
      </c>
      <c r="AP429" s="167" t="s">
        <v>70</v>
      </c>
      <c r="AQ429" s="167" t="s">
        <v>70</v>
      </c>
      <c r="AR429" s="166" t="s">
        <v>69</v>
      </c>
      <c r="AS429" s="167" t="s">
        <v>70</v>
      </c>
      <c r="AT429" s="167" t="s">
        <v>70</v>
      </c>
      <c r="AU429" s="167" t="s">
        <v>70</v>
      </c>
      <c r="AV429" s="167" t="s">
        <v>70</v>
      </c>
      <c r="AW429" s="167" t="s">
        <v>70</v>
      </c>
      <c r="AX429" s="167" t="s">
        <v>70</v>
      </c>
      <c r="AY429" s="167" t="s">
        <v>70</v>
      </c>
      <c r="AZ429" s="167" t="s">
        <v>70</v>
      </c>
      <c r="BA429" s="167" t="s">
        <v>70</v>
      </c>
      <c r="BB429" s="167" t="s">
        <v>70</v>
      </c>
      <c r="BC429" s="167" t="s">
        <v>70</v>
      </c>
      <c r="BD429" s="167" t="s">
        <v>70</v>
      </c>
      <c r="BE429" s="167" t="s">
        <v>70</v>
      </c>
      <c r="BF429" s="167" t="s">
        <v>70</v>
      </c>
      <c r="BG429" s="167" t="s">
        <v>70</v>
      </c>
      <c r="BH429" s="167" t="s">
        <v>70</v>
      </c>
      <c r="BI429" s="167" t="s">
        <v>70</v>
      </c>
      <c r="BJ429" s="167" t="s">
        <v>70</v>
      </c>
      <c r="BK429" s="167" t="s">
        <v>70</v>
      </c>
      <c r="BL429" s="167" t="s">
        <v>70</v>
      </c>
      <c r="BM429" s="167" t="s">
        <v>70</v>
      </c>
      <c r="BN429" s="167" t="s">
        <v>70</v>
      </c>
      <c r="BO429" s="167" t="s">
        <v>70</v>
      </c>
      <c r="BP429" s="167" t="s">
        <v>70</v>
      </c>
      <c r="BQ429" s="151" t="s">
        <v>208</v>
      </c>
    </row>
    <row r="430" spans="1:135" s="151" customFormat="1" ht="19.5" customHeight="1" x14ac:dyDescent="0.2">
      <c r="A430" s="117">
        <v>428</v>
      </c>
      <c r="B430" s="121" t="s">
        <v>400</v>
      </c>
      <c r="C430" s="122">
        <v>183510</v>
      </c>
      <c r="D430" s="117" t="s">
        <v>212</v>
      </c>
      <c r="E430" s="117" t="s">
        <v>397</v>
      </c>
      <c r="F430" s="146" t="s">
        <v>256</v>
      </c>
      <c r="G430" s="124" t="s">
        <v>69</v>
      </c>
      <c r="H430" s="190" t="s">
        <v>315</v>
      </c>
      <c r="I430" s="93">
        <v>45679</v>
      </c>
      <c r="J430" s="92">
        <f>IF(I430="", "", DATE(YEAR(I430)+3, MONTH(I430), DAY(L430)))</f>
        <v>46754</v>
      </c>
      <c r="K430" s="93">
        <v>46175</v>
      </c>
      <c r="L430" s="93">
        <v>46175</v>
      </c>
      <c r="M430" s="140">
        <f t="shared" si="32"/>
        <v>47271</v>
      </c>
      <c r="N430" s="93">
        <v>46219</v>
      </c>
      <c r="O430" s="93">
        <v>46216</v>
      </c>
      <c r="P430" s="93">
        <v>46217</v>
      </c>
      <c r="Q430" s="167" t="s">
        <v>70</v>
      </c>
      <c r="R430" s="167" t="s">
        <v>70</v>
      </c>
      <c r="S430" s="167" t="s">
        <v>70</v>
      </c>
      <c r="T430" s="167" t="s">
        <v>70</v>
      </c>
      <c r="U430" s="167" t="s">
        <v>70</v>
      </c>
      <c r="V430" s="167" t="s">
        <v>70</v>
      </c>
      <c r="W430" s="167" t="s">
        <v>70</v>
      </c>
      <c r="X430" s="167" t="s">
        <v>70</v>
      </c>
      <c r="Y430" s="167" t="s">
        <v>70</v>
      </c>
      <c r="Z430" s="167" t="s">
        <v>70</v>
      </c>
      <c r="AA430" s="167" t="s">
        <v>70</v>
      </c>
      <c r="AB430" s="167" t="s">
        <v>70</v>
      </c>
      <c r="AC430" s="167" t="s">
        <v>70</v>
      </c>
      <c r="AD430" s="167" t="s">
        <v>70</v>
      </c>
      <c r="AE430" s="167" t="s">
        <v>70</v>
      </c>
      <c r="AF430" s="167" t="s">
        <v>70</v>
      </c>
      <c r="AG430" s="167" t="s">
        <v>70</v>
      </c>
      <c r="AH430" s="167" t="s">
        <v>70</v>
      </c>
      <c r="AI430" s="111">
        <v>45727</v>
      </c>
      <c r="AJ430" s="166" t="s">
        <v>69</v>
      </c>
      <c r="AK430" s="167" t="s">
        <v>70</v>
      </c>
      <c r="AL430" s="167" t="s">
        <v>70</v>
      </c>
      <c r="AM430" s="167"/>
      <c r="AN430" s="167" t="s">
        <v>70</v>
      </c>
      <c r="AO430" s="167" t="s">
        <v>70</v>
      </c>
      <c r="AP430" s="167" t="s">
        <v>70</v>
      </c>
      <c r="AQ430" s="167" t="s">
        <v>70</v>
      </c>
      <c r="AR430" s="166" t="s">
        <v>69</v>
      </c>
      <c r="AS430" s="167" t="s">
        <v>70</v>
      </c>
      <c r="AT430" s="167" t="s">
        <v>70</v>
      </c>
      <c r="AU430" s="167" t="s">
        <v>70</v>
      </c>
      <c r="AV430" s="167" t="s">
        <v>70</v>
      </c>
      <c r="AW430" s="167" t="s">
        <v>70</v>
      </c>
      <c r="AX430" s="167" t="s">
        <v>70</v>
      </c>
      <c r="AY430" s="167" t="s">
        <v>70</v>
      </c>
      <c r="AZ430" s="167" t="s">
        <v>70</v>
      </c>
      <c r="BA430" s="167" t="s">
        <v>70</v>
      </c>
      <c r="BB430" s="167" t="s">
        <v>70</v>
      </c>
      <c r="BC430" s="167" t="s">
        <v>70</v>
      </c>
      <c r="BD430" s="167" t="s">
        <v>70</v>
      </c>
      <c r="BE430" s="167" t="s">
        <v>70</v>
      </c>
      <c r="BF430" s="167" t="s">
        <v>70</v>
      </c>
      <c r="BG430" s="167" t="s">
        <v>70</v>
      </c>
      <c r="BH430" s="167" t="s">
        <v>70</v>
      </c>
      <c r="BI430" s="167" t="s">
        <v>70</v>
      </c>
      <c r="BJ430" s="167" t="s">
        <v>70</v>
      </c>
      <c r="BK430" s="167" t="s">
        <v>70</v>
      </c>
      <c r="BL430" s="167" t="s">
        <v>70</v>
      </c>
      <c r="BM430" s="167" t="s">
        <v>70</v>
      </c>
      <c r="BN430" s="167" t="s">
        <v>70</v>
      </c>
      <c r="BO430" s="167" t="s">
        <v>70</v>
      </c>
      <c r="BP430" s="167" t="s">
        <v>70</v>
      </c>
      <c r="BQ430" s="151" t="s">
        <v>256</v>
      </c>
    </row>
    <row r="431" spans="1:135" s="151" customFormat="1" ht="19.5" customHeight="1" x14ac:dyDescent="0.2">
      <c r="A431" s="117">
        <v>429</v>
      </c>
      <c r="B431" s="121" t="s">
        <v>401</v>
      </c>
      <c r="C431" s="122">
        <v>84088200</v>
      </c>
      <c r="D431" s="117" t="s">
        <v>212</v>
      </c>
      <c r="E431" s="117" t="s">
        <v>397</v>
      </c>
      <c r="F431" s="146" t="s">
        <v>256</v>
      </c>
      <c r="G431" s="124" t="s">
        <v>69</v>
      </c>
      <c r="H431" s="93">
        <v>46199</v>
      </c>
      <c r="I431" s="93">
        <v>46199</v>
      </c>
      <c r="J431" s="92">
        <f>IF(I431="", "", DATE(YEAR(I431)+3, MONTH(I431), DAY(I431)))</f>
        <v>47295</v>
      </c>
      <c r="K431" s="93">
        <v>46198</v>
      </c>
      <c r="L431" s="93">
        <v>46198</v>
      </c>
      <c r="M431" s="140">
        <f t="shared" si="32"/>
        <v>47294</v>
      </c>
      <c r="N431" s="190">
        <v>46195</v>
      </c>
      <c r="O431" s="93">
        <v>46196</v>
      </c>
      <c r="P431" s="93">
        <v>46197</v>
      </c>
      <c r="Q431" s="167" t="s">
        <v>70</v>
      </c>
      <c r="R431" s="167" t="s">
        <v>70</v>
      </c>
      <c r="S431" s="167" t="s">
        <v>70</v>
      </c>
      <c r="T431" s="167" t="s">
        <v>70</v>
      </c>
      <c r="U431" s="167" t="s">
        <v>70</v>
      </c>
      <c r="V431" s="167" t="s">
        <v>70</v>
      </c>
      <c r="W431" s="167" t="s">
        <v>70</v>
      </c>
      <c r="X431" s="167" t="s">
        <v>70</v>
      </c>
      <c r="Y431" s="167" t="s">
        <v>70</v>
      </c>
      <c r="Z431" s="167" t="s">
        <v>70</v>
      </c>
      <c r="AA431" s="167" t="s">
        <v>70</v>
      </c>
      <c r="AB431" s="167" t="s">
        <v>70</v>
      </c>
      <c r="AC431" s="167" t="s">
        <v>70</v>
      </c>
      <c r="AD431" s="167" t="s">
        <v>70</v>
      </c>
      <c r="AE431" s="167" t="s">
        <v>70</v>
      </c>
      <c r="AF431" s="167" t="s">
        <v>70</v>
      </c>
      <c r="AG431" s="167" t="s">
        <v>70</v>
      </c>
      <c r="AH431" s="167" t="s">
        <v>70</v>
      </c>
      <c r="AI431" s="181">
        <v>45813</v>
      </c>
      <c r="AJ431" s="166" t="s">
        <v>69</v>
      </c>
      <c r="AK431" s="167" t="s">
        <v>70</v>
      </c>
      <c r="AL431" s="167" t="s">
        <v>70</v>
      </c>
      <c r="AM431" s="167"/>
      <c r="AN431" s="167" t="s">
        <v>70</v>
      </c>
      <c r="AO431" s="167" t="s">
        <v>70</v>
      </c>
      <c r="AP431" s="167" t="s">
        <v>70</v>
      </c>
      <c r="AQ431" s="167" t="s">
        <v>70</v>
      </c>
      <c r="AR431" s="166" t="s">
        <v>69</v>
      </c>
      <c r="AS431" s="167" t="s">
        <v>70</v>
      </c>
      <c r="AT431" s="167" t="s">
        <v>70</v>
      </c>
      <c r="AU431" s="167" t="s">
        <v>70</v>
      </c>
      <c r="AV431" s="167" t="s">
        <v>70</v>
      </c>
      <c r="AW431" s="167" t="s">
        <v>70</v>
      </c>
      <c r="AX431" s="167" t="s">
        <v>70</v>
      </c>
      <c r="AY431" s="167" t="s">
        <v>70</v>
      </c>
      <c r="AZ431" s="167" t="s">
        <v>70</v>
      </c>
      <c r="BA431" s="167" t="s">
        <v>70</v>
      </c>
      <c r="BB431" s="167" t="s">
        <v>70</v>
      </c>
      <c r="BC431" s="167" t="s">
        <v>70</v>
      </c>
      <c r="BD431" s="167" t="s">
        <v>70</v>
      </c>
      <c r="BE431" s="167" t="s">
        <v>70</v>
      </c>
      <c r="BF431" s="167" t="s">
        <v>70</v>
      </c>
      <c r="BG431" s="167" t="s">
        <v>70</v>
      </c>
      <c r="BH431" s="167" t="s">
        <v>70</v>
      </c>
      <c r="BI431" s="167" t="s">
        <v>70</v>
      </c>
      <c r="BJ431" s="167" t="s">
        <v>70</v>
      </c>
      <c r="BK431" s="167" t="s">
        <v>70</v>
      </c>
      <c r="BL431" s="167" t="s">
        <v>70</v>
      </c>
      <c r="BM431" s="167" t="s">
        <v>70</v>
      </c>
      <c r="BN431" s="167" t="s">
        <v>70</v>
      </c>
      <c r="BO431" s="167" t="s">
        <v>70</v>
      </c>
      <c r="BP431" s="167" t="s">
        <v>70</v>
      </c>
      <c r="BQ431" s="151" t="s">
        <v>256</v>
      </c>
    </row>
    <row r="432" spans="1:135" s="151" customFormat="1" ht="19.5" customHeight="1" x14ac:dyDescent="0.2">
      <c r="A432" s="117">
        <v>430</v>
      </c>
      <c r="B432" s="121" t="s">
        <v>402</v>
      </c>
      <c r="C432" s="122">
        <v>83119865</v>
      </c>
      <c r="D432" s="117" t="s">
        <v>212</v>
      </c>
      <c r="E432" s="117" t="s">
        <v>397</v>
      </c>
      <c r="F432" s="146" t="s">
        <v>256</v>
      </c>
      <c r="G432" s="124" t="s">
        <v>69</v>
      </c>
      <c r="H432" s="93">
        <v>46199</v>
      </c>
      <c r="I432" s="93">
        <v>46199</v>
      </c>
      <c r="J432" s="92">
        <f>IF(I432="", "", DATE(YEAR(I432)+3, MONTH(I432), DAY(I432)))</f>
        <v>47295</v>
      </c>
      <c r="K432" s="93">
        <v>46198</v>
      </c>
      <c r="L432" s="93">
        <v>46198</v>
      </c>
      <c r="M432" s="140">
        <f t="shared" si="32"/>
        <v>47294</v>
      </c>
      <c r="N432" s="190">
        <v>46195</v>
      </c>
      <c r="O432" s="93">
        <v>46196</v>
      </c>
      <c r="P432" s="93">
        <v>46197</v>
      </c>
      <c r="Q432" s="167" t="s">
        <v>70</v>
      </c>
      <c r="R432" s="167" t="s">
        <v>70</v>
      </c>
      <c r="S432" s="167" t="s">
        <v>70</v>
      </c>
      <c r="T432" s="167" t="s">
        <v>70</v>
      </c>
      <c r="U432" s="167" t="s">
        <v>70</v>
      </c>
      <c r="V432" s="167" t="s">
        <v>70</v>
      </c>
      <c r="W432" s="167" t="s">
        <v>70</v>
      </c>
      <c r="X432" s="167" t="s">
        <v>70</v>
      </c>
      <c r="Y432" s="167" t="s">
        <v>70</v>
      </c>
      <c r="Z432" s="167" t="s">
        <v>70</v>
      </c>
      <c r="AA432" s="167" t="s">
        <v>70</v>
      </c>
      <c r="AB432" s="167" t="s">
        <v>70</v>
      </c>
      <c r="AC432" s="167" t="s">
        <v>70</v>
      </c>
      <c r="AD432" s="167" t="s">
        <v>70</v>
      </c>
      <c r="AE432" s="167" t="s">
        <v>70</v>
      </c>
      <c r="AF432" s="167" t="s">
        <v>70</v>
      </c>
      <c r="AG432" s="167" t="s">
        <v>70</v>
      </c>
      <c r="AH432" s="167" t="s">
        <v>70</v>
      </c>
      <c r="AI432" s="181">
        <v>45855</v>
      </c>
      <c r="AJ432" s="166" t="s">
        <v>69</v>
      </c>
      <c r="AK432" s="167" t="s">
        <v>70</v>
      </c>
      <c r="AL432" s="167" t="s">
        <v>70</v>
      </c>
      <c r="AM432" s="167"/>
      <c r="AN432" s="167" t="s">
        <v>70</v>
      </c>
      <c r="AO432" s="167" t="s">
        <v>70</v>
      </c>
      <c r="AP432" s="167" t="s">
        <v>70</v>
      </c>
      <c r="AQ432" s="167" t="s">
        <v>70</v>
      </c>
      <c r="AR432" s="166" t="s">
        <v>69</v>
      </c>
      <c r="AS432" s="167" t="s">
        <v>70</v>
      </c>
      <c r="AT432" s="167" t="s">
        <v>70</v>
      </c>
      <c r="AU432" s="167" t="s">
        <v>70</v>
      </c>
      <c r="AV432" s="167" t="s">
        <v>70</v>
      </c>
      <c r="AW432" s="167" t="s">
        <v>70</v>
      </c>
      <c r="AX432" s="167" t="s">
        <v>70</v>
      </c>
      <c r="AY432" s="167" t="s">
        <v>70</v>
      </c>
      <c r="AZ432" s="167" t="s">
        <v>70</v>
      </c>
      <c r="BA432" s="167" t="s">
        <v>70</v>
      </c>
      <c r="BB432" s="167" t="s">
        <v>70</v>
      </c>
      <c r="BC432" s="167" t="s">
        <v>70</v>
      </c>
      <c r="BD432" s="167" t="s">
        <v>70</v>
      </c>
      <c r="BE432" s="167" t="s">
        <v>70</v>
      </c>
      <c r="BF432" s="167" t="s">
        <v>70</v>
      </c>
      <c r="BG432" s="167" t="s">
        <v>70</v>
      </c>
      <c r="BH432" s="167" t="s">
        <v>70</v>
      </c>
      <c r="BI432" s="167" t="s">
        <v>70</v>
      </c>
      <c r="BJ432" s="167" t="s">
        <v>70</v>
      </c>
      <c r="BK432" s="167" t="s">
        <v>70</v>
      </c>
      <c r="BL432" s="167" t="s">
        <v>70</v>
      </c>
      <c r="BM432" s="167" t="s">
        <v>70</v>
      </c>
      <c r="BN432" s="167" t="s">
        <v>70</v>
      </c>
      <c r="BO432" s="167" t="s">
        <v>70</v>
      </c>
      <c r="BP432" s="167" t="s">
        <v>70</v>
      </c>
      <c r="BQ432" s="151" t="s">
        <v>256</v>
      </c>
    </row>
    <row r="433" spans="1:135" s="151" customFormat="1" ht="19.5" customHeight="1" x14ac:dyDescent="0.2">
      <c r="A433" s="117">
        <v>431</v>
      </c>
      <c r="B433" s="121" t="s">
        <v>403</v>
      </c>
      <c r="C433" s="122">
        <v>84124049</v>
      </c>
      <c r="D433" s="117" t="s">
        <v>212</v>
      </c>
      <c r="E433" s="117" t="s">
        <v>397</v>
      </c>
      <c r="F433" s="146" t="s">
        <v>256</v>
      </c>
      <c r="G433" s="124" t="s">
        <v>69</v>
      </c>
      <c r="H433" s="93">
        <v>46227</v>
      </c>
      <c r="I433" s="93">
        <v>46227</v>
      </c>
      <c r="J433" s="92">
        <f>IF(I433="", "", DATE(YEAR(I433)+3, MONTH(I433), DAY(L433)))</f>
        <v>47322</v>
      </c>
      <c r="K433" s="93">
        <v>46226</v>
      </c>
      <c r="L433" s="93">
        <v>46226</v>
      </c>
      <c r="M433" s="140">
        <f t="shared" si="32"/>
        <v>47322</v>
      </c>
      <c r="N433" s="93">
        <v>46223</v>
      </c>
      <c r="O433" s="93">
        <v>46224</v>
      </c>
      <c r="P433" s="93">
        <v>46225</v>
      </c>
      <c r="Q433" s="167" t="s">
        <v>70</v>
      </c>
      <c r="R433" s="167" t="s">
        <v>70</v>
      </c>
      <c r="S433" s="167" t="s">
        <v>70</v>
      </c>
      <c r="T433" s="167" t="s">
        <v>70</v>
      </c>
      <c r="U433" s="167" t="s">
        <v>70</v>
      </c>
      <c r="V433" s="167" t="s">
        <v>70</v>
      </c>
      <c r="W433" s="167" t="s">
        <v>70</v>
      </c>
      <c r="X433" s="167" t="s">
        <v>70</v>
      </c>
      <c r="Y433" s="167" t="s">
        <v>70</v>
      </c>
      <c r="Z433" s="167" t="s">
        <v>70</v>
      </c>
      <c r="AA433" s="167" t="s">
        <v>70</v>
      </c>
      <c r="AB433" s="167" t="s">
        <v>70</v>
      </c>
      <c r="AC433" s="167" t="s">
        <v>70</v>
      </c>
      <c r="AD433" s="167" t="s">
        <v>70</v>
      </c>
      <c r="AE433" s="167" t="s">
        <v>70</v>
      </c>
      <c r="AF433" s="167" t="s">
        <v>70</v>
      </c>
      <c r="AG433" s="167" t="s">
        <v>70</v>
      </c>
      <c r="AH433" s="167" t="s">
        <v>70</v>
      </c>
      <c r="AI433" s="181">
        <v>45883</v>
      </c>
      <c r="AJ433" s="166" t="s">
        <v>69</v>
      </c>
      <c r="AK433" s="167" t="s">
        <v>70</v>
      </c>
      <c r="AL433" s="167" t="s">
        <v>70</v>
      </c>
      <c r="AM433" s="167"/>
      <c r="AN433" s="167" t="s">
        <v>70</v>
      </c>
      <c r="AO433" s="167" t="s">
        <v>70</v>
      </c>
      <c r="AP433" s="167" t="s">
        <v>70</v>
      </c>
      <c r="AQ433" s="167" t="s">
        <v>70</v>
      </c>
      <c r="AR433" s="166" t="s">
        <v>69</v>
      </c>
      <c r="AS433" s="167" t="s">
        <v>70</v>
      </c>
      <c r="AT433" s="167" t="s">
        <v>70</v>
      </c>
      <c r="AU433" s="167" t="s">
        <v>70</v>
      </c>
      <c r="AV433" s="167" t="s">
        <v>70</v>
      </c>
      <c r="AW433" s="167" t="s">
        <v>70</v>
      </c>
      <c r="AX433" s="167" t="s">
        <v>70</v>
      </c>
      <c r="AY433" s="167" t="s">
        <v>70</v>
      </c>
      <c r="AZ433" s="167" t="s">
        <v>70</v>
      </c>
      <c r="BA433" s="167" t="s">
        <v>70</v>
      </c>
      <c r="BB433" s="167" t="s">
        <v>70</v>
      </c>
      <c r="BC433" s="167" t="s">
        <v>70</v>
      </c>
      <c r="BD433" s="167" t="s">
        <v>70</v>
      </c>
      <c r="BE433" s="167" t="s">
        <v>70</v>
      </c>
      <c r="BF433" s="167" t="s">
        <v>70</v>
      </c>
      <c r="BG433" s="167" t="s">
        <v>70</v>
      </c>
      <c r="BH433" s="167" t="s">
        <v>70</v>
      </c>
      <c r="BI433" s="167" t="s">
        <v>70</v>
      </c>
      <c r="BJ433" s="167" t="s">
        <v>70</v>
      </c>
      <c r="BK433" s="167" t="s">
        <v>70</v>
      </c>
      <c r="BL433" s="167" t="s">
        <v>70</v>
      </c>
      <c r="BM433" s="167" t="s">
        <v>70</v>
      </c>
      <c r="BN433" s="167" t="s">
        <v>70</v>
      </c>
      <c r="BO433" s="167" t="s">
        <v>70</v>
      </c>
      <c r="BP433" s="167" t="s">
        <v>70</v>
      </c>
      <c r="BQ433" s="151" t="s">
        <v>256</v>
      </c>
    </row>
    <row r="434" spans="1:135" s="151" customFormat="1" ht="19.5" customHeight="1" x14ac:dyDescent="0.2">
      <c r="A434" s="117">
        <v>432</v>
      </c>
      <c r="B434" s="121" t="s">
        <v>405</v>
      </c>
      <c r="C434" s="122">
        <v>133821</v>
      </c>
      <c r="D434" s="117" t="s">
        <v>212</v>
      </c>
      <c r="E434" s="117" t="s">
        <v>397</v>
      </c>
      <c r="F434" s="146" t="s">
        <v>256</v>
      </c>
      <c r="G434" s="124" t="s">
        <v>69</v>
      </c>
      <c r="H434" s="93">
        <v>42338</v>
      </c>
      <c r="I434" s="93">
        <v>45863</v>
      </c>
      <c r="J434" s="92">
        <f>IF(I434="", "", DATE(YEAR(I434)+3, MONTH(I434), DAY(L434)))</f>
        <v>46958</v>
      </c>
      <c r="K434" s="93">
        <v>42338</v>
      </c>
      <c r="L434" s="93">
        <v>45862</v>
      </c>
      <c r="M434" s="140">
        <f t="shared" si="32"/>
        <v>46958</v>
      </c>
      <c r="N434" s="93">
        <v>45859</v>
      </c>
      <c r="O434" s="93">
        <v>45860</v>
      </c>
      <c r="P434" s="93">
        <v>45861</v>
      </c>
      <c r="Q434" s="167" t="s">
        <v>70</v>
      </c>
      <c r="R434" s="167" t="s">
        <v>70</v>
      </c>
      <c r="S434" s="167" t="s">
        <v>70</v>
      </c>
      <c r="T434" s="167" t="s">
        <v>70</v>
      </c>
      <c r="U434" s="167" t="s">
        <v>70</v>
      </c>
      <c r="V434" s="167" t="s">
        <v>70</v>
      </c>
      <c r="W434" s="167" t="s">
        <v>70</v>
      </c>
      <c r="X434" s="167" t="s">
        <v>70</v>
      </c>
      <c r="Y434" s="167" t="s">
        <v>70</v>
      </c>
      <c r="Z434" s="167" t="s">
        <v>70</v>
      </c>
      <c r="AA434" s="167" t="s">
        <v>70</v>
      </c>
      <c r="AB434" s="167" t="s">
        <v>70</v>
      </c>
      <c r="AC434" s="167" t="s">
        <v>70</v>
      </c>
      <c r="AD434" s="167" t="s">
        <v>70</v>
      </c>
      <c r="AE434" s="167" t="s">
        <v>70</v>
      </c>
      <c r="AF434" s="167" t="s">
        <v>70</v>
      </c>
      <c r="AG434" s="167" t="s">
        <v>70</v>
      </c>
      <c r="AH434" s="167" t="s">
        <v>70</v>
      </c>
      <c r="AI434" s="111">
        <v>45827</v>
      </c>
      <c r="AJ434" s="166" t="s">
        <v>69</v>
      </c>
      <c r="AK434" s="167" t="s">
        <v>70</v>
      </c>
      <c r="AL434" s="167" t="s">
        <v>70</v>
      </c>
      <c r="AM434" s="167"/>
      <c r="AN434" s="167" t="s">
        <v>70</v>
      </c>
      <c r="AO434" s="167" t="s">
        <v>70</v>
      </c>
      <c r="AP434" s="167" t="s">
        <v>70</v>
      </c>
      <c r="AQ434" s="167" t="s">
        <v>70</v>
      </c>
      <c r="AR434" s="166" t="s">
        <v>69</v>
      </c>
      <c r="AS434" s="167" t="s">
        <v>70</v>
      </c>
      <c r="AT434" s="167" t="s">
        <v>70</v>
      </c>
      <c r="AU434" s="167" t="s">
        <v>70</v>
      </c>
      <c r="AV434" s="167" t="s">
        <v>70</v>
      </c>
      <c r="AW434" s="167" t="s">
        <v>70</v>
      </c>
      <c r="AX434" s="167" t="s">
        <v>70</v>
      </c>
      <c r="AY434" s="167" t="s">
        <v>70</v>
      </c>
      <c r="AZ434" s="167" t="s">
        <v>70</v>
      </c>
      <c r="BA434" s="167" t="s">
        <v>70</v>
      </c>
      <c r="BB434" s="167" t="s">
        <v>70</v>
      </c>
      <c r="BC434" s="167" t="s">
        <v>70</v>
      </c>
      <c r="BD434" s="167" t="s">
        <v>70</v>
      </c>
      <c r="BE434" s="167" t="s">
        <v>70</v>
      </c>
      <c r="BF434" s="167" t="s">
        <v>70</v>
      </c>
      <c r="BG434" s="167" t="s">
        <v>70</v>
      </c>
      <c r="BH434" s="167" t="s">
        <v>70</v>
      </c>
      <c r="BI434" s="167" t="s">
        <v>70</v>
      </c>
      <c r="BJ434" s="167" t="s">
        <v>70</v>
      </c>
      <c r="BK434" s="167" t="s">
        <v>70</v>
      </c>
      <c r="BL434" s="167" t="s">
        <v>70</v>
      </c>
      <c r="BM434" s="167" t="s">
        <v>70</v>
      </c>
      <c r="BN434" s="167" t="s">
        <v>70</v>
      </c>
      <c r="BO434" s="167" t="s">
        <v>70</v>
      </c>
      <c r="BP434" s="167" t="s">
        <v>70</v>
      </c>
      <c r="BQ434" s="151" t="s">
        <v>256</v>
      </c>
    </row>
    <row r="435" spans="1:135" s="151" customFormat="1" ht="19.5" customHeight="1" x14ac:dyDescent="0.2">
      <c r="A435" s="117">
        <v>433</v>
      </c>
      <c r="B435" s="121" t="s">
        <v>406</v>
      </c>
      <c r="C435" s="122">
        <v>83120875</v>
      </c>
      <c r="D435" s="117" t="s">
        <v>212</v>
      </c>
      <c r="E435" s="117" t="s">
        <v>397</v>
      </c>
      <c r="F435" s="146" t="s">
        <v>256</v>
      </c>
      <c r="G435" s="124" t="s">
        <v>69</v>
      </c>
      <c r="H435" s="93">
        <v>46282</v>
      </c>
      <c r="I435" s="93">
        <v>46282</v>
      </c>
      <c r="J435" s="92">
        <f t="shared" ref="J435:J442" si="33">IF(I435="", "", DATE(YEAR(I435)+3, MONTH(I435), DAY(I435)))</f>
        <v>47378</v>
      </c>
      <c r="K435" s="93">
        <v>46281</v>
      </c>
      <c r="L435" s="93">
        <v>46281</v>
      </c>
      <c r="M435" s="140">
        <f t="shared" si="32"/>
        <v>47377</v>
      </c>
      <c r="N435" s="93">
        <v>46279</v>
      </c>
      <c r="O435" s="93"/>
      <c r="P435" s="93">
        <v>46280</v>
      </c>
      <c r="Q435" s="167" t="s">
        <v>70</v>
      </c>
      <c r="R435" s="167" t="s">
        <v>70</v>
      </c>
      <c r="S435" s="167" t="s">
        <v>70</v>
      </c>
      <c r="T435" s="167" t="s">
        <v>70</v>
      </c>
      <c r="U435" s="167" t="s">
        <v>70</v>
      </c>
      <c r="V435" s="167" t="s">
        <v>70</v>
      </c>
      <c r="W435" s="167" t="s">
        <v>70</v>
      </c>
      <c r="X435" s="167" t="s">
        <v>70</v>
      </c>
      <c r="Y435" s="167" t="s">
        <v>70</v>
      </c>
      <c r="Z435" s="167" t="s">
        <v>70</v>
      </c>
      <c r="AA435" s="167" t="s">
        <v>70</v>
      </c>
      <c r="AB435" s="167" t="s">
        <v>70</v>
      </c>
      <c r="AC435" s="167" t="s">
        <v>70</v>
      </c>
      <c r="AD435" s="167" t="s">
        <v>70</v>
      </c>
      <c r="AE435" s="167" t="s">
        <v>70</v>
      </c>
      <c r="AF435" s="167" t="s">
        <v>70</v>
      </c>
      <c r="AG435" s="167" t="s">
        <v>70</v>
      </c>
      <c r="AH435" s="167" t="s">
        <v>70</v>
      </c>
      <c r="AI435" s="181">
        <v>45883</v>
      </c>
      <c r="AJ435" s="166" t="s">
        <v>69</v>
      </c>
      <c r="AK435" s="167" t="s">
        <v>70</v>
      </c>
      <c r="AL435" s="167" t="s">
        <v>70</v>
      </c>
      <c r="AM435" s="167"/>
      <c r="AN435" s="167" t="s">
        <v>70</v>
      </c>
      <c r="AO435" s="167" t="s">
        <v>70</v>
      </c>
      <c r="AP435" s="167" t="s">
        <v>70</v>
      </c>
      <c r="AQ435" s="167" t="s">
        <v>70</v>
      </c>
      <c r="AR435" s="166" t="s">
        <v>69</v>
      </c>
      <c r="AS435" s="167" t="s">
        <v>70</v>
      </c>
      <c r="AT435" s="167" t="s">
        <v>70</v>
      </c>
      <c r="AU435" s="167" t="s">
        <v>70</v>
      </c>
      <c r="AV435" s="167" t="s">
        <v>70</v>
      </c>
      <c r="AW435" s="167" t="s">
        <v>70</v>
      </c>
      <c r="AX435" s="167" t="s">
        <v>70</v>
      </c>
      <c r="AY435" s="167" t="s">
        <v>70</v>
      </c>
      <c r="AZ435" s="167" t="s">
        <v>70</v>
      </c>
      <c r="BA435" s="167" t="s">
        <v>70</v>
      </c>
      <c r="BB435" s="167" t="s">
        <v>70</v>
      </c>
      <c r="BC435" s="167" t="s">
        <v>70</v>
      </c>
      <c r="BD435" s="167" t="s">
        <v>70</v>
      </c>
      <c r="BE435" s="167" t="s">
        <v>70</v>
      </c>
      <c r="BF435" s="167" t="s">
        <v>70</v>
      </c>
      <c r="BG435" s="167" t="s">
        <v>70</v>
      </c>
      <c r="BH435" s="167" t="s">
        <v>70</v>
      </c>
      <c r="BI435" s="167" t="s">
        <v>70</v>
      </c>
      <c r="BJ435" s="167" t="s">
        <v>70</v>
      </c>
      <c r="BK435" s="167" t="s">
        <v>70</v>
      </c>
      <c r="BL435" s="167" t="s">
        <v>70</v>
      </c>
      <c r="BM435" s="167" t="s">
        <v>70</v>
      </c>
      <c r="BN435" s="167" t="s">
        <v>70</v>
      </c>
      <c r="BO435" s="167" t="s">
        <v>70</v>
      </c>
      <c r="BP435" s="167" t="s">
        <v>70</v>
      </c>
      <c r="BQ435" s="151" t="s">
        <v>256</v>
      </c>
    </row>
    <row r="436" spans="1:135" s="151" customFormat="1" ht="19.5" customHeight="1" x14ac:dyDescent="0.2">
      <c r="A436" s="117">
        <v>434</v>
      </c>
      <c r="B436" s="121" t="s">
        <v>407</v>
      </c>
      <c r="C436" s="122">
        <v>84088206</v>
      </c>
      <c r="D436" s="117" t="s">
        <v>212</v>
      </c>
      <c r="E436" s="117" t="s">
        <v>397</v>
      </c>
      <c r="F436" s="146" t="s">
        <v>256</v>
      </c>
      <c r="G436" s="124" t="s">
        <v>69</v>
      </c>
      <c r="H436" s="93">
        <v>46248</v>
      </c>
      <c r="I436" s="93">
        <v>46248</v>
      </c>
      <c r="J436" s="92">
        <f t="shared" si="33"/>
        <v>47344</v>
      </c>
      <c r="K436" s="93">
        <v>46247</v>
      </c>
      <c r="L436" s="93">
        <v>46247</v>
      </c>
      <c r="M436" s="140">
        <f t="shared" si="32"/>
        <v>47343</v>
      </c>
      <c r="N436" s="93">
        <v>46245</v>
      </c>
      <c r="O436" s="93">
        <v>46258</v>
      </c>
      <c r="P436" s="93">
        <v>46246</v>
      </c>
      <c r="Q436" s="167" t="s">
        <v>70</v>
      </c>
      <c r="R436" s="167" t="s">
        <v>70</v>
      </c>
      <c r="S436" s="167" t="s">
        <v>70</v>
      </c>
      <c r="T436" s="167" t="s">
        <v>70</v>
      </c>
      <c r="U436" s="167" t="s">
        <v>70</v>
      </c>
      <c r="V436" s="167" t="s">
        <v>70</v>
      </c>
      <c r="W436" s="167" t="s">
        <v>70</v>
      </c>
      <c r="X436" s="167" t="s">
        <v>70</v>
      </c>
      <c r="Y436" s="167" t="s">
        <v>70</v>
      </c>
      <c r="Z436" s="167" t="s">
        <v>70</v>
      </c>
      <c r="AA436" s="167" t="s">
        <v>70</v>
      </c>
      <c r="AB436" s="167" t="s">
        <v>70</v>
      </c>
      <c r="AC436" s="167" t="s">
        <v>70</v>
      </c>
      <c r="AD436" s="167" t="s">
        <v>70</v>
      </c>
      <c r="AE436" s="167" t="s">
        <v>70</v>
      </c>
      <c r="AF436" s="167" t="s">
        <v>70</v>
      </c>
      <c r="AG436" s="167" t="s">
        <v>70</v>
      </c>
      <c r="AH436" s="167" t="s">
        <v>70</v>
      </c>
      <c r="AI436" s="181">
        <v>45813</v>
      </c>
      <c r="AJ436" s="166" t="s">
        <v>69</v>
      </c>
      <c r="AK436" s="167" t="s">
        <v>70</v>
      </c>
      <c r="AL436" s="167" t="s">
        <v>70</v>
      </c>
      <c r="AM436" s="167"/>
      <c r="AN436" s="167" t="s">
        <v>70</v>
      </c>
      <c r="AO436" s="167" t="s">
        <v>70</v>
      </c>
      <c r="AP436" s="167" t="s">
        <v>70</v>
      </c>
      <c r="AQ436" s="167" t="s">
        <v>70</v>
      </c>
      <c r="AR436" s="166" t="s">
        <v>69</v>
      </c>
      <c r="AS436" s="167" t="s">
        <v>70</v>
      </c>
      <c r="AT436" s="167" t="s">
        <v>70</v>
      </c>
      <c r="AU436" s="167" t="s">
        <v>70</v>
      </c>
      <c r="AV436" s="167" t="s">
        <v>70</v>
      </c>
      <c r="AW436" s="167" t="s">
        <v>70</v>
      </c>
      <c r="AX436" s="167" t="s">
        <v>70</v>
      </c>
      <c r="AY436" s="167" t="s">
        <v>70</v>
      </c>
      <c r="AZ436" s="167" t="s">
        <v>70</v>
      </c>
      <c r="BA436" s="167" t="s">
        <v>70</v>
      </c>
      <c r="BB436" s="167" t="s">
        <v>70</v>
      </c>
      <c r="BC436" s="167" t="s">
        <v>70</v>
      </c>
      <c r="BD436" s="167" t="s">
        <v>70</v>
      </c>
      <c r="BE436" s="167" t="s">
        <v>70</v>
      </c>
      <c r="BF436" s="167" t="s">
        <v>70</v>
      </c>
      <c r="BG436" s="167" t="s">
        <v>70</v>
      </c>
      <c r="BH436" s="167" t="s">
        <v>70</v>
      </c>
      <c r="BI436" s="167" t="s">
        <v>70</v>
      </c>
      <c r="BJ436" s="167" t="s">
        <v>70</v>
      </c>
      <c r="BK436" s="167" t="s">
        <v>70</v>
      </c>
      <c r="BL436" s="167" t="s">
        <v>70</v>
      </c>
      <c r="BM436" s="167" t="s">
        <v>70</v>
      </c>
      <c r="BN436" s="167" t="s">
        <v>70</v>
      </c>
      <c r="BO436" s="167" t="s">
        <v>70</v>
      </c>
      <c r="BP436" s="167" t="s">
        <v>70</v>
      </c>
      <c r="BQ436" s="151" t="s">
        <v>256</v>
      </c>
    </row>
    <row r="437" spans="1:135" s="151" customFormat="1" ht="19.5" customHeight="1" x14ac:dyDescent="0.2">
      <c r="A437" s="117">
        <v>435</v>
      </c>
      <c r="B437" s="121" t="s">
        <v>408</v>
      </c>
      <c r="C437" s="122">
        <v>83104215</v>
      </c>
      <c r="D437" s="117" t="s">
        <v>212</v>
      </c>
      <c r="E437" s="117" t="s">
        <v>397</v>
      </c>
      <c r="F437" s="146" t="s">
        <v>256</v>
      </c>
      <c r="G437" s="124" t="s">
        <v>69</v>
      </c>
      <c r="H437" s="93">
        <v>46248</v>
      </c>
      <c r="I437" s="93">
        <v>46248</v>
      </c>
      <c r="J437" s="92">
        <f t="shared" si="33"/>
        <v>47344</v>
      </c>
      <c r="K437" s="93">
        <v>46247</v>
      </c>
      <c r="L437" s="93">
        <v>46247</v>
      </c>
      <c r="M437" s="140">
        <f t="shared" si="32"/>
        <v>47343</v>
      </c>
      <c r="N437" s="93">
        <v>46245</v>
      </c>
      <c r="O437" s="93">
        <v>46258</v>
      </c>
      <c r="P437" s="93">
        <v>46246</v>
      </c>
      <c r="Q437" s="167" t="s">
        <v>70</v>
      </c>
      <c r="R437" s="167" t="s">
        <v>70</v>
      </c>
      <c r="S437" s="167" t="s">
        <v>70</v>
      </c>
      <c r="T437" s="167" t="s">
        <v>70</v>
      </c>
      <c r="U437" s="167" t="s">
        <v>70</v>
      </c>
      <c r="V437" s="167" t="s">
        <v>70</v>
      </c>
      <c r="W437" s="167" t="s">
        <v>70</v>
      </c>
      <c r="X437" s="167" t="s">
        <v>70</v>
      </c>
      <c r="Y437" s="167" t="s">
        <v>70</v>
      </c>
      <c r="Z437" s="167" t="s">
        <v>70</v>
      </c>
      <c r="AA437" s="167" t="s">
        <v>70</v>
      </c>
      <c r="AB437" s="167" t="s">
        <v>70</v>
      </c>
      <c r="AC437" s="167" t="s">
        <v>70</v>
      </c>
      <c r="AD437" s="167" t="s">
        <v>70</v>
      </c>
      <c r="AE437" s="167" t="s">
        <v>70</v>
      </c>
      <c r="AF437" s="167" t="s">
        <v>70</v>
      </c>
      <c r="AG437" s="167" t="s">
        <v>70</v>
      </c>
      <c r="AH437" s="167" t="s">
        <v>70</v>
      </c>
      <c r="AI437" s="111">
        <v>45722</v>
      </c>
      <c r="AJ437" s="166" t="s">
        <v>69</v>
      </c>
      <c r="AK437" s="167" t="s">
        <v>70</v>
      </c>
      <c r="AL437" s="167" t="s">
        <v>70</v>
      </c>
      <c r="AM437" s="167"/>
      <c r="AN437" s="167" t="s">
        <v>70</v>
      </c>
      <c r="AO437" s="167" t="s">
        <v>70</v>
      </c>
      <c r="AP437" s="167" t="s">
        <v>70</v>
      </c>
      <c r="AQ437" s="167" t="s">
        <v>70</v>
      </c>
      <c r="AR437" s="166" t="s">
        <v>69</v>
      </c>
      <c r="AS437" s="167" t="s">
        <v>70</v>
      </c>
      <c r="AT437" s="167" t="s">
        <v>70</v>
      </c>
      <c r="AU437" s="167" t="s">
        <v>70</v>
      </c>
      <c r="AV437" s="167" t="s">
        <v>70</v>
      </c>
      <c r="AW437" s="167" t="s">
        <v>70</v>
      </c>
      <c r="AX437" s="167" t="s">
        <v>70</v>
      </c>
      <c r="AY437" s="167" t="s">
        <v>70</v>
      </c>
      <c r="AZ437" s="167" t="s">
        <v>70</v>
      </c>
      <c r="BA437" s="167" t="s">
        <v>70</v>
      </c>
      <c r="BB437" s="167" t="s">
        <v>70</v>
      </c>
      <c r="BC437" s="167" t="s">
        <v>70</v>
      </c>
      <c r="BD437" s="167" t="s">
        <v>70</v>
      </c>
      <c r="BE437" s="167" t="s">
        <v>70</v>
      </c>
      <c r="BF437" s="167" t="s">
        <v>70</v>
      </c>
      <c r="BG437" s="167" t="s">
        <v>70</v>
      </c>
      <c r="BH437" s="167" t="s">
        <v>70</v>
      </c>
      <c r="BI437" s="167" t="s">
        <v>70</v>
      </c>
      <c r="BJ437" s="167" t="s">
        <v>70</v>
      </c>
      <c r="BK437" s="167" t="s">
        <v>70</v>
      </c>
      <c r="BL437" s="167" t="s">
        <v>70</v>
      </c>
      <c r="BM437" s="167" t="s">
        <v>70</v>
      </c>
      <c r="BN437" s="167" t="s">
        <v>70</v>
      </c>
      <c r="BO437" s="167" t="s">
        <v>70</v>
      </c>
      <c r="BP437" s="167" t="s">
        <v>70</v>
      </c>
      <c r="BQ437" s="151" t="s">
        <v>256</v>
      </c>
    </row>
    <row r="438" spans="1:135" s="151" customFormat="1" ht="19.5" customHeight="1" x14ac:dyDescent="0.2">
      <c r="A438" s="117">
        <v>436</v>
      </c>
      <c r="B438" s="121" t="s">
        <v>409</v>
      </c>
      <c r="C438" s="122">
        <v>183521</v>
      </c>
      <c r="D438" s="117" t="s">
        <v>212</v>
      </c>
      <c r="E438" s="117" t="s">
        <v>397</v>
      </c>
      <c r="F438" s="146" t="s">
        <v>256</v>
      </c>
      <c r="G438" s="124" t="s">
        <v>69</v>
      </c>
      <c r="H438" s="93">
        <v>46248</v>
      </c>
      <c r="I438" s="93">
        <v>46248</v>
      </c>
      <c r="J438" s="92">
        <f t="shared" si="33"/>
        <v>47344</v>
      </c>
      <c r="K438" s="93">
        <v>46247</v>
      </c>
      <c r="L438" s="93">
        <v>46247</v>
      </c>
      <c r="M438" s="140">
        <f t="shared" si="32"/>
        <v>47343</v>
      </c>
      <c r="N438" s="93">
        <v>46245</v>
      </c>
      <c r="O438" s="93">
        <v>46258</v>
      </c>
      <c r="P438" s="93">
        <v>46246</v>
      </c>
      <c r="Q438" s="167" t="s">
        <v>70</v>
      </c>
      <c r="R438" s="167" t="s">
        <v>70</v>
      </c>
      <c r="S438" s="167" t="s">
        <v>70</v>
      </c>
      <c r="T438" s="167" t="s">
        <v>70</v>
      </c>
      <c r="U438" s="167" t="s">
        <v>70</v>
      </c>
      <c r="V438" s="167" t="s">
        <v>70</v>
      </c>
      <c r="W438" s="167" t="s">
        <v>70</v>
      </c>
      <c r="X438" s="167" t="s">
        <v>70</v>
      </c>
      <c r="Y438" s="167" t="s">
        <v>70</v>
      </c>
      <c r="Z438" s="167" t="s">
        <v>70</v>
      </c>
      <c r="AA438" s="167" t="s">
        <v>70</v>
      </c>
      <c r="AB438" s="167" t="s">
        <v>70</v>
      </c>
      <c r="AC438" s="167" t="s">
        <v>70</v>
      </c>
      <c r="AD438" s="167" t="s">
        <v>70</v>
      </c>
      <c r="AE438" s="167" t="s">
        <v>70</v>
      </c>
      <c r="AF438" s="167" t="s">
        <v>70</v>
      </c>
      <c r="AG438" s="167" t="s">
        <v>70</v>
      </c>
      <c r="AH438" s="167" t="s">
        <v>70</v>
      </c>
      <c r="AI438" s="111">
        <v>45912</v>
      </c>
      <c r="AJ438" s="166" t="s">
        <v>69</v>
      </c>
      <c r="AK438" s="167" t="s">
        <v>70</v>
      </c>
      <c r="AL438" s="167" t="s">
        <v>70</v>
      </c>
      <c r="AM438" s="167"/>
      <c r="AN438" s="167" t="s">
        <v>70</v>
      </c>
      <c r="AO438" s="167" t="s">
        <v>70</v>
      </c>
      <c r="AP438" s="167" t="s">
        <v>70</v>
      </c>
      <c r="AQ438" s="167" t="s">
        <v>70</v>
      </c>
      <c r="AR438" s="166" t="s">
        <v>69</v>
      </c>
      <c r="AS438" s="167" t="s">
        <v>70</v>
      </c>
      <c r="AT438" s="167" t="s">
        <v>70</v>
      </c>
      <c r="AU438" s="167" t="s">
        <v>70</v>
      </c>
      <c r="AV438" s="167" t="s">
        <v>70</v>
      </c>
      <c r="AW438" s="167" t="s">
        <v>70</v>
      </c>
      <c r="AX438" s="167" t="s">
        <v>70</v>
      </c>
      <c r="AY438" s="167" t="s">
        <v>70</v>
      </c>
      <c r="AZ438" s="167" t="s">
        <v>70</v>
      </c>
      <c r="BA438" s="167" t="s">
        <v>70</v>
      </c>
      <c r="BB438" s="167" t="s">
        <v>70</v>
      </c>
      <c r="BC438" s="167" t="s">
        <v>70</v>
      </c>
      <c r="BD438" s="167" t="s">
        <v>70</v>
      </c>
      <c r="BE438" s="167" t="s">
        <v>70</v>
      </c>
      <c r="BF438" s="167" t="s">
        <v>70</v>
      </c>
      <c r="BG438" s="167" t="s">
        <v>70</v>
      </c>
      <c r="BH438" s="167" t="s">
        <v>70</v>
      </c>
      <c r="BI438" s="167" t="s">
        <v>70</v>
      </c>
      <c r="BJ438" s="167" t="s">
        <v>70</v>
      </c>
      <c r="BK438" s="167" t="s">
        <v>70</v>
      </c>
      <c r="BL438" s="167" t="s">
        <v>70</v>
      </c>
      <c r="BM438" s="167" t="s">
        <v>70</v>
      </c>
      <c r="BN438" s="167" t="s">
        <v>70</v>
      </c>
      <c r="BO438" s="167" t="s">
        <v>70</v>
      </c>
      <c r="BP438" s="167" t="s">
        <v>70</v>
      </c>
      <c r="BQ438" s="151" t="s">
        <v>256</v>
      </c>
    </row>
    <row r="439" spans="1:135" s="151" customFormat="1" ht="19.5" customHeight="1" x14ac:dyDescent="0.2">
      <c r="A439" s="117">
        <v>437</v>
      </c>
      <c r="B439" s="121" t="s">
        <v>410</v>
      </c>
      <c r="C439" s="230">
        <v>84099267</v>
      </c>
      <c r="D439" s="117" t="s">
        <v>212</v>
      </c>
      <c r="E439" s="117" t="s">
        <v>397</v>
      </c>
      <c r="F439" s="146" t="s">
        <v>256</v>
      </c>
      <c r="G439" s="124" t="s">
        <v>69</v>
      </c>
      <c r="H439" s="93">
        <v>46282</v>
      </c>
      <c r="I439" s="93">
        <v>46282</v>
      </c>
      <c r="J439" s="92">
        <f t="shared" si="33"/>
        <v>47378</v>
      </c>
      <c r="K439" s="93">
        <v>46281</v>
      </c>
      <c r="L439" s="93">
        <v>46281</v>
      </c>
      <c r="M439" s="140">
        <f t="shared" si="32"/>
        <v>47377</v>
      </c>
      <c r="N439" s="93">
        <v>46279</v>
      </c>
      <c r="O439" s="93">
        <v>46286</v>
      </c>
      <c r="P439" s="93">
        <v>46280</v>
      </c>
      <c r="Q439" s="167" t="s">
        <v>70</v>
      </c>
      <c r="R439" s="167" t="s">
        <v>70</v>
      </c>
      <c r="S439" s="167" t="s">
        <v>70</v>
      </c>
      <c r="T439" s="167" t="s">
        <v>70</v>
      </c>
      <c r="U439" s="167" t="s">
        <v>70</v>
      </c>
      <c r="V439" s="167" t="s">
        <v>70</v>
      </c>
      <c r="W439" s="167" t="s">
        <v>70</v>
      </c>
      <c r="X439" s="167" t="s">
        <v>70</v>
      </c>
      <c r="Y439" s="167" t="s">
        <v>70</v>
      </c>
      <c r="Z439" s="167" t="s">
        <v>70</v>
      </c>
      <c r="AA439" s="167" t="s">
        <v>70</v>
      </c>
      <c r="AB439" s="167" t="s">
        <v>70</v>
      </c>
      <c r="AC439" s="167" t="s">
        <v>70</v>
      </c>
      <c r="AD439" s="167" t="s">
        <v>70</v>
      </c>
      <c r="AE439" s="167" t="s">
        <v>70</v>
      </c>
      <c r="AF439" s="167" t="s">
        <v>70</v>
      </c>
      <c r="AG439" s="167" t="s">
        <v>70</v>
      </c>
      <c r="AH439" s="167" t="s">
        <v>70</v>
      </c>
      <c r="AI439" s="186">
        <v>45869</v>
      </c>
      <c r="AJ439" s="166" t="s">
        <v>69</v>
      </c>
      <c r="AK439" s="167" t="s">
        <v>70</v>
      </c>
      <c r="AL439" s="167" t="s">
        <v>70</v>
      </c>
      <c r="AM439" s="167"/>
      <c r="AN439" s="167" t="s">
        <v>70</v>
      </c>
      <c r="AO439" s="167" t="s">
        <v>70</v>
      </c>
      <c r="AP439" s="167" t="s">
        <v>70</v>
      </c>
      <c r="AQ439" s="167" t="s">
        <v>70</v>
      </c>
      <c r="AR439" s="166" t="s">
        <v>69</v>
      </c>
      <c r="AS439" s="167" t="s">
        <v>70</v>
      </c>
      <c r="AT439" s="167" t="s">
        <v>70</v>
      </c>
      <c r="AU439" s="167" t="s">
        <v>70</v>
      </c>
      <c r="AV439" s="167" t="s">
        <v>70</v>
      </c>
      <c r="AW439" s="167" t="s">
        <v>70</v>
      </c>
      <c r="AX439" s="167" t="s">
        <v>70</v>
      </c>
      <c r="AY439" s="167" t="s">
        <v>70</v>
      </c>
      <c r="AZ439" s="167" t="s">
        <v>70</v>
      </c>
      <c r="BA439" s="167" t="s">
        <v>70</v>
      </c>
      <c r="BB439" s="167" t="s">
        <v>70</v>
      </c>
      <c r="BC439" s="167" t="s">
        <v>70</v>
      </c>
      <c r="BD439" s="167" t="s">
        <v>70</v>
      </c>
      <c r="BE439" s="167" t="s">
        <v>70</v>
      </c>
      <c r="BF439" s="167" t="s">
        <v>70</v>
      </c>
      <c r="BG439" s="167" t="s">
        <v>70</v>
      </c>
      <c r="BH439" s="167" t="s">
        <v>70</v>
      </c>
      <c r="BI439" s="167" t="s">
        <v>70</v>
      </c>
      <c r="BJ439" s="167" t="s">
        <v>70</v>
      </c>
      <c r="BK439" s="167" t="s">
        <v>70</v>
      </c>
      <c r="BL439" s="167" t="s">
        <v>70</v>
      </c>
      <c r="BM439" s="167" t="s">
        <v>70</v>
      </c>
      <c r="BN439" s="167" t="s">
        <v>70</v>
      </c>
      <c r="BO439" s="167" t="s">
        <v>70</v>
      </c>
      <c r="BP439" s="167" t="s">
        <v>70</v>
      </c>
      <c r="BQ439" s="151" t="s">
        <v>256</v>
      </c>
    </row>
    <row r="440" spans="1:135" s="151" customFormat="1" ht="19.5" customHeight="1" x14ac:dyDescent="0.2">
      <c r="A440" s="117">
        <v>438</v>
      </c>
      <c r="B440" s="121" t="s">
        <v>412</v>
      </c>
      <c r="C440" s="122">
        <v>150161</v>
      </c>
      <c r="D440" s="117" t="s">
        <v>212</v>
      </c>
      <c r="E440" s="117" t="s">
        <v>397</v>
      </c>
      <c r="F440" s="146" t="s">
        <v>256</v>
      </c>
      <c r="G440" s="124" t="s">
        <v>69</v>
      </c>
      <c r="H440" s="93">
        <v>46282</v>
      </c>
      <c r="I440" s="93">
        <v>46282</v>
      </c>
      <c r="J440" s="92">
        <f t="shared" si="33"/>
        <v>47378</v>
      </c>
      <c r="K440" s="93">
        <v>46281</v>
      </c>
      <c r="L440" s="93">
        <v>46281</v>
      </c>
      <c r="M440" s="140">
        <f t="shared" si="32"/>
        <v>47377</v>
      </c>
      <c r="N440" s="93">
        <v>46279</v>
      </c>
      <c r="O440" s="93">
        <v>46286</v>
      </c>
      <c r="P440" s="93">
        <v>46281</v>
      </c>
      <c r="Q440" s="167" t="s">
        <v>70</v>
      </c>
      <c r="R440" s="167" t="s">
        <v>70</v>
      </c>
      <c r="S440" s="167" t="s">
        <v>70</v>
      </c>
      <c r="T440" s="167" t="s">
        <v>70</v>
      </c>
      <c r="U440" s="167" t="s">
        <v>70</v>
      </c>
      <c r="V440" s="167" t="s">
        <v>70</v>
      </c>
      <c r="W440" s="167" t="s">
        <v>70</v>
      </c>
      <c r="X440" s="167" t="s">
        <v>70</v>
      </c>
      <c r="Y440" s="167" t="s">
        <v>70</v>
      </c>
      <c r="Z440" s="167" t="s">
        <v>70</v>
      </c>
      <c r="AA440" s="167" t="s">
        <v>70</v>
      </c>
      <c r="AB440" s="167" t="s">
        <v>70</v>
      </c>
      <c r="AC440" s="167" t="s">
        <v>70</v>
      </c>
      <c r="AD440" s="167" t="s">
        <v>70</v>
      </c>
      <c r="AE440" s="167" t="s">
        <v>70</v>
      </c>
      <c r="AF440" s="167" t="s">
        <v>70</v>
      </c>
      <c r="AG440" s="167" t="s">
        <v>70</v>
      </c>
      <c r="AH440" s="167" t="s">
        <v>70</v>
      </c>
      <c r="AI440" s="186">
        <v>45715</v>
      </c>
      <c r="AJ440" s="166" t="s">
        <v>69</v>
      </c>
      <c r="AK440" s="167" t="s">
        <v>70</v>
      </c>
      <c r="AL440" s="167" t="s">
        <v>70</v>
      </c>
      <c r="AM440" s="167"/>
      <c r="AN440" s="167" t="s">
        <v>70</v>
      </c>
      <c r="AO440" s="167" t="s">
        <v>70</v>
      </c>
      <c r="AP440" s="167" t="s">
        <v>70</v>
      </c>
      <c r="AQ440" s="167" t="s">
        <v>70</v>
      </c>
      <c r="AR440" s="166" t="s">
        <v>69</v>
      </c>
      <c r="AS440" s="167" t="s">
        <v>70</v>
      </c>
      <c r="AT440" s="167" t="s">
        <v>70</v>
      </c>
      <c r="AU440" s="167" t="s">
        <v>70</v>
      </c>
      <c r="AV440" s="167" t="s">
        <v>70</v>
      </c>
      <c r="AW440" s="167" t="s">
        <v>70</v>
      </c>
      <c r="AX440" s="167" t="s">
        <v>70</v>
      </c>
      <c r="AY440" s="167" t="s">
        <v>70</v>
      </c>
      <c r="AZ440" s="167" t="s">
        <v>70</v>
      </c>
      <c r="BA440" s="167" t="s">
        <v>70</v>
      </c>
      <c r="BB440" s="167" t="s">
        <v>70</v>
      </c>
      <c r="BC440" s="167" t="s">
        <v>70</v>
      </c>
      <c r="BD440" s="167" t="s">
        <v>70</v>
      </c>
      <c r="BE440" s="167" t="s">
        <v>70</v>
      </c>
      <c r="BF440" s="167" t="s">
        <v>70</v>
      </c>
      <c r="BG440" s="167" t="s">
        <v>70</v>
      </c>
      <c r="BH440" s="167" t="s">
        <v>70</v>
      </c>
      <c r="BI440" s="167" t="s">
        <v>70</v>
      </c>
      <c r="BJ440" s="167" t="s">
        <v>70</v>
      </c>
      <c r="BK440" s="167" t="s">
        <v>70</v>
      </c>
      <c r="BL440" s="167" t="s">
        <v>70</v>
      </c>
      <c r="BM440" s="167" t="s">
        <v>70</v>
      </c>
      <c r="BN440" s="167" t="s">
        <v>70</v>
      </c>
      <c r="BO440" s="167" t="s">
        <v>70</v>
      </c>
      <c r="BP440" s="167" t="s">
        <v>70</v>
      </c>
      <c r="BQ440" s="151" t="s">
        <v>256</v>
      </c>
    </row>
    <row r="441" spans="1:135" s="151" customFormat="1" ht="19.5" customHeight="1" x14ac:dyDescent="0.2">
      <c r="A441" s="117">
        <v>439</v>
      </c>
      <c r="B441" s="117" t="s">
        <v>669</v>
      </c>
      <c r="C441" s="117">
        <v>142426</v>
      </c>
      <c r="D441" s="117" t="s">
        <v>212</v>
      </c>
      <c r="E441" s="117" t="s">
        <v>397</v>
      </c>
      <c r="F441" s="146" t="s">
        <v>256</v>
      </c>
      <c r="G441" s="124" t="s">
        <v>69</v>
      </c>
      <c r="H441" s="89">
        <v>42478</v>
      </c>
      <c r="I441" s="140">
        <v>46080</v>
      </c>
      <c r="J441" s="162">
        <f t="shared" si="33"/>
        <v>47176</v>
      </c>
      <c r="K441" s="89">
        <v>42478</v>
      </c>
      <c r="L441" s="111">
        <v>46079</v>
      </c>
      <c r="M441" s="163">
        <f t="shared" si="32"/>
        <v>47175</v>
      </c>
      <c r="N441" s="89">
        <v>46076</v>
      </c>
      <c r="O441" s="89">
        <v>46077</v>
      </c>
      <c r="P441" s="89">
        <v>46078</v>
      </c>
      <c r="Q441" s="167" t="s">
        <v>70</v>
      </c>
      <c r="R441" s="167" t="s">
        <v>70</v>
      </c>
      <c r="S441" s="167" t="s">
        <v>70</v>
      </c>
      <c r="T441" s="167" t="s">
        <v>70</v>
      </c>
      <c r="U441" s="167" t="s">
        <v>70</v>
      </c>
      <c r="V441" s="167" t="s">
        <v>70</v>
      </c>
      <c r="W441" s="167" t="s">
        <v>70</v>
      </c>
      <c r="X441" s="167" t="s">
        <v>70</v>
      </c>
      <c r="Y441" s="167" t="s">
        <v>70</v>
      </c>
      <c r="Z441" s="167" t="s">
        <v>70</v>
      </c>
      <c r="AA441" s="167" t="s">
        <v>70</v>
      </c>
      <c r="AB441" s="167" t="s">
        <v>70</v>
      </c>
      <c r="AC441" s="167" t="s">
        <v>70</v>
      </c>
      <c r="AD441" s="167" t="s">
        <v>70</v>
      </c>
      <c r="AE441" s="167" t="s">
        <v>70</v>
      </c>
      <c r="AF441" s="167" t="s">
        <v>70</v>
      </c>
      <c r="AG441" s="167" t="s">
        <v>70</v>
      </c>
      <c r="AH441" s="167" t="s">
        <v>70</v>
      </c>
      <c r="AI441" s="181">
        <v>45813</v>
      </c>
      <c r="AJ441" s="166" t="s">
        <v>69</v>
      </c>
      <c r="AK441" s="167" t="s">
        <v>70</v>
      </c>
      <c r="AL441" s="167" t="s">
        <v>70</v>
      </c>
      <c r="AM441" s="167"/>
      <c r="AN441" s="167" t="s">
        <v>70</v>
      </c>
      <c r="AO441" s="167" t="s">
        <v>70</v>
      </c>
      <c r="AP441" s="167" t="s">
        <v>70</v>
      </c>
      <c r="AQ441" s="167" t="s">
        <v>70</v>
      </c>
      <c r="AR441" s="166" t="s">
        <v>69</v>
      </c>
      <c r="AS441" s="167" t="s">
        <v>70</v>
      </c>
      <c r="AT441" s="167" t="s">
        <v>70</v>
      </c>
      <c r="AU441" s="167" t="s">
        <v>70</v>
      </c>
      <c r="AV441" s="167" t="s">
        <v>70</v>
      </c>
      <c r="AW441" s="167" t="s">
        <v>70</v>
      </c>
      <c r="AX441" s="167" t="s">
        <v>70</v>
      </c>
      <c r="AY441" s="167" t="s">
        <v>70</v>
      </c>
      <c r="AZ441" s="167" t="s">
        <v>70</v>
      </c>
      <c r="BA441" s="167" t="s">
        <v>70</v>
      </c>
      <c r="BB441" s="167" t="s">
        <v>70</v>
      </c>
      <c r="BC441" s="167" t="s">
        <v>70</v>
      </c>
      <c r="BD441" s="167" t="s">
        <v>70</v>
      </c>
      <c r="BE441" s="167" t="s">
        <v>70</v>
      </c>
      <c r="BF441" s="167" t="s">
        <v>70</v>
      </c>
      <c r="BG441" s="167" t="s">
        <v>70</v>
      </c>
      <c r="BH441" s="167" t="s">
        <v>70</v>
      </c>
      <c r="BI441" s="167" t="s">
        <v>70</v>
      </c>
      <c r="BJ441" s="167" t="s">
        <v>70</v>
      </c>
      <c r="BK441" s="167" t="s">
        <v>70</v>
      </c>
      <c r="BL441" s="167" t="s">
        <v>70</v>
      </c>
      <c r="BM441" s="167" t="s">
        <v>70</v>
      </c>
      <c r="BN441" s="167" t="s">
        <v>70</v>
      </c>
      <c r="BO441" s="167" t="s">
        <v>70</v>
      </c>
      <c r="BP441" s="167" t="s">
        <v>70</v>
      </c>
      <c r="BQ441" s="151" t="s">
        <v>208</v>
      </c>
      <c r="BR441" s="142"/>
      <c r="BS441" s="142"/>
      <c r="BT441" s="142"/>
      <c r="BU441" s="142"/>
      <c r="BV441" s="142"/>
      <c r="BW441" s="142"/>
      <c r="BX441" s="142"/>
      <c r="BY441" s="142"/>
      <c r="BZ441" s="142"/>
      <c r="CA441" s="142"/>
      <c r="CB441" s="142"/>
      <c r="CC441" s="142"/>
      <c r="CD441" s="142"/>
      <c r="CE441" s="142"/>
      <c r="CF441" s="142"/>
      <c r="CG441" s="142"/>
      <c r="CH441" s="142"/>
      <c r="CI441" s="142"/>
      <c r="CJ441" s="142"/>
      <c r="CK441" s="142"/>
      <c r="CL441" s="142"/>
      <c r="CM441" s="142"/>
      <c r="CN441" s="142"/>
      <c r="CO441" s="142"/>
      <c r="CP441" s="142"/>
      <c r="CQ441" s="142"/>
      <c r="CR441" s="142"/>
      <c r="CS441" s="142"/>
      <c r="CT441" s="142"/>
      <c r="CU441" s="142"/>
      <c r="CV441" s="142"/>
      <c r="CW441" s="142"/>
      <c r="CX441" s="142"/>
      <c r="CY441" s="142"/>
      <c r="CZ441" s="142"/>
      <c r="DA441" s="142"/>
      <c r="DB441" s="142"/>
      <c r="DC441" s="142"/>
      <c r="DD441" s="142"/>
      <c r="DE441" s="142"/>
      <c r="DF441" s="142"/>
      <c r="DG441" s="142"/>
      <c r="DH441" s="142"/>
      <c r="DI441" s="142"/>
      <c r="DJ441" s="142"/>
      <c r="DK441" s="142"/>
      <c r="DL441" s="142"/>
      <c r="DM441" s="142"/>
      <c r="DN441" s="142"/>
      <c r="DO441" s="142"/>
      <c r="DP441" s="142"/>
      <c r="DQ441" s="142"/>
      <c r="DR441" s="142"/>
      <c r="DS441" s="142"/>
      <c r="DT441" s="142"/>
      <c r="DU441" s="142"/>
      <c r="DV441" s="142"/>
      <c r="DW441" s="142"/>
      <c r="DX441" s="142"/>
      <c r="DY441" s="142"/>
      <c r="DZ441" s="142"/>
      <c r="EA441" s="142"/>
      <c r="EB441" s="142"/>
      <c r="EC441" s="142"/>
      <c r="ED441" s="142"/>
      <c r="EE441" s="142"/>
    </row>
    <row r="442" spans="1:135" s="151" customFormat="1" ht="19.5" customHeight="1" x14ac:dyDescent="0.2">
      <c r="A442" s="117">
        <v>440</v>
      </c>
      <c r="B442" s="117" t="s">
        <v>672</v>
      </c>
      <c r="C442" s="117">
        <v>146657</v>
      </c>
      <c r="D442" s="117" t="s">
        <v>212</v>
      </c>
      <c r="E442" s="117" t="s">
        <v>397</v>
      </c>
      <c r="F442" s="146" t="s">
        <v>256</v>
      </c>
      <c r="G442" s="124" t="s">
        <v>69</v>
      </c>
      <c r="H442" s="89">
        <v>46003</v>
      </c>
      <c r="I442" s="89">
        <v>46003</v>
      </c>
      <c r="J442" s="162">
        <f t="shared" si="33"/>
        <v>47099</v>
      </c>
      <c r="K442" s="89">
        <v>42146</v>
      </c>
      <c r="L442" s="140">
        <v>46001</v>
      </c>
      <c r="M442" s="163">
        <f t="shared" si="32"/>
        <v>47097</v>
      </c>
      <c r="N442" s="124">
        <v>45999</v>
      </c>
      <c r="O442" s="124">
        <v>46002</v>
      </c>
      <c r="P442" s="124">
        <v>46000</v>
      </c>
      <c r="Q442" s="167" t="s">
        <v>70</v>
      </c>
      <c r="R442" s="167" t="s">
        <v>70</v>
      </c>
      <c r="S442" s="167" t="s">
        <v>70</v>
      </c>
      <c r="T442" s="167" t="s">
        <v>70</v>
      </c>
      <c r="U442" s="167" t="s">
        <v>70</v>
      </c>
      <c r="V442" s="167" t="s">
        <v>70</v>
      </c>
      <c r="W442" s="167" t="s">
        <v>70</v>
      </c>
      <c r="X442" s="167" t="s">
        <v>70</v>
      </c>
      <c r="Y442" s="167" t="s">
        <v>70</v>
      </c>
      <c r="Z442" s="167" t="s">
        <v>70</v>
      </c>
      <c r="AA442" s="167" t="s">
        <v>70</v>
      </c>
      <c r="AB442" s="167" t="s">
        <v>70</v>
      </c>
      <c r="AC442" s="167" t="s">
        <v>70</v>
      </c>
      <c r="AD442" s="167" t="s">
        <v>70</v>
      </c>
      <c r="AE442" s="167" t="s">
        <v>70</v>
      </c>
      <c r="AF442" s="167" t="s">
        <v>70</v>
      </c>
      <c r="AG442" s="167" t="s">
        <v>70</v>
      </c>
      <c r="AH442" s="167" t="s">
        <v>70</v>
      </c>
      <c r="AI442" s="111">
        <v>45694</v>
      </c>
      <c r="AJ442" s="166" t="s">
        <v>69</v>
      </c>
      <c r="AK442" s="167" t="s">
        <v>70</v>
      </c>
      <c r="AL442" s="167" t="s">
        <v>70</v>
      </c>
      <c r="AM442" s="167"/>
      <c r="AN442" s="167" t="s">
        <v>70</v>
      </c>
      <c r="AO442" s="167" t="s">
        <v>70</v>
      </c>
      <c r="AP442" s="167" t="s">
        <v>70</v>
      </c>
      <c r="AQ442" s="167" t="s">
        <v>70</v>
      </c>
      <c r="AR442" s="166" t="s">
        <v>69</v>
      </c>
      <c r="AS442" s="167" t="s">
        <v>70</v>
      </c>
      <c r="AT442" s="167" t="s">
        <v>70</v>
      </c>
      <c r="AU442" s="167" t="s">
        <v>70</v>
      </c>
      <c r="AV442" s="167" t="s">
        <v>70</v>
      </c>
      <c r="AW442" s="167" t="s">
        <v>70</v>
      </c>
      <c r="AX442" s="167" t="s">
        <v>70</v>
      </c>
      <c r="AY442" s="167" t="s">
        <v>70</v>
      </c>
      <c r="AZ442" s="167" t="s">
        <v>70</v>
      </c>
      <c r="BA442" s="167" t="s">
        <v>70</v>
      </c>
      <c r="BB442" s="167" t="s">
        <v>70</v>
      </c>
      <c r="BC442" s="167" t="s">
        <v>70</v>
      </c>
      <c r="BD442" s="167" t="s">
        <v>70</v>
      </c>
      <c r="BE442" s="167" t="s">
        <v>70</v>
      </c>
      <c r="BF442" s="167" t="s">
        <v>70</v>
      </c>
      <c r="BG442" s="167" t="s">
        <v>70</v>
      </c>
      <c r="BH442" s="167" t="s">
        <v>70</v>
      </c>
      <c r="BI442" s="167" t="s">
        <v>70</v>
      </c>
      <c r="BJ442" s="167" t="s">
        <v>70</v>
      </c>
      <c r="BK442" s="167" t="s">
        <v>70</v>
      </c>
      <c r="BL442" s="167" t="s">
        <v>70</v>
      </c>
      <c r="BM442" s="167" t="s">
        <v>70</v>
      </c>
      <c r="BN442" s="167" t="s">
        <v>70</v>
      </c>
      <c r="BO442" s="167" t="s">
        <v>70</v>
      </c>
      <c r="BP442" s="167" t="s">
        <v>70</v>
      </c>
      <c r="BQ442" s="151" t="s">
        <v>208</v>
      </c>
    </row>
    <row r="443" spans="1:135" s="151" customFormat="1" ht="19.5" customHeight="1" x14ac:dyDescent="0.2">
      <c r="A443" s="117">
        <v>441</v>
      </c>
      <c r="B443" s="117" t="s">
        <v>719</v>
      </c>
      <c r="C443" s="117">
        <v>84120249</v>
      </c>
      <c r="D443" s="117" t="s">
        <v>212</v>
      </c>
      <c r="E443" s="117" t="s">
        <v>397</v>
      </c>
      <c r="F443" s="146" t="s">
        <v>256</v>
      </c>
      <c r="G443" s="124" t="s">
        <v>69</v>
      </c>
      <c r="H443" s="124"/>
      <c r="I443" s="112"/>
      <c r="J443" s="162" t="str">
        <f>IF(I443="", "", DATE(YEAR(I443)+2, MONTH(I443), DAY(I443)))</f>
        <v/>
      </c>
      <c r="K443" s="175"/>
      <c r="L443" s="175"/>
      <c r="M443" s="163"/>
      <c r="N443" s="112">
        <v>46171</v>
      </c>
      <c r="O443" s="165" t="s">
        <v>69</v>
      </c>
      <c r="P443" s="165"/>
      <c r="Q443" s="167" t="s">
        <v>70</v>
      </c>
      <c r="R443" s="167" t="s">
        <v>70</v>
      </c>
      <c r="S443" s="167" t="s">
        <v>70</v>
      </c>
      <c r="T443" s="167" t="s">
        <v>70</v>
      </c>
      <c r="U443" s="167" t="s">
        <v>70</v>
      </c>
      <c r="V443" s="167" t="s">
        <v>70</v>
      </c>
      <c r="W443" s="167" t="s">
        <v>70</v>
      </c>
      <c r="X443" s="167" t="s">
        <v>70</v>
      </c>
      <c r="Y443" s="167" t="s">
        <v>70</v>
      </c>
      <c r="Z443" s="167" t="s">
        <v>70</v>
      </c>
      <c r="AA443" s="167" t="s">
        <v>70</v>
      </c>
      <c r="AB443" s="167" t="s">
        <v>70</v>
      </c>
      <c r="AC443" s="167" t="s">
        <v>70</v>
      </c>
      <c r="AD443" s="167" t="s">
        <v>70</v>
      </c>
      <c r="AE443" s="167" t="s">
        <v>70</v>
      </c>
      <c r="AF443" s="167" t="s">
        <v>70</v>
      </c>
      <c r="AG443" s="167" t="s">
        <v>70</v>
      </c>
      <c r="AH443" s="167" t="s">
        <v>70</v>
      </c>
      <c r="AI443" s="111">
        <v>45883</v>
      </c>
      <c r="AJ443" s="166" t="s">
        <v>69</v>
      </c>
      <c r="AK443" s="167" t="s">
        <v>70</v>
      </c>
      <c r="AL443" s="167" t="s">
        <v>70</v>
      </c>
      <c r="AM443" s="167"/>
      <c r="AN443" s="167" t="s">
        <v>70</v>
      </c>
      <c r="AO443" s="167" t="s">
        <v>70</v>
      </c>
      <c r="AP443" s="167" t="s">
        <v>70</v>
      </c>
      <c r="AQ443" s="167" t="s">
        <v>70</v>
      </c>
      <c r="AR443" s="166" t="s">
        <v>69</v>
      </c>
      <c r="AS443" s="167" t="s">
        <v>70</v>
      </c>
      <c r="AT443" s="167" t="s">
        <v>70</v>
      </c>
      <c r="AU443" s="167" t="s">
        <v>70</v>
      </c>
      <c r="AV443" s="167" t="s">
        <v>70</v>
      </c>
      <c r="AW443" s="167" t="s">
        <v>70</v>
      </c>
      <c r="AX443" s="167" t="s">
        <v>70</v>
      </c>
      <c r="AY443" s="167" t="s">
        <v>70</v>
      </c>
      <c r="AZ443" s="167" t="s">
        <v>70</v>
      </c>
      <c r="BA443" s="167" t="s">
        <v>70</v>
      </c>
      <c r="BB443" s="167" t="s">
        <v>70</v>
      </c>
      <c r="BC443" s="167" t="s">
        <v>70</v>
      </c>
      <c r="BD443" s="167" t="s">
        <v>70</v>
      </c>
      <c r="BE443" s="167" t="s">
        <v>70</v>
      </c>
      <c r="BF443" s="167" t="s">
        <v>70</v>
      </c>
      <c r="BG443" s="167" t="s">
        <v>70</v>
      </c>
      <c r="BH443" s="167" t="s">
        <v>70</v>
      </c>
      <c r="BI443" s="167" t="s">
        <v>70</v>
      </c>
      <c r="BJ443" s="167" t="s">
        <v>70</v>
      </c>
      <c r="BK443" s="167" t="s">
        <v>70</v>
      </c>
      <c r="BL443" s="167" t="s">
        <v>70</v>
      </c>
      <c r="BM443" s="167" t="s">
        <v>70</v>
      </c>
      <c r="BN443" s="167" t="s">
        <v>70</v>
      </c>
      <c r="BO443" s="167" t="s">
        <v>70</v>
      </c>
      <c r="BP443" s="167" t="s">
        <v>70</v>
      </c>
      <c r="BQ443" s="151" t="s">
        <v>208</v>
      </c>
    </row>
    <row r="444" spans="1:135" s="151" customFormat="1" ht="19.5" customHeight="1" x14ac:dyDescent="0.2">
      <c r="A444" s="117">
        <v>442</v>
      </c>
      <c r="B444" s="117" t="s">
        <v>720</v>
      </c>
      <c r="C444" s="117">
        <v>84122168</v>
      </c>
      <c r="D444" s="117" t="s">
        <v>212</v>
      </c>
      <c r="E444" s="117" t="s">
        <v>397</v>
      </c>
      <c r="F444" s="146" t="s">
        <v>256</v>
      </c>
      <c r="G444" s="124" t="s">
        <v>69</v>
      </c>
      <c r="H444" s="229">
        <v>46136</v>
      </c>
      <c r="I444" s="229">
        <v>46136</v>
      </c>
      <c r="J444" s="162">
        <f>IF(I444="", "", DATE(YEAR(I444)+3, MONTH(I444), DAY(I444)))</f>
        <v>47232</v>
      </c>
      <c r="K444" s="175"/>
      <c r="L444" s="112"/>
      <c r="M444" s="163" t="str">
        <f>IF(L444="", "", DATE(YEAR(L444)+2, MONTH(L444), DAY(L444)))</f>
        <v/>
      </c>
      <c r="N444" s="229">
        <v>46132</v>
      </c>
      <c r="O444" s="112">
        <v>46133</v>
      </c>
      <c r="P444" s="229">
        <v>46133</v>
      </c>
      <c r="Q444" s="167" t="s">
        <v>70</v>
      </c>
      <c r="R444" s="167" t="s">
        <v>70</v>
      </c>
      <c r="S444" s="167" t="s">
        <v>70</v>
      </c>
      <c r="T444" s="167" t="s">
        <v>70</v>
      </c>
      <c r="U444" s="167" t="s">
        <v>70</v>
      </c>
      <c r="V444" s="167" t="s">
        <v>70</v>
      </c>
      <c r="W444" s="167" t="s">
        <v>70</v>
      </c>
      <c r="X444" s="167" t="s">
        <v>70</v>
      </c>
      <c r="Y444" s="167" t="s">
        <v>70</v>
      </c>
      <c r="Z444" s="167" t="s">
        <v>70</v>
      </c>
      <c r="AA444" s="167" t="s">
        <v>70</v>
      </c>
      <c r="AB444" s="167" t="s">
        <v>70</v>
      </c>
      <c r="AC444" s="167" t="s">
        <v>70</v>
      </c>
      <c r="AD444" s="167" t="s">
        <v>70</v>
      </c>
      <c r="AE444" s="167" t="s">
        <v>70</v>
      </c>
      <c r="AF444" s="167" t="s">
        <v>70</v>
      </c>
      <c r="AG444" s="167" t="s">
        <v>70</v>
      </c>
      <c r="AH444" s="167" t="s">
        <v>70</v>
      </c>
      <c r="AI444" s="111">
        <v>45912</v>
      </c>
      <c r="AJ444" s="166" t="s">
        <v>69</v>
      </c>
      <c r="AK444" s="167" t="s">
        <v>70</v>
      </c>
      <c r="AL444" s="167" t="s">
        <v>70</v>
      </c>
      <c r="AM444" s="167"/>
      <c r="AN444" s="167" t="s">
        <v>70</v>
      </c>
      <c r="AO444" s="167" t="s">
        <v>70</v>
      </c>
      <c r="AP444" s="167" t="s">
        <v>70</v>
      </c>
      <c r="AQ444" s="167" t="s">
        <v>70</v>
      </c>
      <c r="AR444" s="166" t="s">
        <v>69</v>
      </c>
      <c r="AS444" s="167" t="s">
        <v>70</v>
      </c>
      <c r="AT444" s="167" t="s">
        <v>70</v>
      </c>
      <c r="AU444" s="167" t="s">
        <v>70</v>
      </c>
      <c r="AV444" s="167" t="s">
        <v>70</v>
      </c>
      <c r="AW444" s="167" t="s">
        <v>70</v>
      </c>
      <c r="AX444" s="167" t="s">
        <v>70</v>
      </c>
      <c r="AY444" s="167" t="s">
        <v>70</v>
      </c>
      <c r="AZ444" s="167" t="s">
        <v>70</v>
      </c>
      <c r="BA444" s="167" t="s">
        <v>70</v>
      </c>
      <c r="BB444" s="167" t="s">
        <v>70</v>
      </c>
      <c r="BC444" s="167" t="s">
        <v>70</v>
      </c>
      <c r="BD444" s="167" t="s">
        <v>70</v>
      </c>
      <c r="BE444" s="167" t="s">
        <v>70</v>
      </c>
      <c r="BF444" s="167" t="s">
        <v>70</v>
      </c>
      <c r="BG444" s="167" t="s">
        <v>70</v>
      </c>
      <c r="BH444" s="167" t="s">
        <v>70</v>
      </c>
      <c r="BI444" s="167" t="s">
        <v>70</v>
      </c>
      <c r="BJ444" s="167" t="s">
        <v>70</v>
      </c>
      <c r="BK444" s="167" t="s">
        <v>70</v>
      </c>
      <c r="BL444" s="167" t="s">
        <v>70</v>
      </c>
      <c r="BM444" s="167" t="s">
        <v>70</v>
      </c>
      <c r="BN444" s="167" t="s">
        <v>70</v>
      </c>
      <c r="BO444" s="167" t="s">
        <v>70</v>
      </c>
      <c r="BP444" s="167" t="s">
        <v>70</v>
      </c>
      <c r="BQ444" s="151" t="s">
        <v>208</v>
      </c>
    </row>
    <row r="445" spans="1:135" s="151" customFormat="1" ht="19.5" customHeight="1" x14ac:dyDescent="0.2">
      <c r="A445" s="117">
        <v>443</v>
      </c>
      <c r="B445" s="117" t="s">
        <v>693</v>
      </c>
      <c r="C445" s="117">
        <v>183487</v>
      </c>
      <c r="D445" s="117" t="s">
        <v>212</v>
      </c>
      <c r="E445" s="117" t="s">
        <v>397</v>
      </c>
      <c r="F445" s="146" t="s">
        <v>256</v>
      </c>
      <c r="G445" s="124" t="s">
        <v>69</v>
      </c>
      <c r="H445" s="89">
        <v>46003</v>
      </c>
      <c r="I445" s="89">
        <v>46003</v>
      </c>
      <c r="J445" s="162">
        <f>IF(I445="", "", DATE(YEAR(I445)+3, MONTH(I445), DAY(I445)))</f>
        <v>47099</v>
      </c>
      <c r="K445" s="89">
        <v>42146</v>
      </c>
      <c r="L445" s="140">
        <v>46001</v>
      </c>
      <c r="M445" s="163">
        <f>IF(L445="", "", DATE(YEAR(L445)+3, MONTH(L445), DAY(L445)))</f>
        <v>47097</v>
      </c>
      <c r="N445" s="89">
        <v>45999</v>
      </c>
      <c r="O445" s="89">
        <v>46002</v>
      </c>
      <c r="P445" s="89">
        <v>46000</v>
      </c>
      <c r="Q445" s="167" t="s">
        <v>70</v>
      </c>
      <c r="R445" s="167" t="s">
        <v>70</v>
      </c>
      <c r="S445" s="167" t="s">
        <v>70</v>
      </c>
      <c r="T445" s="167" t="s">
        <v>70</v>
      </c>
      <c r="U445" s="167" t="s">
        <v>70</v>
      </c>
      <c r="V445" s="167" t="s">
        <v>70</v>
      </c>
      <c r="W445" s="167" t="s">
        <v>70</v>
      </c>
      <c r="X445" s="167" t="s">
        <v>70</v>
      </c>
      <c r="Y445" s="167" t="s">
        <v>70</v>
      </c>
      <c r="Z445" s="167" t="s">
        <v>70</v>
      </c>
      <c r="AA445" s="167" t="s">
        <v>70</v>
      </c>
      <c r="AB445" s="167" t="s">
        <v>70</v>
      </c>
      <c r="AC445" s="167" t="s">
        <v>70</v>
      </c>
      <c r="AD445" s="167" t="s">
        <v>70</v>
      </c>
      <c r="AE445" s="167" t="s">
        <v>70</v>
      </c>
      <c r="AF445" s="167" t="s">
        <v>70</v>
      </c>
      <c r="AG445" s="167" t="s">
        <v>70</v>
      </c>
      <c r="AH445" s="167" t="s">
        <v>70</v>
      </c>
      <c r="AI445" s="181">
        <v>45708</v>
      </c>
      <c r="AJ445" s="166" t="s">
        <v>69</v>
      </c>
      <c r="AK445" s="167" t="s">
        <v>70</v>
      </c>
      <c r="AL445" s="167" t="s">
        <v>70</v>
      </c>
      <c r="AM445" s="167"/>
      <c r="AN445" s="167" t="s">
        <v>70</v>
      </c>
      <c r="AO445" s="167" t="s">
        <v>70</v>
      </c>
      <c r="AP445" s="167" t="s">
        <v>70</v>
      </c>
      <c r="AQ445" s="167" t="s">
        <v>70</v>
      </c>
      <c r="AR445" s="166" t="s">
        <v>69</v>
      </c>
      <c r="AS445" s="167" t="s">
        <v>70</v>
      </c>
      <c r="AT445" s="167" t="s">
        <v>70</v>
      </c>
      <c r="AU445" s="167" t="s">
        <v>70</v>
      </c>
      <c r="AV445" s="167" t="s">
        <v>70</v>
      </c>
      <c r="AW445" s="167" t="s">
        <v>70</v>
      </c>
      <c r="AX445" s="167" t="s">
        <v>70</v>
      </c>
      <c r="AY445" s="167" t="s">
        <v>70</v>
      </c>
      <c r="AZ445" s="167" t="s">
        <v>70</v>
      </c>
      <c r="BA445" s="167" t="s">
        <v>70</v>
      </c>
      <c r="BB445" s="167" t="s">
        <v>70</v>
      </c>
      <c r="BC445" s="167" t="s">
        <v>70</v>
      </c>
      <c r="BD445" s="167" t="s">
        <v>70</v>
      </c>
      <c r="BE445" s="167" t="s">
        <v>70</v>
      </c>
      <c r="BF445" s="167" t="s">
        <v>70</v>
      </c>
      <c r="BG445" s="167" t="s">
        <v>70</v>
      </c>
      <c r="BH445" s="167" t="s">
        <v>70</v>
      </c>
      <c r="BI445" s="167" t="s">
        <v>70</v>
      </c>
      <c r="BJ445" s="167" t="s">
        <v>70</v>
      </c>
      <c r="BK445" s="167" t="s">
        <v>70</v>
      </c>
      <c r="BL445" s="167" t="s">
        <v>70</v>
      </c>
      <c r="BM445" s="167" t="s">
        <v>70</v>
      </c>
      <c r="BN445" s="167" t="s">
        <v>70</v>
      </c>
      <c r="BO445" s="167" t="s">
        <v>70</v>
      </c>
      <c r="BP445" s="167" t="s">
        <v>70</v>
      </c>
      <c r="BQ445" s="151" t="s">
        <v>208</v>
      </c>
    </row>
    <row r="446" spans="1:135" s="151" customFormat="1" ht="19.5" customHeight="1" x14ac:dyDescent="0.2">
      <c r="A446" s="117">
        <v>444</v>
      </c>
      <c r="B446" s="188" t="s">
        <v>395</v>
      </c>
      <c r="C446" s="189">
        <v>131759</v>
      </c>
      <c r="D446" s="171" t="s">
        <v>396</v>
      </c>
      <c r="E446" s="117" t="s">
        <v>397</v>
      </c>
      <c r="F446" s="146" t="s">
        <v>256</v>
      </c>
      <c r="G446" s="124" t="s">
        <v>69</v>
      </c>
      <c r="H446" s="93">
        <v>46199</v>
      </c>
      <c r="I446" s="93">
        <v>46199</v>
      </c>
      <c r="J446" s="92">
        <f>IF(I446="", "", DATE(YEAR(I446)+3, MONTH(I446), DAY(I446)))</f>
        <v>47295</v>
      </c>
      <c r="K446" s="93">
        <v>46198</v>
      </c>
      <c r="L446" s="93">
        <v>46198</v>
      </c>
      <c r="M446" s="140">
        <f>IF(L446="", "", DATE(YEAR(L446)+3, MONTH(L446), DAY(L446)))</f>
        <v>47294</v>
      </c>
      <c r="N446" s="190">
        <v>46195</v>
      </c>
      <c r="O446" s="93">
        <v>46196</v>
      </c>
      <c r="P446" s="93">
        <v>46197</v>
      </c>
      <c r="Q446" s="167" t="s">
        <v>70</v>
      </c>
      <c r="R446" s="167" t="s">
        <v>70</v>
      </c>
      <c r="S446" s="167" t="s">
        <v>70</v>
      </c>
      <c r="T446" s="167" t="s">
        <v>70</v>
      </c>
      <c r="U446" s="167" t="s">
        <v>70</v>
      </c>
      <c r="V446" s="167" t="s">
        <v>70</v>
      </c>
      <c r="W446" s="167" t="s">
        <v>70</v>
      </c>
      <c r="X446" s="167" t="s">
        <v>70</v>
      </c>
      <c r="Y446" s="167" t="s">
        <v>70</v>
      </c>
      <c r="Z446" s="167" t="s">
        <v>70</v>
      </c>
      <c r="AA446" s="167" t="s">
        <v>70</v>
      </c>
      <c r="AB446" s="167" t="s">
        <v>70</v>
      </c>
      <c r="AC446" s="167" t="s">
        <v>70</v>
      </c>
      <c r="AD446" s="167" t="s">
        <v>70</v>
      </c>
      <c r="AE446" s="167" t="s">
        <v>70</v>
      </c>
      <c r="AF446" s="167" t="s">
        <v>70</v>
      </c>
      <c r="AG446" s="167" t="s">
        <v>70</v>
      </c>
      <c r="AH446" s="167" t="s">
        <v>70</v>
      </c>
      <c r="AI446" s="186">
        <v>45869</v>
      </c>
      <c r="AJ446" s="166" t="s">
        <v>69</v>
      </c>
      <c r="AK446" s="167" t="s">
        <v>70</v>
      </c>
      <c r="AL446" s="167" t="s">
        <v>70</v>
      </c>
      <c r="AM446" s="167"/>
      <c r="AN446" s="167" t="s">
        <v>70</v>
      </c>
      <c r="AO446" s="167" t="s">
        <v>70</v>
      </c>
      <c r="AP446" s="167" t="s">
        <v>70</v>
      </c>
      <c r="AQ446" s="167" t="s">
        <v>70</v>
      </c>
      <c r="AR446" s="168">
        <v>46055</v>
      </c>
      <c r="AS446" s="167" t="s">
        <v>70</v>
      </c>
      <c r="AT446" s="167" t="s">
        <v>70</v>
      </c>
      <c r="AU446" s="167" t="s">
        <v>70</v>
      </c>
      <c r="AV446" s="167" t="s">
        <v>70</v>
      </c>
      <c r="AW446" s="167" t="s">
        <v>70</v>
      </c>
      <c r="AX446" s="167" t="s">
        <v>70</v>
      </c>
      <c r="AY446" s="167" t="s">
        <v>70</v>
      </c>
      <c r="AZ446" s="167" t="s">
        <v>70</v>
      </c>
      <c r="BA446" s="167" t="s">
        <v>70</v>
      </c>
      <c r="BB446" s="167" t="s">
        <v>70</v>
      </c>
      <c r="BC446" s="167" t="s">
        <v>70</v>
      </c>
      <c r="BD446" s="167" t="s">
        <v>70</v>
      </c>
      <c r="BE446" s="167" t="s">
        <v>70</v>
      </c>
      <c r="BF446" s="167" t="s">
        <v>70</v>
      </c>
      <c r="BG446" s="167" t="s">
        <v>70</v>
      </c>
      <c r="BH446" s="167" t="s">
        <v>70</v>
      </c>
      <c r="BI446" s="167" t="s">
        <v>70</v>
      </c>
      <c r="BJ446" s="167" t="s">
        <v>70</v>
      </c>
      <c r="BK446" s="167" t="s">
        <v>70</v>
      </c>
      <c r="BL446" s="167" t="s">
        <v>70</v>
      </c>
      <c r="BM446" s="167" t="s">
        <v>70</v>
      </c>
      <c r="BN446" s="167" t="s">
        <v>70</v>
      </c>
      <c r="BO446" s="167" t="s">
        <v>70</v>
      </c>
      <c r="BP446" s="167" t="s">
        <v>70</v>
      </c>
      <c r="BQ446" s="151" t="s">
        <v>256</v>
      </c>
    </row>
    <row r="447" spans="1:135" s="151" customFormat="1" ht="19.5" customHeight="1" x14ac:dyDescent="0.2">
      <c r="A447" s="117">
        <v>445</v>
      </c>
      <c r="B447" s="121" t="s">
        <v>411</v>
      </c>
      <c r="C447" s="122">
        <v>142493</v>
      </c>
      <c r="D447" s="117" t="s">
        <v>212</v>
      </c>
      <c r="E447" s="117" t="s">
        <v>397</v>
      </c>
      <c r="F447" s="146" t="s">
        <v>256</v>
      </c>
      <c r="G447" s="124" t="s">
        <v>69</v>
      </c>
      <c r="H447" s="93">
        <v>42555</v>
      </c>
      <c r="I447" s="93">
        <v>45926</v>
      </c>
      <c r="J447" s="92">
        <f>IF(I447="", "", DATE(YEAR(I447)+3, MONTH(I447), DAY(L447)))</f>
        <v>47021</v>
      </c>
      <c r="K447" s="93">
        <v>42555</v>
      </c>
      <c r="L447" s="93">
        <v>45925</v>
      </c>
      <c r="M447" s="140">
        <f>IF(L447="", "", DATE(YEAR(L447)+3, MONTH(L447), DAY(L447)))</f>
        <v>47021</v>
      </c>
      <c r="N447" s="93">
        <v>45924</v>
      </c>
      <c r="O447" s="93">
        <v>45924</v>
      </c>
      <c r="P447" s="93">
        <v>45922</v>
      </c>
      <c r="Q447" s="167" t="s">
        <v>70</v>
      </c>
      <c r="R447" s="167" t="s">
        <v>70</v>
      </c>
      <c r="S447" s="167" t="s">
        <v>70</v>
      </c>
      <c r="T447" s="167" t="s">
        <v>70</v>
      </c>
      <c r="U447" s="167" t="s">
        <v>70</v>
      </c>
      <c r="V447" s="167" t="s">
        <v>70</v>
      </c>
      <c r="W447" s="167" t="s">
        <v>70</v>
      </c>
      <c r="X447" s="167" t="s">
        <v>70</v>
      </c>
      <c r="Y447" s="167" t="s">
        <v>70</v>
      </c>
      <c r="Z447" s="167" t="s">
        <v>70</v>
      </c>
      <c r="AA447" s="167" t="s">
        <v>70</v>
      </c>
      <c r="AB447" s="167" t="s">
        <v>70</v>
      </c>
      <c r="AC447" s="167" t="s">
        <v>70</v>
      </c>
      <c r="AD447" s="167" t="s">
        <v>70</v>
      </c>
      <c r="AE447" s="167" t="s">
        <v>70</v>
      </c>
      <c r="AF447" s="167" t="s">
        <v>70</v>
      </c>
      <c r="AG447" s="167" t="s">
        <v>70</v>
      </c>
      <c r="AH447" s="167" t="s">
        <v>70</v>
      </c>
      <c r="AI447" s="111">
        <v>45727</v>
      </c>
      <c r="AJ447" s="166" t="s">
        <v>69</v>
      </c>
      <c r="AK447" s="167" t="s">
        <v>70</v>
      </c>
      <c r="AL447" s="167" t="s">
        <v>70</v>
      </c>
      <c r="AM447" s="167"/>
      <c r="AN447" s="167" t="s">
        <v>70</v>
      </c>
      <c r="AO447" s="167" t="s">
        <v>70</v>
      </c>
      <c r="AP447" s="167" t="s">
        <v>70</v>
      </c>
      <c r="AQ447" s="167" t="s">
        <v>70</v>
      </c>
      <c r="AR447" s="166" t="s">
        <v>69</v>
      </c>
      <c r="AS447" s="167" t="s">
        <v>70</v>
      </c>
      <c r="AT447" s="167" t="s">
        <v>70</v>
      </c>
      <c r="AU447" s="167" t="s">
        <v>70</v>
      </c>
      <c r="AV447" s="167" t="s">
        <v>70</v>
      </c>
      <c r="AW447" s="167" t="s">
        <v>70</v>
      </c>
      <c r="AX447" s="167" t="s">
        <v>70</v>
      </c>
      <c r="AY447" s="167" t="s">
        <v>70</v>
      </c>
      <c r="AZ447" s="167" t="s">
        <v>70</v>
      </c>
      <c r="BA447" s="167" t="s">
        <v>70</v>
      </c>
      <c r="BB447" s="167" t="s">
        <v>70</v>
      </c>
      <c r="BC447" s="167" t="s">
        <v>70</v>
      </c>
      <c r="BD447" s="167" t="s">
        <v>70</v>
      </c>
      <c r="BE447" s="167" t="s">
        <v>70</v>
      </c>
      <c r="BF447" s="167" t="s">
        <v>70</v>
      </c>
      <c r="BG447" s="167" t="s">
        <v>70</v>
      </c>
      <c r="BH447" s="167" t="s">
        <v>70</v>
      </c>
      <c r="BI447" s="167" t="s">
        <v>70</v>
      </c>
      <c r="BJ447" s="167" t="s">
        <v>70</v>
      </c>
      <c r="BK447" s="167" t="s">
        <v>70</v>
      </c>
      <c r="BL447" s="167" t="s">
        <v>70</v>
      </c>
      <c r="BM447" s="167" t="s">
        <v>70</v>
      </c>
      <c r="BN447" s="167" t="s">
        <v>70</v>
      </c>
      <c r="BO447" s="167" t="s">
        <v>70</v>
      </c>
      <c r="BP447" s="167" t="s">
        <v>70</v>
      </c>
      <c r="BQ447" s="151" t="s">
        <v>256</v>
      </c>
    </row>
    <row r="448" spans="1:135" s="151" customFormat="1" ht="19.5" customHeight="1" x14ac:dyDescent="0.2">
      <c r="A448" s="117">
        <v>446</v>
      </c>
      <c r="B448" s="117" t="s">
        <v>806</v>
      </c>
      <c r="C448" s="117">
        <v>250050</v>
      </c>
      <c r="D448" s="117" t="s">
        <v>212</v>
      </c>
      <c r="E448" s="179" t="s">
        <v>397</v>
      </c>
      <c r="F448" s="146" t="s">
        <v>256</v>
      </c>
      <c r="G448" s="124"/>
      <c r="H448" s="93">
        <v>46199</v>
      </c>
      <c r="I448" s="93">
        <v>46199</v>
      </c>
      <c r="J448" s="92">
        <f>IF(I448="", "", DATE(YEAR(I448)+3, MONTH(I448), DAY(I448)))</f>
        <v>47295</v>
      </c>
      <c r="K448" s="93">
        <v>46198</v>
      </c>
      <c r="L448" s="93">
        <v>46198</v>
      </c>
      <c r="M448" s="140">
        <f>IF(L448="", "", DATE(YEAR(L448)+3, MONTH(L448), DAY(L448)))</f>
        <v>47294</v>
      </c>
      <c r="N448" s="190">
        <v>46195</v>
      </c>
      <c r="O448" s="93">
        <v>46196</v>
      </c>
      <c r="P448" s="93">
        <v>46197</v>
      </c>
      <c r="Q448" s="167" t="s">
        <v>70</v>
      </c>
      <c r="R448" s="167" t="s">
        <v>70</v>
      </c>
      <c r="S448" s="167" t="s">
        <v>70</v>
      </c>
      <c r="T448" s="167" t="s">
        <v>70</v>
      </c>
      <c r="U448" s="167" t="s">
        <v>70</v>
      </c>
      <c r="V448" s="167" t="s">
        <v>70</v>
      </c>
      <c r="W448" s="167" t="s">
        <v>70</v>
      </c>
      <c r="X448" s="167" t="s">
        <v>70</v>
      </c>
      <c r="Y448" s="167" t="s">
        <v>70</v>
      </c>
      <c r="Z448" s="167" t="s">
        <v>70</v>
      </c>
      <c r="AA448" s="167" t="s">
        <v>70</v>
      </c>
      <c r="AB448" s="167" t="s">
        <v>70</v>
      </c>
      <c r="AC448" s="167" t="s">
        <v>70</v>
      </c>
      <c r="AD448" s="167" t="s">
        <v>70</v>
      </c>
      <c r="AE448" s="167" t="s">
        <v>70</v>
      </c>
      <c r="AF448" s="167" t="s">
        <v>70</v>
      </c>
      <c r="AG448" s="167" t="s">
        <v>70</v>
      </c>
      <c r="AH448" s="167" t="s">
        <v>70</v>
      </c>
      <c r="AI448" s="111">
        <v>45883</v>
      </c>
      <c r="AJ448" s="166" t="s">
        <v>69</v>
      </c>
      <c r="AK448" s="167" t="s">
        <v>70</v>
      </c>
      <c r="AL448" s="167" t="s">
        <v>70</v>
      </c>
      <c r="AM448" s="167"/>
      <c r="AN448" s="167" t="s">
        <v>70</v>
      </c>
      <c r="AO448" s="167" t="s">
        <v>70</v>
      </c>
      <c r="AP448" s="167" t="s">
        <v>70</v>
      </c>
      <c r="AQ448" s="167" t="s">
        <v>70</v>
      </c>
      <c r="AR448" s="166" t="s">
        <v>69</v>
      </c>
      <c r="AS448" s="167" t="s">
        <v>70</v>
      </c>
      <c r="AT448" s="167" t="s">
        <v>70</v>
      </c>
      <c r="AU448" s="167" t="s">
        <v>70</v>
      </c>
      <c r="AV448" s="167" t="s">
        <v>70</v>
      </c>
      <c r="AW448" s="167" t="s">
        <v>70</v>
      </c>
      <c r="AX448" s="167" t="s">
        <v>70</v>
      </c>
      <c r="AY448" s="167" t="s">
        <v>70</v>
      </c>
      <c r="AZ448" s="167" t="s">
        <v>70</v>
      </c>
      <c r="BA448" s="167" t="s">
        <v>70</v>
      </c>
      <c r="BB448" s="167" t="s">
        <v>70</v>
      </c>
      <c r="BC448" s="167" t="s">
        <v>70</v>
      </c>
      <c r="BD448" s="167" t="s">
        <v>70</v>
      </c>
      <c r="BE448" s="167" t="s">
        <v>70</v>
      </c>
      <c r="BF448" s="167" t="s">
        <v>70</v>
      </c>
      <c r="BG448" s="167" t="s">
        <v>70</v>
      </c>
      <c r="BH448" s="167" t="s">
        <v>70</v>
      </c>
      <c r="BI448" s="167" t="s">
        <v>70</v>
      </c>
      <c r="BJ448" s="167" t="s">
        <v>70</v>
      </c>
      <c r="BK448" s="167" t="s">
        <v>70</v>
      </c>
      <c r="BL448" s="167" t="s">
        <v>70</v>
      </c>
      <c r="BM448" s="167" t="s">
        <v>70</v>
      </c>
      <c r="BN448" s="167" t="s">
        <v>70</v>
      </c>
      <c r="BO448" s="167" t="s">
        <v>70</v>
      </c>
      <c r="BP448" s="167" t="s">
        <v>70</v>
      </c>
      <c r="BQ448" s="151" t="s">
        <v>256</v>
      </c>
    </row>
    <row r="449" spans="1:135" s="151" customFormat="1" ht="19.5" customHeight="1" x14ac:dyDescent="0.2">
      <c r="A449" s="117">
        <v>447</v>
      </c>
      <c r="B449" s="117" t="s">
        <v>807</v>
      </c>
      <c r="C449" s="117">
        <v>251413</v>
      </c>
      <c r="D449" s="117" t="s">
        <v>212</v>
      </c>
      <c r="E449" s="179" t="s">
        <v>397</v>
      </c>
      <c r="F449" s="146" t="s">
        <v>256</v>
      </c>
      <c r="G449" s="124" t="s">
        <v>69</v>
      </c>
      <c r="H449" s="172">
        <v>45828</v>
      </c>
      <c r="I449" s="172">
        <v>45828</v>
      </c>
      <c r="J449" s="92">
        <f>IF(I449="", "", DATE(YEAR(I449)+3, MONTH(I449), DAY(L449)))</f>
        <v>46923</v>
      </c>
      <c r="K449" s="111">
        <v>45827</v>
      </c>
      <c r="L449" s="111">
        <v>45827</v>
      </c>
      <c r="M449" s="140">
        <f>IF(L449="", "", DATE(YEAR(L449)+3, MONTH(L449), DAY(L449)))</f>
        <v>46923</v>
      </c>
      <c r="N449" s="93">
        <v>45825</v>
      </c>
      <c r="O449" s="93">
        <v>45824</v>
      </c>
      <c r="P449" s="93">
        <v>45826</v>
      </c>
      <c r="Q449" s="167" t="s">
        <v>70</v>
      </c>
      <c r="R449" s="167" t="s">
        <v>70</v>
      </c>
      <c r="S449" s="167" t="s">
        <v>70</v>
      </c>
      <c r="T449" s="167" t="s">
        <v>70</v>
      </c>
      <c r="U449" s="167" t="s">
        <v>70</v>
      </c>
      <c r="V449" s="167" t="s">
        <v>70</v>
      </c>
      <c r="W449" s="167" t="s">
        <v>70</v>
      </c>
      <c r="X449" s="167" t="s">
        <v>70</v>
      </c>
      <c r="Y449" s="167" t="s">
        <v>70</v>
      </c>
      <c r="Z449" s="167" t="s">
        <v>70</v>
      </c>
      <c r="AA449" s="167" t="s">
        <v>70</v>
      </c>
      <c r="AB449" s="167" t="s">
        <v>70</v>
      </c>
      <c r="AC449" s="167" t="s">
        <v>70</v>
      </c>
      <c r="AD449" s="167" t="s">
        <v>70</v>
      </c>
      <c r="AE449" s="167" t="s">
        <v>70</v>
      </c>
      <c r="AF449" s="167" t="s">
        <v>70</v>
      </c>
      <c r="AG449" s="167" t="s">
        <v>70</v>
      </c>
      <c r="AH449" s="167" t="s">
        <v>70</v>
      </c>
      <c r="AI449" s="111">
        <v>45897</v>
      </c>
      <c r="AJ449" s="166" t="s">
        <v>69</v>
      </c>
      <c r="AK449" s="167" t="s">
        <v>70</v>
      </c>
      <c r="AL449" s="167" t="s">
        <v>70</v>
      </c>
      <c r="AM449" s="167"/>
      <c r="AN449" s="167" t="s">
        <v>70</v>
      </c>
      <c r="AO449" s="167" t="s">
        <v>70</v>
      </c>
      <c r="AP449" s="167" t="s">
        <v>70</v>
      </c>
      <c r="AQ449" s="167" t="s">
        <v>70</v>
      </c>
      <c r="AR449" s="166" t="s">
        <v>69</v>
      </c>
      <c r="AS449" s="167" t="s">
        <v>70</v>
      </c>
      <c r="AT449" s="167" t="s">
        <v>70</v>
      </c>
      <c r="AU449" s="167" t="s">
        <v>70</v>
      </c>
      <c r="AV449" s="167" t="s">
        <v>70</v>
      </c>
      <c r="AW449" s="167" t="s">
        <v>70</v>
      </c>
      <c r="AX449" s="167" t="s">
        <v>70</v>
      </c>
      <c r="AY449" s="167" t="s">
        <v>70</v>
      </c>
      <c r="AZ449" s="167" t="s">
        <v>70</v>
      </c>
      <c r="BA449" s="167" t="s">
        <v>70</v>
      </c>
      <c r="BB449" s="167" t="s">
        <v>70</v>
      </c>
      <c r="BC449" s="167" t="s">
        <v>70</v>
      </c>
      <c r="BD449" s="167" t="s">
        <v>70</v>
      </c>
      <c r="BE449" s="167" t="s">
        <v>70</v>
      </c>
      <c r="BF449" s="167" t="s">
        <v>70</v>
      </c>
      <c r="BG449" s="167" t="s">
        <v>70</v>
      </c>
      <c r="BH449" s="167" t="s">
        <v>70</v>
      </c>
      <c r="BI449" s="167" t="s">
        <v>70</v>
      </c>
      <c r="BJ449" s="167" t="s">
        <v>70</v>
      </c>
      <c r="BK449" s="167" t="s">
        <v>70</v>
      </c>
      <c r="BL449" s="167" t="s">
        <v>70</v>
      </c>
      <c r="BM449" s="167" t="s">
        <v>70</v>
      </c>
      <c r="BN449" s="167" t="s">
        <v>70</v>
      </c>
      <c r="BO449" s="167" t="s">
        <v>70</v>
      </c>
      <c r="BP449" s="167" t="s">
        <v>70</v>
      </c>
      <c r="BQ449" s="151" t="s">
        <v>256</v>
      </c>
    </row>
    <row r="450" spans="1:135" s="151" customFormat="1" ht="19.5" customHeight="1" x14ac:dyDescent="0.2">
      <c r="A450" s="117">
        <v>448</v>
      </c>
      <c r="B450" s="161" t="s">
        <v>607</v>
      </c>
      <c r="C450" s="161">
        <v>83119342</v>
      </c>
      <c r="D450" s="161" t="s">
        <v>844</v>
      </c>
      <c r="E450" s="144" t="s">
        <v>606</v>
      </c>
      <c r="F450" s="146" t="s">
        <v>208</v>
      </c>
      <c r="G450" s="89">
        <v>44889</v>
      </c>
      <c r="H450" s="89">
        <v>45883</v>
      </c>
      <c r="I450" s="89">
        <v>45883</v>
      </c>
      <c r="J450" s="162">
        <f>IF(I450="", "", DATE(YEAR(I450)+2, MONTH(I450), DAY(I450)))</f>
        <v>46613</v>
      </c>
      <c r="K450" s="89">
        <v>44855</v>
      </c>
      <c r="L450" s="89">
        <v>46246</v>
      </c>
      <c r="M450" s="163">
        <f>IF(L450="", "", DATE(YEAR(L450)+2, MONTH(L450), DAY(L450)))</f>
        <v>46977</v>
      </c>
      <c r="N450" s="175" t="s">
        <v>69</v>
      </c>
      <c r="O450" s="89">
        <v>45349</v>
      </c>
      <c r="P450" s="89">
        <v>44203</v>
      </c>
      <c r="Q450" s="166" t="s">
        <v>69</v>
      </c>
      <c r="R450" s="166" t="s">
        <v>69</v>
      </c>
      <c r="S450" s="166" t="s">
        <v>69</v>
      </c>
      <c r="T450" s="168">
        <v>46087</v>
      </c>
      <c r="U450" s="166" t="s">
        <v>69</v>
      </c>
      <c r="V450" s="166" t="s">
        <v>69</v>
      </c>
      <c r="W450" s="166" t="s">
        <v>69</v>
      </c>
      <c r="X450" s="168">
        <v>45798</v>
      </c>
      <c r="Y450" s="168">
        <v>45663</v>
      </c>
      <c r="Z450" s="166" t="s">
        <v>69</v>
      </c>
      <c r="AA450" s="166" t="s">
        <v>69</v>
      </c>
      <c r="AB450" s="166" t="s">
        <v>69</v>
      </c>
      <c r="AC450" s="166" t="s">
        <v>69</v>
      </c>
      <c r="AD450" s="167" t="s">
        <v>71</v>
      </c>
      <c r="AE450" s="167" t="s">
        <v>70</v>
      </c>
      <c r="AF450" s="94">
        <v>45916</v>
      </c>
      <c r="AG450" s="112" t="s">
        <v>69</v>
      </c>
      <c r="AH450" s="167" t="s">
        <v>71</v>
      </c>
      <c r="AI450" s="167" t="s">
        <v>70</v>
      </c>
      <c r="AJ450" s="167" t="s">
        <v>70</v>
      </c>
      <c r="AK450" s="167" t="s">
        <v>70</v>
      </c>
      <c r="AL450" s="166" t="s">
        <v>69</v>
      </c>
      <c r="AM450" s="166"/>
      <c r="AN450" s="166" t="s">
        <v>69</v>
      </c>
      <c r="AO450" s="167" t="s">
        <v>70</v>
      </c>
      <c r="AP450" s="168">
        <v>46050</v>
      </c>
      <c r="AQ450" s="166" t="s">
        <v>69</v>
      </c>
      <c r="AR450" s="168">
        <v>46055</v>
      </c>
      <c r="AS450" s="94">
        <v>45940</v>
      </c>
      <c r="AT450" s="166" t="s">
        <v>69</v>
      </c>
      <c r="AU450" s="166" t="s">
        <v>69</v>
      </c>
      <c r="AV450" s="166" t="s">
        <v>69</v>
      </c>
      <c r="AW450" s="167" t="s">
        <v>70</v>
      </c>
      <c r="AX450" s="167" t="s">
        <v>70</v>
      </c>
      <c r="AY450" s="166" t="s">
        <v>69</v>
      </c>
      <c r="AZ450" s="166" t="s">
        <v>69</v>
      </c>
      <c r="BA450" s="166" t="s">
        <v>69</v>
      </c>
      <c r="BB450" s="167" t="s">
        <v>70</v>
      </c>
      <c r="BC450" s="167" t="s">
        <v>70</v>
      </c>
      <c r="BD450" s="167" t="s">
        <v>70</v>
      </c>
      <c r="BE450" s="167" t="s">
        <v>70</v>
      </c>
      <c r="BF450" s="167" t="s">
        <v>70</v>
      </c>
      <c r="BG450" s="169" t="s">
        <v>70</v>
      </c>
      <c r="BH450" s="169" t="s">
        <v>70</v>
      </c>
      <c r="BI450" s="169" t="s">
        <v>70</v>
      </c>
      <c r="BJ450" s="167" t="s">
        <v>70</v>
      </c>
      <c r="BK450" s="167" t="s">
        <v>70</v>
      </c>
      <c r="BL450" s="167" t="s">
        <v>70</v>
      </c>
      <c r="BM450" s="167" t="s">
        <v>70</v>
      </c>
      <c r="BN450" s="167" t="s">
        <v>70</v>
      </c>
      <c r="BO450" s="167" t="s">
        <v>70</v>
      </c>
      <c r="BP450" s="167" t="s">
        <v>70</v>
      </c>
      <c r="BQ450" s="151">
        <v>0</v>
      </c>
      <c r="BR450" s="142"/>
      <c r="BS450" s="142"/>
      <c r="BT450" s="142"/>
      <c r="BU450" s="142"/>
      <c r="BV450" s="142"/>
      <c r="BW450" s="142"/>
      <c r="BX450" s="142"/>
      <c r="BY450" s="142"/>
      <c r="BZ450" s="142"/>
      <c r="CA450" s="142"/>
      <c r="CB450" s="142"/>
      <c r="CC450" s="142"/>
      <c r="CD450" s="142"/>
      <c r="CE450" s="142"/>
      <c r="CF450" s="142"/>
      <c r="CG450" s="142"/>
      <c r="CH450" s="142"/>
      <c r="CI450" s="142"/>
      <c r="CJ450" s="142"/>
      <c r="CK450" s="142"/>
      <c r="CL450" s="142"/>
      <c r="CM450" s="142"/>
      <c r="CN450" s="142"/>
      <c r="CO450" s="142"/>
      <c r="CP450" s="142"/>
      <c r="CQ450" s="142"/>
      <c r="CR450" s="142"/>
      <c r="CS450" s="142"/>
      <c r="CT450" s="142"/>
      <c r="CU450" s="142"/>
      <c r="CV450" s="142"/>
      <c r="CW450" s="142"/>
      <c r="CX450" s="142"/>
      <c r="CY450" s="142"/>
      <c r="CZ450" s="142"/>
      <c r="DA450" s="142"/>
      <c r="DB450" s="142"/>
      <c r="DC450" s="142"/>
      <c r="DD450" s="142"/>
      <c r="DE450" s="142"/>
      <c r="DF450" s="142"/>
      <c r="DG450" s="142"/>
      <c r="DH450" s="142"/>
      <c r="DI450" s="142"/>
      <c r="DJ450" s="142"/>
      <c r="DK450" s="142"/>
      <c r="DL450" s="142"/>
      <c r="DM450" s="142"/>
      <c r="DN450" s="142"/>
      <c r="DO450" s="142"/>
      <c r="DP450" s="142"/>
      <c r="DQ450" s="142"/>
      <c r="DR450" s="142"/>
      <c r="DS450" s="142"/>
      <c r="DT450" s="142"/>
      <c r="DU450" s="142"/>
      <c r="DV450" s="142"/>
      <c r="DW450" s="142"/>
      <c r="DX450" s="142"/>
      <c r="DY450" s="142"/>
      <c r="DZ450" s="142"/>
      <c r="EA450" s="142"/>
      <c r="EB450" s="142"/>
      <c r="EC450" s="142"/>
      <c r="ED450" s="142"/>
      <c r="EE450" s="142"/>
    </row>
    <row r="451" spans="1:135" s="151" customFormat="1" ht="19.5" customHeight="1" x14ac:dyDescent="0.2">
      <c r="A451" s="117">
        <v>449</v>
      </c>
      <c r="B451" s="174" t="s">
        <v>608</v>
      </c>
      <c r="C451" s="144">
        <v>201434</v>
      </c>
      <c r="D451" s="117" t="s">
        <v>73</v>
      </c>
      <c r="E451" s="117" t="s">
        <v>609</v>
      </c>
      <c r="F451" s="146" t="s">
        <v>208</v>
      </c>
      <c r="G451" s="124">
        <v>44223</v>
      </c>
      <c r="H451" s="111">
        <v>45554</v>
      </c>
      <c r="I451" s="111">
        <v>46280</v>
      </c>
      <c r="J451" s="162">
        <f>IF(I451="", "", DATE(YEAR(I451)+2, MONTH(I451), DAY(I451)))</f>
        <v>47011</v>
      </c>
      <c r="K451" s="111">
        <v>45625</v>
      </c>
      <c r="L451" s="111">
        <v>46301</v>
      </c>
      <c r="M451" s="163">
        <f>IF(L451="", "", DATE(YEAR(L451)+2, MONTH(L451), DAY(L451)))</f>
        <v>47032</v>
      </c>
      <c r="N451" s="111">
        <v>45594</v>
      </c>
      <c r="O451" s="111">
        <v>45323</v>
      </c>
      <c r="P451" s="111">
        <v>45602</v>
      </c>
      <c r="Q451" s="166" t="s">
        <v>69</v>
      </c>
      <c r="R451" s="166" t="s">
        <v>69</v>
      </c>
      <c r="S451" s="166" t="s">
        <v>69</v>
      </c>
      <c r="T451" s="168">
        <v>46031</v>
      </c>
      <c r="U451" s="166" t="s">
        <v>69</v>
      </c>
      <c r="V451" s="168">
        <v>46213</v>
      </c>
      <c r="W451" s="166" t="s">
        <v>69</v>
      </c>
      <c r="X451" s="166" t="s">
        <v>69</v>
      </c>
      <c r="Y451" s="166" t="s">
        <v>69</v>
      </c>
      <c r="Z451" s="166" t="s">
        <v>69</v>
      </c>
      <c r="AA451" s="166" t="s">
        <v>69</v>
      </c>
      <c r="AB451" s="166" t="s">
        <v>69</v>
      </c>
      <c r="AC451" s="166" t="s">
        <v>69</v>
      </c>
      <c r="AD451" s="167" t="s">
        <v>71</v>
      </c>
      <c r="AE451" s="167" t="s">
        <v>70</v>
      </c>
      <c r="AF451" s="112">
        <v>46261</v>
      </c>
      <c r="AG451" s="112" t="s">
        <v>69</v>
      </c>
      <c r="AH451" s="167" t="s">
        <v>71</v>
      </c>
      <c r="AI451" s="167" t="s">
        <v>70</v>
      </c>
      <c r="AJ451" s="167" t="s">
        <v>70</v>
      </c>
      <c r="AK451" s="167" t="s">
        <v>70</v>
      </c>
      <c r="AL451" s="166" t="s">
        <v>69</v>
      </c>
      <c r="AM451" s="166"/>
      <c r="AN451" s="166" t="s">
        <v>69</v>
      </c>
      <c r="AO451" s="167" t="s">
        <v>70</v>
      </c>
      <c r="AP451" s="168">
        <v>46162</v>
      </c>
      <c r="AQ451" s="166" t="s">
        <v>69</v>
      </c>
      <c r="AR451" s="166" t="s">
        <v>69</v>
      </c>
      <c r="AS451" s="168">
        <v>46066</v>
      </c>
      <c r="AT451" s="166" t="s">
        <v>69</v>
      </c>
      <c r="AU451" s="166" t="s">
        <v>69</v>
      </c>
      <c r="AV451" s="166" t="s">
        <v>69</v>
      </c>
      <c r="AW451" s="166" t="s">
        <v>69</v>
      </c>
      <c r="AX451" s="166" t="s">
        <v>69</v>
      </c>
      <c r="AY451" s="166" t="s">
        <v>69</v>
      </c>
      <c r="AZ451" s="166" t="s">
        <v>69</v>
      </c>
      <c r="BA451" s="166" t="s">
        <v>69</v>
      </c>
      <c r="BB451" s="166" t="s">
        <v>69</v>
      </c>
      <c r="BC451" s="166" t="s">
        <v>69</v>
      </c>
      <c r="BD451" s="166" t="s">
        <v>69</v>
      </c>
      <c r="BE451" s="166" t="s">
        <v>69</v>
      </c>
      <c r="BF451" s="166" t="s">
        <v>69</v>
      </c>
      <c r="BG451" s="167" t="s">
        <v>70</v>
      </c>
      <c r="BH451" s="166" t="s">
        <v>69</v>
      </c>
      <c r="BI451" s="166" t="s">
        <v>69</v>
      </c>
      <c r="BJ451" s="167" t="s">
        <v>70</v>
      </c>
      <c r="BK451" s="166" t="s">
        <v>69</v>
      </c>
      <c r="BL451" s="167" t="s">
        <v>70</v>
      </c>
      <c r="BM451" s="167" t="s">
        <v>70</v>
      </c>
      <c r="BN451" s="167" t="s">
        <v>70</v>
      </c>
      <c r="BO451" s="167" t="s">
        <v>70</v>
      </c>
      <c r="BP451" s="167" t="s">
        <v>70</v>
      </c>
      <c r="BQ451" s="151">
        <v>0</v>
      </c>
      <c r="BR451" s="142"/>
      <c r="BS451" s="142"/>
      <c r="BT451" s="142"/>
      <c r="BU451" s="142"/>
      <c r="BV451" s="142"/>
      <c r="BW451" s="142"/>
      <c r="BX451" s="142"/>
      <c r="BY451" s="142"/>
      <c r="BZ451" s="142"/>
      <c r="CA451" s="142"/>
      <c r="CB451" s="142"/>
      <c r="CC451" s="142"/>
      <c r="CD451" s="142"/>
      <c r="CE451" s="142"/>
      <c r="CF451" s="142"/>
      <c r="CG451" s="142"/>
      <c r="CH451" s="142"/>
      <c r="CI451" s="142"/>
      <c r="CJ451" s="142"/>
      <c r="CK451" s="142"/>
      <c r="CL451" s="142"/>
      <c r="CM451" s="142"/>
      <c r="CN451" s="142"/>
      <c r="CO451" s="142"/>
      <c r="CP451" s="142"/>
      <c r="CQ451" s="142"/>
      <c r="CR451" s="142"/>
      <c r="CS451" s="142"/>
      <c r="CT451" s="142"/>
      <c r="CU451" s="142"/>
      <c r="CV451" s="142"/>
      <c r="CW451" s="142"/>
      <c r="CX451" s="142"/>
      <c r="CY451" s="142"/>
      <c r="CZ451" s="142"/>
      <c r="DA451" s="142"/>
      <c r="DB451" s="142"/>
      <c r="DC451" s="142"/>
      <c r="DD451" s="142"/>
      <c r="DE451" s="142"/>
      <c r="DF451" s="142"/>
      <c r="DG451" s="142"/>
      <c r="DH451" s="142"/>
      <c r="DI451" s="142"/>
      <c r="DJ451" s="142"/>
      <c r="DK451" s="142"/>
      <c r="DL451" s="142"/>
      <c r="DM451" s="142"/>
      <c r="DN451" s="142"/>
      <c r="DO451" s="142"/>
      <c r="DP451" s="142"/>
      <c r="DQ451" s="142"/>
      <c r="DR451" s="142"/>
      <c r="DS451" s="142"/>
      <c r="DT451" s="142"/>
      <c r="DU451" s="142"/>
      <c r="DV451" s="142"/>
      <c r="DW451" s="142"/>
      <c r="DX451" s="142"/>
      <c r="DY451" s="142"/>
      <c r="DZ451" s="142"/>
      <c r="EA451" s="142"/>
      <c r="EB451" s="142"/>
      <c r="EC451" s="142"/>
      <c r="ED451" s="142"/>
      <c r="EE451" s="141"/>
    </row>
    <row r="452" spans="1:135" s="151" customFormat="1" ht="19.5" customHeight="1" x14ac:dyDescent="0.2">
      <c r="A452" s="117">
        <v>450</v>
      </c>
      <c r="B452" s="174" t="s">
        <v>610</v>
      </c>
      <c r="C452" s="144">
        <v>141670</v>
      </c>
      <c r="D452" s="117" t="s">
        <v>73</v>
      </c>
      <c r="E452" s="117" t="s">
        <v>609</v>
      </c>
      <c r="F452" s="146" t="s">
        <v>208</v>
      </c>
      <c r="G452" s="162">
        <v>41859</v>
      </c>
      <c r="H452" s="172">
        <v>42228</v>
      </c>
      <c r="I452" s="172">
        <v>45888</v>
      </c>
      <c r="J452" s="162">
        <f>IF(I452="", "", DATE(YEAR(I452)+2, MONTH(I452), DAY(I452)))</f>
        <v>46618</v>
      </c>
      <c r="K452" s="111">
        <v>41856</v>
      </c>
      <c r="L452" s="163">
        <v>46127</v>
      </c>
      <c r="M452" s="163">
        <f>IF(L452="", "", DATE(YEAR(L452)+2, MONTH(L452), DAY(L452)))</f>
        <v>46858</v>
      </c>
      <c r="N452" s="111">
        <v>45434</v>
      </c>
      <c r="O452" s="111">
        <v>45347</v>
      </c>
      <c r="P452" s="111">
        <v>42404</v>
      </c>
      <c r="Q452" s="166" t="s">
        <v>69</v>
      </c>
      <c r="R452" s="166" t="s">
        <v>69</v>
      </c>
      <c r="S452" s="166" t="s">
        <v>69</v>
      </c>
      <c r="T452" s="166" t="s">
        <v>69</v>
      </c>
      <c r="U452" s="168">
        <v>46300</v>
      </c>
      <c r="V452" s="168">
        <v>46146</v>
      </c>
      <c r="W452" s="166" t="s">
        <v>69</v>
      </c>
      <c r="X452" s="166" t="s">
        <v>69</v>
      </c>
      <c r="Y452" s="166" t="s">
        <v>69</v>
      </c>
      <c r="Z452" s="166" t="s">
        <v>69</v>
      </c>
      <c r="AA452" s="166" t="s">
        <v>69</v>
      </c>
      <c r="AB452" s="166" t="s">
        <v>69</v>
      </c>
      <c r="AC452" s="166" t="s">
        <v>69</v>
      </c>
      <c r="AD452" s="167" t="s">
        <v>71</v>
      </c>
      <c r="AE452" s="167" t="s">
        <v>70</v>
      </c>
      <c r="AF452" s="94">
        <v>44931</v>
      </c>
      <c r="AG452" s="112" t="s">
        <v>69</v>
      </c>
      <c r="AH452" s="167" t="s">
        <v>71</v>
      </c>
      <c r="AI452" s="167" t="s">
        <v>70</v>
      </c>
      <c r="AJ452" s="167" t="s">
        <v>70</v>
      </c>
      <c r="AK452" s="167" t="s">
        <v>70</v>
      </c>
      <c r="AL452" s="166" t="s">
        <v>69</v>
      </c>
      <c r="AM452" s="166"/>
      <c r="AN452" s="166" t="s">
        <v>69</v>
      </c>
      <c r="AO452" s="167" t="s">
        <v>70</v>
      </c>
      <c r="AP452" s="166" t="s">
        <v>69</v>
      </c>
      <c r="AQ452" s="166" t="s">
        <v>69</v>
      </c>
      <c r="AR452" s="168">
        <v>46090</v>
      </c>
      <c r="AS452" s="168">
        <v>46031</v>
      </c>
      <c r="AT452" s="166" t="s">
        <v>69</v>
      </c>
      <c r="AU452" s="166" t="s">
        <v>69</v>
      </c>
      <c r="AV452" s="166" t="s">
        <v>69</v>
      </c>
      <c r="AW452" s="166" t="s">
        <v>69</v>
      </c>
      <c r="AX452" s="166" t="s">
        <v>69</v>
      </c>
      <c r="AY452" s="166" t="s">
        <v>69</v>
      </c>
      <c r="AZ452" s="166" t="s">
        <v>69</v>
      </c>
      <c r="BA452" s="166" t="s">
        <v>69</v>
      </c>
      <c r="BB452" s="166" t="s">
        <v>69</v>
      </c>
      <c r="BC452" s="166" t="s">
        <v>69</v>
      </c>
      <c r="BD452" s="166" t="s">
        <v>69</v>
      </c>
      <c r="BE452" s="166" t="s">
        <v>69</v>
      </c>
      <c r="BF452" s="166" t="s">
        <v>69</v>
      </c>
      <c r="BG452" s="167" t="s">
        <v>70</v>
      </c>
      <c r="BH452" s="166" t="s">
        <v>69</v>
      </c>
      <c r="BI452" s="166" t="s">
        <v>69</v>
      </c>
      <c r="BJ452" s="167" t="s">
        <v>70</v>
      </c>
      <c r="BK452" s="166" t="s">
        <v>69</v>
      </c>
      <c r="BL452" s="167" t="s">
        <v>70</v>
      </c>
      <c r="BM452" s="167" t="s">
        <v>70</v>
      </c>
      <c r="BN452" s="167" t="s">
        <v>70</v>
      </c>
      <c r="BO452" s="167" t="s">
        <v>70</v>
      </c>
      <c r="BP452" s="167" t="s">
        <v>70</v>
      </c>
      <c r="BQ452" s="151">
        <v>0</v>
      </c>
      <c r="BR452" s="142"/>
      <c r="BS452" s="142"/>
      <c r="BT452" s="142"/>
      <c r="BU452" s="142"/>
      <c r="BV452" s="142"/>
      <c r="BW452" s="142"/>
      <c r="BX452" s="142"/>
      <c r="BY452" s="142"/>
      <c r="BZ452" s="142"/>
      <c r="CA452" s="142"/>
      <c r="CB452" s="142"/>
      <c r="CC452" s="142"/>
      <c r="CD452" s="142"/>
      <c r="CE452" s="142"/>
      <c r="CF452" s="142"/>
      <c r="CG452" s="142"/>
      <c r="CH452" s="142"/>
      <c r="CI452" s="142"/>
      <c r="CJ452" s="142"/>
      <c r="CK452" s="142"/>
      <c r="CL452" s="142"/>
      <c r="CM452" s="142"/>
      <c r="CN452" s="142"/>
      <c r="CO452" s="142"/>
      <c r="CP452" s="142"/>
      <c r="CQ452" s="142"/>
      <c r="CR452" s="142"/>
      <c r="CS452" s="142"/>
      <c r="CT452" s="142"/>
      <c r="CU452" s="142"/>
      <c r="CV452" s="142"/>
      <c r="CW452" s="142"/>
      <c r="CX452" s="142"/>
      <c r="CY452" s="142"/>
      <c r="CZ452" s="142"/>
      <c r="DA452" s="142"/>
      <c r="DB452" s="142"/>
      <c r="DC452" s="142"/>
      <c r="DD452" s="142"/>
      <c r="DE452" s="142"/>
      <c r="DF452" s="142"/>
      <c r="DG452" s="142"/>
      <c r="DH452" s="142"/>
      <c r="DI452" s="142"/>
      <c r="DJ452" s="142"/>
      <c r="DK452" s="142"/>
      <c r="DL452" s="142"/>
      <c r="DM452" s="142"/>
      <c r="DN452" s="142"/>
      <c r="DO452" s="142"/>
      <c r="DP452" s="142"/>
      <c r="DQ452" s="142"/>
      <c r="DR452" s="142"/>
      <c r="DS452" s="142"/>
      <c r="DT452" s="142"/>
      <c r="DU452" s="142"/>
      <c r="DV452" s="142"/>
      <c r="DW452" s="142"/>
      <c r="DX452" s="142"/>
      <c r="DY452" s="142"/>
      <c r="DZ452" s="142"/>
      <c r="EA452" s="142"/>
      <c r="EB452" s="142"/>
      <c r="EC452" s="142"/>
      <c r="ED452" s="142"/>
      <c r="EE452" s="141"/>
    </row>
    <row r="453" spans="1:135" s="151" customFormat="1" ht="19.5" customHeight="1" x14ac:dyDescent="0.2">
      <c r="A453" s="117">
        <v>451</v>
      </c>
      <c r="B453" s="117" t="s">
        <v>670</v>
      </c>
      <c r="C453" s="117">
        <v>142961</v>
      </c>
      <c r="D453" s="117" t="s">
        <v>73</v>
      </c>
      <c r="E453" s="117" t="s">
        <v>606</v>
      </c>
      <c r="F453" s="146" t="s">
        <v>256</v>
      </c>
      <c r="G453" s="124" t="s">
        <v>69</v>
      </c>
      <c r="H453" s="89">
        <v>46135</v>
      </c>
      <c r="I453" s="89">
        <v>46135</v>
      </c>
      <c r="J453" s="162">
        <f>IF(I453="", "", DATE(YEAR(I453)+2, MONTH(I453), DAY(I453)))</f>
        <v>46866</v>
      </c>
      <c r="K453" s="89">
        <v>46220</v>
      </c>
      <c r="L453" s="89">
        <v>46220</v>
      </c>
      <c r="M453" s="89">
        <v>46951</v>
      </c>
      <c r="N453" s="89">
        <v>45772</v>
      </c>
      <c r="O453" s="93">
        <v>45771</v>
      </c>
      <c r="P453" s="89">
        <v>45768</v>
      </c>
      <c r="Q453" s="165" t="s">
        <v>69</v>
      </c>
      <c r="R453" s="165" t="s">
        <v>69</v>
      </c>
      <c r="S453" s="165" t="s">
        <v>69</v>
      </c>
      <c r="T453" s="165" t="s">
        <v>69</v>
      </c>
      <c r="U453" s="112">
        <v>46045</v>
      </c>
      <c r="V453" s="112">
        <v>46241</v>
      </c>
      <c r="W453" s="165" t="s">
        <v>69</v>
      </c>
      <c r="X453" s="165" t="s">
        <v>69</v>
      </c>
      <c r="Y453" s="165" t="s">
        <v>69</v>
      </c>
      <c r="Z453" s="165" t="s">
        <v>69</v>
      </c>
      <c r="AA453" s="165" t="s">
        <v>69</v>
      </c>
      <c r="AB453" s="166" t="s">
        <v>69</v>
      </c>
      <c r="AC453" s="166" t="s">
        <v>69</v>
      </c>
      <c r="AD453" s="167" t="s">
        <v>71</v>
      </c>
      <c r="AE453" s="167" t="s">
        <v>70</v>
      </c>
      <c r="AF453" s="111">
        <v>45972</v>
      </c>
      <c r="AG453" s="112" t="s">
        <v>69</v>
      </c>
      <c r="AH453" s="167" t="s">
        <v>71</v>
      </c>
      <c r="AI453" s="111">
        <v>45694</v>
      </c>
      <c r="AJ453" s="167" t="s">
        <v>70</v>
      </c>
      <c r="AK453" s="167" t="s">
        <v>70</v>
      </c>
      <c r="AL453" s="166" t="s">
        <v>69</v>
      </c>
      <c r="AM453" s="166"/>
      <c r="AN453" s="166" t="s">
        <v>69</v>
      </c>
      <c r="AO453" s="167" t="s">
        <v>70</v>
      </c>
      <c r="AP453" s="166" t="s">
        <v>69</v>
      </c>
      <c r="AQ453" s="166" t="s">
        <v>69</v>
      </c>
      <c r="AR453" s="166" t="s">
        <v>69</v>
      </c>
      <c r="AS453" s="94">
        <v>45904</v>
      </c>
      <c r="AT453" s="166" t="s">
        <v>69</v>
      </c>
      <c r="AU453" s="166" t="s">
        <v>69</v>
      </c>
      <c r="AV453" s="166" t="s">
        <v>69</v>
      </c>
      <c r="AW453" s="166" t="s">
        <v>69</v>
      </c>
      <c r="AX453" s="166" t="s">
        <v>69</v>
      </c>
      <c r="AY453" s="166" t="s">
        <v>69</v>
      </c>
      <c r="AZ453" s="166" t="s">
        <v>69</v>
      </c>
      <c r="BA453" s="166" t="s">
        <v>69</v>
      </c>
      <c r="BB453" s="166" t="s">
        <v>69</v>
      </c>
      <c r="BC453" s="166" t="s">
        <v>69</v>
      </c>
      <c r="BD453" s="166" t="s">
        <v>69</v>
      </c>
      <c r="BE453" s="166" t="s">
        <v>69</v>
      </c>
      <c r="BF453" s="166" t="s">
        <v>69</v>
      </c>
      <c r="BG453" s="167" t="s">
        <v>70</v>
      </c>
      <c r="BH453" s="166" t="s">
        <v>69</v>
      </c>
      <c r="BI453" s="166" t="s">
        <v>69</v>
      </c>
      <c r="BJ453" s="167" t="s">
        <v>70</v>
      </c>
      <c r="BK453" s="166" t="s">
        <v>69</v>
      </c>
      <c r="BL453" s="167" t="s">
        <v>70</v>
      </c>
      <c r="BM453" s="167" t="s">
        <v>70</v>
      </c>
      <c r="BN453" s="167" t="s">
        <v>70</v>
      </c>
      <c r="BO453" s="167" t="s">
        <v>70</v>
      </c>
      <c r="BP453" s="167" t="s">
        <v>70</v>
      </c>
      <c r="BQ453" s="151">
        <v>0</v>
      </c>
    </row>
    <row r="454" spans="1:135" s="242" customFormat="1" ht="19.5" customHeight="1" x14ac:dyDescent="0.2">
      <c r="A454" s="117">
        <v>452</v>
      </c>
      <c r="B454" s="241" t="s">
        <v>865</v>
      </c>
      <c r="C454" s="241">
        <v>141671</v>
      </c>
      <c r="D454" s="241" t="s">
        <v>864</v>
      </c>
      <c r="E454" s="241" t="s">
        <v>606</v>
      </c>
      <c r="F454" s="146" t="s">
        <v>208</v>
      </c>
      <c r="G454" s="162">
        <v>42249</v>
      </c>
      <c r="H454" s="180">
        <v>42418</v>
      </c>
      <c r="I454" s="180">
        <v>46301</v>
      </c>
      <c r="J454" s="162">
        <f>IF(I454="", "", DATE(YEAR(I454)+2, MONTH(I454), DAY(I454)))</f>
        <v>47032</v>
      </c>
      <c r="K454" s="180">
        <v>42418</v>
      </c>
      <c r="L454" s="180">
        <v>45240</v>
      </c>
      <c r="M454" s="163">
        <f>IF(L454="", "", DATE(YEAR(L454)+2, MONTH(L454), DAY(L454)))</f>
        <v>45971</v>
      </c>
      <c r="N454" s="111"/>
      <c r="O454" s="111">
        <v>45026</v>
      </c>
      <c r="P454" s="111">
        <v>42263</v>
      </c>
      <c r="Q454" s="166" t="s">
        <v>69</v>
      </c>
      <c r="R454" s="166" t="s">
        <v>69</v>
      </c>
      <c r="S454" s="166" t="s">
        <v>69</v>
      </c>
      <c r="T454" s="166" t="s">
        <v>69</v>
      </c>
      <c r="U454" s="166" t="s">
        <v>69</v>
      </c>
      <c r="V454" s="168" t="s">
        <v>69</v>
      </c>
      <c r="W454" s="166" t="s">
        <v>69</v>
      </c>
      <c r="X454" s="166" t="s">
        <v>69</v>
      </c>
      <c r="Y454" s="166" t="s">
        <v>69</v>
      </c>
      <c r="Z454" s="166" t="s">
        <v>69</v>
      </c>
      <c r="AA454" s="166" t="s">
        <v>69</v>
      </c>
      <c r="AB454" s="166" t="s">
        <v>69</v>
      </c>
      <c r="AC454" s="166" t="s">
        <v>69</v>
      </c>
      <c r="AD454" s="167" t="s">
        <v>71</v>
      </c>
      <c r="AE454" s="167" t="s">
        <v>70</v>
      </c>
      <c r="AF454" s="112">
        <v>46287</v>
      </c>
      <c r="AG454" s="112" t="s">
        <v>69</v>
      </c>
      <c r="AH454" s="167" t="s">
        <v>71</v>
      </c>
      <c r="AI454" s="167" t="s">
        <v>70</v>
      </c>
      <c r="AJ454" s="167" t="s">
        <v>70</v>
      </c>
      <c r="AK454" s="167" t="s">
        <v>70</v>
      </c>
      <c r="AL454" s="166" t="s">
        <v>69</v>
      </c>
      <c r="AM454" s="166" t="s">
        <v>69</v>
      </c>
      <c r="AN454" s="166" t="s">
        <v>69</v>
      </c>
      <c r="AO454" s="167" t="s">
        <v>70</v>
      </c>
      <c r="AP454" s="166" t="s">
        <v>69</v>
      </c>
      <c r="AQ454" s="166" t="s">
        <v>69</v>
      </c>
      <c r="AR454" s="166" t="s">
        <v>69</v>
      </c>
      <c r="AS454" s="166" t="s">
        <v>69</v>
      </c>
      <c r="AT454" s="166" t="s">
        <v>69</v>
      </c>
      <c r="AU454" s="166" t="s">
        <v>69</v>
      </c>
      <c r="AV454" s="166" t="s">
        <v>69</v>
      </c>
      <c r="AW454" s="166" t="s">
        <v>69</v>
      </c>
      <c r="AX454" s="166" t="s">
        <v>69</v>
      </c>
      <c r="AY454" s="166" t="s">
        <v>69</v>
      </c>
      <c r="AZ454" s="166" t="s">
        <v>69</v>
      </c>
      <c r="BA454" s="166" t="s">
        <v>69</v>
      </c>
      <c r="BB454" s="166" t="s">
        <v>69</v>
      </c>
      <c r="BC454" s="166" t="s">
        <v>69</v>
      </c>
      <c r="BD454" s="166" t="s">
        <v>69</v>
      </c>
      <c r="BE454" s="166" t="s">
        <v>69</v>
      </c>
      <c r="BF454" s="166" t="s">
        <v>69</v>
      </c>
      <c r="BG454" s="167" t="s">
        <v>70</v>
      </c>
      <c r="BH454" s="166" t="s">
        <v>69</v>
      </c>
      <c r="BI454" s="166" t="s">
        <v>69</v>
      </c>
      <c r="BJ454" s="167" t="s">
        <v>70</v>
      </c>
      <c r="BK454" s="166" t="s">
        <v>69</v>
      </c>
      <c r="BL454" s="167" t="s">
        <v>70</v>
      </c>
      <c r="BM454" s="167" t="s">
        <v>70</v>
      </c>
      <c r="BN454" s="167" t="s">
        <v>70</v>
      </c>
      <c r="BO454" s="167" t="s">
        <v>70</v>
      </c>
      <c r="BP454" s="167" t="s">
        <v>70</v>
      </c>
      <c r="BQ454" s="151" t="e">
        <v>#N/A</v>
      </c>
      <c r="BR454" s="142"/>
      <c r="BS454" s="142"/>
      <c r="BT454" s="142"/>
      <c r="BU454" s="142"/>
      <c r="BV454" s="142"/>
      <c r="BW454" s="142"/>
      <c r="BX454" s="142"/>
      <c r="BY454" s="142"/>
      <c r="BZ454" s="142"/>
      <c r="CA454" s="142"/>
      <c r="CB454" s="142"/>
      <c r="CC454" s="142"/>
      <c r="CD454" s="142"/>
      <c r="CE454" s="142"/>
      <c r="CF454" s="142"/>
      <c r="CG454" s="142"/>
      <c r="CH454" s="142"/>
      <c r="CI454" s="142"/>
      <c r="CJ454" s="142"/>
      <c r="CK454" s="142"/>
      <c r="CL454" s="142"/>
      <c r="CM454" s="142"/>
      <c r="CN454" s="142"/>
      <c r="CO454" s="142"/>
      <c r="CP454" s="142"/>
      <c r="CQ454" s="142"/>
      <c r="CR454" s="142"/>
      <c r="CS454" s="142"/>
      <c r="CT454" s="142"/>
      <c r="CU454" s="142"/>
      <c r="CV454" s="142"/>
      <c r="CW454" s="142"/>
      <c r="CX454" s="142"/>
      <c r="CY454" s="142"/>
      <c r="CZ454" s="142"/>
      <c r="DA454" s="142"/>
      <c r="DB454" s="142"/>
      <c r="DC454" s="142"/>
      <c r="DD454" s="142"/>
      <c r="DE454" s="142"/>
      <c r="DF454" s="142"/>
      <c r="DG454" s="142"/>
      <c r="DH454" s="142"/>
      <c r="DI454" s="142"/>
      <c r="DJ454" s="142"/>
      <c r="DK454" s="142"/>
      <c r="DL454" s="142"/>
      <c r="DM454" s="142"/>
      <c r="DN454" s="142"/>
      <c r="DO454" s="142"/>
      <c r="DP454" s="142"/>
      <c r="DQ454" s="142"/>
      <c r="DR454" s="142"/>
      <c r="DS454" s="142"/>
      <c r="DT454" s="142"/>
      <c r="DU454" s="142"/>
      <c r="DV454" s="142"/>
      <c r="DW454" s="142"/>
      <c r="DX454" s="142"/>
      <c r="DY454" s="142"/>
      <c r="DZ454" s="142"/>
      <c r="EA454" s="142"/>
      <c r="EB454" s="142"/>
      <c r="EC454" s="142"/>
      <c r="ED454" s="142"/>
      <c r="EE454" s="142"/>
    </row>
    <row r="455" spans="1:135" s="151" customFormat="1" ht="19.5" customHeight="1" x14ac:dyDescent="0.2">
      <c r="A455" s="117">
        <v>453</v>
      </c>
      <c r="B455" s="161" t="s">
        <v>714</v>
      </c>
      <c r="C455" s="161">
        <v>83119340</v>
      </c>
      <c r="D455" s="161" t="s">
        <v>845</v>
      </c>
      <c r="E455" s="117" t="s">
        <v>606</v>
      </c>
      <c r="F455" s="146" t="s">
        <v>256</v>
      </c>
      <c r="G455" s="89">
        <v>40988</v>
      </c>
      <c r="H455" s="89">
        <v>45863</v>
      </c>
      <c r="I455" s="89">
        <v>45863</v>
      </c>
      <c r="J455" s="162">
        <f>IF(I455="", "", DATE(YEAR(I455)+3, MONTH(I455), DAY(I455)))</f>
        <v>46959</v>
      </c>
      <c r="K455" s="89">
        <v>45862</v>
      </c>
      <c r="L455" s="89">
        <v>45862</v>
      </c>
      <c r="M455" s="163">
        <f>IF(L455="", "", DATE(YEAR(L455)+3, MONTH(L455), DAY(L455)))</f>
        <v>46958</v>
      </c>
      <c r="N455" s="89">
        <v>45859</v>
      </c>
      <c r="O455" s="89">
        <v>45860</v>
      </c>
      <c r="P455" s="89">
        <v>45861</v>
      </c>
      <c r="Q455" s="167" t="s">
        <v>70</v>
      </c>
      <c r="R455" s="167" t="s">
        <v>70</v>
      </c>
      <c r="S455" s="167" t="s">
        <v>70</v>
      </c>
      <c r="T455" s="167" t="s">
        <v>70</v>
      </c>
      <c r="U455" s="167" t="s">
        <v>70</v>
      </c>
      <c r="V455" s="167" t="s">
        <v>70</v>
      </c>
      <c r="W455" s="167" t="s">
        <v>70</v>
      </c>
      <c r="X455" s="167" t="s">
        <v>70</v>
      </c>
      <c r="Y455" s="167" t="s">
        <v>70</v>
      </c>
      <c r="Z455" s="167" t="s">
        <v>70</v>
      </c>
      <c r="AA455" s="167" t="s">
        <v>70</v>
      </c>
      <c r="AB455" s="167" t="s">
        <v>70</v>
      </c>
      <c r="AC455" s="167" t="s">
        <v>70</v>
      </c>
      <c r="AD455" s="167" t="s">
        <v>70</v>
      </c>
      <c r="AE455" s="167" t="s">
        <v>70</v>
      </c>
      <c r="AF455" s="167" t="s">
        <v>70</v>
      </c>
      <c r="AG455" s="167" t="s">
        <v>70</v>
      </c>
      <c r="AH455" s="167" t="s">
        <v>70</v>
      </c>
      <c r="AI455" s="186">
        <v>45769</v>
      </c>
      <c r="AJ455" s="166" t="s">
        <v>69</v>
      </c>
      <c r="AK455" s="167" t="s">
        <v>70</v>
      </c>
      <c r="AL455" s="167" t="s">
        <v>70</v>
      </c>
      <c r="AM455" s="167"/>
      <c r="AN455" s="167" t="s">
        <v>70</v>
      </c>
      <c r="AO455" s="167" t="s">
        <v>70</v>
      </c>
      <c r="AP455" s="167" t="s">
        <v>70</v>
      </c>
      <c r="AQ455" s="167" t="s">
        <v>70</v>
      </c>
      <c r="AR455" s="168">
        <v>46034</v>
      </c>
      <c r="AS455" s="167" t="s">
        <v>70</v>
      </c>
      <c r="AT455" s="167" t="s">
        <v>70</v>
      </c>
      <c r="AU455" s="167" t="s">
        <v>70</v>
      </c>
      <c r="AV455" s="167" t="s">
        <v>70</v>
      </c>
      <c r="AW455" s="167" t="s">
        <v>70</v>
      </c>
      <c r="AX455" s="167" t="s">
        <v>70</v>
      </c>
      <c r="AY455" s="167" t="s">
        <v>70</v>
      </c>
      <c r="AZ455" s="167" t="s">
        <v>70</v>
      </c>
      <c r="BA455" s="167" t="s">
        <v>70</v>
      </c>
      <c r="BB455" s="167" t="s">
        <v>70</v>
      </c>
      <c r="BC455" s="167" t="s">
        <v>70</v>
      </c>
      <c r="BD455" s="167" t="s">
        <v>70</v>
      </c>
      <c r="BE455" s="167" t="s">
        <v>70</v>
      </c>
      <c r="BF455" s="167" t="s">
        <v>70</v>
      </c>
      <c r="BG455" s="167" t="s">
        <v>70</v>
      </c>
      <c r="BH455" s="167" t="s">
        <v>70</v>
      </c>
      <c r="BI455" s="167" t="s">
        <v>70</v>
      </c>
      <c r="BJ455" s="167" t="s">
        <v>70</v>
      </c>
      <c r="BK455" s="167" t="s">
        <v>70</v>
      </c>
      <c r="BL455" s="167" t="s">
        <v>70</v>
      </c>
      <c r="BM455" s="167" t="s">
        <v>70</v>
      </c>
      <c r="BN455" s="167" t="s">
        <v>70</v>
      </c>
      <c r="BO455" s="167" t="s">
        <v>70</v>
      </c>
      <c r="BP455" s="167" t="s">
        <v>70</v>
      </c>
      <c r="BQ455" s="151" t="s">
        <v>208</v>
      </c>
    </row>
    <row r="456" spans="1:135" s="151" customFormat="1" ht="19.5" customHeight="1" x14ac:dyDescent="0.2">
      <c r="A456" s="117">
        <v>454</v>
      </c>
      <c r="B456" s="117" t="s">
        <v>711</v>
      </c>
      <c r="C456" s="117">
        <v>83119336</v>
      </c>
      <c r="D456" s="117" t="s">
        <v>212</v>
      </c>
      <c r="E456" s="117" t="s">
        <v>606</v>
      </c>
      <c r="F456" s="146" t="s">
        <v>256</v>
      </c>
      <c r="G456" s="124" t="s">
        <v>69</v>
      </c>
      <c r="H456" s="89">
        <v>45798</v>
      </c>
      <c r="I456" s="89">
        <v>45798</v>
      </c>
      <c r="J456" s="162">
        <f>IF(I456="", "", DATE(YEAR(I456)+3, MONTH(I456), DAY(I456)))</f>
        <v>46894</v>
      </c>
      <c r="K456" s="93">
        <v>46247</v>
      </c>
      <c r="L456" s="93">
        <v>46247</v>
      </c>
      <c r="M456" s="92">
        <f>IF(L456="", "", DATE(YEAR(L456)+3, MONTH(L456), DAY(L456)))</f>
        <v>47343</v>
      </c>
      <c r="N456" s="89">
        <v>45800</v>
      </c>
      <c r="O456" s="89">
        <v>46258</v>
      </c>
      <c r="P456" s="89">
        <v>45796</v>
      </c>
      <c r="Q456" s="167" t="s">
        <v>70</v>
      </c>
      <c r="R456" s="167" t="s">
        <v>70</v>
      </c>
      <c r="S456" s="167" t="s">
        <v>70</v>
      </c>
      <c r="T456" s="167" t="s">
        <v>70</v>
      </c>
      <c r="U456" s="167" t="s">
        <v>70</v>
      </c>
      <c r="V456" s="167" t="s">
        <v>70</v>
      </c>
      <c r="W456" s="167" t="s">
        <v>70</v>
      </c>
      <c r="X456" s="167" t="s">
        <v>70</v>
      </c>
      <c r="Y456" s="167" t="s">
        <v>70</v>
      </c>
      <c r="Z456" s="167" t="s">
        <v>70</v>
      </c>
      <c r="AA456" s="167" t="s">
        <v>70</v>
      </c>
      <c r="AB456" s="167" t="s">
        <v>70</v>
      </c>
      <c r="AC456" s="167" t="s">
        <v>70</v>
      </c>
      <c r="AD456" s="167" t="s">
        <v>70</v>
      </c>
      <c r="AE456" s="167" t="s">
        <v>70</v>
      </c>
      <c r="AF456" s="167" t="s">
        <v>70</v>
      </c>
      <c r="AG456" s="167" t="s">
        <v>70</v>
      </c>
      <c r="AH456" s="167" t="s">
        <v>70</v>
      </c>
      <c r="AI456" s="111">
        <v>45694</v>
      </c>
      <c r="AJ456" s="166" t="s">
        <v>69</v>
      </c>
      <c r="AK456" s="167" t="s">
        <v>70</v>
      </c>
      <c r="AL456" s="167" t="s">
        <v>70</v>
      </c>
      <c r="AM456" s="167"/>
      <c r="AN456" s="167" t="s">
        <v>70</v>
      </c>
      <c r="AO456" s="167" t="s">
        <v>70</v>
      </c>
      <c r="AP456" s="167" t="s">
        <v>70</v>
      </c>
      <c r="AQ456" s="167" t="s">
        <v>70</v>
      </c>
      <c r="AR456" s="166" t="s">
        <v>69</v>
      </c>
      <c r="AS456" s="167" t="s">
        <v>70</v>
      </c>
      <c r="AT456" s="167" t="s">
        <v>70</v>
      </c>
      <c r="AU456" s="167" t="s">
        <v>70</v>
      </c>
      <c r="AV456" s="167" t="s">
        <v>70</v>
      </c>
      <c r="AW456" s="167" t="s">
        <v>70</v>
      </c>
      <c r="AX456" s="167" t="s">
        <v>70</v>
      </c>
      <c r="AY456" s="167" t="s">
        <v>70</v>
      </c>
      <c r="AZ456" s="167" t="s">
        <v>70</v>
      </c>
      <c r="BA456" s="167" t="s">
        <v>70</v>
      </c>
      <c r="BB456" s="167" t="s">
        <v>70</v>
      </c>
      <c r="BC456" s="167" t="s">
        <v>70</v>
      </c>
      <c r="BD456" s="167" t="s">
        <v>70</v>
      </c>
      <c r="BE456" s="167" t="s">
        <v>70</v>
      </c>
      <c r="BF456" s="167" t="s">
        <v>70</v>
      </c>
      <c r="BG456" s="167" t="s">
        <v>70</v>
      </c>
      <c r="BH456" s="167" t="s">
        <v>70</v>
      </c>
      <c r="BI456" s="167" t="s">
        <v>70</v>
      </c>
      <c r="BJ456" s="167" t="s">
        <v>70</v>
      </c>
      <c r="BK456" s="167" t="s">
        <v>70</v>
      </c>
      <c r="BL456" s="167" t="s">
        <v>70</v>
      </c>
      <c r="BM456" s="167" t="s">
        <v>70</v>
      </c>
      <c r="BN456" s="167" t="s">
        <v>70</v>
      </c>
      <c r="BO456" s="167" t="s">
        <v>70</v>
      </c>
      <c r="BP456" s="167" t="s">
        <v>70</v>
      </c>
      <c r="BQ456" s="151" t="s">
        <v>208</v>
      </c>
    </row>
    <row r="457" spans="1:135" s="151" customFormat="1" ht="19.5" customHeight="1" x14ac:dyDescent="0.2">
      <c r="A457" s="117">
        <v>455</v>
      </c>
      <c r="B457" s="117" t="s">
        <v>712</v>
      </c>
      <c r="C457" s="117">
        <v>83119337</v>
      </c>
      <c r="D457" s="117" t="s">
        <v>212</v>
      </c>
      <c r="E457" s="117" t="s">
        <v>606</v>
      </c>
      <c r="F457" s="146" t="s">
        <v>256</v>
      </c>
      <c r="G457" s="124" t="s">
        <v>69</v>
      </c>
      <c r="H457" s="89">
        <v>45798</v>
      </c>
      <c r="I457" s="89">
        <v>45798</v>
      </c>
      <c r="J457" s="162">
        <f>IF(I457="", "", DATE(YEAR(I457)+3, MONTH(I457), DAY(I457)))</f>
        <v>46894</v>
      </c>
      <c r="K457" s="89">
        <v>45797</v>
      </c>
      <c r="L457" s="89">
        <v>45797</v>
      </c>
      <c r="M457" s="163">
        <f>IF(L457="", "", DATE(YEAR(L457)+3, MONTH(L457), DAY(L457)))</f>
        <v>46893</v>
      </c>
      <c r="N457" s="89">
        <v>45800</v>
      </c>
      <c r="O457" s="89">
        <v>45799</v>
      </c>
      <c r="P457" s="89">
        <v>45796</v>
      </c>
      <c r="Q457" s="167" t="s">
        <v>70</v>
      </c>
      <c r="R457" s="167" t="s">
        <v>70</v>
      </c>
      <c r="S457" s="167" t="s">
        <v>70</v>
      </c>
      <c r="T457" s="167" t="s">
        <v>70</v>
      </c>
      <c r="U457" s="167" t="s">
        <v>70</v>
      </c>
      <c r="V457" s="167" t="s">
        <v>70</v>
      </c>
      <c r="W457" s="167" t="s">
        <v>70</v>
      </c>
      <c r="X457" s="167" t="s">
        <v>70</v>
      </c>
      <c r="Y457" s="167" t="s">
        <v>70</v>
      </c>
      <c r="Z457" s="167" t="s">
        <v>70</v>
      </c>
      <c r="AA457" s="167" t="s">
        <v>70</v>
      </c>
      <c r="AB457" s="167" t="s">
        <v>70</v>
      </c>
      <c r="AC457" s="167" t="s">
        <v>70</v>
      </c>
      <c r="AD457" s="167" t="s">
        <v>70</v>
      </c>
      <c r="AE457" s="167" t="s">
        <v>70</v>
      </c>
      <c r="AF457" s="167" t="s">
        <v>70</v>
      </c>
      <c r="AG457" s="167" t="s">
        <v>70</v>
      </c>
      <c r="AH457" s="167" t="s">
        <v>70</v>
      </c>
      <c r="AI457" s="186">
        <v>45715</v>
      </c>
      <c r="AJ457" s="166" t="s">
        <v>69</v>
      </c>
      <c r="AK457" s="167" t="s">
        <v>70</v>
      </c>
      <c r="AL457" s="167" t="s">
        <v>70</v>
      </c>
      <c r="AM457" s="167"/>
      <c r="AN457" s="167" t="s">
        <v>70</v>
      </c>
      <c r="AO457" s="167" t="s">
        <v>70</v>
      </c>
      <c r="AP457" s="167" t="s">
        <v>70</v>
      </c>
      <c r="AQ457" s="167" t="s">
        <v>70</v>
      </c>
      <c r="AR457" s="166" t="s">
        <v>69</v>
      </c>
      <c r="AS457" s="167" t="s">
        <v>70</v>
      </c>
      <c r="AT457" s="167" t="s">
        <v>70</v>
      </c>
      <c r="AU457" s="167" t="s">
        <v>70</v>
      </c>
      <c r="AV457" s="167" t="s">
        <v>70</v>
      </c>
      <c r="AW457" s="167" t="s">
        <v>70</v>
      </c>
      <c r="AX457" s="167" t="s">
        <v>70</v>
      </c>
      <c r="AY457" s="167" t="s">
        <v>70</v>
      </c>
      <c r="AZ457" s="167" t="s">
        <v>70</v>
      </c>
      <c r="BA457" s="167" t="s">
        <v>70</v>
      </c>
      <c r="BB457" s="167" t="s">
        <v>70</v>
      </c>
      <c r="BC457" s="167" t="s">
        <v>70</v>
      </c>
      <c r="BD457" s="167" t="s">
        <v>70</v>
      </c>
      <c r="BE457" s="167" t="s">
        <v>70</v>
      </c>
      <c r="BF457" s="167" t="s">
        <v>70</v>
      </c>
      <c r="BG457" s="167" t="s">
        <v>70</v>
      </c>
      <c r="BH457" s="167" t="s">
        <v>70</v>
      </c>
      <c r="BI457" s="167" t="s">
        <v>70</v>
      </c>
      <c r="BJ457" s="167" t="s">
        <v>70</v>
      </c>
      <c r="BK457" s="167" t="s">
        <v>70</v>
      </c>
      <c r="BL457" s="167" t="s">
        <v>70</v>
      </c>
      <c r="BM457" s="167" t="s">
        <v>70</v>
      </c>
      <c r="BN457" s="167" t="s">
        <v>70</v>
      </c>
      <c r="BO457" s="167" t="s">
        <v>70</v>
      </c>
      <c r="BP457" s="167" t="s">
        <v>70</v>
      </c>
      <c r="BQ457" s="151" t="s">
        <v>208</v>
      </c>
    </row>
    <row r="458" spans="1:135" s="151" customFormat="1" ht="19.5" customHeight="1" x14ac:dyDescent="0.2">
      <c r="A458" s="117">
        <v>456</v>
      </c>
      <c r="B458" s="117" t="s">
        <v>713</v>
      </c>
      <c r="C458" s="117">
        <v>83119339</v>
      </c>
      <c r="D458" s="117" t="s">
        <v>212</v>
      </c>
      <c r="E458" s="117" t="s">
        <v>606</v>
      </c>
      <c r="F458" s="146" t="s">
        <v>256</v>
      </c>
      <c r="G458" s="124" t="s">
        <v>69</v>
      </c>
      <c r="H458" s="89">
        <v>45828</v>
      </c>
      <c r="I458" s="89">
        <v>45828</v>
      </c>
      <c r="J458" s="162">
        <f>IF(I458="", "", DATE(YEAR(I458)+3, MONTH(I458), DAY(I458)))</f>
        <v>46924</v>
      </c>
      <c r="K458" s="89">
        <v>45827</v>
      </c>
      <c r="L458" s="89">
        <v>45827</v>
      </c>
      <c r="M458" s="163">
        <f>IF(L458="", "", DATE(YEAR(L458)+3, MONTH(L458), DAY(L458)))</f>
        <v>46923</v>
      </c>
      <c r="N458" s="89">
        <v>45825</v>
      </c>
      <c r="O458" s="89">
        <v>45824</v>
      </c>
      <c r="P458" s="89">
        <v>45826</v>
      </c>
      <c r="Q458" s="167" t="s">
        <v>70</v>
      </c>
      <c r="R458" s="167" t="s">
        <v>70</v>
      </c>
      <c r="S458" s="167" t="s">
        <v>70</v>
      </c>
      <c r="T458" s="167" t="s">
        <v>70</v>
      </c>
      <c r="U458" s="167" t="s">
        <v>70</v>
      </c>
      <c r="V458" s="167" t="s">
        <v>70</v>
      </c>
      <c r="W458" s="167" t="s">
        <v>70</v>
      </c>
      <c r="X458" s="167" t="s">
        <v>70</v>
      </c>
      <c r="Y458" s="167" t="s">
        <v>70</v>
      </c>
      <c r="Z458" s="167" t="s">
        <v>70</v>
      </c>
      <c r="AA458" s="167" t="s">
        <v>70</v>
      </c>
      <c r="AB458" s="167" t="s">
        <v>70</v>
      </c>
      <c r="AC458" s="167" t="s">
        <v>70</v>
      </c>
      <c r="AD458" s="167" t="s">
        <v>70</v>
      </c>
      <c r="AE458" s="167" t="s">
        <v>70</v>
      </c>
      <c r="AF458" s="167" t="s">
        <v>70</v>
      </c>
      <c r="AG458" s="167" t="s">
        <v>70</v>
      </c>
      <c r="AH458" s="167" t="s">
        <v>70</v>
      </c>
      <c r="AI458" s="181">
        <v>45708</v>
      </c>
      <c r="AJ458" s="166" t="s">
        <v>69</v>
      </c>
      <c r="AK458" s="167" t="s">
        <v>70</v>
      </c>
      <c r="AL458" s="167" t="s">
        <v>70</v>
      </c>
      <c r="AM458" s="167"/>
      <c r="AN458" s="167" t="s">
        <v>70</v>
      </c>
      <c r="AO458" s="167" t="s">
        <v>70</v>
      </c>
      <c r="AP458" s="167" t="s">
        <v>70</v>
      </c>
      <c r="AQ458" s="167" t="s">
        <v>70</v>
      </c>
      <c r="AR458" s="166" t="s">
        <v>69</v>
      </c>
      <c r="AS458" s="167" t="s">
        <v>70</v>
      </c>
      <c r="AT458" s="167" t="s">
        <v>70</v>
      </c>
      <c r="AU458" s="167" t="s">
        <v>70</v>
      </c>
      <c r="AV458" s="167" t="s">
        <v>70</v>
      </c>
      <c r="AW458" s="167" t="s">
        <v>70</v>
      </c>
      <c r="AX458" s="167" t="s">
        <v>70</v>
      </c>
      <c r="AY458" s="167" t="s">
        <v>70</v>
      </c>
      <c r="AZ458" s="167" t="s">
        <v>70</v>
      </c>
      <c r="BA458" s="167" t="s">
        <v>70</v>
      </c>
      <c r="BB458" s="167" t="s">
        <v>70</v>
      </c>
      <c r="BC458" s="167" t="s">
        <v>70</v>
      </c>
      <c r="BD458" s="167" t="s">
        <v>70</v>
      </c>
      <c r="BE458" s="167" t="s">
        <v>70</v>
      </c>
      <c r="BF458" s="167" t="s">
        <v>70</v>
      </c>
      <c r="BG458" s="167" t="s">
        <v>70</v>
      </c>
      <c r="BH458" s="167" t="s">
        <v>70</v>
      </c>
      <c r="BI458" s="167" t="s">
        <v>70</v>
      </c>
      <c r="BJ458" s="167" t="s">
        <v>70</v>
      </c>
      <c r="BK458" s="167" t="s">
        <v>70</v>
      </c>
      <c r="BL458" s="167" t="s">
        <v>70</v>
      </c>
      <c r="BM458" s="167" t="s">
        <v>70</v>
      </c>
      <c r="BN458" s="167" t="s">
        <v>70</v>
      </c>
      <c r="BO458" s="167" t="s">
        <v>70</v>
      </c>
      <c r="BP458" s="167" t="s">
        <v>70</v>
      </c>
      <c r="BQ458" s="151" t="s">
        <v>208</v>
      </c>
    </row>
    <row r="459" spans="1:135" s="151" customFormat="1" ht="19.5" customHeight="1" x14ac:dyDescent="0.2">
      <c r="A459" s="117">
        <v>457</v>
      </c>
      <c r="B459" s="117" t="s">
        <v>605</v>
      </c>
      <c r="C459" s="117">
        <v>142959</v>
      </c>
      <c r="D459" s="117" t="s">
        <v>212</v>
      </c>
      <c r="E459" s="144" t="s">
        <v>606</v>
      </c>
      <c r="F459" s="146" t="s">
        <v>208</v>
      </c>
      <c r="G459" s="124" t="s">
        <v>69</v>
      </c>
      <c r="H459" s="89">
        <v>44853</v>
      </c>
      <c r="I459" s="89">
        <v>44853</v>
      </c>
      <c r="J459" s="162">
        <f>IF(I459="", "", DATE(YEAR(I459)+2, MONTH(I459), DAY(I459)))</f>
        <v>45584</v>
      </c>
      <c r="K459" s="89">
        <v>44778</v>
      </c>
      <c r="L459" s="163">
        <v>46168</v>
      </c>
      <c r="M459" s="163">
        <f>IF(L459="", "", DATE(YEAR(L459)+2, MONTH(L459), DAY(L459)))</f>
        <v>46899</v>
      </c>
      <c r="N459" s="175" t="s">
        <v>69</v>
      </c>
      <c r="O459" s="89">
        <v>45468</v>
      </c>
      <c r="P459" s="89">
        <v>44203</v>
      </c>
      <c r="Q459" s="166" t="s">
        <v>69</v>
      </c>
      <c r="R459" s="166" t="s">
        <v>69</v>
      </c>
      <c r="S459" s="166" t="s">
        <v>69</v>
      </c>
      <c r="T459" s="166" t="s">
        <v>69</v>
      </c>
      <c r="U459" s="166" t="s">
        <v>69</v>
      </c>
      <c r="V459" s="166" t="s">
        <v>69</v>
      </c>
      <c r="W459" s="166" t="s">
        <v>69</v>
      </c>
      <c r="X459" s="166" t="s">
        <v>69</v>
      </c>
      <c r="Y459" s="168">
        <v>44895</v>
      </c>
      <c r="Z459" s="168">
        <v>44841</v>
      </c>
      <c r="AA459" s="166" t="s">
        <v>69</v>
      </c>
      <c r="AB459" s="166" t="s">
        <v>69</v>
      </c>
      <c r="AC459" s="166" t="s">
        <v>69</v>
      </c>
      <c r="AD459" s="167" t="s">
        <v>71</v>
      </c>
      <c r="AE459" s="167" t="s">
        <v>70</v>
      </c>
      <c r="AF459" s="112" t="s">
        <v>69</v>
      </c>
      <c r="AG459" s="112" t="s">
        <v>69</v>
      </c>
      <c r="AH459" s="167" t="s">
        <v>71</v>
      </c>
      <c r="AI459" s="167" t="s">
        <v>70</v>
      </c>
      <c r="AJ459" s="167" t="s">
        <v>70</v>
      </c>
      <c r="AK459" s="167" t="s">
        <v>70</v>
      </c>
      <c r="AL459" s="166" t="s">
        <v>69</v>
      </c>
      <c r="AM459" s="166"/>
      <c r="AN459" s="166" t="s">
        <v>69</v>
      </c>
      <c r="AO459" s="167" t="s">
        <v>70</v>
      </c>
      <c r="AP459" s="166" t="s">
        <v>69</v>
      </c>
      <c r="AQ459" s="166" t="s">
        <v>69</v>
      </c>
      <c r="AR459" s="166" t="s">
        <v>69</v>
      </c>
      <c r="AS459" s="166" t="s">
        <v>69</v>
      </c>
      <c r="AT459" s="166" t="s">
        <v>69</v>
      </c>
      <c r="AU459" s="166" t="s">
        <v>69</v>
      </c>
      <c r="AV459" s="166" t="s">
        <v>69</v>
      </c>
      <c r="AW459" s="166" t="s">
        <v>69</v>
      </c>
      <c r="AX459" s="166" t="s">
        <v>69</v>
      </c>
      <c r="AY459" s="166" t="s">
        <v>69</v>
      </c>
      <c r="AZ459" s="166" t="s">
        <v>69</v>
      </c>
      <c r="BA459" s="166" t="s">
        <v>69</v>
      </c>
      <c r="BB459" s="166" t="s">
        <v>69</v>
      </c>
      <c r="BC459" s="117"/>
      <c r="BD459" s="117"/>
      <c r="BE459" s="117"/>
      <c r="BF459" s="117"/>
      <c r="BG459" s="167" t="s">
        <v>70</v>
      </c>
      <c r="BH459" s="117"/>
      <c r="BI459" s="117"/>
      <c r="BJ459" s="167" t="s">
        <v>70</v>
      </c>
      <c r="BK459" s="117"/>
      <c r="BL459" s="167" t="s">
        <v>70</v>
      </c>
      <c r="BM459" s="167" t="s">
        <v>70</v>
      </c>
      <c r="BN459" s="167" t="s">
        <v>70</v>
      </c>
      <c r="BO459" s="167" t="s">
        <v>70</v>
      </c>
      <c r="BP459" s="117"/>
      <c r="BQ459" s="151" t="s">
        <v>208</v>
      </c>
      <c r="BR459" s="142"/>
      <c r="BS459" s="142"/>
      <c r="BT459" s="142"/>
      <c r="BU459" s="142"/>
      <c r="BV459" s="142"/>
      <c r="BW459" s="142"/>
      <c r="BX459" s="142"/>
      <c r="BY459" s="142"/>
      <c r="BZ459" s="142"/>
      <c r="CA459" s="142"/>
      <c r="CB459" s="142"/>
      <c r="CC459" s="142"/>
      <c r="CD459" s="142"/>
      <c r="CE459" s="142"/>
      <c r="CF459" s="142"/>
      <c r="CG459" s="142"/>
      <c r="CH459" s="142"/>
      <c r="CI459" s="142"/>
      <c r="CJ459" s="142"/>
      <c r="CK459" s="142"/>
      <c r="CL459" s="142"/>
      <c r="CM459" s="142"/>
      <c r="CN459" s="142"/>
      <c r="CO459" s="142"/>
      <c r="CP459" s="142"/>
      <c r="CQ459" s="142"/>
      <c r="CR459" s="142"/>
      <c r="CS459" s="142"/>
      <c r="CT459" s="142"/>
      <c r="CU459" s="142"/>
      <c r="CV459" s="142"/>
      <c r="CW459" s="142"/>
      <c r="CX459" s="142"/>
      <c r="CY459" s="142"/>
      <c r="CZ459" s="142"/>
      <c r="DA459" s="142"/>
      <c r="DB459" s="142"/>
      <c r="DC459" s="142"/>
      <c r="DD459" s="142"/>
      <c r="DE459" s="142"/>
      <c r="DF459" s="142"/>
      <c r="DG459" s="142"/>
      <c r="DH459" s="142"/>
      <c r="DI459" s="142"/>
      <c r="DJ459" s="142"/>
      <c r="DK459" s="142"/>
      <c r="DL459" s="142"/>
      <c r="DM459" s="142"/>
      <c r="DN459" s="142"/>
      <c r="DO459" s="142"/>
      <c r="DP459" s="142"/>
      <c r="DQ459" s="142"/>
      <c r="DR459" s="142"/>
      <c r="DS459" s="142"/>
      <c r="DT459" s="142"/>
      <c r="DU459" s="142"/>
      <c r="DV459" s="142"/>
      <c r="DW459" s="142"/>
      <c r="DX459" s="142"/>
      <c r="DY459" s="142"/>
      <c r="DZ459" s="142"/>
      <c r="EA459" s="142"/>
      <c r="EB459" s="142"/>
      <c r="EC459" s="142"/>
      <c r="ED459" s="142"/>
      <c r="EE459" s="142"/>
    </row>
    <row r="460" spans="1:135" s="151" customFormat="1" ht="19.5" customHeight="1" x14ac:dyDescent="0.2">
      <c r="A460" s="117">
        <v>458</v>
      </c>
      <c r="B460" s="117" t="s">
        <v>657</v>
      </c>
      <c r="C460" s="117">
        <v>140533</v>
      </c>
      <c r="D460" s="117" t="s">
        <v>212</v>
      </c>
      <c r="E460" s="117" t="s">
        <v>606</v>
      </c>
      <c r="F460" s="146" t="s">
        <v>256</v>
      </c>
      <c r="G460" s="124" t="s">
        <v>69</v>
      </c>
      <c r="H460" s="89">
        <v>45770</v>
      </c>
      <c r="I460" s="89">
        <v>45770</v>
      </c>
      <c r="J460" s="162">
        <f>IF(I460="", "", DATE(YEAR(I460)+3, MONTH(I460), DAY(I460)))</f>
        <v>46866</v>
      </c>
      <c r="K460" s="89">
        <v>45769</v>
      </c>
      <c r="L460" s="89">
        <v>45769</v>
      </c>
      <c r="M460" s="163">
        <f>IF(L460="", "", DATE(YEAR(L460)+3, MONTH(L460), DAY(L460)))</f>
        <v>46865</v>
      </c>
      <c r="N460" s="89">
        <v>45772</v>
      </c>
      <c r="O460" s="93">
        <v>45771</v>
      </c>
      <c r="P460" s="89">
        <v>45768</v>
      </c>
      <c r="Q460" s="167" t="s">
        <v>70</v>
      </c>
      <c r="R460" s="167" t="s">
        <v>70</v>
      </c>
      <c r="S460" s="167" t="s">
        <v>70</v>
      </c>
      <c r="T460" s="167" t="s">
        <v>70</v>
      </c>
      <c r="U460" s="167" t="s">
        <v>70</v>
      </c>
      <c r="V460" s="167" t="s">
        <v>70</v>
      </c>
      <c r="W460" s="167" t="s">
        <v>70</v>
      </c>
      <c r="X460" s="167" t="s">
        <v>70</v>
      </c>
      <c r="Y460" s="167" t="s">
        <v>70</v>
      </c>
      <c r="Z460" s="167" t="s">
        <v>70</v>
      </c>
      <c r="AA460" s="167" t="s">
        <v>70</v>
      </c>
      <c r="AB460" s="167" t="s">
        <v>70</v>
      </c>
      <c r="AC460" s="167" t="s">
        <v>70</v>
      </c>
      <c r="AD460" s="167" t="s">
        <v>70</v>
      </c>
      <c r="AE460" s="167" t="s">
        <v>70</v>
      </c>
      <c r="AF460" s="167" t="s">
        <v>70</v>
      </c>
      <c r="AG460" s="167" t="s">
        <v>70</v>
      </c>
      <c r="AH460" s="167" t="s">
        <v>70</v>
      </c>
      <c r="AI460" s="186">
        <v>45715</v>
      </c>
      <c r="AJ460" s="166" t="s">
        <v>69</v>
      </c>
      <c r="AK460" s="167" t="s">
        <v>70</v>
      </c>
      <c r="AL460" s="167" t="s">
        <v>70</v>
      </c>
      <c r="AM460" s="167"/>
      <c r="AN460" s="167" t="s">
        <v>70</v>
      </c>
      <c r="AO460" s="167" t="s">
        <v>70</v>
      </c>
      <c r="AP460" s="167" t="s">
        <v>70</v>
      </c>
      <c r="AQ460" s="167" t="s">
        <v>70</v>
      </c>
      <c r="AR460" s="166" t="s">
        <v>69</v>
      </c>
      <c r="AS460" s="167" t="s">
        <v>70</v>
      </c>
      <c r="AT460" s="167" t="s">
        <v>70</v>
      </c>
      <c r="AU460" s="167" t="s">
        <v>70</v>
      </c>
      <c r="AV460" s="167" t="s">
        <v>70</v>
      </c>
      <c r="AW460" s="167" t="s">
        <v>70</v>
      </c>
      <c r="AX460" s="167" t="s">
        <v>70</v>
      </c>
      <c r="AY460" s="167" t="s">
        <v>70</v>
      </c>
      <c r="AZ460" s="167" t="s">
        <v>70</v>
      </c>
      <c r="BA460" s="167" t="s">
        <v>70</v>
      </c>
      <c r="BB460" s="167" t="s">
        <v>70</v>
      </c>
      <c r="BC460" s="167" t="s">
        <v>70</v>
      </c>
      <c r="BD460" s="167" t="s">
        <v>70</v>
      </c>
      <c r="BE460" s="167" t="s">
        <v>70</v>
      </c>
      <c r="BF460" s="167" t="s">
        <v>70</v>
      </c>
      <c r="BG460" s="167" t="s">
        <v>70</v>
      </c>
      <c r="BH460" s="167" t="s">
        <v>70</v>
      </c>
      <c r="BI460" s="167" t="s">
        <v>70</v>
      </c>
      <c r="BJ460" s="167" t="s">
        <v>70</v>
      </c>
      <c r="BK460" s="167" t="s">
        <v>70</v>
      </c>
      <c r="BL460" s="167" t="s">
        <v>70</v>
      </c>
      <c r="BM460" s="167" t="s">
        <v>70</v>
      </c>
      <c r="BN460" s="167" t="s">
        <v>70</v>
      </c>
      <c r="BO460" s="167" t="s">
        <v>70</v>
      </c>
      <c r="BP460" s="167" t="s">
        <v>70</v>
      </c>
      <c r="BQ460" s="151" t="s">
        <v>208</v>
      </c>
      <c r="BR460" s="142"/>
      <c r="BS460" s="142"/>
      <c r="BT460" s="142"/>
      <c r="BU460" s="142"/>
      <c r="BV460" s="142"/>
      <c r="BW460" s="142"/>
      <c r="BX460" s="142"/>
      <c r="BY460" s="142"/>
      <c r="BZ460" s="142"/>
      <c r="CA460" s="142"/>
      <c r="CB460" s="142"/>
      <c r="CC460" s="142"/>
      <c r="CD460" s="142"/>
      <c r="CE460" s="142"/>
      <c r="CF460" s="142"/>
      <c r="CG460" s="142"/>
      <c r="CH460" s="142"/>
      <c r="CI460" s="142"/>
      <c r="CJ460" s="142"/>
      <c r="CK460" s="142"/>
      <c r="CL460" s="142"/>
      <c r="CM460" s="142"/>
      <c r="CN460" s="142"/>
      <c r="CO460" s="142"/>
      <c r="CP460" s="142"/>
      <c r="CQ460" s="142"/>
      <c r="CR460" s="142"/>
      <c r="CS460" s="142"/>
      <c r="CT460" s="142"/>
      <c r="CU460" s="142"/>
      <c r="CV460" s="142"/>
      <c r="CW460" s="142"/>
      <c r="CX460" s="142"/>
      <c r="CY460" s="142"/>
      <c r="CZ460" s="142"/>
      <c r="DA460" s="142"/>
      <c r="DB460" s="142"/>
      <c r="DC460" s="142"/>
      <c r="DD460" s="142"/>
      <c r="DE460" s="142"/>
      <c r="DF460" s="142"/>
      <c r="DG460" s="142"/>
      <c r="DH460" s="142"/>
      <c r="DI460" s="142"/>
      <c r="DJ460" s="142"/>
      <c r="DK460" s="142"/>
      <c r="DL460" s="142"/>
      <c r="DM460" s="142"/>
      <c r="DN460" s="142"/>
      <c r="DO460" s="142"/>
      <c r="DP460" s="142"/>
      <c r="DQ460" s="142"/>
      <c r="DR460" s="142"/>
      <c r="DS460" s="142"/>
      <c r="DT460" s="142"/>
      <c r="DU460" s="142"/>
      <c r="DV460" s="142"/>
      <c r="DW460" s="142"/>
      <c r="DX460" s="142"/>
      <c r="DY460" s="142"/>
      <c r="DZ460" s="142"/>
      <c r="EA460" s="142"/>
      <c r="EB460" s="142"/>
      <c r="EC460" s="142"/>
      <c r="ED460" s="142"/>
      <c r="EE460" s="142"/>
    </row>
    <row r="461" spans="1:135" s="151" customFormat="1" ht="19.5" customHeight="1" x14ac:dyDescent="0.2">
      <c r="A461" s="117">
        <v>459</v>
      </c>
      <c r="B461" s="117" t="s">
        <v>658</v>
      </c>
      <c r="C461" s="117">
        <v>135668</v>
      </c>
      <c r="D461" s="117" t="s">
        <v>212</v>
      </c>
      <c r="E461" s="117" t="s">
        <v>606</v>
      </c>
      <c r="F461" s="146" t="s">
        <v>256</v>
      </c>
      <c r="G461" s="124" t="s">
        <v>69</v>
      </c>
      <c r="H461" s="89">
        <v>45828</v>
      </c>
      <c r="I461" s="89">
        <v>45770</v>
      </c>
      <c r="J461" s="162">
        <f>IF(I461="", "", DATE(YEAR(I461)+3, MONTH(I461), DAY(I461)))</f>
        <v>46866</v>
      </c>
      <c r="K461" s="89">
        <v>45827</v>
      </c>
      <c r="L461" s="89">
        <v>45827</v>
      </c>
      <c r="M461" s="163">
        <f>IF(L461="", "", DATE(YEAR(L461)+3, MONTH(L461), DAY(L461)))</f>
        <v>46923</v>
      </c>
      <c r="N461" s="89">
        <v>45825</v>
      </c>
      <c r="O461" s="89">
        <v>45824</v>
      </c>
      <c r="P461" s="89">
        <v>45826</v>
      </c>
      <c r="Q461" s="167" t="s">
        <v>70</v>
      </c>
      <c r="R461" s="167" t="s">
        <v>70</v>
      </c>
      <c r="S461" s="167" t="s">
        <v>70</v>
      </c>
      <c r="T461" s="167" t="s">
        <v>70</v>
      </c>
      <c r="U461" s="167" t="s">
        <v>70</v>
      </c>
      <c r="V461" s="167" t="s">
        <v>70</v>
      </c>
      <c r="W461" s="167" t="s">
        <v>70</v>
      </c>
      <c r="X461" s="167" t="s">
        <v>70</v>
      </c>
      <c r="Y461" s="167" t="s">
        <v>70</v>
      </c>
      <c r="Z461" s="167" t="s">
        <v>70</v>
      </c>
      <c r="AA461" s="167" t="s">
        <v>70</v>
      </c>
      <c r="AB461" s="167" t="s">
        <v>70</v>
      </c>
      <c r="AC461" s="167" t="s">
        <v>70</v>
      </c>
      <c r="AD461" s="167" t="s">
        <v>70</v>
      </c>
      <c r="AE461" s="167" t="s">
        <v>70</v>
      </c>
      <c r="AF461" s="167" t="s">
        <v>70</v>
      </c>
      <c r="AG461" s="167" t="s">
        <v>70</v>
      </c>
      <c r="AH461" s="167" t="s">
        <v>70</v>
      </c>
      <c r="AI461" s="181">
        <v>45708</v>
      </c>
      <c r="AJ461" s="166" t="s">
        <v>69</v>
      </c>
      <c r="AK461" s="167" t="s">
        <v>70</v>
      </c>
      <c r="AL461" s="167" t="s">
        <v>70</v>
      </c>
      <c r="AM461" s="167"/>
      <c r="AN461" s="167" t="s">
        <v>70</v>
      </c>
      <c r="AO461" s="167" t="s">
        <v>70</v>
      </c>
      <c r="AP461" s="167" t="s">
        <v>70</v>
      </c>
      <c r="AQ461" s="167" t="s">
        <v>70</v>
      </c>
      <c r="AR461" s="166" t="s">
        <v>69</v>
      </c>
      <c r="AS461" s="167" t="s">
        <v>70</v>
      </c>
      <c r="AT461" s="167" t="s">
        <v>70</v>
      </c>
      <c r="AU461" s="167" t="s">
        <v>70</v>
      </c>
      <c r="AV461" s="167" t="s">
        <v>70</v>
      </c>
      <c r="AW461" s="167" t="s">
        <v>70</v>
      </c>
      <c r="AX461" s="167" t="s">
        <v>70</v>
      </c>
      <c r="AY461" s="167" t="s">
        <v>70</v>
      </c>
      <c r="AZ461" s="167" t="s">
        <v>70</v>
      </c>
      <c r="BA461" s="167" t="s">
        <v>70</v>
      </c>
      <c r="BB461" s="167" t="s">
        <v>70</v>
      </c>
      <c r="BC461" s="167" t="s">
        <v>70</v>
      </c>
      <c r="BD461" s="167" t="s">
        <v>70</v>
      </c>
      <c r="BE461" s="167" t="s">
        <v>70</v>
      </c>
      <c r="BF461" s="167" t="s">
        <v>70</v>
      </c>
      <c r="BG461" s="167" t="s">
        <v>70</v>
      </c>
      <c r="BH461" s="167" t="s">
        <v>70</v>
      </c>
      <c r="BI461" s="167" t="s">
        <v>70</v>
      </c>
      <c r="BJ461" s="167" t="s">
        <v>70</v>
      </c>
      <c r="BK461" s="167" t="s">
        <v>70</v>
      </c>
      <c r="BL461" s="167" t="s">
        <v>70</v>
      </c>
      <c r="BM461" s="167" t="s">
        <v>70</v>
      </c>
      <c r="BN461" s="167" t="s">
        <v>70</v>
      </c>
      <c r="BO461" s="167" t="s">
        <v>70</v>
      </c>
      <c r="BP461" s="167" t="s">
        <v>70</v>
      </c>
      <c r="BQ461" s="151" t="s">
        <v>208</v>
      </c>
      <c r="BR461" s="142"/>
      <c r="BS461" s="142"/>
      <c r="BT461" s="142"/>
      <c r="BU461" s="142"/>
      <c r="BV461" s="142"/>
      <c r="BW461" s="142"/>
      <c r="BX461" s="142"/>
      <c r="BY461" s="142"/>
      <c r="BZ461" s="142"/>
      <c r="CA461" s="142"/>
      <c r="CB461" s="142"/>
      <c r="CC461" s="142"/>
      <c r="CD461" s="142"/>
      <c r="CE461" s="142"/>
      <c r="CF461" s="142"/>
      <c r="CG461" s="142"/>
      <c r="CH461" s="142"/>
      <c r="CI461" s="142"/>
      <c r="CJ461" s="142"/>
      <c r="CK461" s="142"/>
      <c r="CL461" s="142"/>
      <c r="CM461" s="142"/>
      <c r="CN461" s="142"/>
      <c r="CO461" s="142"/>
      <c r="CP461" s="142"/>
      <c r="CQ461" s="142"/>
      <c r="CR461" s="142"/>
      <c r="CS461" s="142"/>
      <c r="CT461" s="142"/>
      <c r="CU461" s="142"/>
      <c r="CV461" s="142"/>
      <c r="CW461" s="142"/>
      <c r="CX461" s="142"/>
      <c r="CY461" s="142"/>
      <c r="CZ461" s="142"/>
      <c r="DA461" s="142"/>
      <c r="DB461" s="142"/>
      <c r="DC461" s="142"/>
      <c r="DD461" s="142"/>
      <c r="DE461" s="142"/>
      <c r="DF461" s="142"/>
      <c r="DG461" s="142"/>
      <c r="DH461" s="142"/>
      <c r="DI461" s="142"/>
      <c r="DJ461" s="142"/>
      <c r="DK461" s="142"/>
      <c r="DL461" s="142"/>
      <c r="DM461" s="142"/>
      <c r="DN461" s="142"/>
      <c r="DO461" s="142"/>
      <c r="DP461" s="142"/>
      <c r="DQ461" s="142"/>
      <c r="DR461" s="142"/>
      <c r="DS461" s="142"/>
      <c r="DT461" s="142"/>
      <c r="DU461" s="142"/>
      <c r="DV461" s="142"/>
      <c r="DW461" s="142"/>
      <c r="DX461" s="142"/>
      <c r="DY461" s="142"/>
      <c r="DZ461" s="142"/>
      <c r="EA461" s="142"/>
      <c r="EB461" s="142"/>
      <c r="EC461" s="142"/>
      <c r="ED461" s="142"/>
      <c r="EE461" s="142"/>
    </row>
    <row r="462" spans="1:135" s="151" customFormat="1" ht="19.5" customHeight="1" x14ac:dyDescent="0.2">
      <c r="A462" s="117">
        <v>460</v>
      </c>
      <c r="B462" s="144" t="s">
        <v>815</v>
      </c>
      <c r="C462" s="182">
        <v>83086309</v>
      </c>
      <c r="D462" s="117" t="s">
        <v>73</v>
      </c>
      <c r="E462" s="117" t="s">
        <v>814</v>
      </c>
      <c r="F462" s="146" t="s">
        <v>208</v>
      </c>
      <c r="G462" s="124">
        <v>42418</v>
      </c>
      <c r="H462" s="119">
        <v>42277</v>
      </c>
      <c r="I462" s="111">
        <v>45728</v>
      </c>
      <c r="J462" s="162">
        <f>IF(I462="", "", DATE(YEAR(I462)+2, MONTH(I462), DAY(I462)))</f>
        <v>46458</v>
      </c>
      <c r="K462" s="112">
        <v>42269</v>
      </c>
      <c r="L462" s="111">
        <v>45889</v>
      </c>
      <c r="M462" s="163">
        <f>IF(L462="", "", DATE(YEAR(L462)+2, MONTH(L462), DAY(L462)))</f>
        <v>46619</v>
      </c>
      <c r="N462" s="111">
        <v>40735</v>
      </c>
      <c r="O462" s="111">
        <v>40735</v>
      </c>
      <c r="P462" s="111">
        <v>40735</v>
      </c>
      <c r="Q462" s="164">
        <v>42619</v>
      </c>
      <c r="R462" s="164">
        <v>42648</v>
      </c>
      <c r="S462" s="164">
        <v>43378</v>
      </c>
      <c r="T462" s="168">
        <v>42709</v>
      </c>
      <c r="U462" s="168">
        <v>41088</v>
      </c>
      <c r="V462" s="166" t="s">
        <v>69</v>
      </c>
      <c r="W462" s="168">
        <v>43752</v>
      </c>
      <c r="X462" s="166" t="s">
        <v>69</v>
      </c>
      <c r="Y462" s="166" t="s">
        <v>69</v>
      </c>
      <c r="Z462" s="166" t="s">
        <v>69</v>
      </c>
      <c r="AA462" s="166" t="s">
        <v>69</v>
      </c>
      <c r="AB462" s="166" t="s">
        <v>69</v>
      </c>
      <c r="AC462" s="166" t="s">
        <v>69</v>
      </c>
      <c r="AD462" s="167" t="s">
        <v>71</v>
      </c>
      <c r="AE462" s="167" t="s">
        <v>70</v>
      </c>
      <c r="AF462" s="164">
        <v>45363</v>
      </c>
      <c r="AG462" s="112" t="s">
        <v>69</v>
      </c>
      <c r="AH462" s="167" t="s">
        <v>71</v>
      </c>
      <c r="AI462" s="167" t="s">
        <v>70</v>
      </c>
      <c r="AJ462" s="167" t="s">
        <v>70</v>
      </c>
      <c r="AK462" s="167" t="s">
        <v>70</v>
      </c>
      <c r="AL462" s="166" t="s">
        <v>69</v>
      </c>
      <c r="AM462" s="166"/>
      <c r="AN462" s="168">
        <v>44722</v>
      </c>
      <c r="AO462" s="167" t="s">
        <v>70</v>
      </c>
      <c r="AP462" s="166" t="s">
        <v>69</v>
      </c>
      <c r="AQ462" s="166" t="s">
        <v>69</v>
      </c>
      <c r="AR462" s="166" t="s">
        <v>69</v>
      </c>
      <c r="AS462" s="166" t="s">
        <v>69</v>
      </c>
      <c r="AT462" s="111">
        <v>43131</v>
      </c>
      <c r="AU462" s="166" t="s">
        <v>69</v>
      </c>
      <c r="AV462" s="166" t="s">
        <v>69</v>
      </c>
      <c r="AW462" s="166" t="s">
        <v>69</v>
      </c>
      <c r="AX462" s="166" t="s">
        <v>69</v>
      </c>
      <c r="AY462" s="166" t="s">
        <v>69</v>
      </c>
      <c r="AZ462" s="164">
        <v>45574</v>
      </c>
      <c r="BA462" s="164">
        <v>46304</v>
      </c>
      <c r="BB462" s="166" t="s">
        <v>69</v>
      </c>
      <c r="BC462" s="166" t="s">
        <v>69</v>
      </c>
      <c r="BD462" s="166" t="s">
        <v>69</v>
      </c>
      <c r="BE462" s="166" t="s">
        <v>69</v>
      </c>
      <c r="BF462" s="166" t="s">
        <v>69</v>
      </c>
      <c r="BG462" s="167" t="s">
        <v>70</v>
      </c>
      <c r="BH462" s="166" t="s">
        <v>69</v>
      </c>
      <c r="BI462" s="166" t="s">
        <v>69</v>
      </c>
      <c r="BJ462" s="167" t="s">
        <v>70</v>
      </c>
      <c r="BK462" s="166" t="s">
        <v>69</v>
      </c>
      <c r="BL462" s="167" t="s">
        <v>70</v>
      </c>
      <c r="BM462" s="167" t="s">
        <v>70</v>
      </c>
      <c r="BN462" s="167" t="s">
        <v>70</v>
      </c>
      <c r="BO462" s="167" t="s">
        <v>70</v>
      </c>
      <c r="BP462" s="167" t="s">
        <v>70</v>
      </c>
      <c r="BQ462" s="151">
        <v>0</v>
      </c>
    </row>
    <row r="463" spans="1:135" s="151" customFormat="1" ht="19.5" customHeight="1" x14ac:dyDescent="0.2">
      <c r="A463" s="117">
        <v>461</v>
      </c>
      <c r="B463" s="144" t="s">
        <v>816</v>
      </c>
      <c r="C463" s="231">
        <v>83124753</v>
      </c>
      <c r="D463" s="117" t="s">
        <v>73</v>
      </c>
      <c r="E463" s="117" t="s">
        <v>814</v>
      </c>
      <c r="F463" s="146" t="s">
        <v>208</v>
      </c>
      <c r="G463" s="124">
        <v>41859</v>
      </c>
      <c r="H463" s="119">
        <v>43325</v>
      </c>
      <c r="I463" s="172">
        <v>46065</v>
      </c>
      <c r="J463" s="162">
        <f>IF(I463="", "", DATE(YEAR(I463)+2, MONTH(I463), DAY(I463)))</f>
        <v>46795</v>
      </c>
      <c r="K463" s="112">
        <v>43325</v>
      </c>
      <c r="L463" s="111">
        <v>46071</v>
      </c>
      <c r="M463" s="163">
        <f>IF(L463="", "", DATE(YEAR(L463)+2, MONTH(L463), DAY(L463)))</f>
        <v>46801</v>
      </c>
      <c r="N463" s="111">
        <v>42738</v>
      </c>
      <c r="O463" s="111">
        <v>42739</v>
      </c>
      <c r="P463" s="111">
        <v>42740</v>
      </c>
      <c r="Q463" s="94">
        <v>42661</v>
      </c>
      <c r="R463" s="164">
        <v>45327</v>
      </c>
      <c r="S463" s="164">
        <v>46058</v>
      </c>
      <c r="T463" s="168">
        <v>42843</v>
      </c>
      <c r="U463" s="166" t="s">
        <v>69</v>
      </c>
      <c r="V463" s="168">
        <v>42674</v>
      </c>
      <c r="W463" s="168">
        <v>43882</v>
      </c>
      <c r="X463" s="168">
        <v>42020</v>
      </c>
      <c r="Y463" s="166" t="s">
        <v>69</v>
      </c>
      <c r="Z463" s="168">
        <v>44729</v>
      </c>
      <c r="AA463" s="94">
        <v>45772</v>
      </c>
      <c r="AB463" s="166" t="s">
        <v>69</v>
      </c>
      <c r="AC463" s="166" t="s">
        <v>69</v>
      </c>
      <c r="AD463" s="167" t="s">
        <v>71</v>
      </c>
      <c r="AE463" s="167" t="s">
        <v>70</v>
      </c>
      <c r="AF463" s="112">
        <v>46261</v>
      </c>
      <c r="AG463" s="112" t="s">
        <v>69</v>
      </c>
      <c r="AH463" s="167" t="s">
        <v>71</v>
      </c>
      <c r="AI463" s="167" t="s">
        <v>70</v>
      </c>
      <c r="AJ463" s="167" t="s">
        <v>70</v>
      </c>
      <c r="AK463" s="167" t="s">
        <v>70</v>
      </c>
      <c r="AL463" s="166" t="s">
        <v>69</v>
      </c>
      <c r="AM463" s="166"/>
      <c r="AN463" s="166" t="s">
        <v>69</v>
      </c>
      <c r="AO463" s="167" t="s">
        <v>70</v>
      </c>
      <c r="AP463" s="166" t="s">
        <v>69</v>
      </c>
      <c r="AQ463" s="166" t="s">
        <v>69</v>
      </c>
      <c r="AR463" s="166" t="s">
        <v>69</v>
      </c>
      <c r="AS463" s="166" t="s">
        <v>69</v>
      </c>
      <c r="AT463" s="111">
        <v>43125</v>
      </c>
      <c r="AU463" s="166" t="s">
        <v>69</v>
      </c>
      <c r="AV463" s="166" t="s">
        <v>69</v>
      </c>
      <c r="AW463" s="166" t="s">
        <v>69</v>
      </c>
      <c r="AX463" s="166" t="s">
        <v>69</v>
      </c>
      <c r="AY463" s="166" t="s">
        <v>69</v>
      </c>
      <c r="AZ463" s="164">
        <v>43591</v>
      </c>
      <c r="BA463" s="166" t="s">
        <v>69</v>
      </c>
      <c r="BB463" s="166" t="s">
        <v>69</v>
      </c>
      <c r="BC463" s="166" t="s">
        <v>69</v>
      </c>
      <c r="BD463" s="166" t="s">
        <v>69</v>
      </c>
      <c r="BE463" s="166" t="s">
        <v>69</v>
      </c>
      <c r="BF463" s="166" t="s">
        <v>69</v>
      </c>
      <c r="BG463" s="167" t="s">
        <v>70</v>
      </c>
      <c r="BH463" s="166" t="s">
        <v>69</v>
      </c>
      <c r="BI463" s="166" t="s">
        <v>69</v>
      </c>
      <c r="BJ463" s="167" t="s">
        <v>70</v>
      </c>
      <c r="BK463" s="166" t="s">
        <v>69</v>
      </c>
      <c r="BL463" s="167" t="s">
        <v>70</v>
      </c>
      <c r="BM463" s="167" t="s">
        <v>70</v>
      </c>
      <c r="BN463" s="167" t="s">
        <v>70</v>
      </c>
      <c r="BO463" s="167" t="s">
        <v>70</v>
      </c>
      <c r="BP463" s="167" t="s">
        <v>70</v>
      </c>
      <c r="BQ463" s="151">
        <v>0</v>
      </c>
    </row>
    <row r="464" spans="1:135" s="142" customFormat="1" ht="17.25" customHeight="1" x14ac:dyDescent="0.2">
      <c r="A464" s="117">
        <v>462</v>
      </c>
      <c r="B464" s="144" t="s">
        <v>855</v>
      </c>
      <c r="C464" s="145">
        <v>145358</v>
      </c>
      <c r="D464" s="117" t="s">
        <v>73</v>
      </c>
      <c r="E464" s="117" t="s">
        <v>814</v>
      </c>
      <c r="F464" s="146" t="s">
        <v>208</v>
      </c>
      <c r="G464" s="147">
        <v>42094</v>
      </c>
      <c r="H464" s="147">
        <v>44503</v>
      </c>
      <c r="I464" s="147">
        <v>46301</v>
      </c>
      <c r="J464" s="147">
        <v>47032</v>
      </c>
      <c r="K464" s="148">
        <v>45153</v>
      </c>
      <c r="L464" s="148">
        <v>45917</v>
      </c>
      <c r="M464" s="148">
        <v>46647</v>
      </c>
      <c r="N464" s="148">
        <v>43810</v>
      </c>
      <c r="O464" s="148">
        <v>43809</v>
      </c>
      <c r="P464" s="148">
        <v>43809</v>
      </c>
      <c r="Q464" s="165" t="s">
        <v>69</v>
      </c>
      <c r="R464" s="149">
        <v>45761</v>
      </c>
      <c r="S464" s="149">
        <v>46491</v>
      </c>
      <c r="T464" s="149">
        <v>43567</v>
      </c>
      <c r="U464" s="165" t="s">
        <v>69</v>
      </c>
      <c r="V464" s="165" t="s">
        <v>69</v>
      </c>
      <c r="W464" s="165" t="s">
        <v>69</v>
      </c>
      <c r="X464" s="149">
        <v>42300</v>
      </c>
      <c r="Y464" s="149">
        <v>44428</v>
      </c>
      <c r="Z464" s="150">
        <v>44484</v>
      </c>
      <c r="AA464" s="149">
        <v>45919</v>
      </c>
      <c r="AB464" s="166" t="s">
        <v>69</v>
      </c>
      <c r="AC464" s="166" t="s">
        <v>69</v>
      </c>
      <c r="AD464" s="166" t="s">
        <v>69</v>
      </c>
      <c r="AE464" s="167" t="s">
        <v>70</v>
      </c>
      <c r="AF464" s="168">
        <v>46287</v>
      </c>
      <c r="AG464" s="166" t="s">
        <v>69</v>
      </c>
      <c r="AH464" s="167" t="s">
        <v>70</v>
      </c>
      <c r="AI464" s="167" t="s">
        <v>70</v>
      </c>
      <c r="AJ464" s="167" t="s">
        <v>70</v>
      </c>
      <c r="AK464" s="167" t="s">
        <v>70</v>
      </c>
      <c r="AL464" s="166" t="s">
        <v>69</v>
      </c>
      <c r="AM464" s="166"/>
      <c r="AN464" s="148">
        <v>44722</v>
      </c>
      <c r="AO464" s="167" t="s">
        <v>70</v>
      </c>
      <c r="AP464" s="166" t="s">
        <v>69</v>
      </c>
      <c r="AQ464" s="166" t="s">
        <v>69</v>
      </c>
      <c r="AR464" s="166" t="s">
        <v>69</v>
      </c>
      <c r="AS464" s="166" t="s">
        <v>69</v>
      </c>
      <c r="AT464" s="166" t="s">
        <v>69</v>
      </c>
      <c r="AU464" s="166" t="s">
        <v>69</v>
      </c>
      <c r="AV464" s="166" t="s">
        <v>69</v>
      </c>
      <c r="AW464" s="166" t="s">
        <v>69</v>
      </c>
      <c r="AX464" s="166" t="s">
        <v>69</v>
      </c>
      <c r="AY464" s="166" t="s">
        <v>69</v>
      </c>
      <c r="AZ464" s="166" t="s">
        <v>69</v>
      </c>
      <c r="BA464" s="166" t="s">
        <v>69</v>
      </c>
      <c r="BB464" s="166" t="s">
        <v>69</v>
      </c>
      <c r="BC464" s="166" t="s">
        <v>69</v>
      </c>
      <c r="BD464" s="166" t="s">
        <v>69</v>
      </c>
      <c r="BE464" s="166" t="s">
        <v>69</v>
      </c>
      <c r="BF464" s="166" t="s">
        <v>69</v>
      </c>
      <c r="BG464" s="169" t="s">
        <v>70</v>
      </c>
      <c r="BH464" s="166" t="s">
        <v>69</v>
      </c>
      <c r="BI464" s="166" t="s">
        <v>69</v>
      </c>
      <c r="BJ464" s="167" t="s">
        <v>70</v>
      </c>
      <c r="BK464" s="166" t="s">
        <v>69</v>
      </c>
      <c r="BL464" s="167" t="s">
        <v>70</v>
      </c>
      <c r="BM464" s="167" t="s">
        <v>70</v>
      </c>
      <c r="BN464" s="167" t="s">
        <v>70</v>
      </c>
      <c r="BO464" s="167" t="s">
        <v>70</v>
      </c>
      <c r="BP464" s="167" t="s">
        <v>70</v>
      </c>
      <c r="BQ464" s="151">
        <v>0</v>
      </c>
    </row>
    <row r="465" spans="1:135" s="151" customFormat="1" ht="19.5" customHeight="1" x14ac:dyDescent="0.2">
      <c r="A465" s="117">
        <v>463</v>
      </c>
      <c r="B465" s="174" t="s">
        <v>744</v>
      </c>
      <c r="C465" s="144">
        <v>83104988</v>
      </c>
      <c r="D465" s="117" t="s">
        <v>73</v>
      </c>
      <c r="E465" s="183" t="s">
        <v>745</v>
      </c>
      <c r="F465" s="146" t="s">
        <v>208</v>
      </c>
      <c r="G465" s="162">
        <v>40990</v>
      </c>
      <c r="H465" s="124">
        <v>41749</v>
      </c>
      <c r="I465" s="111">
        <v>45639</v>
      </c>
      <c r="J465" s="162">
        <f t="shared" ref="J465:J474" si="34">IF(I465="", "", DATE(YEAR(I465)+2, MONTH(I465), DAY(I465)))</f>
        <v>46369</v>
      </c>
      <c r="K465" s="112">
        <v>40989</v>
      </c>
      <c r="L465" s="111">
        <v>45722</v>
      </c>
      <c r="M465" s="163">
        <f t="shared" ref="M465:M474" si="35">IF(L465="", "", DATE(YEAR(L465)+2, MONTH(L465), DAY(L465)))</f>
        <v>46452</v>
      </c>
      <c r="N465" s="111">
        <v>40958</v>
      </c>
      <c r="O465" s="111">
        <v>46255</v>
      </c>
      <c r="P465" s="111">
        <v>45306</v>
      </c>
      <c r="Q465" s="166" t="s">
        <v>69</v>
      </c>
      <c r="R465" s="166" t="s">
        <v>69</v>
      </c>
      <c r="S465" s="166" t="s">
        <v>69</v>
      </c>
      <c r="T465" s="166" t="s">
        <v>69</v>
      </c>
      <c r="U465" s="168">
        <v>46045</v>
      </c>
      <c r="V465" s="166" t="s">
        <v>69</v>
      </c>
      <c r="W465" s="166" t="s">
        <v>69</v>
      </c>
      <c r="X465" s="166" t="s">
        <v>69</v>
      </c>
      <c r="Y465" s="166" t="s">
        <v>69</v>
      </c>
      <c r="Z465" s="166" t="s">
        <v>69</v>
      </c>
      <c r="AA465" s="168">
        <v>46293</v>
      </c>
      <c r="AB465" s="166" t="s">
        <v>69</v>
      </c>
      <c r="AC465" s="166" t="s">
        <v>69</v>
      </c>
      <c r="AD465" s="167" t="s">
        <v>71</v>
      </c>
      <c r="AE465" s="167" t="s">
        <v>70</v>
      </c>
      <c r="AF465" s="112">
        <v>46028</v>
      </c>
      <c r="AG465" s="112" t="s">
        <v>69</v>
      </c>
      <c r="AH465" s="167" t="s">
        <v>71</v>
      </c>
      <c r="AI465" s="167" t="s">
        <v>70</v>
      </c>
      <c r="AJ465" s="167" t="s">
        <v>70</v>
      </c>
      <c r="AK465" s="167" t="s">
        <v>70</v>
      </c>
      <c r="AL465" s="166" t="s">
        <v>69</v>
      </c>
      <c r="AM465" s="166"/>
      <c r="AN465" s="166" t="s">
        <v>69</v>
      </c>
      <c r="AO465" s="167" t="s">
        <v>70</v>
      </c>
      <c r="AP465" s="166" t="s">
        <v>69</v>
      </c>
      <c r="AQ465" s="166" t="s">
        <v>69</v>
      </c>
      <c r="AR465" s="168">
        <v>46119</v>
      </c>
      <c r="AS465" s="166" t="s">
        <v>69</v>
      </c>
      <c r="AT465" s="166" t="s">
        <v>69</v>
      </c>
      <c r="AU465" s="166" t="s">
        <v>69</v>
      </c>
      <c r="AV465" s="166" t="s">
        <v>69</v>
      </c>
      <c r="AW465" s="166" t="s">
        <v>69</v>
      </c>
      <c r="AX465" s="166" t="s">
        <v>69</v>
      </c>
      <c r="AY465" s="166" t="s">
        <v>69</v>
      </c>
      <c r="AZ465" s="166" t="s">
        <v>69</v>
      </c>
      <c r="BA465" s="166" t="s">
        <v>69</v>
      </c>
      <c r="BB465" s="166" t="s">
        <v>69</v>
      </c>
      <c r="BC465" s="166" t="s">
        <v>69</v>
      </c>
      <c r="BD465" s="166" t="s">
        <v>69</v>
      </c>
      <c r="BE465" s="166" t="s">
        <v>69</v>
      </c>
      <c r="BF465" s="166" t="s">
        <v>69</v>
      </c>
      <c r="BG465" s="167" t="s">
        <v>70</v>
      </c>
      <c r="BH465" s="166" t="s">
        <v>69</v>
      </c>
      <c r="BI465" s="166" t="s">
        <v>69</v>
      </c>
      <c r="BJ465" s="167" t="s">
        <v>70</v>
      </c>
      <c r="BK465" s="166" t="s">
        <v>69</v>
      </c>
      <c r="BL465" s="167" t="s">
        <v>70</v>
      </c>
      <c r="BM465" s="167" t="s">
        <v>70</v>
      </c>
      <c r="BN465" s="167" t="s">
        <v>70</v>
      </c>
      <c r="BO465" s="167" t="s">
        <v>70</v>
      </c>
      <c r="BP465" s="167" t="s">
        <v>70</v>
      </c>
      <c r="BQ465" s="151">
        <v>0</v>
      </c>
      <c r="BR465" s="142"/>
      <c r="BS465" s="142"/>
      <c r="BT465" s="142"/>
      <c r="BU465" s="142"/>
      <c r="BV465" s="142"/>
      <c r="BW465" s="142"/>
      <c r="BX465" s="142"/>
      <c r="BY465" s="142"/>
      <c r="BZ465" s="142"/>
      <c r="CA465" s="142"/>
      <c r="CB465" s="142"/>
      <c r="CC465" s="142"/>
      <c r="CD465" s="142"/>
      <c r="CE465" s="142"/>
      <c r="CF465" s="142"/>
      <c r="CG465" s="142"/>
      <c r="CH465" s="142"/>
      <c r="CI465" s="142"/>
      <c r="CJ465" s="142"/>
      <c r="CK465" s="142"/>
      <c r="CL465" s="142"/>
      <c r="CM465" s="142"/>
      <c r="CN465" s="142"/>
      <c r="CO465" s="142"/>
      <c r="CP465" s="142"/>
      <c r="CQ465" s="142"/>
      <c r="CR465" s="142"/>
      <c r="CS465" s="142"/>
      <c r="CT465" s="142"/>
      <c r="CU465" s="142"/>
      <c r="CV465" s="142"/>
      <c r="CW465" s="142"/>
      <c r="CX465" s="142"/>
      <c r="CY465" s="142"/>
      <c r="CZ465" s="142"/>
      <c r="DA465" s="142"/>
      <c r="DB465" s="142"/>
      <c r="DC465" s="142"/>
      <c r="DD465" s="142"/>
      <c r="DE465" s="142"/>
      <c r="DF465" s="142"/>
      <c r="DG465" s="142"/>
      <c r="DH465" s="142"/>
      <c r="DI465" s="142"/>
      <c r="DJ465" s="142"/>
      <c r="DK465" s="142"/>
      <c r="DL465" s="142"/>
      <c r="DM465" s="142"/>
      <c r="DN465" s="142"/>
      <c r="DO465" s="142"/>
      <c r="DP465" s="142"/>
      <c r="DQ465" s="142"/>
      <c r="DR465" s="142"/>
      <c r="DS465" s="142"/>
      <c r="DT465" s="142"/>
      <c r="DU465" s="142"/>
      <c r="DV465" s="142"/>
      <c r="DW465" s="142"/>
      <c r="DX465" s="142"/>
      <c r="DY465" s="142"/>
      <c r="DZ465" s="142"/>
      <c r="EA465" s="142"/>
      <c r="EB465" s="142"/>
      <c r="EC465" s="142"/>
      <c r="ED465" s="142"/>
      <c r="EE465" s="142"/>
    </row>
    <row r="466" spans="1:135" s="151" customFormat="1" ht="19.5" customHeight="1" x14ac:dyDescent="0.2">
      <c r="A466" s="117">
        <v>464</v>
      </c>
      <c r="B466" s="174" t="s">
        <v>746</v>
      </c>
      <c r="C466" s="144">
        <v>147959</v>
      </c>
      <c r="D466" s="117" t="s">
        <v>73</v>
      </c>
      <c r="E466" s="183" t="s">
        <v>745</v>
      </c>
      <c r="F466" s="146" t="s">
        <v>208</v>
      </c>
      <c r="G466" s="162">
        <v>42418</v>
      </c>
      <c r="H466" s="124">
        <v>43664</v>
      </c>
      <c r="I466" s="111">
        <v>45996</v>
      </c>
      <c r="J466" s="162">
        <f t="shared" si="34"/>
        <v>46726</v>
      </c>
      <c r="K466" s="112">
        <v>42199</v>
      </c>
      <c r="L466" s="111">
        <v>46205</v>
      </c>
      <c r="M466" s="163">
        <f t="shared" si="35"/>
        <v>46936</v>
      </c>
      <c r="N466" s="111">
        <v>42977</v>
      </c>
      <c r="O466" s="111">
        <v>46255</v>
      </c>
      <c r="P466" s="111">
        <v>42976</v>
      </c>
      <c r="Q466" s="166" t="s">
        <v>69</v>
      </c>
      <c r="R466" s="166" t="s">
        <v>69</v>
      </c>
      <c r="S466" s="166" t="s">
        <v>69</v>
      </c>
      <c r="T466" s="168">
        <v>46031</v>
      </c>
      <c r="U466" s="166" t="s">
        <v>69</v>
      </c>
      <c r="V466" s="168">
        <v>46146</v>
      </c>
      <c r="W466" s="166" t="s">
        <v>69</v>
      </c>
      <c r="X466" s="166" t="s">
        <v>69</v>
      </c>
      <c r="Y466" s="166" t="s">
        <v>69</v>
      </c>
      <c r="Z466" s="166" t="s">
        <v>69</v>
      </c>
      <c r="AA466" s="166" t="s">
        <v>69</v>
      </c>
      <c r="AB466" s="166" t="s">
        <v>69</v>
      </c>
      <c r="AC466" s="166" t="s">
        <v>69</v>
      </c>
      <c r="AD466" s="167" t="s">
        <v>71</v>
      </c>
      <c r="AE466" s="167" t="s">
        <v>70</v>
      </c>
      <c r="AF466" s="112" t="s">
        <v>69</v>
      </c>
      <c r="AG466" s="112" t="s">
        <v>69</v>
      </c>
      <c r="AH466" s="167" t="s">
        <v>71</v>
      </c>
      <c r="AI466" s="167" t="s">
        <v>70</v>
      </c>
      <c r="AJ466" s="167" t="s">
        <v>70</v>
      </c>
      <c r="AK466" s="167" t="s">
        <v>70</v>
      </c>
      <c r="AL466" s="166" t="s">
        <v>69</v>
      </c>
      <c r="AM466" s="166"/>
      <c r="AN466" s="166" t="s">
        <v>69</v>
      </c>
      <c r="AO466" s="167" t="s">
        <v>70</v>
      </c>
      <c r="AP466" s="166" t="s">
        <v>69</v>
      </c>
      <c r="AQ466" s="166" t="s">
        <v>69</v>
      </c>
      <c r="AR466" s="166" t="s">
        <v>69</v>
      </c>
      <c r="AS466" s="166" t="s">
        <v>69</v>
      </c>
      <c r="AT466" s="166" t="s">
        <v>69</v>
      </c>
      <c r="AU466" s="166" t="s">
        <v>69</v>
      </c>
      <c r="AV466" s="166" t="s">
        <v>69</v>
      </c>
      <c r="AW466" s="166" t="s">
        <v>69</v>
      </c>
      <c r="AX466" s="166" t="s">
        <v>69</v>
      </c>
      <c r="AY466" s="166" t="s">
        <v>69</v>
      </c>
      <c r="AZ466" s="166" t="s">
        <v>69</v>
      </c>
      <c r="BA466" s="166" t="s">
        <v>69</v>
      </c>
      <c r="BB466" s="166" t="s">
        <v>69</v>
      </c>
      <c r="BC466" s="166" t="s">
        <v>69</v>
      </c>
      <c r="BD466" s="166" t="s">
        <v>69</v>
      </c>
      <c r="BE466" s="166" t="s">
        <v>69</v>
      </c>
      <c r="BF466" s="166" t="s">
        <v>69</v>
      </c>
      <c r="BG466" s="167" t="s">
        <v>70</v>
      </c>
      <c r="BH466" s="166" t="s">
        <v>69</v>
      </c>
      <c r="BI466" s="166" t="s">
        <v>69</v>
      </c>
      <c r="BJ466" s="167" t="s">
        <v>70</v>
      </c>
      <c r="BK466" s="166" t="s">
        <v>69</v>
      </c>
      <c r="BL466" s="167" t="s">
        <v>70</v>
      </c>
      <c r="BM466" s="167" t="s">
        <v>70</v>
      </c>
      <c r="BN466" s="167" t="s">
        <v>70</v>
      </c>
      <c r="BO466" s="167" t="s">
        <v>70</v>
      </c>
      <c r="BP466" s="167" t="s">
        <v>70</v>
      </c>
      <c r="BQ466" s="151">
        <v>0</v>
      </c>
      <c r="BR466" s="142"/>
      <c r="BS466" s="142"/>
      <c r="BT466" s="142"/>
      <c r="BU466" s="142"/>
      <c r="BV466" s="142"/>
      <c r="BW466" s="142"/>
      <c r="BX466" s="142"/>
      <c r="BY466" s="142"/>
      <c r="BZ466" s="142"/>
      <c r="CA466" s="142"/>
      <c r="CB466" s="142"/>
      <c r="CC466" s="142"/>
      <c r="CD466" s="142"/>
      <c r="CE466" s="142"/>
      <c r="CF466" s="142"/>
      <c r="CG466" s="142"/>
      <c r="CH466" s="142"/>
      <c r="CI466" s="142"/>
      <c r="CJ466" s="142"/>
      <c r="CK466" s="142"/>
      <c r="CL466" s="142"/>
      <c r="CM466" s="142"/>
      <c r="CN466" s="142"/>
      <c r="CO466" s="142"/>
      <c r="CP466" s="142"/>
      <c r="CQ466" s="142"/>
      <c r="CR466" s="142"/>
      <c r="CS466" s="142"/>
      <c r="CT466" s="142"/>
      <c r="CU466" s="142"/>
      <c r="CV466" s="142"/>
      <c r="CW466" s="142"/>
      <c r="CX466" s="142"/>
      <c r="CY466" s="142"/>
      <c r="CZ466" s="142"/>
      <c r="DA466" s="142"/>
      <c r="DB466" s="142"/>
      <c r="DC466" s="142"/>
      <c r="DD466" s="142"/>
      <c r="DE466" s="142"/>
      <c r="DF466" s="142"/>
      <c r="DG466" s="142"/>
      <c r="DH466" s="142"/>
      <c r="DI466" s="142"/>
      <c r="DJ466" s="142"/>
      <c r="DK466" s="142"/>
      <c r="DL466" s="142"/>
      <c r="DM466" s="142"/>
      <c r="DN466" s="142"/>
      <c r="DO466" s="142"/>
      <c r="DP466" s="142"/>
      <c r="DQ466" s="142"/>
      <c r="DR466" s="142"/>
      <c r="DS466" s="142"/>
      <c r="DT466" s="142"/>
      <c r="DU466" s="142"/>
      <c r="DV466" s="142"/>
      <c r="DW466" s="142"/>
      <c r="DX466" s="142"/>
      <c r="DY466" s="142"/>
      <c r="DZ466" s="142"/>
      <c r="EA466" s="142"/>
      <c r="EB466" s="142"/>
      <c r="EC466" s="142"/>
      <c r="ED466" s="142"/>
      <c r="EE466" s="142"/>
    </row>
    <row r="467" spans="1:135" s="151" customFormat="1" ht="19.5" customHeight="1" x14ac:dyDescent="0.2">
      <c r="A467" s="117">
        <v>465</v>
      </c>
      <c r="B467" s="174" t="s">
        <v>747</v>
      </c>
      <c r="C467" s="144">
        <v>145843</v>
      </c>
      <c r="D467" s="117" t="s">
        <v>73</v>
      </c>
      <c r="E467" s="183" t="s">
        <v>745</v>
      </c>
      <c r="F467" s="146" t="s">
        <v>208</v>
      </c>
      <c r="G467" s="162">
        <v>41943</v>
      </c>
      <c r="H467" s="172">
        <v>42789</v>
      </c>
      <c r="I467" s="172">
        <v>45719</v>
      </c>
      <c r="J467" s="162">
        <f t="shared" si="34"/>
        <v>46449</v>
      </c>
      <c r="K467" s="112">
        <v>41982</v>
      </c>
      <c r="L467" s="111">
        <v>46090</v>
      </c>
      <c r="M467" s="163">
        <f t="shared" si="35"/>
        <v>46821</v>
      </c>
      <c r="N467" s="111">
        <v>41960</v>
      </c>
      <c r="O467" s="111">
        <v>46255</v>
      </c>
      <c r="P467" s="111">
        <v>45259</v>
      </c>
      <c r="Q467" s="166" t="s">
        <v>69</v>
      </c>
      <c r="R467" s="94">
        <v>45154</v>
      </c>
      <c r="S467" s="94">
        <v>45885</v>
      </c>
      <c r="T467" s="168" t="s">
        <v>69</v>
      </c>
      <c r="U467" s="168">
        <v>42091</v>
      </c>
      <c r="V467" s="185">
        <v>42023</v>
      </c>
      <c r="W467" s="166" t="s">
        <v>69</v>
      </c>
      <c r="X467" s="166" t="s">
        <v>69</v>
      </c>
      <c r="Y467" s="166" t="s">
        <v>69</v>
      </c>
      <c r="Z467" s="166" t="s">
        <v>69</v>
      </c>
      <c r="AA467" s="166" t="s">
        <v>69</v>
      </c>
      <c r="AB467" s="166" t="s">
        <v>69</v>
      </c>
      <c r="AC467" s="166" t="s">
        <v>69</v>
      </c>
      <c r="AD467" s="167" t="s">
        <v>71</v>
      </c>
      <c r="AE467" s="167" t="s">
        <v>70</v>
      </c>
      <c r="AF467" s="112">
        <v>46217</v>
      </c>
      <c r="AG467" s="112" t="s">
        <v>69</v>
      </c>
      <c r="AH467" s="167" t="s">
        <v>71</v>
      </c>
      <c r="AI467" s="167" t="s">
        <v>70</v>
      </c>
      <c r="AJ467" s="167" t="s">
        <v>70</v>
      </c>
      <c r="AK467" s="167" t="s">
        <v>70</v>
      </c>
      <c r="AL467" s="166" t="s">
        <v>69</v>
      </c>
      <c r="AM467" s="166"/>
      <c r="AN467" s="166" t="s">
        <v>69</v>
      </c>
      <c r="AO467" s="167" t="s">
        <v>70</v>
      </c>
      <c r="AP467" s="166" t="s">
        <v>69</v>
      </c>
      <c r="AQ467" s="166" t="s">
        <v>69</v>
      </c>
      <c r="AR467" s="166" t="s">
        <v>69</v>
      </c>
      <c r="AS467" s="168">
        <v>46136</v>
      </c>
      <c r="AT467" s="166" t="s">
        <v>69</v>
      </c>
      <c r="AU467" s="166" t="s">
        <v>69</v>
      </c>
      <c r="AV467" s="166" t="s">
        <v>69</v>
      </c>
      <c r="AW467" s="166" t="s">
        <v>69</v>
      </c>
      <c r="AX467" s="166" t="s">
        <v>69</v>
      </c>
      <c r="AY467" s="166" t="s">
        <v>69</v>
      </c>
      <c r="AZ467" s="166" t="s">
        <v>69</v>
      </c>
      <c r="BA467" s="166" t="s">
        <v>69</v>
      </c>
      <c r="BB467" s="166" t="s">
        <v>69</v>
      </c>
      <c r="BC467" s="166" t="s">
        <v>69</v>
      </c>
      <c r="BD467" s="166" t="s">
        <v>69</v>
      </c>
      <c r="BE467" s="166" t="s">
        <v>69</v>
      </c>
      <c r="BF467" s="166" t="s">
        <v>69</v>
      </c>
      <c r="BG467" s="167" t="s">
        <v>70</v>
      </c>
      <c r="BH467" s="166" t="s">
        <v>69</v>
      </c>
      <c r="BI467" s="166" t="s">
        <v>69</v>
      </c>
      <c r="BJ467" s="167" t="s">
        <v>70</v>
      </c>
      <c r="BK467" s="166" t="s">
        <v>69</v>
      </c>
      <c r="BL467" s="167" t="s">
        <v>70</v>
      </c>
      <c r="BM467" s="167" t="s">
        <v>70</v>
      </c>
      <c r="BN467" s="167" t="s">
        <v>70</v>
      </c>
      <c r="BO467" s="167" t="s">
        <v>70</v>
      </c>
      <c r="BP467" s="167" t="s">
        <v>70</v>
      </c>
      <c r="BQ467" s="151">
        <v>0</v>
      </c>
      <c r="BR467" s="142"/>
      <c r="BS467" s="142"/>
      <c r="BT467" s="142"/>
      <c r="BU467" s="142"/>
      <c r="BV467" s="142"/>
      <c r="BW467" s="142"/>
      <c r="BX467" s="142"/>
      <c r="BY467" s="142"/>
      <c r="BZ467" s="142"/>
      <c r="CA467" s="142"/>
      <c r="CB467" s="142"/>
      <c r="CC467" s="142"/>
      <c r="CD467" s="142"/>
      <c r="CE467" s="142"/>
      <c r="CF467" s="142"/>
      <c r="CG467" s="142"/>
      <c r="CH467" s="142"/>
      <c r="CI467" s="142"/>
      <c r="CJ467" s="142"/>
      <c r="CK467" s="142"/>
      <c r="CL467" s="142"/>
      <c r="CM467" s="142"/>
      <c r="CN467" s="142"/>
      <c r="CO467" s="142"/>
      <c r="CP467" s="142"/>
      <c r="CQ467" s="142"/>
      <c r="CR467" s="142"/>
      <c r="CS467" s="142"/>
      <c r="CT467" s="142"/>
      <c r="CU467" s="142"/>
      <c r="CV467" s="142"/>
      <c r="CW467" s="142"/>
      <c r="CX467" s="142"/>
      <c r="CY467" s="142"/>
      <c r="CZ467" s="142"/>
      <c r="DA467" s="142"/>
      <c r="DB467" s="142"/>
      <c r="DC467" s="142"/>
      <c r="DD467" s="142"/>
      <c r="DE467" s="142"/>
      <c r="DF467" s="142"/>
      <c r="DG467" s="142"/>
      <c r="DH467" s="142"/>
      <c r="DI467" s="142"/>
      <c r="DJ467" s="142"/>
      <c r="DK467" s="142"/>
      <c r="DL467" s="142"/>
      <c r="DM467" s="142"/>
      <c r="DN467" s="142"/>
      <c r="DO467" s="142"/>
      <c r="DP467" s="142"/>
      <c r="DQ467" s="142"/>
      <c r="DR467" s="142"/>
      <c r="DS467" s="142"/>
      <c r="DT467" s="142"/>
      <c r="DU467" s="142"/>
      <c r="DV467" s="142"/>
      <c r="DW467" s="142"/>
      <c r="DX467" s="142"/>
      <c r="DY467" s="142"/>
      <c r="DZ467" s="142"/>
      <c r="EA467" s="142"/>
      <c r="EB467" s="142"/>
      <c r="EC467" s="142"/>
      <c r="ED467" s="142"/>
      <c r="EE467" s="142"/>
    </row>
    <row r="468" spans="1:135" s="151" customFormat="1" ht="19.5" customHeight="1" x14ac:dyDescent="0.2">
      <c r="A468" s="117">
        <v>466</v>
      </c>
      <c r="B468" s="161" t="s">
        <v>563</v>
      </c>
      <c r="C468" s="161">
        <v>131864</v>
      </c>
      <c r="D468" s="171" t="s">
        <v>564</v>
      </c>
      <c r="E468" s="144" t="s">
        <v>503</v>
      </c>
      <c r="F468" s="146" t="s">
        <v>208</v>
      </c>
      <c r="G468" s="124">
        <v>43320</v>
      </c>
      <c r="H468" s="89">
        <v>43636</v>
      </c>
      <c r="I468" s="89">
        <v>46056</v>
      </c>
      <c r="J468" s="162">
        <f t="shared" si="34"/>
        <v>46786</v>
      </c>
      <c r="K468" s="89">
        <v>41502</v>
      </c>
      <c r="L468" s="163">
        <v>46154</v>
      </c>
      <c r="M468" s="163">
        <f t="shared" si="35"/>
        <v>46885</v>
      </c>
      <c r="N468" s="89">
        <v>44545</v>
      </c>
      <c r="O468" s="89">
        <v>44546</v>
      </c>
      <c r="P468" s="89">
        <v>44546</v>
      </c>
      <c r="Q468" s="165" t="s">
        <v>69</v>
      </c>
      <c r="R468" s="165" t="s">
        <v>69</v>
      </c>
      <c r="S468" s="165" t="s">
        <v>69</v>
      </c>
      <c r="T468" s="181">
        <v>43749</v>
      </c>
      <c r="U468" s="181">
        <v>43602</v>
      </c>
      <c r="V468" s="181">
        <v>44358</v>
      </c>
      <c r="W468" s="112">
        <v>44435</v>
      </c>
      <c r="X468" s="213">
        <v>41887</v>
      </c>
      <c r="Y468" s="181">
        <v>42034</v>
      </c>
      <c r="Z468" s="181">
        <v>43847</v>
      </c>
      <c r="AA468" s="112">
        <v>46293</v>
      </c>
      <c r="AB468" s="166" t="s">
        <v>69</v>
      </c>
      <c r="AC468" s="166" t="s">
        <v>69</v>
      </c>
      <c r="AD468" s="167" t="s">
        <v>70</v>
      </c>
      <c r="AE468" s="167" t="s">
        <v>70</v>
      </c>
      <c r="AF468" s="112">
        <v>45672</v>
      </c>
      <c r="AG468" s="166" t="s">
        <v>69</v>
      </c>
      <c r="AH468" s="167" t="s">
        <v>71</v>
      </c>
      <c r="AI468" s="167" t="s">
        <v>70</v>
      </c>
      <c r="AJ468" s="167" t="s">
        <v>70</v>
      </c>
      <c r="AK468" s="167" t="s">
        <v>70</v>
      </c>
      <c r="AL468" s="166" t="s">
        <v>69</v>
      </c>
      <c r="AM468" s="166"/>
      <c r="AN468" s="168" t="s">
        <v>69</v>
      </c>
      <c r="AO468" s="167" t="s">
        <v>70</v>
      </c>
      <c r="AP468" s="166" t="s">
        <v>69</v>
      </c>
      <c r="AQ468" s="166" t="s">
        <v>69</v>
      </c>
      <c r="AR468" s="168">
        <v>46090</v>
      </c>
      <c r="AS468" s="112">
        <v>46003</v>
      </c>
      <c r="AT468" s="166" t="s">
        <v>69</v>
      </c>
      <c r="AU468" s="166" t="s">
        <v>69</v>
      </c>
      <c r="AV468" s="166" t="s">
        <v>69</v>
      </c>
      <c r="AW468" s="167" t="s">
        <v>70</v>
      </c>
      <c r="AX468" s="167" t="s">
        <v>70</v>
      </c>
      <c r="AY468" s="166" t="s">
        <v>69</v>
      </c>
      <c r="AZ468" s="166" t="s">
        <v>69</v>
      </c>
      <c r="BA468" s="166" t="s">
        <v>69</v>
      </c>
      <c r="BB468" s="167" t="s">
        <v>70</v>
      </c>
      <c r="BC468" s="167" t="s">
        <v>70</v>
      </c>
      <c r="BD468" s="167" t="s">
        <v>70</v>
      </c>
      <c r="BE468" s="167" t="s">
        <v>70</v>
      </c>
      <c r="BF468" s="167" t="s">
        <v>70</v>
      </c>
      <c r="BG468" s="169" t="s">
        <v>70</v>
      </c>
      <c r="BH468" s="169" t="s">
        <v>70</v>
      </c>
      <c r="BI468" s="169" t="s">
        <v>70</v>
      </c>
      <c r="BJ468" s="167" t="s">
        <v>70</v>
      </c>
      <c r="BK468" s="167" t="s">
        <v>70</v>
      </c>
      <c r="BL468" s="167" t="s">
        <v>70</v>
      </c>
      <c r="BM468" s="167" t="s">
        <v>70</v>
      </c>
      <c r="BN468" s="167" t="s">
        <v>70</v>
      </c>
      <c r="BO468" s="167" t="s">
        <v>70</v>
      </c>
      <c r="BP468" s="167" t="s">
        <v>70</v>
      </c>
      <c r="BQ468" s="151">
        <v>0</v>
      </c>
      <c r="BR468" s="142"/>
      <c r="BS468" s="142"/>
      <c r="BT468" s="142"/>
      <c r="BU468" s="142"/>
      <c r="BV468" s="142"/>
      <c r="BW468" s="142"/>
      <c r="BX468" s="142"/>
      <c r="BY468" s="142"/>
      <c r="BZ468" s="142"/>
      <c r="CA468" s="142"/>
      <c r="CB468" s="142"/>
      <c r="CC468" s="142"/>
      <c r="CD468" s="142"/>
      <c r="CE468" s="142"/>
      <c r="CF468" s="142"/>
      <c r="CG468" s="142"/>
      <c r="CH468" s="142"/>
      <c r="CI468" s="142"/>
      <c r="CJ468" s="142"/>
      <c r="CK468" s="142"/>
      <c r="CL468" s="142"/>
      <c r="CM468" s="142"/>
      <c r="CN468" s="142"/>
      <c r="CO468" s="142"/>
      <c r="CP468" s="142"/>
      <c r="CQ468" s="142"/>
      <c r="CR468" s="142"/>
      <c r="CS468" s="142"/>
      <c r="CT468" s="142"/>
      <c r="CU468" s="142"/>
      <c r="CV468" s="142"/>
      <c r="CW468" s="142"/>
      <c r="CX468" s="142"/>
      <c r="CY468" s="142"/>
      <c r="CZ468" s="142"/>
      <c r="DA468" s="142"/>
      <c r="DB468" s="142"/>
      <c r="DC468" s="142"/>
      <c r="DD468" s="142"/>
      <c r="DE468" s="142"/>
      <c r="DF468" s="142"/>
      <c r="DG468" s="142"/>
      <c r="DH468" s="142"/>
      <c r="DI468" s="142"/>
      <c r="DJ468" s="142"/>
      <c r="DK468" s="142"/>
      <c r="DL468" s="142"/>
      <c r="DM468" s="142"/>
      <c r="DN468" s="142"/>
      <c r="DO468" s="142"/>
      <c r="DP468" s="142"/>
      <c r="DQ468" s="142"/>
      <c r="DR468" s="142"/>
      <c r="DS468" s="142"/>
      <c r="DT468" s="142"/>
      <c r="DU468" s="142"/>
      <c r="DV468" s="142"/>
      <c r="DW468" s="142"/>
      <c r="DX468" s="142"/>
      <c r="DY468" s="142"/>
      <c r="DZ468" s="142"/>
      <c r="EA468" s="142"/>
      <c r="EB468" s="142"/>
      <c r="EC468" s="142"/>
      <c r="ED468" s="142"/>
      <c r="EE468" s="142"/>
    </row>
    <row r="469" spans="1:135" s="151" customFormat="1" ht="19.5" customHeight="1" x14ac:dyDescent="0.2">
      <c r="A469" s="117">
        <v>467</v>
      </c>
      <c r="B469" s="117" t="s">
        <v>565</v>
      </c>
      <c r="C469" s="117">
        <v>143743</v>
      </c>
      <c r="D469" s="117" t="s">
        <v>73</v>
      </c>
      <c r="E469" s="144" t="s">
        <v>503</v>
      </c>
      <c r="F469" s="146" t="s">
        <v>208</v>
      </c>
      <c r="G469" s="124">
        <v>42467</v>
      </c>
      <c r="H469" s="89">
        <v>44370</v>
      </c>
      <c r="I469" s="89">
        <v>46034</v>
      </c>
      <c r="J469" s="162">
        <f t="shared" si="34"/>
        <v>46764</v>
      </c>
      <c r="K469" s="89">
        <v>42339</v>
      </c>
      <c r="L469" s="163">
        <v>46154</v>
      </c>
      <c r="M469" s="163">
        <f t="shared" si="35"/>
        <v>46885</v>
      </c>
      <c r="N469" s="89">
        <v>42186</v>
      </c>
      <c r="O469" s="89">
        <v>42188</v>
      </c>
      <c r="P469" s="89">
        <v>42188</v>
      </c>
      <c r="Q469" s="166" t="s">
        <v>69</v>
      </c>
      <c r="R469" s="166" t="s">
        <v>69</v>
      </c>
      <c r="S469" s="166" t="s">
        <v>69</v>
      </c>
      <c r="T469" s="181">
        <v>44512</v>
      </c>
      <c r="U469" s="181">
        <v>43651</v>
      </c>
      <c r="V469" s="166" t="s">
        <v>69</v>
      </c>
      <c r="W469" s="166" t="s">
        <v>69</v>
      </c>
      <c r="X469" s="181">
        <v>42360</v>
      </c>
      <c r="Y469" s="181">
        <v>42307</v>
      </c>
      <c r="Z469" s="168">
        <v>44883</v>
      </c>
      <c r="AA469" s="166" t="s">
        <v>69</v>
      </c>
      <c r="AB469" s="166" t="s">
        <v>69</v>
      </c>
      <c r="AC469" s="166" t="s">
        <v>69</v>
      </c>
      <c r="AD469" s="167" t="s">
        <v>71</v>
      </c>
      <c r="AE469" s="167" t="s">
        <v>70</v>
      </c>
      <c r="AF469" s="112">
        <v>46133</v>
      </c>
      <c r="AG469" s="112" t="s">
        <v>69</v>
      </c>
      <c r="AH469" s="167" t="s">
        <v>71</v>
      </c>
      <c r="AI469" s="167" t="s">
        <v>70</v>
      </c>
      <c r="AJ469" s="167" t="s">
        <v>70</v>
      </c>
      <c r="AK469" s="167" t="s">
        <v>70</v>
      </c>
      <c r="AL469" s="166" t="s">
        <v>69</v>
      </c>
      <c r="AM469" s="166"/>
      <c r="AN469" s="166" t="s">
        <v>69</v>
      </c>
      <c r="AO469" s="167" t="s">
        <v>70</v>
      </c>
      <c r="AP469" s="166" t="s">
        <v>69</v>
      </c>
      <c r="AQ469" s="166" t="s">
        <v>69</v>
      </c>
      <c r="AR469" s="166" t="s">
        <v>69</v>
      </c>
      <c r="AS469" s="166" t="s">
        <v>69</v>
      </c>
      <c r="AT469" s="166" t="s">
        <v>69</v>
      </c>
      <c r="AU469" s="166" t="s">
        <v>69</v>
      </c>
      <c r="AV469" s="166" t="s">
        <v>69</v>
      </c>
      <c r="AW469" s="166" t="s">
        <v>69</v>
      </c>
      <c r="AX469" s="166" t="s">
        <v>69</v>
      </c>
      <c r="AY469" s="166" t="s">
        <v>69</v>
      </c>
      <c r="AZ469" s="166" t="s">
        <v>69</v>
      </c>
      <c r="BA469" s="166" t="s">
        <v>69</v>
      </c>
      <c r="BB469" s="166" t="s">
        <v>69</v>
      </c>
      <c r="BC469" s="166" t="s">
        <v>69</v>
      </c>
      <c r="BD469" s="166" t="s">
        <v>69</v>
      </c>
      <c r="BE469" s="166" t="s">
        <v>69</v>
      </c>
      <c r="BF469" s="166" t="s">
        <v>69</v>
      </c>
      <c r="BG469" s="167" t="s">
        <v>70</v>
      </c>
      <c r="BH469" s="166" t="s">
        <v>69</v>
      </c>
      <c r="BI469" s="166" t="s">
        <v>69</v>
      </c>
      <c r="BJ469" s="167" t="s">
        <v>70</v>
      </c>
      <c r="BK469" s="166" t="s">
        <v>69</v>
      </c>
      <c r="BL469" s="167" t="s">
        <v>70</v>
      </c>
      <c r="BM469" s="167" t="s">
        <v>70</v>
      </c>
      <c r="BN469" s="167" t="s">
        <v>70</v>
      </c>
      <c r="BO469" s="167" t="s">
        <v>70</v>
      </c>
      <c r="BP469" s="167" t="s">
        <v>70</v>
      </c>
      <c r="BQ469" s="151">
        <v>0</v>
      </c>
      <c r="BR469" s="142"/>
      <c r="BS469" s="142"/>
      <c r="BT469" s="142"/>
      <c r="BU469" s="142"/>
      <c r="BV469" s="142"/>
      <c r="BW469" s="142"/>
      <c r="BX469" s="142"/>
      <c r="BY469" s="142"/>
      <c r="BZ469" s="142"/>
      <c r="CA469" s="142"/>
      <c r="CB469" s="142"/>
      <c r="CC469" s="142"/>
      <c r="CD469" s="142"/>
      <c r="CE469" s="142"/>
      <c r="CF469" s="142"/>
      <c r="CG469" s="142"/>
      <c r="CH469" s="142"/>
      <c r="CI469" s="142"/>
      <c r="CJ469" s="142"/>
      <c r="CK469" s="142"/>
      <c r="CL469" s="142"/>
      <c r="CM469" s="142"/>
      <c r="CN469" s="142"/>
      <c r="CO469" s="142"/>
      <c r="CP469" s="142"/>
      <c r="CQ469" s="142"/>
      <c r="CR469" s="142"/>
      <c r="CS469" s="142"/>
      <c r="CT469" s="142"/>
      <c r="CU469" s="142"/>
      <c r="CV469" s="142"/>
      <c r="CW469" s="142"/>
      <c r="CX469" s="142"/>
      <c r="CY469" s="142"/>
      <c r="CZ469" s="142"/>
      <c r="DA469" s="142"/>
      <c r="DB469" s="142"/>
      <c r="DC469" s="142"/>
      <c r="DD469" s="142"/>
      <c r="DE469" s="142"/>
      <c r="DF469" s="142"/>
      <c r="DG469" s="142"/>
      <c r="DH469" s="142"/>
      <c r="DI469" s="142"/>
      <c r="DJ469" s="142"/>
      <c r="DK469" s="142"/>
      <c r="DL469" s="142"/>
      <c r="DM469" s="142"/>
      <c r="DN469" s="142"/>
      <c r="DO469" s="142"/>
      <c r="DP469" s="142"/>
      <c r="DQ469" s="142"/>
      <c r="DR469" s="142"/>
      <c r="DS469" s="142"/>
      <c r="DT469" s="142"/>
      <c r="DU469" s="142"/>
      <c r="DV469" s="142"/>
      <c r="DW469" s="142"/>
      <c r="DX469" s="142"/>
      <c r="DY469" s="142"/>
      <c r="DZ469" s="142"/>
      <c r="EA469" s="142"/>
      <c r="EB469" s="142"/>
      <c r="EC469" s="142"/>
      <c r="ED469" s="142"/>
      <c r="EE469" s="142"/>
    </row>
    <row r="470" spans="1:135" s="151" customFormat="1" ht="19.5" customHeight="1" x14ac:dyDescent="0.2">
      <c r="A470" s="117">
        <v>468</v>
      </c>
      <c r="B470" s="117" t="s">
        <v>566</v>
      </c>
      <c r="C470" s="117">
        <v>143744</v>
      </c>
      <c r="D470" s="117" t="s">
        <v>73</v>
      </c>
      <c r="E470" s="144" t="s">
        <v>503</v>
      </c>
      <c r="F470" s="146" t="s">
        <v>208</v>
      </c>
      <c r="G470" s="124">
        <v>43378</v>
      </c>
      <c r="H470" s="89">
        <v>43664</v>
      </c>
      <c r="I470" s="89">
        <v>46031</v>
      </c>
      <c r="J470" s="162">
        <f t="shared" si="34"/>
        <v>46761</v>
      </c>
      <c r="K470" s="89">
        <v>43185</v>
      </c>
      <c r="L470" s="163">
        <v>46162</v>
      </c>
      <c r="M470" s="163">
        <f t="shared" si="35"/>
        <v>46893</v>
      </c>
      <c r="N470" s="89">
        <v>42331</v>
      </c>
      <c r="O470" s="89">
        <v>42333</v>
      </c>
      <c r="P470" s="89">
        <v>42333</v>
      </c>
      <c r="Q470" s="166" t="s">
        <v>69</v>
      </c>
      <c r="R470" s="166" t="s">
        <v>69</v>
      </c>
      <c r="S470" s="166" t="s">
        <v>69</v>
      </c>
      <c r="T470" s="168">
        <v>42814</v>
      </c>
      <c r="U470" s="181">
        <v>43518</v>
      </c>
      <c r="V470" s="168">
        <v>43448</v>
      </c>
      <c r="W470" s="166" t="s">
        <v>69</v>
      </c>
      <c r="X470" s="181">
        <v>42268</v>
      </c>
      <c r="Y470" s="181">
        <v>42143</v>
      </c>
      <c r="Z470" s="181">
        <v>44386</v>
      </c>
      <c r="AA470" s="166" t="s">
        <v>69</v>
      </c>
      <c r="AB470" s="166" t="s">
        <v>69</v>
      </c>
      <c r="AC470" s="166" t="s">
        <v>69</v>
      </c>
      <c r="AD470" s="167" t="s">
        <v>71</v>
      </c>
      <c r="AE470" s="167" t="s">
        <v>70</v>
      </c>
      <c r="AF470" s="112">
        <v>46211</v>
      </c>
      <c r="AG470" s="112" t="s">
        <v>69</v>
      </c>
      <c r="AH470" s="167" t="s">
        <v>71</v>
      </c>
      <c r="AI470" s="167" t="s">
        <v>70</v>
      </c>
      <c r="AJ470" s="167" t="s">
        <v>70</v>
      </c>
      <c r="AK470" s="167" t="s">
        <v>70</v>
      </c>
      <c r="AL470" s="166" t="s">
        <v>69</v>
      </c>
      <c r="AM470" s="166"/>
      <c r="AN470" s="166" t="s">
        <v>69</v>
      </c>
      <c r="AO470" s="167" t="s">
        <v>70</v>
      </c>
      <c r="AP470" s="168">
        <v>46260</v>
      </c>
      <c r="AQ470" s="166" t="s">
        <v>69</v>
      </c>
      <c r="AR470" s="168">
        <v>46244</v>
      </c>
      <c r="AS470" s="166" t="s">
        <v>69</v>
      </c>
      <c r="AT470" s="166" t="s">
        <v>69</v>
      </c>
      <c r="AU470" s="166" t="s">
        <v>69</v>
      </c>
      <c r="AV470" s="166" t="s">
        <v>69</v>
      </c>
      <c r="AW470" s="166" t="s">
        <v>69</v>
      </c>
      <c r="AX470" s="166" t="s">
        <v>69</v>
      </c>
      <c r="AY470" s="166" t="s">
        <v>69</v>
      </c>
      <c r="AZ470" s="166" t="s">
        <v>69</v>
      </c>
      <c r="BA470" s="166" t="s">
        <v>69</v>
      </c>
      <c r="BB470" s="166" t="s">
        <v>69</v>
      </c>
      <c r="BC470" s="166" t="s">
        <v>69</v>
      </c>
      <c r="BD470" s="166" t="s">
        <v>69</v>
      </c>
      <c r="BE470" s="166" t="s">
        <v>69</v>
      </c>
      <c r="BF470" s="166" t="s">
        <v>69</v>
      </c>
      <c r="BG470" s="167" t="s">
        <v>70</v>
      </c>
      <c r="BH470" s="166" t="s">
        <v>69</v>
      </c>
      <c r="BI470" s="166" t="s">
        <v>69</v>
      </c>
      <c r="BJ470" s="167" t="s">
        <v>70</v>
      </c>
      <c r="BK470" s="166" t="s">
        <v>69</v>
      </c>
      <c r="BL470" s="167" t="s">
        <v>70</v>
      </c>
      <c r="BM470" s="167" t="s">
        <v>70</v>
      </c>
      <c r="BN470" s="167" t="s">
        <v>70</v>
      </c>
      <c r="BO470" s="167" t="s">
        <v>70</v>
      </c>
      <c r="BP470" s="167" t="s">
        <v>70</v>
      </c>
      <c r="BQ470" s="151">
        <v>0</v>
      </c>
      <c r="BR470" s="142"/>
      <c r="BS470" s="142"/>
      <c r="BT470" s="142"/>
      <c r="BU470" s="142"/>
      <c r="BV470" s="142"/>
      <c r="BW470" s="142"/>
      <c r="BX470" s="142"/>
      <c r="BY470" s="142"/>
      <c r="BZ470" s="142"/>
      <c r="CA470" s="142"/>
      <c r="CB470" s="142"/>
      <c r="CC470" s="142"/>
      <c r="CD470" s="142"/>
      <c r="CE470" s="142"/>
      <c r="CF470" s="142"/>
      <c r="CG470" s="142"/>
      <c r="CH470" s="142"/>
      <c r="CI470" s="142"/>
      <c r="CJ470" s="142"/>
      <c r="CK470" s="142"/>
      <c r="CL470" s="142"/>
      <c r="CM470" s="142"/>
      <c r="CN470" s="142"/>
      <c r="CO470" s="142"/>
      <c r="CP470" s="142"/>
      <c r="CQ470" s="142"/>
      <c r="CR470" s="142"/>
      <c r="CS470" s="142"/>
      <c r="CT470" s="142"/>
      <c r="CU470" s="142"/>
      <c r="CV470" s="142"/>
      <c r="CW470" s="142"/>
      <c r="CX470" s="142"/>
      <c r="CY470" s="142"/>
      <c r="CZ470" s="142"/>
      <c r="DA470" s="142"/>
      <c r="DB470" s="142"/>
      <c r="DC470" s="142"/>
      <c r="DD470" s="142"/>
      <c r="DE470" s="142"/>
      <c r="DF470" s="142"/>
      <c r="DG470" s="142"/>
      <c r="DH470" s="142"/>
      <c r="DI470" s="142"/>
      <c r="DJ470" s="142"/>
      <c r="DK470" s="142"/>
      <c r="DL470" s="142"/>
      <c r="DM470" s="142"/>
      <c r="DN470" s="142"/>
      <c r="DO470" s="142"/>
      <c r="DP470" s="142"/>
      <c r="DQ470" s="142"/>
      <c r="DR470" s="142"/>
      <c r="DS470" s="142"/>
      <c r="DT470" s="142"/>
      <c r="DU470" s="142"/>
      <c r="DV470" s="142"/>
      <c r="DW470" s="142"/>
      <c r="DX470" s="142"/>
      <c r="DY470" s="142"/>
      <c r="DZ470" s="142"/>
      <c r="EA470" s="142"/>
      <c r="EB470" s="142"/>
      <c r="EC470" s="142"/>
      <c r="ED470" s="142"/>
      <c r="EE470" s="142"/>
    </row>
    <row r="471" spans="1:135" s="151" customFormat="1" ht="19.5" customHeight="1" x14ac:dyDescent="0.2">
      <c r="A471" s="117">
        <v>469</v>
      </c>
      <c r="B471" s="117" t="s">
        <v>567</v>
      </c>
      <c r="C471" s="117">
        <v>143745</v>
      </c>
      <c r="D471" s="117" t="s">
        <v>73</v>
      </c>
      <c r="E471" s="144" t="s">
        <v>503</v>
      </c>
      <c r="F471" s="146" t="s">
        <v>208</v>
      </c>
      <c r="G471" s="124">
        <v>43656</v>
      </c>
      <c r="H471" s="89">
        <v>42193</v>
      </c>
      <c r="I471" s="89">
        <v>46030</v>
      </c>
      <c r="J471" s="162">
        <f t="shared" si="34"/>
        <v>46760</v>
      </c>
      <c r="K471" s="89">
        <v>42346</v>
      </c>
      <c r="L471" s="89">
        <v>46028</v>
      </c>
      <c r="M471" s="163">
        <f t="shared" si="35"/>
        <v>46758</v>
      </c>
      <c r="N471" s="89">
        <v>42298</v>
      </c>
      <c r="O471" s="89">
        <v>42296</v>
      </c>
      <c r="P471" s="89">
        <v>42296</v>
      </c>
      <c r="Q471" s="166" t="s">
        <v>69</v>
      </c>
      <c r="R471" s="166" t="s">
        <v>69</v>
      </c>
      <c r="S471" s="166" t="s">
        <v>69</v>
      </c>
      <c r="T471" s="168">
        <v>42877</v>
      </c>
      <c r="U471" s="168">
        <v>42807</v>
      </c>
      <c r="V471" s="181">
        <v>44407</v>
      </c>
      <c r="W471" s="166" t="s">
        <v>69</v>
      </c>
      <c r="X471" s="181">
        <v>42520</v>
      </c>
      <c r="Y471" s="181">
        <v>42083</v>
      </c>
      <c r="Z471" s="181">
        <v>44484</v>
      </c>
      <c r="AA471" s="166" t="s">
        <v>69</v>
      </c>
      <c r="AB471" s="166" t="s">
        <v>69</v>
      </c>
      <c r="AC471" s="166" t="s">
        <v>69</v>
      </c>
      <c r="AD471" s="167" t="s">
        <v>71</v>
      </c>
      <c r="AE471" s="167" t="s">
        <v>70</v>
      </c>
      <c r="AF471" s="112">
        <v>46091</v>
      </c>
      <c r="AG471" s="112" t="s">
        <v>69</v>
      </c>
      <c r="AH471" s="167" t="s">
        <v>71</v>
      </c>
      <c r="AI471" s="167" t="s">
        <v>70</v>
      </c>
      <c r="AJ471" s="167" t="s">
        <v>70</v>
      </c>
      <c r="AK471" s="167" t="s">
        <v>70</v>
      </c>
      <c r="AL471" s="166" t="s">
        <v>69</v>
      </c>
      <c r="AM471" s="166"/>
      <c r="AN471" s="166" t="s">
        <v>69</v>
      </c>
      <c r="AO471" s="167" t="s">
        <v>70</v>
      </c>
      <c r="AP471" s="166" t="s">
        <v>69</v>
      </c>
      <c r="AQ471" s="166" t="s">
        <v>69</v>
      </c>
      <c r="AR471" s="185">
        <v>46276</v>
      </c>
      <c r="AS471" s="187">
        <v>46003</v>
      </c>
      <c r="AT471" s="166" t="s">
        <v>69</v>
      </c>
      <c r="AU471" s="166" t="s">
        <v>69</v>
      </c>
      <c r="AV471" s="166" t="s">
        <v>69</v>
      </c>
      <c r="AW471" s="166" t="s">
        <v>69</v>
      </c>
      <c r="AX471" s="166" t="s">
        <v>69</v>
      </c>
      <c r="AY471" s="166" t="s">
        <v>69</v>
      </c>
      <c r="AZ471" s="166" t="s">
        <v>69</v>
      </c>
      <c r="BA471" s="166" t="s">
        <v>69</v>
      </c>
      <c r="BB471" s="166" t="s">
        <v>69</v>
      </c>
      <c r="BC471" s="166" t="s">
        <v>69</v>
      </c>
      <c r="BD471" s="166" t="s">
        <v>69</v>
      </c>
      <c r="BE471" s="166" t="s">
        <v>69</v>
      </c>
      <c r="BF471" s="166" t="s">
        <v>69</v>
      </c>
      <c r="BG471" s="167" t="s">
        <v>70</v>
      </c>
      <c r="BH471" s="166" t="s">
        <v>69</v>
      </c>
      <c r="BI471" s="166" t="s">
        <v>69</v>
      </c>
      <c r="BJ471" s="167" t="s">
        <v>70</v>
      </c>
      <c r="BK471" s="166" t="s">
        <v>69</v>
      </c>
      <c r="BL471" s="167" t="s">
        <v>70</v>
      </c>
      <c r="BM471" s="167" t="s">
        <v>70</v>
      </c>
      <c r="BN471" s="167" t="s">
        <v>70</v>
      </c>
      <c r="BO471" s="167" t="s">
        <v>70</v>
      </c>
      <c r="BP471" s="167" t="s">
        <v>70</v>
      </c>
      <c r="BQ471" s="151">
        <v>0</v>
      </c>
      <c r="BR471" s="142"/>
      <c r="BS471" s="142"/>
      <c r="BT471" s="142"/>
      <c r="BU471" s="142"/>
      <c r="BV471" s="142"/>
      <c r="BW471" s="142"/>
      <c r="BX471" s="142"/>
      <c r="BY471" s="142"/>
      <c r="BZ471" s="142"/>
      <c r="CA471" s="142"/>
      <c r="CB471" s="142"/>
      <c r="CC471" s="142"/>
      <c r="CD471" s="142"/>
      <c r="CE471" s="142"/>
      <c r="CF471" s="142"/>
      <c r="CG471" s="142"/>
      <c r="CH471" s="142"/>
      <c r="CI471" s="142"/>
      <c r="CJ471" s="142"/>
      <c r="CK471" s="142"/>
      <c r="CL471" s="142"/>
      <c r="CM471" s="142"/>
      <c r="CN471" s="142"/>
      <c r="CO471" s="142"/>
      <c r="CP471" s="142"/>
      <c r="CQ471" s="142"/>
      <c r="CR471" s="142"/>
      <c r="CS471" s="142"/>
      <c r="CT471" s="142"/>
      <c r="CU471" s="142"/>
      <c r="CV471" s="142"/>
      <c r="CW471" s="142"/>
      <c r="CX471" s="142"/>
      <c r="CY471" s="142"/>
      <c r="CZ471" s="142"/>
      <c r="DA471" s="142"/>
      <c r="DB471" s="142"/>
      <c r="DC471" s="142"/>
      <c r="DD471" s="142"/>
      <c r="DE471" s="142"/>
      <c r="DF471" s="142"/>
      <c r="DG471" s="142"/>
      <c r="DH471" s="142"/>
      <c r="DI471" s="142"/>
      <c r="DJ471" s="142"/>
      <c r="DK471" s="142"/>
      <c r="DL471" s="142"/>
      <c r="DM471" s="142"/>
      <c r="DN471" s="142"/>
      <c r="DO471" s="142"/>
      <c r="DP471" s="142"/>
      <c r="DQ471" s="142"/>
      <c r="DR471" s="142"/>
      <c r="DS471" s="142"/>
      <c r="DT471" s="142"/>
      <c r="DU471" s="142"/>
      <c r="DV471" s="142"/>
      <c r="DW471" s="142"/>
      <c r="DX471" s="142"/>
      <c r="DY471" s="142"/>
      <c r="DZ471" s="142"/>
      <c r="EA471" s="142"/>
      <c r="EB471" s="142"/>
      <c r="EC471" s="142"/>
      <c r="ED471" s="142"/>
      <c r="EE471" s="142"/>
    </row>
    <row r="472" spans="1:135" s="151" customFormat="1" ht="19.5" customHeight="1" x14ac:dyDescent="0.2">
      <c r="A472" s="117">
        <v>470</v>
      </c>
      <c r="B472" s="117" t="s">
        <v>568</v>
      </c>
      <c r="C472" s="117">
        <v>143748</v>
      </c>
      <c r="D472" s="117" t="s">
        <v>73</v>
      </c>
      <c r="E472" s="144" t="s">
        <v>503</v>
      </c>
      <c r="F472" s="146" t="s">
        <v>208</v>
      </c>
      <c r="G472" s="124">
        <v>42270</v>
      </c>
      <c r="H472" s="89">
        <v>43713</v>
      </c>
      <c r="I472" s="89">
        <v>46027</v>
      </c>
      <c r="J472" s="162">
        <f t="shared" si="34"/>
        <v>46757</v>
      </c>
      <c r="K472" s="89">
        <v>42321</v>
      </c>
      <c r="L472" s="89">
        <v>46028</v>
      </c>
      <c r="M472" s="163">
        <f t="shared" si="35"/>
        <v>46758</v>
      </c>
      <c r="N472" s="89">
        <v>42142</v>
      </c>
      <c r="O472" s="89">
        <v>42144</v>
      </c>
      <c r="P472" s="89">
        <v>42144</v>
      </c>
      <c r="Q472" s="166" t="s">
        <v>69</v>
      </c>
      <c r="R472" s="166" t="s">
        <v>69</v>
      </c>
      <c r="S472" s="166" t="s">
        <v>69</v>
      </c>
      <c r="T472" s="168">
        <v>42898</v>
      </c>
      <c r="U472" s="181">
        <v>43546</v>
      </c>
      <c r="V472" s="181">
        <v>43770</v>
      </c>
      <c r="W472" s="166" t="s">
        <v>69</v>
      </c>
      <c r="X472" s="181">
        <v>42076</v>
      </c>
      <c r="Y472" s="181">
        <v>42234</v>
      </c>
      <c r="Z472" s="181">
        <v>44414</v>
      </c>
      <c r="AA472" s="166" t="s">
        <v>69</v>
      </c>
      <c r="AB472" s="166" t="s">
        <v>69</v>
      </c>
      <c r="AC472" s="166" t="s">
        <v>69</v>
      </c>
      <c r="AD472" s="167" t="s">
        <v>71</v>
      </c>
      <c r="AE472" s="167" t="s">
        <v>70</v>
      </c>
      <c r="AF472" s="112">
        <v>46091</v>
      </c>
      <c r="AG472" s="112" t="s">
        <v>69</v>
      </c>
      <c r="AH472" s="167" t="s">
        <v>71</v>
      </c>
      <c r="AI472" s="167" t="s">
        <v>70</v>
      </c>
      <c r="AJ472" s="167" t="s">
        <v>70</v>
      </c>
      <c r="AK472" s="167" t="s">
        <v>70</v>
      </c>
      <c r="AL472" s="166" t="s">
        <v>69</v>
      </c>
      <c r="AM472" s="166"/>
      <c r="AN472" s="166" t="s">
        <v>69</v>
      </c>
      <c r="AO472" s="167" t="s">
        <v>70</v>
      </c>
      <c r="AP472" s="166" t="s">
        <v>69</v>
      </c>
      <c r="AQ472" s="166" t="s">
        <v>69</v>
      </c>
      <c r="AR472" s="166" t="s">
        <v>69</v>
      </c>
      <c r="AS472" s="166" t="s">
        <v>69</v>
      </c>
      <c r="AT472" s="166" t="s">
        <v>69</v>
      </c>
      <c r="AU472" s="166" t="s">
        <v>69</v>
      </c>
      <c r="AV472" s="166" t="s">
        <v>69</v>
      </c>
      <c r="AW472" s="166" t="s">
        <v>69</v>
      </c>
      <c r="AX472" s="166" t="s">
        <v>69</v>
      </c>
      <c r="AY472" s="166" t="s">
        <v>69</v>
      </c>
      <c r="AZ472" s="166" t="s">
        <v>69</v>
      </c>
      <c r="BA472" s="166" t="s">
        <v>69</v>
      </c>
      <c r="BB472" s="166" t="s">
        <v>69</v>
      </c>
      <c r="BC472" s="166" t="s">
        <v>69</v>
      </c>
      <c r="BD472" s="166" t="s">
        <v>69</v>
      </c>
      <c r="BE472" s="166" t="s">
        <v>69</v>
      </c>
      <c r="BF472" s="166" t="s">
        <v>69</v>
      </c>
      <c r="BG472" s="167" t="s">
        <v>70</v>
      </c>
      <c r="BH472" s="166" t="s">
        <v>69</v>
      </c>
      <c r="BI472" s="166" t="s">
        <v>69</v>
      </c>
      <c r="BJ472" s="167" t="s">
        <v>70</v>
      </c>
      <c r="BK472" s="166" t="s">
        <v>69</v>
      </c>
      <c r="BL472" s="167" t="s">
        <v>70</v>
      </c>
      <c r="BM472" s="167" t="s">
        <v>70</v>
      </c>
      <c r="BN472" s="167" t="s">
        <v>70</v>
      </c>
      <c r="BO472" s="167" t="s">
        <v>70</v>
      </c>
      <c r="BP472" s="167" t="s">
        <v>70</v>
      </c>
      <c r="BQ472" s="151">
        <v>0</v>
      </c>
      <c r="BR472" s="142"/>
      <c r="BS472" s="142"/>
      <c r="BT472" s="142"/>
      <c r="BU472" s="142"/>
      <c r="BV472" s="142"/>
      <c r="BW472" s="142"/>
      <c r="BX472" s="142"/>
      <c r="BY472" s="142"/>
      <c r="BZ472" s="142"/>
      <c r="CA472" s="142"/>
      <c r="CB472" s="142"/>
      <c r="CC472" s="142"/>
      <c r="CD472" s="142"/>
      <c r="CE472" s="142"/>
      <c r="CF472" s="142"/>
      <c r="CG472" s="142"/>
      <c r="CH472" s="142"/>
      <c r="CI472" s="142"/>
      <c r="CJ472" s="142"/>
      <c r="CK472" s="142"/>
      <c r="CL472" s="142"/>
      <c r="CM472" s="142"/>
      <c r="CN472" s="142"/>
      <c r="CO472" s="142"/>
      <c r="CP472" s="142"/>
      <c r="CQ472" s="142"/>
      <c r="CR472" s="142"/>
      <c r="CS472" s="142"/>
      <c r="CT472" s="142"/>
      <c r="CU472" s="142"/>
      <c r="CV472" s="142"/>
      <c r="CW472" s="142"/>
      <c r="CX472" s="142"/>
      <c r="CY472" s="142"/>
      <c r="CZ472" s="142"/>
      <c r="DA472" s="142"/>
      <c r="DB472" s="142"/>
      <c r="DC472" s="142"/>
      <c r="DD472" s="142"/>
      <c r="DE472" s="142"/>
      <c r="DF472" s="142"/>
      <c r="DG472" s="142"/>
      <c r="DH472" s="142"/>
      <c r="DI472" s="142"/>
      <c r="DJ472" s="142"/>
      <c r="DK472" s="142"/>
      <c r="DL472" s="142"/>
      <c r="DM472" s="142"/>
      <c r="DN472" s="142"/>
      <c r="DO472" s="142"/>
      <c r="DP472" s="142"/>
      <c r="DQ472" s="142"/>
      <c r="DR472" s="142"/>
      <c r="DS472" s="142"/>
      <c r="DT472" s="142"/>
      <c r="DU472" s="142"/>
      <c r="DV472" s="142"/>
      <c r="DW472" s="142"/>
      <c r="DX472" s="142"/>
      <c r="DY472" s="142"/>
      <c r="DZ472" s="142"/>
      <c r="EA472" s="142"/>
      <c r="EB472" s="142"/>
      <c r="EC472" s="142"/>
      <c r="ED472" s="142"/>
      <c r="EE472" s="142"/>
    </row>
    <row r="473" spans="1:135" s="151" customFormat="1" ht="19.5" customHeight="1" x14ac:dyDescent="0.2">
      <c r="A473" s="117">
        <v>471</v>
      </c>
      <c r="B473" s="117" t="s">
        <v>569</v>
      </c>
      <c r="C473" s="117">
        <v>145725</v>
      </c>
      <c r="D473" s="117" t="s">
        <v>73</v>
      </c>
      <c r="E473" s="144" t="s">
        <v>503</v>
      </c>
      <c r="F473" s="146" t="s">
        <v>208</v>
      </c>
      <c r="G473" s="124">
        <v>44889</v>
      </c>
      <c r="H473" s="89">
        <v>42341</v>
      </c>
      <c r="I473" s="89">
        <v>46037</v>
      </c>
      <c r="J473" s="162">
        <f t="shared" si="34"/>
        <v>46767</v>
      </c>
      <c r="K473" s="89">
        <v>42342</v>
      </c>
      <c r="L473" s="163">
        <v>46162</v>
      </c>
      <c r="M473" s="163">
        <f t="shared" si="35"/>
        <v>46893</v>
      </c>
      <c r="N473" s="89">
        <v>42339</v>
      </c>
      <c r="O473" s="89">
        <v>42340</v>
      </c>
      <c r="P473" s="89">
        <v>42343</v>
      </c>
      <c r="Q473" s="166" t="s">
        <v>69</v>
      </c>
      <c r="R473" s="166" t="s">
        <v>69</v>
      </c>
      <c r="S473" s="166" t="s">
        <v>69</v>
      </c>
      <c r="T473" s="166" t="s">
        <v>69</v>
      </c>
      <c r="U473" s="168">
        <v>46300</v>
      </c>
      <c r="V473" s="166" t="s">
        <v>69</v>
      </c>
      <c r="W473" s="166" t="s">
        <v>69</v>
      </c>
      <c r="X473" s="168">
        <v>44855</v>
      </c>
      <c r="Y473" s="168">
        <v>44818</v>
      </c>
      <c r="Z473" s="168">
        <v>44841</v>
      </c>
      <c r="AA473" s="166" t="s">
        <v>69</v>
      </c>
      <c r="AB473" s="166" t="s">
        <v>69</v>
      </c>
      <c r="AC473" s="166" t="s">
        <v>69</v>
      </c>
      <c r="AD473" s="167" t="s">
        <v>71</v>
      </c>
      <c r="AE473" s="167" t="s">
        <v>70</v>
      </c>
      <c r="AF473" s="112">
        <v>46182</v>
      </c>
      <c r="AG473" s="112" t="s">
        <v>69</v>
      </c>
      <c r="AH473" s="167" t="s">
        <v>71</v>
      </c>
      <c r="AI473" s="167" t="s">
        <v>70</v>
      </c>
      <c r="AJ473" s="167" t="s">
        <v>70</v>
      </c>
      <c r="AK473" s="167" t="s">
        <v>70</v>
      </c>
      <c r="AL473" s="166" t="s">
        <v>69</v>
      </c>
      <c r="AM473" s="166"/>
      <c r="AN473" s="166" t="s">
        <v>69</v>
      </c>
      <c r="AO473" s="167" t="s">
        <v>70</v>
      </c>
      <c r="AP473" s="166" t="s">
        <v>69</v>
      </c>
      <c r="AQ473" s="166" t="s">
        <v>69</v>
      </c>
      <c r="AR473" s="166" t="s">
        <v>69</v>
      </c>
      <c r="AS473" s="166" t="s">
        <v>69</v>
      </c>
      <c r="AT473" s="166" t="s">
        <v>69</v>
      </c>
      <c r="AU473" s="166" t="s">
        <v>69</v>
      </c>
      <c r="AV473" s="166" t="s">
        <v>69</v>
      </c>
      <c r="AW473" s="166" t="s">
        <v>69</v>
      </c>
      <c r="AX473" s="166" t="s">
        <v>69</v>
      </c>
      <c r="AY473" s="166" t="s">
        <v>69</v>
      </c>
      <c r="AZ473" s="166" t="s">
        <v>69</v>
      </c>
      <c r="BA473" s="166" t="s">
        <v>69</v>
      </c>
      <c r="BB473" s="166" t="s">
        <v>69</v>
      </c>
      <c r="BC473" s="166" t="s">
        <v>69</v>
      </c>
      <c r="BD473" s="166" t="s">
        <v>69</v>
      </c>
      <c r="BE473" s="166" t="s">
        <v>69</v>
      </c>
      <c r="BF473" s="166" t="s">
        <v>69</v>
      </c>
      <c r="BG473" s="167" t="s">
        <v>70</v>
      </c>
      <c r="BH473" s="166" t="s">
        <v>69</v>
      </c>
      <c r="BI473" s="166" t="s">
        <v>69</v>
      </c>
      <c r="BJ473" s="167" t="s">
        <v>70</v>
      </c>
      <c r="BK473" s="166" t="s">
        <v>69</v>
      </c>
      <c r="BL473" s="167" t="s">
        <v>70</v>
      </c>
      <c r="BM473" s="167" t="s">
        <v>70</v>
      </c>
      <c r="BN473" s="167" t="s">
        <v>70</v>
      </c>
      <c r="BO473" s="167" t="s">
        <v>70</v>
      </c>
      <c r="BP473" s="167" t="s">
        <v>70</v>
      </c>
      <c r="BQ473" s="151">
        <v>0</v>
      </c>
      <c r="BR473" s="142"/>
      <c r="BS473" s="142"/>
      <c r="BT473" s="142"/>
      <c r="BU473" s="142"/>
      <c r="BV473" s="142"/>
      <c r="BW473" s="142"/>
      <c r="BX473" s="142"/>
      <c r="BY473" s="142"/>
      <c r="BZ473" s="142"/>
      <c r="CA473" s="142"/>
      <c r="CB473" s="142"/>
      <c r="CC473" s="142"/>
      <c r="CD473" s="142"/>
      <c r="CE473" s="142"/>
      <c r="CF473" s="142"/>
      <c r="CG473" s="142"/>
      <c r="CH473" s="142"/>
      <c r="CI473" s="142"/>
      <c r="CJ473" s="142"/>
      <c r="CK473" s="142"/>
      <c r="CL473" s="142"/>
      <c r="CM473" s="142"/>
      <c r="CN473" s="142"/>
      <c r="CO473" s="142"/>
      <c r="CP473" s="142"/>
      <c r="CQ473" s="142"/>
      <c r="CR473" s="142"/>
      <c r="CS473" s="142"/>
      <c r="CT473" s="142"/>
      <c r="CU473" s="142"/>
      <c r="CV473" s="142"/>
      <c r="CW473" s="142"/>
      <c r="CX473" s="142"/>
      <c r="CY473" s="142"/>
      <c r="CZ473" s="142"/>
      <c r="DA473" s="142"/>
      <c r="DB473" s="142"/>
      <c r="DC473" s="142"/>
      <c r="DD473" s="142"/>
      <c r="DE473" s="142"/>
      <c r="DF473" s="142"/>
      <c r="DG473" s="142"/>
      <c r="DH473" s="142"/>
      <c r="DI473" s="142"/>
      <c r="DJ473" s="142"/>
      <c r="DK473" s="142"/>
      <c r="DL473" s="142"/>
      <c r="DM473" s="142"/>
      <c r="DN473" s="142"/>
      <c r="DO473" s="142"/>
      <c r="DP473" s="142"/>
      <c r="DQ473" s="142"/>
      <c r="DR473" s="142"/>
      <c r="DS473" s="142"/>
      <c r="DT473" s="142"/>
      <c r="DU473" s="142"/>
      <c r="DV473" s="142"/>
      <c r="DW473" s="142"/>
      <c r="DX473" s="142"/>
      <c r="DY473" s="142"/>
      <c r="DZ473" s="142"/>
      <c r="EA473" s="142"/>
      <c r="EB473" s="142"/>
      <c r="EC473" s="142"/>
      <c r="ED473" s="142"/>
      <c r="EE473" s="142"/>
    </row>
    <row r="474" spans="1:135" s="151" customFormat="1" ht="19.5" customHeight="1" x14ac:dyDescent="0.2">
      <c r="A474" s="117">
        <v>472</v>
      </c>
      <c r="B474" s="174" t="s">
        <v>570</v>
      </c>
      <c r="C474" s="144">
        <v>201451</v>
      </c>
      <c r="D474" s="117" t="s">
        <v>73</v>
      </c>
      <c r="E474" s="183" t="s">
        <v>571</v>
      </c>
      <c r="F474" s="146" t="s">
        <v>208</v>
      </c>
      <c r="G474" s="119" t="s">
        <v>69</v>
      </c>
      <c r="H474" s="124">
        <v>43279</v>
      </c>
      <c r="I474" s="111">
        <v>46122</v>
      </c>
      <c r="J474" s="162">
        <f t="shared" si="34"/>
        <v>46853</v>
      </c>
      <c r="K474" s="111">
        <v>45433</v>
      </c>
      <c r="L474" s="163">
        <v>46205</v>
      </c>
      <c r="M474" s="163">
        <f t="shared" si="35"/>
        <v>46936</v>
      </c>
      <c r="N474" s="111">
        <v>43600</v>
      </c>
      <c r="O474" s="111">
        <v>45785</v>
      </c>
      <c r="P474" s="111">
        <v>43601</v>
      </c>
      <c r="Q474" s="166" t="s">
        <v>69</v>
      </c>
      <c r="R474" s="166" t="s">
        <v>69</v>
      </c>
      <c r="S474" s="166" t="s">
        <v>69</v>
      </c>
      <c r="T474" s="166" t="s">
        <v>69</v>
      </c>
      <c r="U474" s="168">
        <v>46080</v>
      </c>
      <c r="V474" s="166" t="s">
        <v>69</v>
      </c>
      <c r="W474" s="166" t="s">
        <v>69</v>
      </c>
      <c r="X474" s="166" t="s">
        <v>69</v>
      </c>
      <c r="Y474" s="166" t="s">
        <v>69</v>
      </c>
      <c r="Z474" s="166" t="s">
        <v>69</v>
      </c>
      <c r="AA474" s="168">
        <v>46146</v>
      </c>
      <c r="AB474" s="166" t="s">
        <v>69</v>
      </c>
      <c r="AC474" s="166" t="s">
        <v>69</v>
      </c>
      <c r="AD474" s="167" t="s">
        <v>71</v>
      </c>
      <c r="AE474" s="167" t="s">
        <v>70</v>
      </c>
      <c r="AF474" s="112">
        <v>44931</v>
      </c>
      <c r="AG474" s="112" t="s">
        <v>69</v>
      </c>
      <c r="AH474" s="167" t="s">
        <v>71</v>
      </c>
      <c r="AI474" s="167" t="s">
        <v>70</v>
      </c>
      <c r="AJ474" s="167" t="s">
        <v>70</v>
      </c>
      <c r="AK474" s="167" t="s">
        <v>70</v>
      </c>
      <c r="AL474" s="166" t="s">
        <v>69</v>
      </c>
      <c r="AM474" s="166"/>
      <c r="AN474" s="166" t="s">
        <v>69</v>
      </c>
      <c r="AO474" s="167" t="s">
        <v>70</v>
      </c>
      <c r="AP474" s="166" t="s">
        <v>69</v>
      </c>
      <c r="AQ474" s="166" t="s">
        <v>69</v>
      </c>
      <c r="AR474" s="168">
        <v>46184</v>
      </c>
      <c r="AS474" s="166" t="s">
        <v>69</v>
      </c>
      <c r="AT474" s="166" t="s">
        <v>69</v>
      </c>
      <c r="AU474" s="166" t="s">
        <v>69</v>
      </c>
      <c r="AV474" s="166" t="s">
        <v>69</v>
      </c>
      <c r="AW474" s="166" t="s">
        <v>69</v>
      </c>
      <c r="AX474" s="166" t="s">
        <v>69</v>
      </c>
      <c r="AY474" s="166" t="s">
        <v>69</v>
      </c>
      <c r="AZ474" s="166" t="s">
        <v>69</v>
      </c>
      <c r="BA474" s="166" t="s">
        <v>69</v>
      </c>
      <c r="BB474" s="166" t="s">
        <v>69</v>
      </c>
      <c r="BC474" s="166" t="s">
        <v>69</v>
      </c>
      <c r="BD474" s="166" t="s">
        <v>69</v>
      </c>
      <c r="BE474" s="166" t="s">
        <v>69</v>
      </c>
      <c r="BF474" s="166" t="s">
        <v>69</v>
      </c>
      <c r="BG474" s="167" t="s">
        <v>70</v>
      </c>
      <c r="BH474" s="166" t="s">
        <v>69</v>
      </c>
      <c r="BI474" s="166" t="s">
        <v>69</v>
      </c>
      <c r="BJ474" s="167" t="s">
        <v>70</v>
      </c>
      <c r="BK474" s="166" t="s">
        <v>69</v>
      </c>
      <c r="BL474" s="167" t="s">
        <v>70</v>
      </c>
      <c r="BM474" s="167" t="s">
        <v>70</v>
      </c>
      <c r="BN474" s="167" t="s">
        <v>70</v>
      </c>
      <c r="BO474" s="167" t="s">
        <v>70</v>
      </c>
      <c r="BP474" s="167" t="s">
        <v>70</v>
      </c>
      <c r="BQ474" s="151">
        <v>0</v>
      </c>
      <c r="BR474" s="142"/>
      <c r="BS474" s="142"/>
      <c r="BT474" s="142"/>
      <c r="BU474" s="142"/>
      <c r="BV474" s="142"/>
      <c r="BW474" s="142"/>
      <c r="BX474" s="142"/>
      <c r="BY474" s="142"/>
      <c r="BZ474" s="142"/>
      <c r="CA474" s="142"/>
      <c r="CB474" s="142"/>
      <c r="CC474" s="142"/>
      <c r="CD474" s="142"/>
      <c r="CE474" s="142"/>
      <c r="CF474" s="142"/>
      <c r="CG474" s="142"/>
      <c r="CH474" s="142"/>
      <c r="CI474" s="142"/>
      <c r="CJ474" s="142"/>
      <c r="CK474" s="142"/>
      <c r="CL474" s="142"/>
      <c r="CM474" s="142"/>
      <c r="CN474" s="142"/>
      <c r="CO474" s="142"/>
      <c r="CP474" s="142"/>
      <c r="CQ474" s="142"/>
      <c r="CR474" s="142"/>
      <c r="CS474" s="142"/>
      <c r="CT474" s="142"/>
      <c r="CU474" s="142"/>
      <c r="CV474" s="142"/>
      <c r="CW474" s="142"/>
      <c r="CX474" s="142"/>
      <c r="CY474" s="142"/>
      <c r="CZ474" s="142"/>
      <c r="DA474" s="142"/>
      <c r="DB474" s="142"/>
      <c r="DC474" s="142"/>
      <c r="DD474" s="142"/>
      <c r="DE474" s="142"/>
      <c r="DF474" s="142"/>
      <c r="DG474" s="142"/>
      <c r="DH474" s="142"/>
      <c r="DI474" s="142"/>
      <c r="DJ474" s="142"/>
      <c r="DK474" s="142"/>
      <c r="DL474" s="142"/>
      <c r="DM474" s="142"/>
      <c r="DN474" s="142"/>
      <c r="DO474" s="142"/>
      <c r="DP474" s="142"/>
      <c r="DQ474" s="142"/>
      <c r="DR474" s="142"/>
      <c r="DS474" s="142"/>
      <c r="DT474" s="142"/>
      <c r="DU474" s="142"/>
      <c r="DV474" s="142"/>
      <c r="DW474" s="142"/>
      <c r="DX474" s="142"/>
      <c r="DY474" s="142"/>
      <c r="DZ474" s="142"/>
      <c r="EA474" s="142"/>
      <c r="EB474" s="142"/>
      <c r="EC474" s="142"/>
      <c r="ED474" s="142"/>
      <c r="EE474" s="142"/>
    </row>
    <row r="475" spans="1:135" s="151" customFormat="1" ht="19.5" customHeight="1" x14ac:dyDescent="0.2">
      <c r="A475" s="117">
        <v>473</v>
      </c>
      <c r="B475" s="184" t="s">
        <v>501</v>
      </c>
      <c r="C475" s="184">
        <v>240881</v>
      </c>
      <c r="D475" s="161" t="s">
        <v>502</v>
      </c>
      <c r="E475" s="117" t="s">
        <v>503</v>
      </c>
      <c r="F475" s="146" t="s">
        <v>256</v>
      </c>
      <c r="G475" s="124" t="s">
        <v>69</v>
      </c>
      <c r="H475" s="124" t="s">
        <v>504</v>
      </c>
      <c r="I475" s="172">
        <v>45483</v>
      </c>
      <c r="J475" s="92">
        <f>IF(I475="", "", DATE(YEAR(I475)+3, MONTH(I475), DAY(L475)))</f>
        <v>46577</v>
      </c>
      <c r="K475" s="112" t="s">
        <v>505</v>
      </c>
      <c r="L475" s="111">
        <v>45482</v>
      </c>
      <c r="M475" s="140">
        <f t="shared" ref="M475:M480" si="36">IF(L475="", "", DATE(YEAR(L475)+3, MONTH(L475), DAY(L475)))</f>
        <v>46577</v>
      </c>
      <c r="N475" s="111">
        <v>46181</v>
      </c>
      <c r="O475" s="111">
        <v>46181</v>
      </c>
      <c r="P475" s="111">
        <v>46181</v>
      </c>
      <c r="Q475" s="167" t="s">
        <v>70</v>
      </c>
      <c r="R475" s="167" t="s">
        <v>70</v>
      </c>
      <c r="S475" s="167" t="s">
        <v>70</v>
      </c>
      <c r="T475" s="167" t="s">
        <v>70</v>
      </c>
      <c r="U475" s="167" t="s">
        <v>70</v>
      </c>
      <c r="V475" s="167" t="s">
        <v>70</v>
      </c>
      <c r="W475" s="167" t="s">
        <v>70</v>
      </c>
      <c r="X475" s="167" t="s">
        <v>70</v>
      </c>
      <c r="Y475" s="167" t="s">
        <v>70</v>
      </c>
      <c r="Z475" s="167" t="s">
        <v>70</v>
      </c>
      <c r="AA475" s="167" t="s">
        <v>70</v>
      </c>
      <c r="AB475" s="167" t="s">
        <v>70</v>
      </c>
      <c r="AC475" s="167" t="s">
        <v>70</v>
      </c>
      <c r="AD475" s="167" t="s">
        <v>70</v>
      </c>
      <c r="AE475" s="167" t="s">
        <v>70</v>
      </c>
      <c r="AF475" s="167" t="s">
        <v>70</v>
      </c>
      <c r="AG475" s="167" t="s">
        <v>70</v>
      </c>
      <c r="AH475" s="167" t="s">
        <v>70</v>
      </c>
      <c r="AI475" s="111">
        <v>45727</v>
      </c>
      <c r="AJ475" s="166" t="s">
        <v>69</v>
      </c>
      <c r="AK475" s="167" t="s">
        <v>70</v>
      </c>
      <c r="AL475" s="167" t="s">
        <v>70</v>
      </c>
      <c r="AM475" s="167"/>
      <c r="AN475" s="167" t="s">
        <v>70</v>
      </c>
      <c r="AO475" s="167" t="s">
        <v>70</v>
      </c>
      <c r="AP475" s="167" t="s">
        <v>70</v>
      </c>
      <c r="AQ475" s="167" t="s">
        <v>70</v>
      </c>
      <c r="AR475" s="166" t="s">
        <v>69</v>
      </c>
      <c r="AS475" s="167" t="s">
        <v>70</v>
      </c>
      <c r="AT475" s="167" t="s">
        <v>70</v>
      </c>
      <c r="AU475" s="167" t="s">
        <v>70</v>
      </c>
      <c r="AV475" s="167" t="s">
        <v>70</v>
      </c>
      <c r="AW475" s="167" t="s">
        <v>70</v>
      </c>
      <c r="AX475" s="167" t="s">
        <v>70</v>
      </c>
      <c r="AY475" s="167" t="s">
        <v>70</v>
      </c>
      <c r="AZ475" s="167" t="s">
        <v>70</v>
      </c>
      <c r="BA475" s="167" t="s">
        <v>70</v>
      </c>
      <c r="BB475" s="167" t="s">
        <v>70</v>
      </c>
      <c r="BC475" s="167" t="s">
        <v>70</v>
      </c>
      <c r="BD475" s="167" t="s">
        <v>70</v>
      </c>
      <c r="BE475" s="167" t="s">
        <v>70</v>
      </c>
      <c r="BF475" s="167" t="s">
        <v>70</v>
      </c>
      <c r="BG475" s="167" t="s">
        <v>70</v>
      </c>
      <c r="BH475" s="167" t="s">
        <v>70</v>
      </c>
      <c r="BI475" s="167" t="s">
        <v>70</v>
      </c>
      <c r="BJ475" s="167" t="s">
        <v>70</v>
      </c>
      <c r="BK475" s="167" t="s">
        <v>70</v>
      </c>
      <c r="BL475" s="167" t="s">
        <v>70</v>
      </c>
      <c r="BM475" s="167" t="s">
        <v>70</v>
      </c>
      <c r="BN475" s="167" t="s">
        <v>70</v>
      </c>
      <c r="BO475" s="167" t="s">
        <v>70</v>
      </c>
      <c r="BP475" s="167" t="s">
        <v>70</v>
      </c>
      <c r="BQ475" s="151" t="s">
        <v>256</v>
      </c>
    </row>
    <row r="476" spans="1:135" s="151" customFormat="1" ht="19.5" customHeight="1" x14ac:dyDescent="0.2">
      <c r="A476" s="117">
        <v>474</v>
      </c>
      <c r="B476" s="121" t="s">
        <v>506</v>
      </c>
      <c r="C476" s="122">
        <v>83117667</v>
      </c>
      <c r="D476" s="117" t="s">
        <v>212</v>
      </c>
      <c r="E476" s="117" t="s">
        <v>503</v>
      </c>
      <c r="F476" s="146" t="s">
        <v>256</v>
      </c>
      <c r="G476" s="124" t="s">
        <v>69</v>
      </c>
      <c r="H476" s="93">
        <v>46164</v>
      </c>
      <c r="I476" s="93">
        <v>46164</v>
      </c>
      <c r="J476" s="92">
        <f>IF(I476="", "", DATE(YEAR(I476)+3, MONTH(I476), DAY(L476)))</f>
        <v>47259</v>
      </c>
      <c r="K476" s="93">
        <v>46163</v>
      </c>
      <c r="L476" s="93">
        <v>46163</v>
      </c>
      <c r="M476" s="140">
        <f t="shared" si="36"/>
        <v>47259</v>
      </c>
      <c r="N476" s="93">
        <v>46167</v>
      </c>
      <c r="O476" s="93">
        <v>46161</v>
      </c>
      <c r="P476" s="93">
        <v>46162</v>
      </c>
      <c r="Q476" s="167" t="s">
        <v>70</v>
      </c>
      <c r="R476" s="167" t="s">
        <v>70</v>
      </c>
      <c r="S476" s="167" t="s">
        <v>70</v>
      </c>
      <c r="T476" s="167" t="s">
        <v>70</v>
      </c>
      <c r="U476" s="167" t="s">
        <v>70</v>
      </c>
      <c r="V476" s="167" t="s">
        <v>70</v>
      </c>
      <c r="W476" s="167" t="s">
        <v>70</v>
      </c>
      <c r="X476" s="167" t="s">
        <v>70</v>
      </c>
      <c r="Y476" s="167" t="s">
        <v>70</v>
      </c>
      <c r="Z476" s="167" t="s">
        <v>70</v>
      </c>
      <c r="AA476" s="167" t="s">
        <v>70</v>
      </c>
      <c r="AB476" s="167" t="s">
        <v>70</v>
      </c>
      <c r="AC476" s="167" t="s">
        <v>70</v>
      </c>
      <c r="AD476" s="167" t="s">
        <v>70</v>
      </c>
      <c r="AE476" s="167" t="s">
        <v>70</v>
      </c>
      <c r="AF476" s="167" t="s">
        <v>70</v>
      </c>
      <c r="AG476" s="167" t="s">
        <v>70</v>
      </c>
      <c r="AH476" s="167" t="s">
        <v>70</v>
      </c>
      <c r="AI476" s="111">
        <v>45764</v>
      </c>
      <c r="AJ476" s="166" t="s">
        <v>69</v>
      </c>
      <c r="AK476" s="167" t="s">
        <v>70</v>
      </c>
      <c r="AL476" s="167" t="s">
        <v>70</v>
      </c>
      <c r="AM476" s="167"/>
      <c r="AN476" s="167" t="s">
        <v>70</v>
      </c>
      <c r="AO476" s="167" t="s">
        <v>70</v>
      </c>
      <c r="AP476" s="167" t="s">
        <v>70</v>
      </c>
      <c r="AQ476" s="167" t="s">
        <v>70</v>
      </c>
      <c r="AR476" s="166" t="s">
        <v>69</v>
      </c>
      <c r="AS476" s="167" t="s">
        <v>70</v>
      </c>
      <c r="AT476" s="167" t="s">
        <v>70</v>
      </c>
      <c r="AU476" s="167" t="s">
        <v>70</v>
      </c>
      <c r="AV476" s="167" t="s">
        <v>70</v>
      </c>
      <c r="AW476" s="167" t="s">
        <v>70</v>
      </c>
      <c r="AX476" s="167" t="s">
        <v>70</v>
      </c>
      <c r="AY476" s="167" t="s">
        <v>70</v>
      </c>
      <c r="AZ476" s="167" t="s">
        <v>70</v>
      </c>
      <c r="BA476" s="167" t="s">
        <v>70</v>
      </c>
      <c r="BB476" s="167" t="s">
        <v>70</v>
      </c>
      <c r="BC476" s="167" t="s">
        <v>70</v>
      </c>
      <c r="BD476" s="167" t="s">
        <v>70</v>
      </c>
      <c r="BE476" s="167" t="s">
        <v>70</v>
      </c>
      <c r="BF476" s="167" t="s">
        <v>70</v>
      </c>
      <c r="BG476" s="167" t="s">
        <v>70</v>
      </c>
      <c r="BH476" s="167" t="s">
        <v>70</v>
      </c>
      <c r="BI476" s="167" t="s">
        <v>70</v>
      </c>
      <c r="BJ476" s="167" t="s">
        <v>70</v>
      </c>
      <c r="BK476" s="167" t="s">
        <v>70</v>
      </c>
      <c r="BL476" s="167" t="s">
        <v>70</v>
      </c>
      <c r="BM476" s="167" t="s">
        <v>70</v>
      </c>
      <c r="BN476" s="167" t="s">
        <v>70</v>
      </c>
      <c r="BO476" s="167" t="s">
        <v>70</v>
      </c>
      <c r="BP476" s="167" t="s">
        <v>70</v>
      </c>
      <c r="BQ476" s="151" t="s">
        <v>256</v>
      </c>
    </row>
    <row r="477" spans="1:135" s="151" customFormat="1" ht="19.5" customHeight="1" x14ac:dyDescent="0.2">
      <c r="A477" s="117">
        <v>475</v>
      </c>
      <c r="B477" s="121" t="s">
        <v>507</v>
      </c>
      <c r="C477" s="122">
        <v>84130089</v>
      </c>
      <c r="D477" s="117" t="s">
        <v>212</v>
      </c>
      <c r="E477" s="117" t="s">
        <v>503</v>
      </c>
      <c r="F477" s="146" t="s">
        <v>256</v>
      </c>
      <c r="G477" s="124" t="s">
        <v>69</v>
      </c>
      <c r="H477" s="93">
        <v>46164</v>
      </c>
      <c r="I477" s="93">
        <v>46164</v>
      </c>
      <c r="J477" s="92">
        <f>IF(I477="", "", DATE(YEAR(I477)+3, MONTH(I477), DAY(L477)))</f>
        <v>47259</v>
      </c>
      <c r="K477" s="93">
        <v>46163</v>
      </c>
      <c r="L477" s="93">
        <v>46163</v>
      </c>
      <c r="M477" s="140">
        <f t="shared" si="36"/>
        <v>47259</v>
      </c>
      <c r="N477" s="93">
        <v>46167</v>
      </c>
      <c r="O477" s="93">
        <v>46161</v>
      </c>
      <c r="P477" s="93">
        <v>46162</v>
      </c>
      <c r="Q477" s="167" t="s">
        <v>70</v>
      </c>
      <c r="R477" s="167" t="s">
        <v>70</v>
      </c>
      <c r="S477" s="167" t="s">
        <v>70</v>
      </c>
      <c r="T477" s="167" t="s">
        <v>70</v>
      </c>
      <c r="U477" s="167" t="s">
        <v>70</v>
      </c>
      <c r="V477" s="167" t="s">
        <v>70</v>
      </c>
      <c r="W477" s="167" t="s">
        <v>70</v>
      </c>
      <c r="X477" s="167" t="s">
        <v>70</v>
      </c>
      <c r="Y477" s="167" t="s">
        <v>70</v>
      </c>
      <c r="Z477" s="167" t="s">
        <v>70</v>
      </c>
      <c r="AA477" s="167" t="s">
        <v>70</v>
      </c>
      <c r="AB477" s="167" t="s">
        <v>70</v>
      </c>
      <c r="AC477" s="167" t="s">
        <v>70</v>
      </c>
      <c r="AD477" s="167" t="s">
        <v>70</v>
      </c>
      <c r="AE477" s="167" t="s">
        <v>70</v>
      </c>
      <c r="AF477" s="167" t="s">
        <v>70</v>
      </c>
      <c r="AG477" s="167" t="s">
        <v>70</v>
      </c>
      <c r="AH477" s="167" t="s">
        <v>70</v>
      </c>
      <c r="AI477" s="111">
        <v>45764</v>
      </c>
      <c r="AJ477" s="166" t="s">
        <v>69</v>
      </c>
      <c r="AK477" s="167" t="s">
        <v>70</v>
      </c>
      <c r="AL477" s="167" t="s">
        <v>70</v>
      </c>
      <c r="AM477" s="167"/>
      <c r="AN477" s="167" t="s">
        <v>70</v>
      </c>
      <c r="AO477" s="167" t="s">
        <v>70</v>
      </c>
      <c r="AP477" s="167" t="s">
        <v>70</v>
      </c>
      <c r="AQ477" s="167" t="s">
        <v>70</v>
      </c>
      <c r="AR477" s="166" t="s">
        <v>69</v>
      </c>
      <c r="AS477" s="167" t="s">
        <v>70</v>
      </c>
      <c r="AT477" s="167" t="s">
        <v>70</v>
      </c>
      <c r="AU477" s="167" t="s">
        <v>70</v>
      </c>
      <c r="AV477" s="167" t="s">
        <v>70</v>
      </c>
      <c r="AW477" s="167" t="s">
        <v>70</v>
      </c>
      <c r="AX477" s="167" t="s">
        <v>70</v>
      </c>
      <c r="AY477" s="167" t="s">
        <v>70</v>
      </c>
      <c r="AZ477" s="167" t="s">
        <v>70</v>
      </c>
      <c r="BA477" s="167" t="s">
        <v>70</v>
      </c>
      <c r="BB477" s="167" t="s">
        <v>70</v>
      </c>
      <c r="BC477" s="167" t="s">
        <v>70</v>
      </c>
      <c r="BD477" s="167" t="s">
        <v>70</v>
      </c>
      <c r="BE477" s="167" t="s">
        <v>70</v>
      </c>
      <c r="BF477" s="167" t="s">
        <v>70</v>
      </c>
      <c r="BG477" s="167" t="s">
        <v>70</v>
      </c>
      <c r="BH477" s="167" t="s">
        <v>70</v>
      </c>
      <c r="BI477" s="167" t="s">
        <v>70</v>
      </c>
      <c r="BJ477" s="167" t="s">
        <v>70</v>
      </c>
      <c r="BK477" s="167" t="s">
        <v>70</v>
      </c>
      <c r="BL477" s="167" t="s">
        <v>70</v>
      </c>
      <c r="BM477" s="167" t="s">
        <v>70</v>
      </c>
      <c r="BN477" s="167" t="s">
        <v>70</v>
      </c>
      <c r="BO477" s="167" t="s">
        <v>70</v>
      </c>
      <c r="BP477" s="167" t="s">
        <v>70</v>
      </c>
      <c r="BQ477" s="151" t="s">
        <v>256</v>
      </c>
    </row>
    <row r="478" spans="1:135" s="151" customFormat="1" ht="19.5" customHeight="1" x14ac:dyDescent="0.2">
      <c r="A478" s="117">
        <v>476</v>
      </c>
      <c r="B478" s="121" t="s">
        <v>508</v>
      </c>
      <c r="C478" s="122">
        <v>145063</v>
      </c>
      <c r="D478" s="117" t="s">
        <v>212</v>
      </c>
      <c r="E478" s="117" t="s">
        <v>503</v>
      </c>
      <c r="F478" s="146" t="s">
        <v>256</v>
      </c>
      <c r="G478" s="124" t="s">
        <v>69</v>
      </c>
      <c r="H478" s="93">
        <v>42569</v>
      </c>
      <c r="I478" s="93">
        <v>46051</v>
      </c>
      <c r="J478" s="92">
        <f>IF(I478="", "", DATE(YEAR(I478)+3, MONTH(I478), DAY(L478)))</f>
        <v>47148</v>
      </c>
      <c r="K478" s="93">
        <v>42569</v>
      </c>
      <c r="L478" s="93">
        <v>46052</v>
      </c>
      <c r="M478" s="140">
        <f t="shared" si="36"/>
        <v>47148</v>
      </c>
      <c r="N478" s="93">
        <v>46048</v>
      </c>
      <c r="O478" s="93">
        <v>46049</v>
      </c>
      <c r="P478" s="93">
        <v>46050</v>
      </c>
      <c r="Q478" s="167" t="s">
        <v>70</v>
      </c>
      <c r="R478" s="167" t="s">
        <v>70</v>
      </c>
      <c r="S478" s="167" t="s">
        <v>70</v>
      </c>
      <c r="T478" s="167" t="s">
        <v>70</v>
      </c>
      <c r="U478" s="167" t="s">
        <v>70</v>
      </c>
      <c r="V478" s="167" t="s">
        <v>70</v>
      </c>
      <c r="W478" s="167" t="s">
        <v>70</v>
      </c>
      <c r="X478" s="167" t="s">
        <v>70</v>
      </c>
      <c r="Y478" s="167" t="s">
        <v>70</v>
      </c>
      <c r="Z478" s="167" t="s">
        <v>70</v>
      </c>
      <c r="AA478" s="167" t="s">
        <v>70</v>
      </c>
      <c r="AB478" s="167" t="s">
        <v>70</v>
      </c>
      <c r="AC478" s="167" t="s">
        <v>70</v>
      </c>
      <c r="AD478" s="167" t="s">
        <v>70</v>
      </c>
      <c r="AE478" s="167" t="s">
        <v>70</v>
      </c>
      <c r="AF478" s="167" t="s">
        <v>70</v>
      </c>
      <c r="AG478" s="167" t="s">
        <v>70</v>
      </c>
      <c r="AH478" s="167" t="s">
        <v>70</v>
      </c>
      <c r="AI478" s="111">
        <v>45764</v>
      </c>
      <c r="AJ478" s="166" t="s">
        <v>69</v>
      </c>
      <c r="AK478" s="167" t="s">
        <v>70</v>
      </c>
      <c r="AL478" s="167" t="s">
        <v>70</v>
      </c>
      <c r="AM478" s="167"/>
      <c r="AN478" s="167" t="s">
        <v>70</v>
      </c>
      <c r="AO478" s="167" t="s">
        <v>70</v>
      </c>
      <c r="AP478" s="167" t="s">
        <v>70</v>
      </c>
      <c r="AQ478" s="167" t="s">
        <v>70</v>
      </c>
      <c r="AR478" s="166" t="s">
        <v>69</v>
      </c>
      <c r="AS478" s="167" t="s">
        <v>70</v>
      </c>
      <c r="AT478" s="167" t="s">
        <v>70</v>
      </c>
      <c r="AU478" s="167" t="s">
        <v>70</v>
      </c>
      <c r="AV478" s="167" t="s">
        <v>70</v>
      </c>
      <c r="AW478" s="167" t="s">
        <v>70</v>
      </c>
      <c r="AX478" s="167" t="s">
        <v>70</v>
      </c>
      <c r="AY478" s="167" t="s">
        <v>70</v>
      </c>
      <c r="AZ478" s="167" t="s">
        <v>70</v>
      </c>
      <c r="BA478" s="167" t="s">
        <v>70</v>
      </c>
      <c r="BB478" s="167" t="s">
        <v>70</v>
      </c>
      <c r="BC478" s="167" t="s">
        <v>70</v>
      </c>
      <c r="BD478" s="167" t="s">
        <v>70</v>
      </c>
      <c r="BE478" s="167" t="s">
        <v>70</v>
      </c>
      <c r="BF478" s="167" t="s">
        <v>70</v>
      </c>
      <c r="BG478" s="167" t="s">
        <v>70</v>
      </c>
      <c r="BH478" s="167" t="s">
        <v>70</v>
      </c>
      <c r="BI478" s="167" t="s">
        <v>70</v>
      </c>
      <c r="BJ478" s="167" t="s">
        <v>70</v>
      </c>
      <c r="BK478" s="167" t="s">
        <v>70</v>
      </c>
      <c r="BL478" s="167" t="s">
        <v>70</v>
      </c>
      <c r="BM478" s="167" t="s">
        <v>70</v>
      </c>
      <c r="BN478" s="167" t="s">
        <v>70</v>
      </c>
      <c r="BO478" s="167" t="s">
        <v>70</v>
      </c>
      <c r="BP478" s="167" t="s">
        <v>70</v>
      </c>
      <c r="BQ478" s="151" t="s">
        <v>256</v>
      </c>
    </row>
    <row r="479" spans="1:135" s="151" customFormat="1" ht="19.5" customHeight="1" x14ac:dyDescent="0.2">
      <c r="A479" s="117">
        <v>477</v>
      </c>
      <c r="B479" s="144" t="s">
        <v>808</v>
      </c>
      <c r="C479" s="179">
        <v>242414</v>
      </c>
      <c r="D479" s="117" t="s">
        <v>212</v>
      </c>
      <c r="E479" s="117" t="s">
        <v>503</v>
      </c>
      <c r="F479" s="146" t="s">
        <v>256</v>
      </c>
      <c r="G479" s="124" t="s">
        <v>69</v>
      </c>
      <c r="H479" s="93">
        <v>46199</v>
      </c>
      <c r="I479" s="93">
        <v>46199</v>
      </c>
      <c r="J479" s="92">
        <f>IF(I479="", "", DATE(YEAR(I479)+3, MONTH(I479), DAY(I479)))</f>
        <v>47295</v>
      </c>
      <c r="K479" s="93">
        <v>46198</v>
      </c>
      <c r="L479" s="93">
        <v>46198</v>
      </c>
      <c r="M479" s="140">
        <f t="shared" si="36"/>
        <v>47294</v>
      </c>
      <c r="N479" s="190">
        <v>46195</v>
      </c>
      <c r="O479" s="93">
        <v>46196</v>
      </c>
      <c r="P479" s="93">
        <v>46197</v>
      </c>
      <c r="Q479" s="167" t="s">
        <v>70</v>
      </c>
      <c r="R479" s="167" t="s">
        <v>70</v>
      </c>
      <c r="S479" s="167" t="s">
        <v>70</v>
      </c>
      <c r="T479" s="167" t="s">
        <v>70</v>
      </c>
      <c r="U479" s="167" t="s">
        <v>70</v>
      </c>
      <c r="V479" s="167" t="s">
        <v>70</v>
      </c>
      <c r="W479" s="167" t="s">
        <v>70</v>
      </c>
      <c r="X479" s="167" t="s">
        <v>70</v>
      </c>
      <c r="Y479" s="167" t="s">
        <v>70</v>
      </c>
      <c r="Z479" s="167" t="s">
        <v>70</v>
      </c>
      <c r="AA479" s="167" t="s">
        <v>70</v>
      </c>
      <c r="AB479" s="167" t="s">
        <v>70</v>
      </c>
      <c r="AC479" s="167" t="s">
        <v>70</v>
      </c>
      <c r="AD479" s="167" t="s">
        <v>70</v>
      </c>
      <c r="AE479" s="167" t="s">
        <v>70</v>
      </c>
      <c r="AF479" s="167" t="s">
        <v>70</v>
      </c>
      <c r="AG479" s="167" t="s">
        <v>70</v>
      </c>
      <c r="AH479" s="167" t="s">
        <v>70</v>
      </c>
      <c r="AI479" s="111">
        <v>45727</v>
      </c>
      <c r="AJ479" s="166" t="s">
        <v>69</v>
      </c>
      <c r="AK479" s="167" t="s">
        <v>70</v>
      </c>
      <c r="AL479" s="167" t="s">
        <v>70</v>
      </c>
      <c r="AM479" s="167"/>
      <c r="AN479" s="167" t="s">
        <v>70</v>
      </c>
      <c r="AO479" s="167" t="s">
        <v>70</v>
      </c>
      <c r="AP479" s="167" t="s">
        <v>70</v>
      </c>
      <c r="AQ479" s="167" t="s">
        <v>70</v>
      </c>
      <c r="AR479" s="168">
        <v>46244</v>
      </c>
      <c r="AS479" s="167" t="s">
        <v>70</v>
      </c>
      <c r="AT479" s="167" t="s">
        <v>70</v>
      </c>
      <c r="AU479" s="167" t="s">
        <v>70</v>
      </c>
      <c r="AV479" s="167" t="s">
        <v>70</v>
      </c>
      <c r="AW479" s="167" t="s">
        <v>70</v>
      </c>
      <c r="AX479" s="167" t="s">
        <v>70</v>
      </c>
      <c r="AY479" s="167" t="s">
        <v>70</v>
      </c>
      <c r="AZ479" s="167" t="s">
        <v>70</v>
      </c>
      <c r="BA479" s="167" t="s">
        <v>70</v>
      </c>
      <c r="BB479" s="167" t="s">
        <v>70</v>
      </c>
      <c r="BC479" s="167" t="s">
        <v>70</v>
      </c>
      <c r="BD479" s="167" t="s">
        <v>70</v>
      </c>
      <c r="BE479" s="167" t="s">
        <v>70</v>
      </c>
      <c r="BF479" s="167" t="s">
        <v>70</v>
      </c>
      <c r="BG479" s="167" t="s">
        <v>70</v>
      </c>
      <c r="BH479" s="167" t="s">
        <v>70</v>
      </c>
      <c r="BI479" s="167" t="s">
        <v>70</v>
      </c>
      <c r="BJ479" s="167" t="s">
        <v>70</v>
      </c>
      <c r="BK479" s="167" t="s">
        <v>70</v>
      </c>
      <c r="BL479" s="167" t="s">
        <v>70</v>
      </c>
      <c r="BM479" s="167" t="s">
        <v>70</v>
      </c>
      <c r="BN479" s="167" t="s">
        <v>70</v>
      </c>
      <c r="BO479" s="167" t="s">
        <v>70</v>
      </c>
      <c r="BP479" s="167" t="s">
        <v>70</v>
      </c>
      <c r="BQ479" s="151" t="s">
        <v>256</v>
      </c>
    </row>
    <row r="480" spans="1:135" s="151" customFormat="1" ht="19.5" customHeight="1" x14ac:dyDescent="0.2">
      <c r="A480" s="117">
        <v>478</v>
      </c>
      <c r="B480" s="144" t="s">
        <v>809</v>
      </c>
      <c r="C480" s="179">
        <v>250409</v>
      </c>
      <c r="D480" s="117" t="s">
        <v>212</v>
      </c>
      <c r="E480" s="117" t="s">
        <v>503</v>
      </c>
      <c r="F480" s="146" t="s">
        <v>256</v>
      </c>
      <c r="G480" s="124" t="s">
        <v>69</v>
      </c>
      <c r="H480" s="172">
        <v>45736</v>
      </c>
      <c r="I480" s="172">
        <v>45736</v>
      </c>
      <c r="J480" s="92">
        <f>IF(I480="", "", DATE(YEAR(I480)+3, MONTH(I480), DAY(L480)))</f>
        <v>46830</v>
      </c>
      <c r="K480" s="111">
        <v>45734</v>
      </c>
      <c r="L480" s="111">
        <v>45734</v>
      </c>
      <c r="M480" s="140">
        <f t="shared" si="36"/>
        <v>46830</v>
      </c>
      <c r="N480" s="111">
        <v>45737</v>
      </c>
      <c r="O480" s="111">
        <v>45735</v>
      </c>
      <c r="P480" s="111">
        <v>45733</v>
      </c>
      <c r="Q480" s="167" t="s">
        <v>70</v>
      </c>
      <c r="R480" s="167" t="s">
        <v>70</v>
      </c>
      <c r="S480" s="167" t="s">
        <v>70</v>
      </c>
      <c r="T480" s="167" t="s">
        <v>70</v>
      </c>
      <c r="U480" s="167" t="s">
        <v>70</v>
      </c>
      <c r="V480" s="167" t="s">
        <v>70</v>
      </c>
      <c r="W480" s="167" t="s">
        <v>70</v>
      </c>
      <c r="X480" s="167" t="s">
        <v>70</v>
      </c>
      <c r="Y480" s="167" t="s">
        <v>70</v>
      </c>
      <c r="Z480" s="167" t="s">
        <v>70</v>
      </c>
      <c r="AA480" s="167" t="s">
        <v>70</v>
      </c>
      <c r="AB480" s="167" t="s">
        <v>70</v>
      </c>
      <c r="AC480" s="167" t="s">
        <v>70</v>
      </c>
      <c r="AD480" s="167" t="s">
        <v>70</v>
      </c>
      <c r="AE480" s="167" t="s">
        <v>70</v>
      </c>
      <c r="AF480" s="167" t="s">
        <v>70</v>
      </c>
      <c r="AG480" s="167" t="s">
        <v>70</v>
      </c>
      <c r="AH480" s="167" t="s">
        <v>70</v>
      </c>
      <c r="AI480" s="111">
        <v>45764</v>
      </c>
      <c r="AJ480" s="166" t="s">
        <v>69</v>
      </c>
      <c r="AK480" s="167" t="s">
        <v>70</v>
      </c>
      <c r="AL480" s="167" t="s">
        <v>70</v>
      </c>
      <c r="AM480" s="167"/>
      <c r="AN480" s="167" t="s">
        <v>70</v>
      </c>
      <c r="AO480" s="167" t="s">
        <v>70</v>
      </c>
      <c r="AP480" s="167" t="s">
        <v>70</v>
      </c>
      <c r="AQ480" s="167" t="s">
        <v>70</v>
      </c>
      <c r="AR480" s="166" t="s">
        <v>69</v>
      </c>
      <c r="AS480" s="167" t="s">
        <v>70</v>
      </c>
      <c r="AT480" s="167" t="s">
        <v>70</v>
      </c>
      <c r="AU480" s="167" t="s">
        <v>70</v>
      </c>
      <c r="AV480" s="167" t="s">
        <v>70</v>
      </c>
      <c r="AW480" s="167" t="s">
        <v>70</v>
      </c>
      <c r="AX480" s="167" t="s">
        <v>70</v>
      </c>
      <c r="AY480" s="167" t="s">
        <v>70</v>
      </c>
      <c r="AZ480" s="167" t="s">
        <v>70</v>
      </c>
      <c r="BA480" s="167" t="s">
        <v>70</v>
      </c>
      <c r="BB480" s="167" t="s">
        <v>70</v>
      </c>
      <c r="BC480" s="167" t="s">
        <v>70</v>
      </c>
      <c r="BD480" s="167" t="s">
        <v>70</v>
      </c>
      <c r="BE480" s="167" t="s">
        <v>70</v>
      </c>
      <c r="BF480" s="167" t="s">
        <v>70</v>
      </c>
      <c r="BG480" s="167" t="s">
        <v>70</v>
      </c>
      <c r="BH480" s="167" t="s">
        <v>70</v>
      </c>
      <c r="BI480" s="167" t="s">
        <v>70</v>
      </c>
      <c r="BJ480" s="167" t="s">
        <v>70</v>
      </c>
      <c r="BK480" s="167" t="s">
        <v>70</v>
      </c>
      <c r="BL480" s="167" t="s">
        <v>70</v>
      </c>
      <c r="BM480" s="167" t="s">
        <v>70</v>
      </c>
      <c r="BN480" s="167" t="s">
        <v>70</v>
      </c>
      <c r="BO480" s="167" t="s">
        <v>70</v>
      </c>
      <c r="BP480" s="167" t="s">
        <v>70</v>
      </c>
      <c r="BQ480" s="151" t="s">
        <v>256</v>
      </c>
    </row>
    <row r="481" spans="1:135" s="151" customFormat="1" ht="19.5" customHeight="1" x14ac:dyDescent="0.2">
      <c r="A481" s="117">
        <v>480</v>
      </c>
      <c r="B481" s="117" t="s">
        <v>671</v>
      </c>
      <c r="C481" s="117">
        <v>146328</v>
      </c>
      <c r="D481" s="117" t="s">
        <v>212</v>
      </c>
      <c r="E481" s="117" t="s">
        <v>503</v>
      </c>
      <c r="F481" s="146" t="s">
        <v>256</v>
      </c>
      <c r="G481" s="89">
        <v>45028</v>
      </c>
      <c r="H481" s="89">
        <v>46282</v>
      </c>
      <c r="I481" s="89">
        <v>46282</v>
      </c>
      <c r="J481" s="89">
        <v>47378</v>
      </c>
      <c r="K481" s="89">
        <v>46281</v>
      </c>
      <c r="L481" s="89">
        <v>46281</v>
      </c>
      <c r="M481" s="89">
        <v>47377</v>
      </c>
      <c r="N481" s="112">
        <v>46279</v>
      </c>
      <c r="O481" s="112">
        <v>46286</v>
      </c>
      <c r="P481" s="112">
        <v>46280</v>
      </c>
      <c r="Q481" s="167" t="s">
        <v>70</v>
      </c>
      <c r="R481" s="167" t="s">
        <v>70</v>
      </c>
      <c r="S481" s="167" t="s">
        <v>70</v>
      </c>
      <c r="T481" s="167" t="s">
        <v>70</v>
      </c>
      <c r="U481" s="167" t="s">
        <v>70</v>
      </c>
      <c r="V481" s="167" t="s">
        <v>70</v>
      </c>
      <c r="W481" s="167" t="s">
        <v>70</v>
      </c>
      <c r="X481" s="167" t="s">
        <v>70</v>
      </c>
      <c r="Y481" s="167" t="s">
        <v>70</v>
      </c>
      <c r="Z481" s="167" t="s">
        <v>70</v>
      </c>
      <c r="AA481" s="167" t="s">
        <v>70</v>
      </c>
      <c r="AB481" s="167" t="s">
        <v>70</v>
      </c>
      <c r="AC481" s="167" t="s">
        <v>70</v>
      </c>
      <c r="AD481" s="167" t="s">
        <v>70</v>
      </c>
      <c r="AE481" s="167" t="s">
        <v>70</v>
      </c>
      <c r="AF481" s="167" t="s">
        <v>70</v>
      </c>
      <c r="AG481" s="167" t="s">
        <v>70</v>
      </c>
      <c r="AH481" s="167" t="s">
        <v>70</v>
      </c>
      <c r="AI481" s="111">
        <v>45785</v>
      </c>
      <c r="AJ481" s="166" t="s">
        <v>69</v>
      </c>
      <c r="AK481" s="167" t="s">
        <v>70</v>
      </c>
      <c r="AL481" s="167" t="s">
        <v>70</v>
      </c>
      <c r="AM481" s="167"/>
      <c r="AN481" s="167" t="s">
        <v>70</v>
      </c>
      <c r="AO481" s="167" t="s">
        <v>70</v>
      </c>
      <c r="AP481" s="167" t="s">
        <v>70</v>
      </c>
      <c r="AQ481" s="167" t="s">
        <v>70</v>
      </c>
      <c r="AR481" s="166" t="s">
        <v>69</v>
      </c>
      <c r="AS481" s="167" t="s">
        <v>70</v>
      </c>
      <c r="AT481" s="167" t="s">
        <v>70</v>
      </c>
      <c r="AU481" s="167" t="s">
        <v>70</v>
      </c>
      <c r="AV481" s="167" t="s">
        <v>70</v>
      </c>
      <c r="AW481" s="167" t="s">
        <v>70</v>
      </c>
      <c r="AX481" s="167" t="s">
        <v>70</v>
      </c>
      <c r="AY481" s="167" t="s">
        <v>70</v>
      </c>
      <c r="AZ481" s="167" t="s">
        <v>70</v>
      </c>
      <c r="BA481" s="167" t="s">
        <v>70</v>
      </c>
      <c r="BB481" s="167" t="s">
        <v>70</v>
      </c>
      <c r="BC481" s="167" t="s">
        <v>70</v>
      </c>
      <c r="BD481" s="167" t="s">
        <v>70</v>
      </c>
      <c r="BE481" s="167" t="s">
        <v>70</v>
      </c>
      <c r="BF481" s="167" t="s">
        <v>70</v>
      </c>
      <c r="BG481" s="167" t="s">
        <v>70</v>
      </c>
      <c r="BH481" s="167" t="s">
        <v>70</v>
      </c>
      <c r="BI481" s="167" t="s">
        <v>70</v>
      </c>
      <c r="BJ481" s="167" t="s">
        <v>70</v>
      </c>
      <c r="BK481" s="167" t="s">
        <v>70</v>
      </c>
      <c r="BL481" s="167" t="s">
        <v>70</v>
      </c>
      <c r="BM481" s="167" t="s">
        <v>70</v>
      </c>
      <c r="BN481" s="167" t="s">
        <v>70</v>
      </c>
      <c r="BO481" s="167" t="s">
        <v>70</v>
      </c>
      <c r="BP481" s="167" t="s">
        <v>70</v>
      </c>
      <c r="BQ481" s="151" t="s">
        <v>208</v>
      </c>
    </row>
    <row r="482" spans="1:135" s="151" customFormat="1" ht="19.5" customHeight="1" x14ac:dyDescent="0.2">
      <c r="A482" s="117">
        <v>481</v>
      </c>
      <c r="B482" s="117" t="s">
        <v>673</v>
      </c>
      <c r="C482" s="117">
        <v>147850</v>
      </c>
      <c r="D482" s="117" t="s">
        <v>212</v>
      </c>
      <c r="E482" s="117" t="s">
        <v>503</v>
      </c>
      <c r="F482" s="146" t="s">
        <v>256</v>
      </c>
      <c r="G482" s="89">
        <v>44889</v>
      </c>
      <c r="H482" s="89"/>
      <c r="I482" s="89"/>
      <c r="J482" s="162"/>
      <c r="K482" s="89"/>
      <c r="L482" s="89"/>
      <c r="M482" s="163"/>
      <c r="N482" s="175"/>
      <c r="O482" s="175"/>
      <c r="P482" s="175"/>
      <c r="Q482" s="167" t="s">
        <v>70</v>
      </c>
      <c r="R482" s="167" t="s">
        <v>70</v>
      </c>
      <c r="S482" s="167" t="s">
        <v>70</v>
      </c>
      <c r="T482" s="167" t="s">
        <v>70</v>
      </c>
      <c r="U482" s="167" t="s">
        <v>70</v>
      </c>
      <c r="V482" s="167" t="s">
        <v>70</v>
      </c>
      <c r="W482" s="167" t="s">
        <v>70</v>
      </c>
      <c r="X482" s="167" t="s">
        <v>70</v>
      </c>
      <c r="Y482" s="167" t="s">
        <v>70</v>
      </c>
      <c r="Z482" s="167" t="s">
        <v>70</v>
      </c>
      <c r="AA482" s="167" t="s">
        <v>70</v>
      </c>
      <c r="AB482" s="167" t="s">
        <v>70</v>
      </c>
      <c r="AC482" s="167" t="s">
        <v>70</v>
      </c>
      <c r="AD482" s="167" t="s">
        <v>70</v>
      </c>
      <c r="AE482" s="167" t="s">
        <v>70</v>
      </c>
      <c r="AF482" s="167" t="s">
        <v>70</v>
      </c>
      <c r="AG482" s="167" t="s">
        <v>70</v>
      </c>
      <c r="AH482" s="167" t="s">
        <v>70</v>
      </c>
      <c r="AI482" s="111">
        <v>45827</v>
      </c>
      <c r="AJ482" s="166" t="s">
        <v>69</v>
      </c>
      <c r="AK482" s="167" t="s">
        <v>70</v>
      </c>
      <c r="AL482" s="167" t="s">
        <v>70</v>
      </c>
      <c r="AM482" s="167"/>
      <c r="AN482" s="167" t="s">
        <v>70</v>
      </c>
      <c r="AO482" s="167" t="s">
        <v>70</v>
      </c>
      <c r="AP482" s="167" t="s">
        <v>70</v>
      </c>
      <c r="AQ482" s="167" t="s">
        <v>70</v>
      </c>
      <c r="AR482" s="166" t="s">
        <v>69</v>
      </c>
      <c r="AS482" s="167" t="s">
        <v>70</v>
      </c>
      <c r="AT482" s="167" t="s">
        <v>70</v>
      </c>
      <c r="AU482" s="167" t="s">
        <v>70</v>
      </c>
      <c r="AV482" s="167" t="s">
        <v>70</v>
      </c>
      <c r="AW482" s="167" t="s">
        <v>70</v>
      </c>
      <c r="AX482" s="167" t="s">
        <v>70</v>
      </c>
      <c r="AY482" s="167" t="s">
        <v>70</v>
      </c>
      <c r="AZ482" s="167" t="s">
        <v>70</v>
      </c>
      <c r="BA482" s="167" t="s">
        <v>70</v>
      </c>
      <c r="BB482" s="167" t="s">
        <v>70</v>
      </c>
      <c r="BC482" s="167" t="s">
        <v>70</v>
      </c>
      <c r="BD482" s="167" t="s">
        <v>70</v>
      </c>
      <c r="BE482" s="167" t="s">
        <v>70</v>
      </c>
      <c r="BF482" s="167" t="s">
        <v>70</v>
      </c>
      <c r="BG482" s="167" t="s">
        <v>70</v>
      </c>
      <c r="BH482" s="167" t="s">
        <v>70</v>
      </c>
      <c r="BI482" s="167" t="s">
        <v>70</v>
      </c>
      <c r="BJ482" s="167" t="s">
        <v>70</v>
      </c>
      <c r="BK482" s="167" t="s">
        <v>70</v>
      </c>
      <c r="BL482" s="167" t="s">
        <v>70</v>
      </c>
      <c r="BM482" s="167" t="s">
        <v>70</v>
      </c>
      <c r="BN482" s="167" t="s">
        <v>70</v>
      </c>
      <c r="BO482" s="167" t="s">
        <v>70</v>
      </c>
      <c r="BP482" s="167" t="s">
        <v>70</v>
      </c>
      <c r="BQ482" s="151" t="s">
        <v>208</v>
      </c>
    </row>
    <row r="483" spans="1:135" s="151" customFormat="1" ht="19.5" customHeight="1" x14ac:dyDescent="0.2">
      <c r="A483" s="117">
        <v>482</v>
      </c>
      <c r="B483" s="117" t="s">
        <v>708</v>
      </c>
      <c r="C483" s="117">
        <v>83117649</v>
      </c>
      <c r="D483" s="117" t="s">
        <v>212</v>
      </c>
      <c r="E483" s="117" t="s">
        <v>503</v>
      </c>
      <c r="F483" s="146" t="s">
        <v>256</v>
      </c>
      <c r="G483" s="124" t="s">
        <v>69</v>
      </c>
      <c r="H483" s="93">
        <v>46248</v>
      </c>
      <c r="I483" s="93">
        <v>46248</v>
      </c>
      <c r="J483" s="92">
        <f>IF(I483="", "", DATE(YEAR(I483)+3, MONTH(I483), DAY(I483)))</f>
        <v>47344</v>
      </c>
      <c r="K483" s="93">
        <v>46247</v>
      </c>
      <c r="L483" s="93">
        <v>46247</v>
      </c>
      <c r="M483" s="140">
        <f>IF(L483="", "", DATE(YEAR(L483)+3, MONTH(L483), DAY(L483)))</f>
        <v>47343</v>
      </c>
      <c r="N483" s="93">
        <v>46245</v>
      </c>
      <c r="O483" s="93">
        <v>46258</v>
      </c>
      <c r="P483" s="93">
        <v>46246</v>
      </c>
      <c r="Q483" s="167" t="s">
        <v>70</v>
      </c>
      <c r="R483" s="167" t="s">
        <v>70</v>
      </c>
      <c r="S483" s="167" t="s">
        <v>70</v>
      </c>
      <c r="T483" s="167" t="s">
        <v>70</v>
      </c>
      <c r="U483" s="167" t="s">
        <v>70</v>
      </c>
      <c r="V483" s="167" t="s">
        <v>70</v>
      </c>
      <c r="W483" s="167" t="s">
        <v>70</v>
      </c>
      <c r="X483" s="167" t="s">
        <v>70</v>
      </c>
      <c r="Y483" s="167" t="s">
        <v>70</v>
      </c>
      <c r="Z483" s="167" t="s">
        <v>70</v>
      </c>
      <c r="AA483" s="167" t="s">
        <v>70</v>
      </c>
      <c r="AB483" s="167" t="s">
        <v>70</v>
      </c>
      <c r="AC483" s="167" t="s">
        <v>70</v>
      </c>
      <c r="AD483" s="167" t="s">
        <v>70</v>
      </c>
      <c r="AE483" s="167" t="s">
        <v>70</v>
      </c>
      <c r="AF483" s="167" t="s">
        <v>70</v>
      </c>
      <c r="AG483" s="167" t="s">
        <v>70</v>
      </c>
      <c r="AH483" s="167" t="s">
        <v>70</v>
      </c>
      <c r="AI483" s="111">
        <v>45785</v>
      </c>
      <c r="AJ483" s="166" t="s">
        <v>69</v>
      </c>
      <c r="AK483" s="167" t="s">
        <v>70</v>
      </c>
      <c r="AL483" s="167" t="s">
        <v>70</v>
      </c>
      <c r="AM483" s="167"/>
      <c r="AN483" s="167" t="s">
        <v>70</v>
      </c>
      <c r="AO483" s="167" t="s">
        <v>70</v>
      </c>
      <c r="AP483" s="167" t="s">
        <v>70</v>
      </c>
      <c r="AQ483" s="167" t="s">
        <v>70</v>
      </c>
      <c r="AR483" s="166" t="s">
        <v>69</v>
      </c>
      <c r="AS483" s="167" t="s">
        <v>70</v>
      </c>
      <c r="AT483" s="167" t="s">
        <v>70</v>
      </c>
      <c r="AU483" s="167" t="s">
        <v>70</v>
      </c>
      <c r="AV483" s="167" t="s">
        <v>70</v>
      </c>
      <c r="AW483" s="167" t="s">
        <v>70</v>
      </c>
      <c r="AX483" s="167" t="s">
        <v>70</v>
      </c>
      <c r="AY483" s="167" t="s">
        <v>70</v>
      </c>
      <c r="AZ483" s="167" t="s">
        <v>70</v>
      </c>
      <c r="BA483" s="167" t="s">
        <v>70</v>
      </c>
      <c r="BB483" s="167" t="s">
        <v>70</v>
      </c>
      <c r="BC483" s="167" t="s">
        <v>70</v>
      </c>
      <c r="BD483" s="167" t="s">
        <v>70</v>
      </c>
      <c r="BE483" s="167" t="s">
        <v>70</v>
      </c>
      <c r="BF483" s="167" t="s">
        <v>70</v>
      </c>
      <c r="BG483" s="167" t="s">
        <v>70</v>
      </c>
      <c r="BH483" s="167" t="s">
        <v>70</v>
      </c>
      <c r="BI483" s="167" t="s">
        <v>70</v>
      </c>
      <c r="BJ483" s="167" t="s">
        <v>70</v>
      </c>
      <c r="BK483" s="167" t="s">
        <v>70</v>
      </c>
      <c r="BL483" s="167" t="s">
        <v>70</v>
      </c>
      <c r="BM483" s="167" t="s">
        <v>70</v>
      </c>
      <c r="BN483" s="167" t="s">
        <v>70</v>
      </c>
      <c r="BO483" s="167" t="s">
        <v>70</v>
      </c>
      <c r="BP483" s="167" t="s">
        <v>70</v>
      </c>
      <c r="BQ483" s="151" t="s">
        <v>208</v>
      </c>
    </row>
    <row r="484" spans="1:135" s="151" customFormat="1" ht="19.5" customHeight="1" x14ac:dyDescent="0.2">
      <c r="A484" s="117">
        <v>483</v>
      </c>
      <c r="B484" s="117" t="s">
        <v>709</v>
      </c>
      <c r="C484" s="117">
        <v>83117673</v>
      </c>
      <c r="D484" s="117" t="s">
        <v>212</v>
      </c>
      <c r="E484" s="117" t="s">
        <v>503</v>
      </c>
      <c r="F484" s="146" t="s">
        <v>256</v>
      </c>
      <c r="G484" s="89">
        <v>40970</v>
      </c>
      <c r="H484" s="89">
        <v>46052</v>
      </c>
      <c r="I484" s="89">
        <v>46052</v>
      </c>
      <c r="J484" s="162">
        <f>IF(I484="", "", DATE(YEAR(I484)+3, MONTH(I484), DAY(I484)))</f>
        <v>47148</v>
      </c>
      <c r="K484" s="89">
        <v>46051</v>
      </c>
      <c r="L484" s="89">
        <v>46051</v>
      </c>
      <c r="M484" s="162">
        <f>IF(L484="", "", DATE(YEAR(L484)+3, MONTH(L484), DAY(L484)))</f>
        <v>47147</v>
      </c>
      <c r="N484" s="89">
        <v>46048</v>
      </c>
      <c r="O484" s="89">
        <v>46049</v>
      </c>
      <c r="P484" s="89">
        <v>46050</v>
      </c>
      <c r="Q484" s="167" t="s">
        <v>70</v>
      </c>
      <c r="R484" s="167" t="s">
        <v>70</v>
      </c>
      <c r="S484" s="167" t="s">
        <v>70</v>
      </c>
      <c r="T484" s="167" t="s">
        <v>70</v>
      </c>
      <c r="U484" s="167" t="s">
        <v>70</v>
      </c>
      <c r="V484" s="167" t="s">
        <v>70</v>
      </c>
      <c r="W484" s="167" t="s">
        <v>70</v>
      </c>
      <c r="X484" s="167" t="s">
        <v>70</v>
      </c>
      <c r="Y484" s="167" t="s">
        <v>70</v>
      </c>
      <c r="Z484" s="167" t="s">
        <v>70</v>
      </c>
      <c r="AA484" s="167" t="s">
        <v>70</v>
      </c>
      <c r="AB484" s="167" t="s">
        <v>70</v>
      </c>
      <c r="AC484" s="167" t="s">
        <v>70</v>
      </c>
      <c r="AD484" s="167" t="s">
        <v>70</v>
      </c>
      <c r="AE484" s="167" t="s">
        <v>70</v>
      </c>
      <c r="AF484" s="167" t="s">
        <v>70</v>
      </c>
      <c r="AG484" s="167" t="s">
        <v>70</v>
      </c>
      <c r="AH484" s="167" t="s">
        <v>70</v>
      </c>
      <c r="AI484" s="111">
        <v>45827</v>
      </c>
      <c r="AJ484" s="166" t="s">
        <v>69</v>
      </c>
      <c r="AK484" s="167" t="s">
        <v>70</v>
      </c>
      <c r="AL484" s="167" t="s">
        <v>70</v>
      </c>
      <c r="AM484" s="167"/>
      <c r="AN484" s="167" t="s">
        <v>70</v>
      </c>
      <c r="AO484" s="167" t="s">
        <v>70</v>
      </c>
      <c r="AP484" s="167" t="s">
        <v>70</v>
      </c>
      <c r="AQ484" s="167" t="s">
        <v>70</v>
      </c>
      <c r="AR484" s="166" t="s">
        <v>69</v>
      </c>
      <c r="AS484" s="167" t="s">
        <v>70</v>
      </c>
      <c r="AT484" s="167" t="s">
        <v>70</v>
      </c>
      <c r="AU484" s="167" t="s">
        <v>70</v>
      </c>
      <c r="AV484" s="167" t="s">
        <v>70</v>
      </c>
      <c r="AW484" s="167" t="s">
        <v>70</v>
      </c>
      <c r="AX484" s="167" t="s">
        <v>70</v>
      </c>
      <c r="AY484" s="167" t="s">
        <v>70</v>
      </c>
      <c r="AZ484" s="167" t="s">
        <v>70</v>
      </c>
      <c r="BA484" s="167" t="s">
        <v>70</v>
      </c>
      <c r="BB484" s="167" t="s">
        <v>70</v>
      </c>
      <c r="BC484" s="167" t="s">
        <v>70</v>
      </c>
      <c r="BD484" s="167" t="s">
        <v>70</v>
      </c>
      <c r="BE484" s="167" t="s">
        <v>70</v>
      </c>
      <c r="BF484" s="167" t="s">
        <v>70</v>
      </c>
      <c r="BG484" s="167" t="s">
        <v>70</v>
      </c>
      <c r="BH484" s="167" t="s">
        <v>70</v>
      </c>
      <c r="BI484" s="167" t="s">
        <v>70</v>
      </c>
      <c r="BJ484" s="167" t="s">
        <v>70</v>
      </c>
      <c r="BK484" s="167" t="s">
        <v>70</v>
      </c>
      <c r="BL484" s="167" t="s">
        <v>70</v>
      </c>
      <c r="BM484" s="167" t="s">
        <v>70</v>
      </c>
      <c r="BN484" s="167" t="s">
        <v>70</v>
      </c>
      <c r="BO484" s="167" t="s">
        <v>70</v>
      </c>
      <c r="BP484" s="167" t="s">
        <v>70</v>
      </c>
      <c r="BQ484" s="151" t="s">
        <v>208</v>
      </c>
    </row>
    <row r="485" spans="1:135" s="151" customFormat="1" ht="19.5" customHeight="1" x14ac:dyDescent="0.2">
      <c r="A485" s="117">
        <v>484</v>
      </c>
      <c r="B485" s="161" t="s">
        <v>558</v>
      </c>
      <c r="C485" s="161">
        <v>141441</v>
      </c>
      <c r="D485" s="171" t="s">
        <v>852</v>
      </c>
      <c r="E485" s="144" t="s">
        <v>854</v>
      </c>
      <c r="F485" s="146" t="s">
        <v>208</v>
      </c>
      <c r="G485" s="111">
        <v>42290</v>
      </c>
      <c r="H485" s="111">
        <v>42299</v>
      </c>
      <c r="I485" s="111">
        <v>46084</v>
      </c>
      <c r="J485" s="162">
        <f>IF(I485="", "", DATE(YEAR(I485)+2, MONTH(I485), DAY(I485)))</f>
        <v>46815</v>
      </c>
      <c r="K485" s="111">
        <v>42333</v>
      </c>
      <c r="L485" s="111">
        <v>46113</v>
      </c>
      <c r="M485" s="163">
        <f>IF(L485="", "", DATE(YEAR(L485)+2, MONTH(L485), DAY(L485)))</f>
        <v>46844</v>
      </c>
      <c r="N485" s="111">
        <v>42331</v>
      </c>
      <c r="O485" s="111">
        <v>42332</v>
      </c>
      <c r="P485" s="111">
        <v>42332</v>
      </c>
      <c r="Q485" s="166" t="s">
        <v>69</v>
      </c>
      <c r="R485" s="166" t="s">
        <v>69</v>
      </c>
      <c r="S485" s="166" t="s">
        <v>69</v>
      </c>
      <c r="T485" s="168">
        <v>43707</v>
      </c>
      <c r="U485" s="168">
        <v>42835</v>
      </c>
      <c r="V485" s="168">
        <v>44407</v>
      </c>
      <c r="W485" s="166" t="s">
        <v>69</v>
      </c>
      <c r="X485" s="168">
        <v>42541</v>
      </c>
      <c r="Y485" s="168">
        <v>42307</v>
      </c>
      <c r="Z485" s="168">
        <v>42702</v>
      </c>
      <c r="AA485" s="166" t="s">
        <v>69</v>
      </c>
      <c r="AB485" s="166" t="s">
        <v>69</v>
      </c>
      <c r="AC485" s="166" t="s">
        <v>69</v>
      </c>
      <c r="AD485" s="167" t="s">
        <v>71</v>
      </c>
      <c r="AE485" s="167" t="s">
        <v>70</v>
      </c>
      <c r="AF485" s="112">
        <v>46211</v>
      </c>
      <c r="AG485" s="112" t="s">
        <v>69</v>
      </c>
      <c r="AH485" s="167" t="s">
        <v>71</v>
      </c>
      <c r="AI485" s="167" t="s">
        <v>70</v>
      </c>
      <c r="AJ485" s="167" t="s">
        <v>70</v>
      </c>
      <c r="AK485" s="167" t="s">
        <v>70</v>
      </c>
      <c r="AL485" s="166" t="s">
        <v>69</v>
      </c>
      <c r="AM485" s="166"/>
      <c r="AN485" s="166" t="s">
        <v>69</v>
      </c>
      <c r="AO485" s="167" t="s">
        <v>70</v>
      </c>
      <c r="AP485" s="166" t="s">
        <v>69</v>
      </c>
      <c r="AQ485" s="166" t="s">
        <v>69</v>
      </c>
      <c r="AR485" s="166" t="s">
        <v>69</v>
      </c>
      <c r="AS485" s="166" t="s">
        <v>69</v>
      </c>
      <c r="AT485" s="166" t="s">
        <v>69</v>
      </c>
      <c r="AU485" s="166" t="s">
        <v>69</v>
      </c>
      <c r="AV485" s="166" t="s">
        <v>69</v>
      </c>
      <c r="AW485" s="167" t="s">
        <v>70</v>
      </c>
      <c r="AX485" s="167" t="s">
        <v>70</v>
      </c>
      <c r="AY485" s="166" t="s">
        <v>69</v>
      </c>
      <c r="AZ485" s="166" t="s">
        <v>69</v>
      </c>
      <c r="BA485" s="166" t="s">
        <v>69</v>
      </c>
      <c r="BB485" s="167" t="s">
        <v>70</v>
      </c>
      <c r="BC485" s="167" t="s">
        <v>70</v>
      </c>
      <c r="BD485" s="167" t="s">
        <v>70</v>
      </c>
      <c r="BE485" s="167" t="s">
        <v>70</v>
      </c>
      <c r="BF485" s="167" t="s">
        <v>70</v>
      </c>
      <c r="BG485" s="169" t="s">
        <v>70</v>
      </c>
      <c r="BH485" s="169" t="s">
        <v>70</v>
      </c>
      <c r="BI485" s="169" t="s">
        <v>70</v>
      </c>
      <c r="BJ485" s="167" t="s">
        <v>70</v>
      </c>
      <c r="BK485" s="167" t="s">
        <v>70</v>
      </c>
      <c r="BL485" s="167" t="s">
        <v>70</v>
      </c>
      <c r="BM485" s="167" t="s">
        <v>70</v>
      </c>
      <c r="BN485" s="167" t="s">
        <v>70</v>
      </c>
      <c r="BO485" s="167" t="s">
        <v>70</v>
      </c>
      <c r="BP485" s="167" t="s">
        <v>70</v>
      </c>
      <c r="BQ485" s="151">
        <v>0</v>
      </c>
      <c r="BR485" s="142"/>
      <c r="BS485" s="142"/>
      <c r="BT485" s="142"/>
      <c r="BU485" s="142"/>
      <c r="BV485" s="142"/>
      <c r="BW485" s="142"/>
      <c r="BX485" s="142"/>
      <c r="BY485" s="142"/>
      <c r="BZ485" s="142"/>
      <c r="CA485" s="142"/>
      <c r="CB485" s="142"/>
      <c r="CC485" s="142"/>
      <c r="CD485" s="142"/>
      <c r="CE485" s="142"/>
      <c r="CF485" s="142"/>
      <c r="CG485" s="142"/>
      <c r="CH485" s="142"/>
      <c r="CI485" s="142"/>
      <c r="CJ485" s="142"/>
      <c r="CK485" s="142"/>
      <c r="CL485" s="142"/>
      <c r="CM485" s="142"/>
      <c r="CN485" s="142"/>
      <c r="CO485" s="142"/>
      <c r="CP485" s="142"/>
      <c r="CQ485" s="142"/>
      <c r="CR485" s="142"/>
      <c r="CS485" s="142"/>
      <c r="CT485" s="142"/>
      <c r="CU485" s="142"/>
      <c r="CV485" s="142"/>
      <c r="CW485" s="142"/>
      <c r="CX485" s="142"/>
      <c r="CY485" s="142"/>
      <c r="CZ485" s="142"/>
      <c r="DA485" s="142"/>
      <c r="DB485" s="142"/>
      <c r="DC485" s="142"/>
      <c r="DD485" s="142"/>
      <c r="DE485" s="142"/>
      <c r="DF485" s="142"/>
      <c r="DG485" s="142"/>
      <c r="DH485" s="142"/>
      <c r="DI485" s="142"/>
      <c r="DJ485" s="142"/>
      <c r="DK485" s="142"/>
      <c r="DL485" s="142"/>
      <c r="DM485" s="142"/>
      <c r="DN485" s="142"/>
      <c r="DO485" s="142"/>
      <c r="DP485" s="142"/>
      <c r="DQ485" s="142"/>
      <c r="DR485" s="142"/>
      <c r="DS485" s="142"/>
      <c r="DT485" s="142"/>
      <c r="DU485" s="142"/>
      <c r="DV485" s="142"/>
      <c r="DW485" s="142"/>
      <c r="DX485" s="142"/>
      <c r="DY485" s="142"/>
      <c r="DZ485" s="142"/>
      <c r="EA485" s="142"/>
      <c r="EB485" s="142"/>
      <c r="EC485" s="142"/>
      <c r="ED485" s="142"/>
      <c r="EE485" s="142"/>
    </row>
    <row r="486" spans="1:135" s="151" customFormat="1" ht="19.5" customHeight="1" x14ac:dyDescent="0.2">
      <c r="A486" s="117">
        <v>485</v>
      </c>
      <c r="B486" s="121" t="s">
        <v>404</v>
      </c>
      <c r="C486" s="122">
        <v>146656</v>
      </c>
      <c r="D486" s="146" t="s">
        <v>73</v>
      </c>
      <c r="E486" s="117" t="s">
        <v>854</v>
      </c>
      <c r="F486" s="146" t="s">
        <v>256</v>
      </c>
      <c r="G486" s="124" t="s">
        <v>69</v>
      </c>
      <c r="H486" s="190" t="s">
        <v>315</v>
      </c>
      <c r="I486" s="93">
        <v>45679</v>
      </c>
      <c r="J486" s="92">
        <f>IF(I486="", "", DATE(YEAR(I486)+3, MONTH(I486), DAY(L486)))</f>
        <v>46754</v>
      </c>
      <c r="K486" s="93">
        <v>46175</v>
      </c>
      <c r="L486" s="93">
        <v>46175</v>
      </c>
      <c r="M486" s="140">
        <f>IF(L486="", "", DATE(YEAR(L486)+3, MONTH(L486), DAY(L486)))</f>
        <v>47271</v>
      </c>
      <c r="N486" s="93"/>
      <c r="O486" s="93">
        <v>46258</v>
      </c>
      <c r="P486" s="93">
        <v>46246</v>
      </c>
      <c r="Q486" s="166" t="s">
        <v>69</v>
      </c>
      <c r="R486" s="166" t="s">
        <v>69</v>
      </c>
      <c r="S486" s="166" t="s">
        <v>69</v>
      </c>
      <c r="T486" s="166" t="s">
        <v>69</v>
      </c>
      <c r="U486" s="166" t="s">
        <v>69</v>
      </c>
      <c r="V486" s="166" t="s">
        <v>69</v>
      </c>
      <c r="W486" s="166" t="s">
        <v>69</v>
      </c>
      <c r="X486" s="166" t="s">
        <v>69</v>
      </c>
      <c r="Y486" s="166" t="s">
        <v>69</v>
      </c>
      <c r="Z486" s="166" t="s">
        <v>69</v>
      </c>
      <c r="AA486" s="166" t="s">
        <v>69</v>
      </c>
      <c r="AB486" s="166" t="s">
        <v>69</v>
      </c>
      <c r="AC486" s="166" t="s">
        <v>69</v>
      </c>
      <c r="AD486" s="167" t="s">
        <v>70</v>
      </c>
      <c r="AE486" s="167" t="s">
        <v>70</v>
      </c>
      <c r="AF486" s="166" t="s">
        <v>69</v>
      </c>
      <c r="AG486" s="166" t="s">
        <v>69</v>
      </c>
      <c r="AH486" s="167" t="s">
        <v>70</v>
      </c>
      <c r="AI486" s="181">
        <v>45855</v>
      </c>
      <c r="AJ486" s="167" t="s">
        <v>71</v>
      </c>
      <c r="AK486" s="167" t="s">
        <v>70</v>
      </c>
      <c r="AL486" s="166" t="s">
        <v>69</v>
      </c>
      <c r="AM486" s="166"/>
      <c r="AN486" s="167" t="s">
        <v>70</v>
      </c>
      <c r="AO486" s="167" t="s">
        <v>70</v>
      </c>
      <c r="AP486" s="167" t="s">
        <v>70</v>
      </c>
      <c r="AQ486" s="166" t="s">
        <v>69</v>
      </c>
      <c r="AR486" s="166" t="s">
        <v>69</v>
      </c>
      <c r="AS486" s="167" t="s">
        <v>70</v>
      </c>
      <c r="AT486" s="167" t="s">
        <v>70</v>
      </c>
      <c r="AU486" s="167" t="s">
        <v>70</v>
      </c>
      <c r="AV486" s="167" t="s">
        <v>70</v>
      </c>
      <c r="AW486" s="167" t="s">
        <v>70</v>
      </c>
      <c r="AX486" s="167" t="s">
        <v>70</v>
      </c>
      <c r="AY486" s="167" t="s">
        <v>70</v>
      </c>
      <c r="AZ486" s="166" t="s">
        <v>69</v>
      </c>
      <c r="BA486" s="166" t="s">
        <v>69</v>
      </c>
      <c r="BB486" s="167" t="s">
        <v>70</v>
      </c>
      <c r="BC486" s="167" t="s">
        <v>70</v>
      </c>
      <c r="BD486" s="167" t="s">
        <v>70</v>
      </c>
      <c r="BE486" s="167" t="s">
        <v>70</v>
      </c>
      <c r="BF486" s="167" t="s">
        <v>70</v>
      </c>
      <c r="BG486" s="167" t="s">
        <v>70</v>
      </c>
      <c r="BH486" s="167" t="s">
        <v>70</v>
      </c>
      <c r="BI486" s="167" t="s">
        <v>70</v>
      </c>
      <c r="BJ486" s="167" t="s">
        <v>70</v>
      </c>
      <c r="BK486" s="167" t="s">
        <v>70</v>
      </c>
      <c r="BL486" s="167" t="s">
        <v>70</v>
      </c>
      <c r="BM486" s="167" t="s">
        <v>70</v>
      </c>
      <c r="BN486" s="167" t="s">
        <v>70</v>
      </c>
      <c r="BO486" s="167" t="s">
        <v>70</v>
      </c>
      <c r="BP486" s="167" t="s">
        <v>70</v>
      </c>
      <c r="BQ486" s="151" t="s">
        <v>256</v>
      </c>
    </row>
    <row r="487" spans="1:135" s="151" customFormat="1" ht="19.5" customHeight="1" x14ac:dyDescent="0.2">
      <c r="A487" s="117">
        <v>486</v>
      </c>
      <c r="B487" s="161" t="s">
        <v>635</v>
      </c>
      <c r="C487" s="161">
        <v>83123713</v>
      </c>
      <c r="D487" s="171" t="s">
        <v>853</v>
      </c>
      <c r="E487" s="144" t="s">
        <v>636</v>
      </c>
      <c r="F487" s="146" t="s">
        <v>208</v>
      </c>
      <c r="G487" s="111">
        <v>41741</v>
      </c>
      <c r="H487" s="111">
        <v>43098</v>
      </c>
      <c r="I487" s="111">
        <v>46077</v>
      </c>
      <c r="J487" s="162">
        <f t="shared" ref="J487:J531" si="37">IF(I487="", "", DATE(YEAR(I487)+2, MONTH(I487), DAY(I487)))</f>
        <v>46807</v>
      </c>
      <c r="K487" s="111">
        <v>41570</v>
      </c>
      <c r="L487" s="111">
        <v>46083</v>
      </c>
      <c r="M487" s="163">
        <f t="shared" ref="M487:M531" si="38">IF(L487="", "", DATE(YEAR(L487)+2, MONTH(L487), DAY(L487)))</f>
        <v>46814</v>
      </c>
      <c r="N487" s="111">
        <v>41960</v>
      </c>
      <c r="O487" s="111">
        <v>41962</v>
      </c>
      <c r="P487" s="111">
        <v>41962</v>
      </c>
      <c r="Q487" s="166" t="s">
        <v>69</v>
      </c>
      <c r="R487" s="166" t="s">
        <v>69</v>
      </c>
      <c r="S487" s="166" t="s">
        <v>69</v>
      </c>
      <c r="T487" s="166" t="s">
        <v>69</v>
      </c>
      <c r="U487" s="168">
        <v>41757</v>
      </c>
      <c r="V487" s="168">
        <v>42258</v>
      </c>
      <c r="W487" s="168">
        <v>43539</v>
      </c>
      <c r="X487" s="168">
        <v>41883</v>
      </c>
      <c r="Y487" s="168">
        <v>42034</v>
      </c>
      <c r="Z487" s="168">
        <v>43724</v>
      </c>
      <c r="AA487" s="168">
        <v>46293</v>
      </c>
      <c r="AB487" s="166" t="s">
        <v>69</v>
      </c>
      <c r="AC487" s="166" t="s">
        <v>69</v>
      </c>
      <c r="AD487" s="167" t="s">
        <v>71</v>
      </c>
      <c r="AE487" s="167" t="s">
        <v>70</v>
      </c>
      <c r="AF487" s="112">
        <v>46154</v>
      </c>
      <c r="AG487" s="293">
        <v>44246</v>
      </c>
      <c r="AH487" s="167" t="s">
        <v>71</v>
      </c>
      <c r="AI487" s="167" t="s">
        <v>70</v>
      </c>
      <c r="AJ487" s="167" t="s">
        <v>70</v>
      </c>
      <c r="AK487" s="167" t="s">
        <v>70</v>
      </c>
      <c r="AL487" s="166" t="s">
        <v>69</v>
      </c>
      <c r="AM487" s="166"/>
      <c r="AN487" s="166" t="s">
        <v>69</v>
      </c>
      <c r="AO487" s="167" t="s">
        <v>70</v>
      </c>
      <c r="AP487" s="166" t="s">
        <v>69</v>
      </c>
      <c r="AQ487" s="166" t="s">
        <v>69</v>
      </c>
      <c r="AR487" s="168">
        <v>46184</v>
      </c>
      <c r="AS487" s="166" t="s">
        <v>69</v>
      </c>
      <c r="AT487" s="94">
        <v>43087</v>
      </c>
      <c r="AU487" s="166" t="s">
        <v>69</v>
      </c>
      <c r="AV487" s="166" t="s">
        <v>69</v>
      </c>
      <c r="AW487" s="167" t="s">
        <v>70</v>
      </c>
      <c r="AX487" s="167" t="s">
        <v>70</v>
      </c>
      <c r="AY487" s="166" t="s">
        <v>69</v>
      </c>
      <c r="AZ487" s="166" t="s">
        <v>69</v>
      </c>
      <c r="BA487" s="166" t="s">
        <v>69</v>
      </c>
      <c r="BB487" s="167" t="s">
        <v>70</v>
      </c>
      <c r="BC487" s="167" t="s">
        <v>70</v>
      </c>
      <c r="BD487" s="167" t="s">
        <v>70</v>
      </c>
      <c r="BE487" s="167" t="s">
        <v>70</v>
      </c>
      <c r="BF487" s="167" t="s">
        <v>70</v>
      </c>
      <c r="BG487" s="169" t="s">
        <v>70</v>
      </c>
      <c r="BH487" s="169" t="s">
        <v>70</v>
      </c>
      <c r="BI487" s="169" t="s">
        <v>70</v>
      </c>
      <c r="BJ487" s="167" t="s">
        <v>70</v>
      </c>
      <c r="BK487" s="167" t="s">
        <v>70</v>
      </c>
      <c r="BL487" s="167" t="s">
        <v>70</v>
      </c>
      <c r="BM487" s="167" t="s">
        <v>70</v>
      </c>
      <c r="BN487" s="167" t="s">
        <v>70</v>
      </c>
      <c r="BO487" s="167" t="s">
        <v>70</v>
      </c>
      <c r="BP487" s="167" t="s">
        <v>70</v>
      </c>
      <c r="BQ487" s="151">
        <v>0</v>
      </c>
      <c r="BR487" s="142"/>
      <c r="BS487" s="142"/>
      <c r="BT487" s="142"/>
      <c r="BU487" s="142"/>
      <c r="BV487" s="142"/>
      <c r="BW487" s="142"/>
      <c r="BX487" s="142"/>
      <c r="BY487" s="142"/>
      <c r="BZ487" s="142"/>
      <c r="CA487" s="142"/>
      <c r="CB487" s="142"/>
      <c r="CC487" s="142"/>
      <c r="CD487" s="142"/>
      <c r="CE487" s="142"/>
      <c r="CF487" s="142"/>
      <c r="CG487" s="142"/>
      <c r="CH487" s="142"/>
      <c r="CI487" s="142"/>
      <c r="CJ487" s="142"/>
      <c r="CK487" s="142"/>
      <c r="CL487" s="142"/>
      <c r="CM487" s="142"/>
      <c r="CN487" s="142"/>
      <c r="CO487" s="142"/>
      <c r="CP487" s="142"/>
      <c r="CQ487" s="142"/>
      <c r="CR487" s="142"/>
      <c r="CS487" s="142"/>
      <c r="CT487" s="142"/>
      <c r="CU487" s="142"/>
      <c r="CV487" s="142"/>
      <c r="CW487" s="142"/>
      <c r="CX487" s="142"/>
      <c r="CY487" s="142"/>
      <c r="CZ487" s="142"/>
      <c r="DA487" s="142"/>
      <c r="DB487" s="142"/>
      <c r="DC487" s="142"/>
      <c r="DD487" s="142"/>
      <c r="DE487" s="142"/>
      <c r="DF487" s="142"/>
      <c r="DG487" s="142"/>
      <c r="DH487" s="142"/>
      <c r="DI487" s="142"/>
      <c r="DJ487" s="142"/>
      <c r="DK487" s="142"/>
      <c r="DL487" s="142"/>
      <c r="DM487" s="142"/>
      <c r="DN487" s="142"/>
      <c r="DO487" s="142"/>
      <c r="DP487" s="142"/>
      <c r="DQ487" s="142"/>
      <c r="DR487" s="142"/>
      <c r="DS487" s="142"/>
      <c r="DT487" s="142"/>
      <c r="DU487" s="142"/>
      <c r="DV487" s="142"/>
      <c r="DW487" s="142"/>
      <c r="DX487" s="142"/>
      <c r="DY487" s="142"/>
      <c r="DZ487" s="142"/>
      <c r="EA487" s="142"/>
      <c r="EB487" s="142"/>
      <c r="EC487" s="142"/>
      <c r="ED487" s="142"/>
      <c r="EE487" s="142"/>
    </row>
    <row r="488" spans="1:135" s="151" customFormat="1" ht="19.5" customHeight="1" x14ac:dyDescent="0.2">
      <c r="A488" s="117">
        <v>487</v>
      </c>
      <c r="B488" s="174" t="s">
        <v>637</v>
      </c>
      <c r="C488" s="144">
        <v>132911</v>
      </c>
      <c r="D488" s="117" t="s">
        <v>73</v>
      </c>
      <c r="E488" s="146" t="s">
        <v>638</v>
      </c>
      <c r="F488" s="146" t="s">
        <v>208</v>
      </c>
      <c r="G488" s="162">
        <v>44985</v>
      </c>
      <c r="H488" s="162">
        <v>45005</v>
      </c>
      <c r="I488" s="162">
        <v>45777</v>
      </c>
      <c r="J488" s="162">
        <f t="shared" si="37"/>
        <v>46507</v>
      </c>
      <c r="K488" s="111">
        <v>45223</v>
      </c>
      <c r="L488" s="111">
        <v>45867</v>
      </c>
      <c r="M488" s="163">
        <f t="shared" si="38"/>
        <v>46597</v>
      </c>
      <c r="N488" s="162">
        <v>44438</v>
      </c>
      <c r="O488" s="111">
        <v>46273</v>
      </c>
      <c r="P488" s="175">
        <v>45734</v>
      </c>
      <c r="Q488" s="166" t="s">
        <v>69</v>
      </c>
      <c r="R488" s="166" t="s">
        <v>69</v>
      </c>
      <c r="S488" s="166" t="s">
        <v>69</v>
      </c>
      <c r="T488" s="168">
        <v>46087</v>
      </c>
      <c r="U488" s="168">
        <v>46146</v>
      </c>
      <c r="V488" s="166" t="s">
        <v>69</v>
      </c>
      <c r="W488" s="166" t="s">
        <v>69</v>
      </c>
      <c r="X488" s="166" t="s">
        <v>69</v>
      </c>
      <c r="Y488" s="166" t="s">
        <v>69</v>
      </c>
      <c r="Z488" s="166" t="s">
        <v>69</v>
      </c>
      <c r="AA488" s="166" t="s">
        <v>69</v>
      </c>
      <c r="AB488" s="166" t="s">
        <v>69</v>
      </c>
      <c r="AC488" s="166" t="s">
        <v>69</v>
      </c>
      <c r="AD488" s="167" t="s">
        <v>71</v>
      </c>
      <c r="AE488" s="167" t="s">
        <v>70</v>
      </c>
      <c r="AF488" s="112">
        <v>46261</v>
      </c>
      <c r="AG488" s="112" t="s">
        <v>69</v>
      </c>
      <c r="AH488" s="167" t="s">
        <v>71</v>
      </c>
      <c r="AI488" s="167" t="s">
        <v>70</v>
      </c>
      <c r="AJ488" s="167" t="s">
        <v>70</v>
      </c>
      <c r="AK488" s="167" t="s">
        <v>70</v>
      </c>
      <c r="AL488" s="166" t="s">
        <v>69</v>
      </c>
      <c r="AM488" s="166"/>
      <c r="AN488" s="166" t="s">
        <v>69</v>
      </c>
      <c r="AO488" s="167" t="s">
        <v>70</v>
      </c>
      <c r="AP488" s="166" t="s">
        <v>69</v>
      </c>
      <c r="AQ488" s="166" t="s">
        <v>69</v>
      </c>
      <c r="AR488" s="168">
        <v>46220</v>
      </c>
      <c r="AS488" s="166" t="s">
        <v>69</v>
      </c>
      <c r="AT488" s="166" t="s">
        <v>69</v>
      </c>
      <c r="AU488" s="166" t="s">
        <v>69</v>
      </c>
      <c r="AV488" s="166" t="s">
        <v>69</v>
      </c>
      <c r="AW488" s="166" t="s">
        <v>69</v>
      </c>
      <c r="AX488" s="166" t="s">
        <v>69</v>
      </c>
      <c r="AY488" s="166" t="s">
        <v>69</v>
      </c>
      <c r="AZ488" s="166" t="s">
        <v>69</v>
      </c>
      <c r="BA488" s="166" t="s">
        <v>69</v>
      </c>
      <c r="BB488" s="166" t="s">
        <v>69</v>
      </c>
      <c r="BC488" s="166" t="s">
        <v>69</v>
      </c>
      <c r="BD488" s="166" t="s">
        <v>69</v>
      </c>
      <c r="BE488" s="166" t="s">
        <v>69</v>
      </c>
      <c r="BF488" s="166" t="s">
        <v>69</v>
      </c>
      <c r="BG488" s="167" t="s">
        <v>70</v>
      </c>
      <c r="BH488" s="166" t="s">
        <v>69</v>
      </c>
      <c r="BI488" s="166" t="s">
        <v>69</v>
      </c>
      <c r="BJ488" s="167" t="s">
        <v>70</v>
      </c>
      <c r="BK488" s="166" t="s">
        <v>69</v>
      </c>
      <c r="BL488" s="167" t="s">
        <v>70</v>
      </c>
      <c r="BM488" s="167" t="s">
        <v>70</v>
      </c>
      <c r="BN488" s="167" t="s">
        <v>70</v>
      </c>
      <c r="BO488" s="167" t="s">
        <v>70</v>
      </c>
      <c r="BP488" s="167" t="s">
        <v>70</v>
      </c>
      <c r="BQ488" s="151">
        <v>0</v>
      </c>
      <c r="BR488" s="142"/>
      <c r="BS488" s="142"/>
      <c r="BT488" s="142"/>
      <c r="BU488" s="142"/>
      <c r="BV488" s="142"/>
      <c r="BW488" s="142"/>
      <c r="BX488" s="142"/>
      <c r="BY488" s="142"/>
      <c r="BZ488" s="142"/>
      <c r="CA488" s="142"/>
      <c r="CB488" s="142"/>
      <c r="CC488" s="142"/>
      <c r="CD488" s="142"/>
      <c r="CE488" s="142"/>
      <c r="CF488" s="142"/>
      <c r="CG488" s="142"/>
      <c r="CH488" s="142"/>
      <c r="CI488" s="142"/>
      <c r="CJ488" s="142"/>
      <c r="CK488" s="142"/>
      <c r="CL488" s="142"/>
      <c r="CM488" s="142"/>
      <c r="CN488" s="142"/>
      <c r="CO488" s="142"/>
      <c r="CP488" s="142"/>
      <c r="CQ488" s="142"/>
      <c r="CR488" s="142"/>
      <c r="CS488" s="142"/>
      <c r="CT488" s="142"/>
      <c r="CU488" s="142"/>
      <c r="CV488" s="142"/>
      <c r="CW488" s="142"/>
      <c r="CX488" s="142"/>
      <c r="CY488" s="142"/>
      <c r="CZ488" s="142"/>
      <c r="DA488" s="142"/>
      <c r="DB488" s="142"/>
      <c r="DC488" s="142"/>
      <c r="DD488" s="142"/>
      <c r="DE488" s="142"/>
      <c r="DF488" s="142"/>
      <c r="DG488" s="142"/>
      <c r="DH488" s="142"/>
      <c r="DI488" s="142"/>
      <c r="DJ488" s="142"/>
      <c r="DK488" s="142"/>
      <c r="DL488" s="142"/>
      <c r="DM488" s="142"/>
      <c r="DN488" s="142"/>
      <c r="DO488" s="142"/>
      <c r="DP488" s="142"/>
      <c r="DQ488" s="142"/>
      <c r="DR488" s="142"/>
      <c r="DS488" s="142"/>
      <c r="DT488" s="142"/>
      <c r="DU488" s="142"/>
      <c r="DV488" s="142"/>
      <c r="DW488" s="142"/>
      <c r="DX488" s="142"/>
      <c r="DY488" s="142"/>
      <c r="DZ488" s="142"/>
      <c r="EA488" s="142"/>
      <c r="EB488" s="142"/>
      <c r="EC488" s="142"/>
      <c r="ED488" s="142"/>
      <c r="EE488" s="142"/>
    </row>
    <row r="489" spans="1:135" s="151" customFormat="1" ht="19.5" customHeight="1" x14ac:dyDescent="0.2">
      <c r="A489" s="117">
        <v>488</v>
      </c>
      <c r="B489" s="174" t="s">
        <v>639</v>
      </c>
      <c r="C489" s="144">
        <v>83122937</v>
      </c>
      <c r="D489" s="117" t="s">
        <v>73</v>
      </c>
      <c r="E489" s="146" t="s">
        <v>638</v>
      </c>
      <c r="F489" s="146" t="s">
        <v>208</v>
      </c>
      <c r="G489" s="124">
        <v>41772</v>
      </c>
      <c r="H489" s="162">
        <v>42160</v>
      </c>
      <c r="I489" s="162">
        <v>46122</v>
      </c>
      <c r="J489" s="162">
        <f t="shared" si="37"/>
        <v>46853</v>
      </c>
      <c r="K489" s="111">
        <v>41390</v>
      </c>
      <c r="L489" s="111">
        <v>45867</v>
      </c>
      <c r="M489" s="163">
        <f t="shared" si="38"/>
        <v>46597</v>
      </c>
      <c r="N489" s="111">
        <v>41962</v>
      </c>
      <c r="O489" s="111">
        <v>46273</v>
      </c>
      <c r="P489" s="111">
        <v>41960</v>
      </c>
      <c r="Q489" s="166" t="s">
        <v>69</v>
      </c>
      <c r="R489" s="111">
        <v>45481</v>
      </c>
      <c r="S489" s="111">
        <v>46211</v>
      </c>
      <c r="T489" s="168">
        <v>42814</v>
      </c>
      <c r="U489" s="168">
        <v>46300</v>
      </c>
      <c r="V489" s="168">
        <v>46241</v>
      </c>
      <c r="W489" s="166" t="s">
        <v>69</v>
      </c>
      <c r="X489" s="166" t="s">
        <v>69</v>
      </c>
      <c r="Y489" s="166" t="s">
        <v>69</v>
      </c>
      <c r="Z489" s="166" t="s">
        <v>69</v>
      </c>
      <c r="AA489" s="166" t="s">
        <v>69</v>
      </c>
      <c r="AB489" s="166" t="s">
        <v>69</v>
      </c>
      <c r="AC489" s="166" t="s">
        <v>69</v>
      </c>
      <c r="AD489" s="167" t="s">
        <v>71</v>
      </c>
      <c r="AE489" s="167" t="s">
        <v>70</v>
      </c>
      <c r="AF489" s="112">
        <v>44931</v>
      </c>
      <c r="AG489" s="112" t="s">
        <v>69</v>
      </c>
      <c r="AH489" s="167" t="s">
        <v>71</v>
      </c>
      <c r="AI489" s="167" t="s">
        <v>70</v>
      </c>
      <c r="AJ489" s="167" t="s">
        <v>70</v>
      </c>
      <c r="AK489" s="167" t="s">
        <v>70</v>
      </c>
      <c r="AL489" s="166" t="s">
        <v>69</v>
      </c>
      <c r="AM489" s="166"/>
      <c r="AN489" s="166" t="s">
        <v>69</v>
      </c>
      <c r="AO489" s="167" t="s">
        <v>70</v>
      </c>
      <c r="AP489" s="168">
        <v>46192</v>
      </c>
      <c r="AQ489" s="166" t="s">
        <v>69</v>
      </c>
      <c r="AR489" s="166" t="s">
        <v>69</v>
      </c>
      <c r="AS489" s="166" t="s">
        <v>69</v>
      </c>
      <c r="AT489" s="166" t="s">
        <v>69</v>
      </c>
      <c r="AU489" s="166" t="s">
        <v>69</v>
      </c>
      <c r="AV489" s="166" t="s">
        <v>69</v>
      </c>
      <c r="AW489" s="166" t="s">
        <v>69</v>
      </c>
      <c r="AX489" s="166" t="s">
        <v>69</v>
      </c>
      <c r="AY489" s="166" t="s">
        <v>69</v>
      </c>
      <c r="AZ489" s="166" t="s">
        <v>69</v>
      </c>
      <c r="BA489" s="166" t="s">
        <v>69</v>
      </c>
      <c r="BB489" s="166" t="s">
        <v>69</v>
      </c>
      <c r="BC489" s="166" t="s">
        <v>69</v>
      </c>
      <c r="BD489" s="166" t="s">
        <v>69</v>
      </c>
      <c r="BE489" s="166" t="s">
        <v>69</v>
      </c>
      <c r="BF489" s="166" t="s">
        <v>69</v>
      </c>
      <c r="BG489" s="167" t="s">
        <v>70</v>
      </c>
      <c r="BH489" s="166" t="s">
        <v>69</v>
      </c>
      <c r="BI489" s="166" t="s">
        <v>69</v>
      </c>
      <c r="BJ489" s="167" t="s">
        <v>70</v>
      </c>
      <c r="BK489" s="166" t="s">
        <v>69</v>
      </c>
      <c r="BL489" s="167" t="s">
        <v>70</v>
      </c>
      <c r="BM489" s="167" t="s">
        <v>70</v>
      </c>
      <c r="BN489" s="167" t="s">
        <v>70</v>
      </c>
      <c r="BO489" s="167" t="s">
        <v>70</v>
      </c>
      <c r="BP489" s="167" t="s">
        <v>70</v>
      </c>
      <c r="BQ489" s="151">
        <v>0</v>
      </c>
      <c r="BR489" s="142"/>
      <c r="BS489" s="142"/>
      <c r="BT489" s="142"/>
      <c r="BU489" s="142"/>
      <c r="BV489" s="142"/>
      <c r="BW489" s="142"/>
      <c r="BX489" s="142"/>
      <c r="BY489" s="142"/>
      <c r="BZ489" s="142"/>
      <c r="CA489" s="142"/>
      <c r="CB489" s="142"/>
      <c r="CC489" s="142"/>
      <c r="CD489" s="142"/>
      <c r="CE489" s="142"/>
      <c r="CF489" s="142"/>
      <c r="CG489" s="142"/>
      <c r="CH489" s="142"/>
      <c r="CI489" s="142"/>
      <c r="CJ489" s="142"/>
      <c r="CK489" s="142"/>
      <c r="CL489" s="142"/>
      <c r="CM489" s="142"/>
      <c r="CN489" s="142"/>
      <c r="CO489" s="142"/>
      <c r="CP489" s="142"/>
      <c r="CQ489" s="142"/>
      <c r="CR489" s="142"/>
      <c r="CS489" s="142"/>
      <c r="CT489" s="142"/>
      <c r="CU489" s="142"/>
      <c r="CV489" s="142"/>
      <c r="CW489" s="142"/>
      <c r="CX489" s="142"/>
      <c r="CY489" s="142"/>
      <c r="CZ489" s="142"/>
      <c r="DA489" s="142"/>
      <c r="DB489" s="142"/>
      <c r="DC489" s="142"/>
      <c r="DD489" s="142"/>
      <c r="DE489" s="142"/>
      <c r="DF489" s="142"/>
      <c r="DG489" s="142"/>
      <c r="DH489" s="142"/>
      <c r="DI489" s="142"/>
      <c r="DJ489" s="142"/>
      <c r="DK489" s="142"/>
      <c r="DL489" s="142"/>
      <c r="DM489" s="142"/>
      <c r="DN489" s="142"/>
      <c r="DO489" s="142"/>
      <c r="DP489" s="142"/>
      <c r="DQ489" s="142"/>
      <c r="DR489" s="142"/>
      <c r="DS489" s="142"/>
      <c r="DT489" s="142"/>
      <c r="DU489" s="142"/>
      <c r="DV489" s="142"/>
      <c r="DW489" s="142"/>
      <c r="DX489" s="142"/>
      <c r="DY489" s="142"/>
      <c r="DZ489" s="142"/>
      <c r="EA489" s="142"/>
      <c r="EB489" s="142"/>
      <c r="EC489" s="142"/>
      <c r="ED489" s="142"/>
      <c r="EE489" s="142"/>
    </row>
    <row r="490" spans="1:135" s="151" customFormat="1" ht="19.5" customHeight="1" x14ac:dyDescent="0.2">
      <c r="A490" s="117">
        <v>489</v>
      </c>
      <c r="B490" s="174" t="s">
        <v>640</v>
      </c>
      <c r="C490" s="144">
        <v>83115978</v>
      </c>
      <c r="D490" s="117" t="s">
        <v>73</v>
      </c>
      <c r="E490" s="146" t="s">
        <v>638</v>
      </c>
      <c r="F490" s="146" t="s">
        <v>208</v>
      </c>
      <c r="G490" s="162">
        <v>41011</v>
      </c>
      <c r="H490" s="162">
        <v>41031</v>
      </c>
      <c r="I490" s="162">
        <v>45720</v>
      </c>
      <c r="J490" s="162">
        <f t="shared" si="37"/>
        <v>46450</v>
      </c>
      <c r="K490" s="111">
        <v>40989</v>
      </c>
      <c r="L490" s="111">
        <v>46071</v>
      </c>
      <c r="M490" s="163">
        <f t="shared" si="38"/>
        <v>46801</v>
      </c>
      <c r="N490" s="111">
        <v>40997</v>
      </c>
      <c r="O490" s="111">
        <v>46273</v>
      </c>
      <c r="P490" s="111">
        <v>40999</v>
      </c>
      <c r="Q490" s="166" t="s">
        <v>69</v>
      </c>
      <c r="R490" s="166" t="s">
        <v>69</v>
      </c>
      <c r="S490" s="166" t="s">
        <v>69</v>
      </c>
      <c r="T490" s="168">
        <v>46122</v>
      </c>
      <c r="U490" s="168">
        <v>46094</v>
      </c>
      <c r="V490" s="166" t="s">
        <v>69</v>
      </c>
      <c r="W490" s="166" t="s">
        <v>69</v>
      </c>
      <c r="X490" s="166" t="s">
        <v>69</v>
      </c>
      <c r="Y490" s="166" t="s">
        <v>69</v>
      </c>
      <c r="Z490" s="166" t="s">
        <v>69</v>
      </c>
      <c r="AA490" s="166" t="s">
        <v>69</v>
      </c>
      <c r="AB490" s="166" t="s">
        <v>69</v>
      </c>
      <c r="AC490" s="166" t="s">
        <v>69</v>
      </c>
      <c r="AD490" s="167" t="s">
        <v>71</v>
      </c>
      <c r="AE490" s="167" t="s">
        <v>70</v>
      </c>
      <c r="AF490" s="94">
        <v>44931</v>
      </c>
      <c r="AG490" s="112" t="s">
        <v>69</v>
      </c>
      <c r="AH490" s="167" t="s">
        <v>71</v>
      </c>
      <c r="AI490" s="167" t="s">
        <v>70</v>
      </c>
      <c r="AJ490" s="167" t="s">
        <v>70</v>
      </c>
      <c r="AK490" s="167" t="s">
        <v>70</v>
      </c>
      <c r="AL490" s="166" t="s">
        <v>69</v>
      </c>
      <c r="AM490" s="166"/>
      <c r="AN490" s="166" t="s">
        <v>69</v>
      </c>
      <c r="AO490" s="167" t="s">
        <v>70</v>
      </c>
      <c r="AP490" s="166" t="s">
        <v>69</v>
      </c>
      <c r="AQ490" s="166" t="s">
        <v>69</v>
      </c>
      <c r="AR490" s="166" t="s">
        <v>69</v>
      </c>
      <c r="AS490" s="168">
        <v>46198</v>
      </c>
      <c r="AT490" s="166" t="s">
        <v>69</v>
      </c>
      <c r="AU490" s="166" t="s">
        <v>69</v>
      </c>
      <c r="AV490" s="166" t="s">
        <v>69</v>
      </c>
      <c r="AW490" s="166" t="s">
        <v>69</v>
      </c>
      <c r="AX490" s="166" t="s">
        <v>69</v>
      </c>
      <c r="AY490" s="166" t="s">
        <v>69</v>
      </c>
      <c r="AZ490" s="166" t="s">
        <v>69</v>
      </c>
      <c r="BA490" s="166" t="s">
        <v>69</v>
      </c>
      <c r="BB490" s="166" t="s">
        <v>69</v>
      </c>
      <c r="BC490" s="166" t="s">
        <v>69</v>
      </c>
      <c r="BD490" s="166" t="s">
        <v>69</v>
      </c>
      <c r="BE490" s="166" t="s">
        <v>69</v>
      </c>
      <c r="BF490" s="166" t="s">
        <v>69</v>
      </c>
      <c r="BG490" s="167" t="s">
        <v>70</v>
      </c>
      <c r="BH490" s="166" t="s">
        <v>69</v>
      </c>
      <c r="BI490" s="166" t="s">
        <v>69</v>
      </c>
      <c r="BJ490" s="167" t="s">
        <v>70</v>
      </c>
      <c r="BK490" s="166" t="s">
        <v>69</v>
      </c>
      <c r="BL490" s="167" t="s">
        <v>70</v>
      </c>
      <c r="BM490" s="167" t="s">
        <v>70</v>
      </c>
      <c r="BN490" s="167" t="s">
        <v>70</v>
      </c>
      <c r="BO490" s="167" t="s">
        <v>70</v>
      </c>
      <c r="BP490" s="167" t="s">
        <v>70</v>
      </c>
      <c r="BQ490" s="151">
        <v>0</v>
      </c>
      <c r="BR490" s="142"/>
      <c r="BS490" s="142"/>
      <c r="BT490" s="142"/>
      <c r="BU490" s="142"/>
      <c r="BV490" s="142"/>
      <c r="BW490" s="142"/>
      <c r="BX490" s="142"/>
      <c r="BY490" s="142"/>
      <c r="BZ490" s="142"/>
      <c r="CA490" s="142"/>
      <c r="CB490" s="142"/>
      <c r="CC490" s="142"/>
      <c r="CD490" s="142"/>
      <c r="CE490" s="142"/>
      <c r="CF490" s="142"/>
      <c r="CG490" s="142"/>
      <c r="CH490" s="142"/>
      <c r="CI490" s="142"/>
      <c r="CJ490" s="142"/>
      <c r="CK490" s="142"/>
      <c r="CL490" s="142"/>
      <c r="CM490" s="142"/>
      <c r="CN490" s="142"/>
      <c r="CO490" s="142"/>
      <c r="CP490" s="142"/>
      <c r="CQ490" s="142"/>
      <c r="CR490" s="142"/>
      <c r="CS490" s="142"/>
      <c r="CT490" s="142"/>
      <c r="CU490" s="142"/>
      <c r="CV490" s="142"/>
      <c r="CW490" s="142"/>
      <c r="CX490" s="142"/>
      <c r="CY490" s="142"/>
      <c r="CZ490" s="142"/>
      <c r="DA490" s="142"/>
      <c r="DB490" s="142"/>
      <c r="DC490" s="142"/>
      <c r="DD490" s="142"/>
      <c r="DE490" s="142"/>
      <c r="DF490" s="142"/>
      <c r="DG490" s="142"/>
      <c r="DH490" s="142"/>
      <c r="DI490" s="142"/>
      <c r="DJ490" s="142"/>
      <c r="DK490" s="142"/>
      <c r="DL490" s="142"/>
      <c r="DM490" s="142"/>
      <c r="DN490" s="142"/>
      <c r="DO490" s="142"/>
      <c r="DP490" s="142"/>
      <c r="DQ490" s="142"/>
      <c r="DR490" s="142"/>
      <c r="DS490" s="142"/>
      <c r="DT490" s="142"/>
      <c r="DU490" s="142"/>
      <c r="DV490" s="142"/>
      <c r="DW490" s="142"/>
      <c r="DX490" s="142"/>
      <c r="DY490" s="142"/>
      <c r="DZ490" s="142"/>
      <c r="EA490" s="142"/>
      <c r="EB490" s="142"/>
      <c r="EC490" s="142"/>
      <c r="ED490" s="142"/>
      <c r="EE490" s="142"/>
    </row>
    <row r="491" spans="1:135" s="151" customFormat="1" ht="19.5" customHeight="1" x14ac:dyDescent="0.2">
      <c r="A491" s="117">
        <v>490</v>
      </c>
      <c r="B491" s="174" t="s">
        <v>641</v>
      </c>
      <c r="C491" s="144">
        <v>83122936</v>
      </c>
      <c r="D491" s="117" t="s">
        <v>73</v>
      </c>
      <c r="E491" s="146" t="s">
        <v>638</v>
      </c>
      <c r="F491" s="146" t="s">
        <v>208</v>
      </c>
      <c r="G491" s="162">
        <v>41838</v>
      </c>
      <c r="H491" s="162">
        <v>44973</v>
      </c>
      <c r="I491" s="172">
        <v>45720</v>
      </c>
      <c r="J491" s="162">
        <f t="shared" si="37"/>
        <v>46450</v>
      </c>
      <c r="K491" s="111">
        <v>41443</v>
      </c>
      <c r="L491" s="111">
        <v>45867</v>
      </c>
      <c r="M491" s="163">
        <f t="shared" si="38"/>
        <v>46597</v>
      </c>
      <c r="N491" s="111">
        <v>41584</v>
      </c>
      <c r="O491" s="111">
        <v>46273</v>
      </c>
      <c r="P491" s="111">
        <v>41586</v>
      </c>
      <c r="Q491" s="111">
        <v>42409</v>
      </c>
      <c r="R491" s="111">
        <v>42451</v>
      </c>
      <c r="S491" s="111">
        <v>43181</v>
      </c>
      <c r="T491" s="168">
        <v>46265</v>
      </c>
      <c r="U491" s="168">
        <v>46094</v>
      </c>
      <c r="V491" s="168">
        <v>46080</v>
      </c>
      <c r="W491" s="166" t="s">
        <v>69</v>
      </c>
      <c r="X491" s="166" t="s">
        <v>69</v>
      </c>
      <c r="Y491" s="166" t="s">
        <v>69</v>
      </c>
      <c r="Z491" s="166" t="s">
        <v>69</v>
      </c>
      <c r="AA491" s="166" t="s">
        <v>69</v>
      </c>
      <c r="AB491" s="166" t="s">
        <v>69</v>
      </c>
      <c r="AC491" s="166" t="s">
        <v>69</v>
      </c>
      <c r="AD491" s="167" t="s">
        <v>71</v>
      </c>
      <c r="AE491" s="167" t="s">
        <v>70</v>
      </c>
      <c r="AF491" s="94">
        <v>44931</v>
      </c>
      <c r="AG491" s="112" t="s">
        <v>69</v>
      </c>
      <c r="AH491" s="167" t="s">
        <v>71</v>
      </c>
      <c r="AI491" s="167" t="s">
        <v>70</v>
      </c>
      <c r="AJ491" s="167" t="s">
        <v>70</v>
      </c>
      <c r="AK491" s="167" t="s">
        <v>70</v>
      </c>
      <c r="AL491" s="166" t="s">
        <v>69</v>
      </c>
      <c r="AM491" s="166"/>
      <c r="AN491" s="166" t="s">
        <v>69</v>
      </c>
      <c r="AO491" s="167" t="s">
        <v>70</v>
      </c>
      <c r="AP491" s="166" t="s">
        <v>69</v>
      </c>
      <c r="AQ491" s="166" t="s">
        <v>69</v>
      </c>
      <c r="AR491" s="166" t="s">
        <v>69</v>
      </c>
      <c r="AS491" s="166" t="s">
        <v>69</v>
      </c>
      <c r="AT491" s="166" t="s">
        <v>69</v>
      </c>
      <c r="AU491" s="166" t="s">
        <v>69</v>
      </c>
      <c r="AV491" s="166" t="s">
        <v>69</v>
      </c>
      <c r="AW491" s="166" t="s">
        <v>69</v>
      </c>
      <c r="AX491" s="166" t="s">
        <v>69</v>
      </c>
      <c r="AY491" s="166" t="s">
        <v>69</v>
      </c>
      <c r="AZ491" s="166" t="s">
        <v>69</v>
      </c>
      <c r="BA491" s="166" t="s">
        <v>69</v>
      </c>
      <c r="BB491" s="166" t="s">
        <v>69</v>
      </c>
      <c r="BC491" s="166" t="s">
        <v>69</v>
      </c>
      <c r="BD491" s="166" t="s">
        <v>69</v>
      </c>
      <c r="BE491" s="166" t="s">
        <v>69</v>
      </c>
      <c r="BF491" s="166" t="s">
        <v>69</v>
      </c>
      <c r="BG491" s="167" t="s">
        <v>70</v>
      </c>
      <c r="BH491" s="166" t="s">
        <v>69</v>
      </c>
      <c r="BI491" s="166" t="s">
        <v>69</v>
      </c>
      <c r="BJ491" s="167" t="s">
        <v>70</v>
      </c>
      <c r="BK491" s="166" t="s">
        <v>69</v>
      </c>
      <c r="BL491" s="167" t="s">
        <v>70</v>
      </c>
      <c r="BM491" s="167" t="s">
        <v>70</v>
      </c>
      <c r="BN491" s="167" t="s">
        <v>70</v>
      </c>
      <c r="BO491" s="167" t="s">
        <v>70</v>
      </c>
      <c r="BP491" s="167" t="s">
        <v>70</v>
      </c>
      <c r="BQ491" s="151">
        <v>0</v>
      </c>
      <c r="BR491" s="142"/>
      <c r="BS491" s="142"/>
      <c r="BT491" s="142"/>
      <c r="BU491" s="142"/>
      <c r="BV491" s="142"/>
      <c r="BW491" s="142"/>
      <c r="BX491" s="142"/>
      <c r="BY491" s="142"/>
      <c r="BZ491" s="142"/>
      <c r="CA491" s="142"/>
      <c r="CB491" s="142"/>
      <c r="CC491" s="142"/>
      <c r="CD491" s="142"/>
      <c r="CE491" s="142"/>
      <c r="CF491" s="142"/>
      <c r="CG491" s="142"/>
      <c r="CH491" s="142"/>
      <c r="CI491" s="142"/>
      <c r="CJ491" s="142"/>
      <c r="CK491" s="142"/>
      <c r="CL491" s="142"/>
      <c r="CM491" s="142"/>
      <c r="CN491" s="142"/>
      <c r="CO491" s="142"/>
      <c r="CP491" s="142"/>
      <c r="CQ491" s="142"/>
      <c r="CR491" s="142"/>
      <c r="CS491" s="142"/>
      <c r="CT491" s="142"/>
      <c r="CU491" s="142"/>
      <c r="CV491" s="142"/>
      <c r="CW491" s="142"/>
      <c r="CX491" s="142"/>
      <c r="CY491" s="142"/>
      <c r="CZ491" s="142"/>
      <c r="DA491" s="142"/>
      <c r="DB491" s="142"/>
      <c r="DC491" s="142"/>
      <c r="DD491" s="142"/>
      <c r="DE491" s="142"/>
      <c r="DF491" s="142"/>
      <c r="DG491" s="142"/>
      <c r="DH491" s="142"/>
      <c r="DI491" s="142"/>
      <c r="DJ491" s="142"/>
      <c r="DK491" s="142"/>
      <c r="DL491" s="142"/>
      <c r="DM491" s="142"/>
      <c r="DN491" s="142"/>
      <c r="DO491" s="142"/>
      <c r="DP491" s="142"/>
      <c r="DQ491" s="142"/>
      <c r="DR491" s="142"/>
      <c r="DS491" s="142"/>
      <c r="DT491" s="142"/>
      <c r="DU491" s="142"/>
      <c r="DV491" s="142"/>
      <c r="DW491" s="142"/>
      <c r="DX491" s="142"/>
      <c r="DY491" s="142"/>
      <c r="DZ491" s="142"/>
      <c r="EA491" s="142"/>
      <c r="EB491" s="142"/>
      <c r="EC491" s="142"/>
      <c r="ED491" s="142"/>
      <c r="EE491" s="142"/>
    </row>
    <row r="492" spans="1:135" s="151" customFormat="1" ht="19.5" customHeight="1" x14ac:dyDescent="0.2">
      <c r="A492" s="117">
        <v>491</v>
      </c>
      <c r="B492" s="174" t="s">
        <v>631</v>
      </c>
      <c r="C492" s="144">
        <v>142710</v>
      </c>
      <c r="D492" s="117" t="s">
        <v>73</v>
      </c>
      <c r="E492" s="183" t="s">
        <v>632</v>
      </c>
      <c r="F492" s="146" t="s">
        <v>208</v>
      </c>
      <c r="G492" s="162">
        <v>42395</v>
      </c>
      <c r="H492" s="172">
        <v>43664</v>
      </c>
      <c r="I492" s="172">
        <v>45832</v>
      </c>
      <c r="J492" s="162">
        <f t="shared" si="37"/>
        <v>46562</v>
      </c>
      <c r="K492" s="111">
        <v>42269</v>
      </c>
      <c r="L492" s="111">
        <v>45867</v>
      </c>
      <c r="M492" s="163">
        <f t="shared" si="38"/>
        <v>46597</v>
      </c>
      <c r="N492" s="111">
        <v>45594</v>
      </c>
      <c r="O492" s="111">
        <v>46255</v>
      </c>
      <c r="P492" s="111">
        <v>45595</v>
      </c>
      <c r="Q492" s="166" t="s">
        <v>69</v>
      </c>
      <c r="R492" s="166" t="s">
        <v>69</v>
      </c>
      <c r="S492" s="166" t="s">
        <v>69</v>
      </c>
      <c r="T492" s="168">
        <v>42814</v>
      </c>
      <c r="U492" s="168">
        <v>43182</v>
      </c>
      <c r="V492" s="168">
        <v>44316</v>
      </c>
      <c r="W492" s="168">
        <v>45919</v>
      </c>
      <c r="X492" s="168">
        <v>43714</v>
      </c>
      <c r="Y492" s="168">
        <v>43854</v>
      </c>
      <c r="Z492" s="166" t="s">
        <v>69</v>
      </c>
      <c r="AA492" s="168">
        <v>45919</v>
      </c>
      <c r="AB492" s="166" t="s">
        <v>69</v>
      </c>
      <c r="AC492" s="166" t="s">
        <v>69</v>
      </c>
      <c r="AD492" s="167" t="s">
        <v>71</v>
      </c>
      <c r="AE492" s="167"/>
      <c r="AF492" s="112">
        <v>46211</v>
      </c>
      <c r="AG492" s="112" t="s">
        <v>69</v>
      </c>
      <c r="AH492" s="167" t="s">
        <v>71</v>
      </c>
      <c r="AI492" s="167" t="s">
        <v>70</v>
      </c>
      <c r="AJ492" s="167" t="s">
        <v>70</v>
      </c>
      <c r="AK492" s="167" t="s">
        <v>70</v>
      </c>
      <c r="AL492" s="166" t="s">
        <v>69</v>
      </c>
      <c r="AM492" s="166"/>
      <c r="AN492" s="166" t="s">
        <v>69</v>
      </c>
      <c r="AO492" s="167" t="s">
        <v>70</v>
      </c>
      <c r="AP492" s="166" t="s">
        <v>69</v>
      </c>
      <c r="AQ492" s="166" t="s">
        <v>69</v>
      </c>
      <c r="AR492" s="166" t="s">
        <v>69</v>
      </c>
      <c r="AS492" s="166" t="s">
        <v>69</v>
      </c>
      <c r="AT492" s="94">
        <v>43593</v>
      </c>
      <c r="AU492" s="166" t="s">
        <v>69</v>
      </c>
      <c r="AV492" s="166" t="s">
        <v>69</v>
      </c>
      <c r="AW492" s="166" t="s">
        <v>69</v>
      </c>
      <c r="AX492" s="166" t="s">
        <v>69</v>
      </c>
      <c r="AY492" s="166" t="s">
        <v>69</v>
      </c>
      <c r="AZ492" s="166" t="s">
        <v>69</v>
      </c>
      <c r="BA492" s="166" t="s">
        <v>69</v>
      </c>
      <c r="BB492" s="166" t="s">
        <v>69</v>
      </c>
      <c r="BC492" s="166" t="s">
        <v>69</v>
      </c>
      <c r="BD492" s="166" t="s">
        <v>69</v>
      </c>
      <c r="BE492" s="166" t="s">
        <v>69</v>
      </c>
      <c r="BF492" s="166" t="s">
        <v>69</v>
      </c>
      <c r="BG492" s="167" t="s">
        <v>70</v>
      </c>
      <c r="BH492" s="166" t="s">
        <v>69</v>
      </c>
      <c r="BI492" s="166" t="s">
        <v>69</v>
      </c>
      <c r="BJ492" s="167" t="s">
        <v>70</v>
      </c>
      <c r="BK492" s="166" t="s">
        <v>69</v>
      </c>
      <c r="BL492" s="167" t="s">
        <v>70</v>
      </c>
      <c r="BM492" s="167" t="s">
        <v>70</v>
      </c>
      <c r="BN492" s="167" t="s">
        <v>70</v>
      </c>
      <c r="BO492" s="167" t="s">
        <v>70</v>
      </c>
      <c r="BP492" s="167" t="s">
        <v>70</v>
      </c>
      <c r="BQ492" s="151">
        <v>0</v>
      </c>
      <c r="BR492" s="142"/>
      <c r="BS492" s="142"/>
      <c r="BT492" s="142"/>
      <c r="BU492" s="142"/>
      <c r="BV492" s="142"/>
      <c r="BW492" s="142"/>
      <c r="BX492" s="142"/>
      <c r="BY492" s="142"/>
      <c r="BZ492" s="142"/>
      <c r="CA492" s="142"/>
      <c r="CB492" s="142"/>
      <c r="CC492" s="142"/>
      <c r="CD492" s="142"/>
      <c r="CE492" s="142"/>
      <c r="CF492" s="142"/>
      <c r="CG492" s="142"/>
      <c r="CH492" s="142"/>
      <c r="CI492" s="142"/>
      <c r="CJ492" s="142"/>
      <c r="CK492" s="142"/>
      <c r="CL492" s="142"/>
      <c r="CM492" s="142"/>
      <c r="CN492" s="142"/>
      <c r="CO492" s="142"/>
      <c r="CP492" s="142"/>
      <c r="CQ492" s="142"/>
      <c r="CR492" s="142"/>
      <c r="CS492" s="142"/>
      <c r="CT492" s="142"/>
      <c r="CU492" s="142"/>
      <c r="CV492" s="142"/>
      <c r="CW492" s="142"/>
      <c r="CX492" s="142"/>
      <c r="CY492" s="142"/>
      <c r="CZ492" s="142"/>
      <c r="DA492" s="142"/>
      <c r="DB492" s="142"/>
      <c r="DC492" s="142"/>
      <c r="DD492" s="142"/>
      <c r="DE492" s="142"/>
      <c r="DF492" s="142"/>
      <c r="DG492" s="142"/>
      <c r="DH492" s="142"/>
      <c r="DI492" s="142"/>
      <c r="DJ492" s="142"/>
      <c r="DK492" s="142"/>
      <c r="DL492" s="142"/>
      <c r="DM492" s="142"/>
      <c r="DN492" s="142"/>
      <c r="DO492" s="142"/>
      <c r="DP492" s="142"/>
      <c r="DQ492" s="142"/>
      <c r="DR492" s="142"/>
      <c r="DS492" s="142"/>
      <c r="DT492" s="142"/>
      <c r="DU492" s="142"/>
      <c r="DV492" s="142"/>
      <c r="DW492" s="142"/>
      <c r="DX492" s="142"/>
      <c r="DY492" s="142"/>
      <c r="DZ492" s="142"/>
      <c r="EA492" s="142"/>
      <c r="EB492" s="142"/>
      <c r="EC492" s="142"/>
      <c r="ED492" s="142"/>
      <c r="EE492" s="142"/>
    </row>
    <row r="493" spans="1:135" s="151" customFormat="1" ht="19.5" customHeight="1" x14ac:dyDescent="0.2">
      <c r="A493" s="117">
        <v>492</v>
      </c>
      <c r="B493" s="174" t="s">
        <v>633</v>
      </c>
      <c r="C493" s="144">
        <v>142711</v>
      </c>
      <c r="D493" s="117" t="s">
        <v>73</v>
      </c>
      <c r="E493" s="183" t="s">
        <v>632</v>
      </c>
      <c r="F493" s="146" t="s">
        <v>208</v>
      </c>
      <c r="G493" s="162">
        <v>42388</v>
      </c>
      <c r="H493" s="111">
        <v>45350</v>
      </c>
      <c r="I493" s="111">
        <v>46084</v>
      </c>
      <c r="J493" s="162">
        <f t="shared" si="37"/>
        <v>46815</v>
      </c>
      <c r="K493" s="111">
        <v>42262</v>
      </c>
      <c r="L493" s="111">
        <v>45867</v>
      </c>
      <c r="M493" s="163">
        <f t="shared" si="38"/>
        <v>46597</v>
      </c>
      <c r="N493" s="111">
        <v>45601</v>
      </c>
      <c r="O493" s="111">
        <v>45492</v>
      </c>
      <c r="P493" s="111">
        <v>45602</v>
      </c>
      <c r="Q493" s="166" t="s">
        <v>69</v>
      </c>
      <c r="R493" s="166" t="s">
        <v>69</v>
      </c>
      <c r="S493" s="166" t="s">
        <v>69</v>
      </c>
      <c r="T493" s="168">
        <v>44155</v>
      </c>
      <c r="U493" s="168">
        <v>43602</v>
      </c>
      <c r="V493" s="168">
        <v>43448</v>
      </c>
      <c r="W493" s="166" t="s">
        <v>69</v>
      </c>
      <c r="X493" s="168">
        <v>42020</v>
      </c>
      <c r="Y493" s="249">
        <v>42034</v>
      </c>
      <c r="Z493" s="249">
        <v>42314</v>
      </c>
      <c r="AA493" s="168">
        <v>46293</v>
      </c>
      <c r="AB493" s="166" t="s">
        <v>69</v>
      </c>
      <c r="AC493" s="166" t="s">
        <v>69</v>
      </c>
      <c r="AD493" s="167" t="s">
        <v>71</v>
      </c>
      <c r="AE493" s="167" t="s">
        <v>70</v>
      </c>
      <c r="AF493" s="112">
        <v>44935</v>
      </c>
      <c r="AG493" s="112" t="s">
        <v>69</v>
      </c>
      <c r="AH493" s="167" t="s">
        <v>71</v>
      </c>
      <c r="AI493" s="167" t="s">
        <v>70</v>
      </c>
      <c r="AJ493" s="167" t="s">
        <v>70</v>
      </c>
      <c r="AK493" s="167" t="s">
        <v>70</v>
      </c>
      <c r="AL493" s="166" t="s">
        <v>69</v>
      </c>
      <c r="AM493" s="166"/>
      <c r="AN493" s="166" t="s">
        <v>69</v>
      </c>
      <c r="AO493" s="167" t="s">
        <v>70</v>
      </c>
      <c r="AP493" s="166" t="s">
        <v>69</v>
      </c>
      <c r="AQ493" s="166" t="s">
        <v>69</v>
      </c>
      <c r="AR493" s="166" t="s">
        <v>69</v>
      </c>
      <c r="AS493" s="166" t="s">
        <v>69</v>
      </c>
      <c r="AT493" s="166" t="s">
        <v>69</v>
      </c>
      <c r="AU493" s="166" t="s">
        <v>69</v>
      </c>
      <c r="AV493" s="166" t="s">
        <v>69</v>
      </c>
      <c r="AW493" s="166" t="s">
        <v>69</v>
      </c>
      <c r="AX493" s="166" t="s">
        <v>69</v>
      </c>
      <c r="AY493" s="166" t="s">
        <v>69</v>
      </c>
      <c r="AZ493" s="166" t="s">
        <v>69</v>
      </c>
      <c r="BA493" s="166" t="s">
        <v>69</v>
      </c>
      <c r="BB493" s="166" t="s">
        <v>69</v>
      </c>
      <c r="BC493" s="166" t="s">
        <v>69</v>
      </c>
      <c r="BD493" s="166" t="s">
        <v>69</v>
      </c>
      <c r="BE493" s="166" t="s">
        <v>69</v>
      </c>
      <c r="BF493" s="166" t="s">
        <v>69</v>
      </c>
      <c r="BG493" s="167" t="s">
        <v>70</v>
      </c>
      <c r="BH493" s="166" t="s">
        <v>69</v>
      </c>
      <c r="BI493" s="166" t="s">
        <v>69</v>
      </c>
      <c r="BJ493" s="167" t="s">
        <v>70</v>
      </c>
      <c r="BK493" s="166" t="s">
        <v>69</v>
      </c>
      <c r="BL493" s="167" t="s">
        <v>70</v>
      </c>
      <c r="BM493" s="167" t="s">
        <v>70</v>
      </c>
      <c r="BN493" s="167" t="s">
        <v>70</v>
      </c>
      <c r="BO493" s="167" t="s">
        <v>70</v>
      </c>
      <c r="BP493" s="167" t="s">
        <v>70</v>
      </c>
      <c r="BQ493" s="151">
        <v>0</v>
      </c>
      <c r="BR493" s="142"/>
      <c r="BS493" s="142"/>
      <c r="BT493" s="142"/>
      <c r="BU493" s="142"/>
      <c r="BV493" s="142"/>
      <c r="BW493" s="142"/>
      <c r="BX493" s="142"/>
      <c r="BY493" s="142"/>
      <c r="BZ493" s="142"/>
      <c r="CA493" s="142"/>
      <c r="CB493" s="142"/>
      <c r="CC493" s="142"/>
      <c r="CD493" s="142"/>
      <c r="CE493" s="142"/>
      <c r="CF493" s="142"/>
      <c r="CG493" s="142"/>
      <c r="CH493" s="142"/>
      <c r="CI493" s="142"/>
      <c r="CJ493" s="142"/>
      <c r="CK493" s="142"/>
      <c r="CL493" s="142"/>
      <c r="CM493" s="142"/>
      <c r="CN493" s="142"/>
      <c r="CO493" s="142"/>
      <c r="CP493" s="142"/>
      <c r="CQ493" s="142"/>
      <c r="CR493" s="142"/>
      <c r="CS493" s="142"/>
      <c r="CT493" s="142"/>
      <c r="CU493" s="142"/>
      <c r="CV493" s="142"/>
      <c r="CW493" s="142"/>
      <c r="CX493" s="142"/>
      <c r="CY493" s="142"/>
      <c r="CZ493" s="142"/>
      <c r="DA493" s="142"/>
      <c r="DB493" s="142"/>
      <c r="DC493" s="142"/>
      <c r="DD493" s="142"/>
      <c r="DE493" s="142"/>
      <c r="DF493" s="142"/>
      <c r="DG493" s="142"/>
      <c r="DH493" s="142"/>
      <c r="DI493" s="142"/>
      <c r="DJ493" s="142"/>
      <c r="DK493" s="142"/>
      <c r="DL493" s="142"/>
      <c r="DM493" s="142"/>
      <c r="DN493" s="142"/>
      <c r="DO493" s="142"/>
      <c r="DP493" s="142"/>
      <c r="DQ493" s="142"/>
      <c r="DR493" s="142"/>
      <c r="DS493" s="142"/>
      <c r="DT493" s="142"/>
      <c r="DU493" s="142"/>
      <c r="DV493" s="142"/>
      <c r="DW493" s="142"/>
      <c r="DX493" s="142"/>
      <c r="DY493" s="142"/>
      <c r="DZ493" s="142"/>
      <c r="EA493" s="142"/>
      <c r="EB493" s="142"/>
      <c r="EC493" s="142"/>
      <c r="ED493" s="142"/>
      <c r="EE493" s="142"/>
    </row>
    <row r="494" spans="1:135" s="151" customFormat="1" ht="19.5" customHeight="1" x14ac:dyDescent="0.2">
      <c r="A494" s="117">
        <v>493</v>
      </c>
      <c r="B494" s="174" t="s">
        <v>634</v>
      </c>
      <c r="C494" s="144">
        <v>150639</v>
      </c>
      <c r="D494" s="117" t="s">
        <v>73</v>
      </c>
      <c r="E494" s="183" t="s">
        <v>632</v>
      </c>
      <c r="F494" s="146" t="s">
        <v>208</v>
      </c>
      <c r="G494" s="162">
        <v>42221</v>
      </c>
      <c r="H494" s="172">
        <v>43703</v>
      </c>
      <c r="I494" s="172">
        <v>45874</v>
      </c>
      <c r="J494" s="162">
        <f t="shared" si="37"/>
        <v>46604</v>
      </c>
      <c r="K494" s="111">
        <v>42223</v>
      </c>
      <c r="L494" s="111">
        <v>46058</v>
      </c>
      <c r="M494" s="163">
        <f t="shared" si="38"/>
        <v>46788</v>
      </c>
      <c r="N494" s="111">
        <v>45601</v>
      </c>
      <c r="O494" s="111">
        <v>45492</v>
      </c>
      <c r="P494" s="111">
        <v>45596</v>
      </c>
      <c r="Q494" s="166" t="s">
        <v>69</v>
      </c>
      <c r="R494" s="166" t="s">
        <v>69</v>
      </c>
      <c r="S494" s="166" t="s">
        <v>69</v>
      </c>
      <c r="T494" s="166" t="s">
        <v>69</v>
      </c>
      <c r="U494" s="168">
        <v>46300</v>
      </c>
      <c r="V494" s="166" t="s">
        <v>69</v>
      </c>
      <c r="W494" s="166" t="s">
        <v>69</v>
      </c>
      <c r="X494" s="166" t="s">
        <v>69</v>
      </c>
      <c r="Y494" s="166" t="s">
        <v>69</v>
      </c>
      <c r="Z494" s="166" t="s">
        <v>69</v>
      </c>
      <c r="AA494" s="168">
        <v>46146</v>
      </c>
      <c r="AB494" s="166" t="s">
        <v>69</v>
      </c>
      <c r="AC494" s="166" t="s">
        <v>69</v>
      </c>
      <c r="AD494" s="167" t="s">
        <v>71</v>
      </c>
      <c r="AE494" s="167" t="s">
        <v>70</v>
      </c>
      <c r="AF494" s="112">
        <v>44931</v>
      </c>
      <c r="AG494" s="112" t="s">
        <v>69</v>
      </c>
      <c r="AH494" s="167" t="s">
        <v>71</v>
      </c>
      <c r="AI494" s="167" t="s">
        <v>70</v>
      </c>
      <c r="AJ494" s="167" t="s">
        <v>70</v>
      </c>
      <c r="AK494" s="167" t="s">
        <v>70</v>
      </c>
      <c r="AL494" s="166" t="s">
        <v>69</v>
      </c>
      <c r="AM494" s="166"/>
      <c r="AN494" s="166" t="s">
        <v>69</v>
      </c>
      <c r="AO494" s="167" t="s">
        <v>70</v>
      </c>
      <c r="AP494" s="166" t="s">
        <v>69</v>
      </c>
      <c r="AQ494" s="166" t="s">
        <v>69</v>
      </c>
      <c r="AR494" s="166" t="s">
        <v>69</v>
      </c>
      <c r="AS494" s="166" t="s">
        <v>69</v>
      </c>
      <c r="AT494" s="166" t="s">
        <v>69</v>
      </c>
      <c r="AU494" s="166" t="s">
        <v>69</v>
      </c>
      <c r="AV494" s="166" t="s">
        <v>69</v>
      </c>
      <c r="AW494" s="166" t="s">
        <v>69</v>
      </c>
      <c r="AX494" s="166" t="s">
        <v>69</v>
      </c>
      <c r="AY494" s="166" t="s">
        <v>69</v>
      </c>
      <c r="AZ494" s="166" t="s">
        <v>69</v>
      </c>
      <c r="BA494" s="166" t="s">
        <v>69</v>
      </c>
      <c r="BB494" s="166" t="s">
        <v>69</v>
      </c>
      <c r="BC494" s="166" t="s">
        <v>69</v>
      </c>
      <c r="BD494" s="166" t="s">
        <v>69</v>
      </c>
      <c r="BE494" s="166" t="s">
        <v>69</v>
      </c>
      <c r="BF494" s="166" t="s">
        <v>69</v>
      </c>
      <c r="BG494" s="167" t="s">
        <v>70</v>
      </c>
      <c r="BH494" s="166" t="s">
        <v>69</v>
      </c>
      <c r="BI494" s="166" t="s">
        <v>69</v>
      </c>
      <c r="BJ494" s="167" t="s">
        <v>70</v>
      </c>
      <c r="BK494" s="166" t="s">
        <v>69</v>
      </c>
      <c r="BL494" s="167" t="s">
        <v>70</v>
      </c>
      <c r="BM494" s="167" t="s">
        <v>70</v>
      </c>
      <c r="BN494" s="167" t="s">
        <v>70</v>
      </c>
      <c r="BO494" s="167" t="s">
        <v>70</v>
      </c>
      <c r="BP494" s="167" t="s">
        <v>70</v>
      </c>
      <c r="BQ494" s="151">
        <v>0</v>
      </c>
      <c r="BR494" s="142"/>
      <c r="BS494" s="142"/>
      <c r="BT494" s="142"/>
      <c r="BU494" s="142"/>
      <c r="BV494" s="142"/>
      <c r="BW494" s="142"/>
      <c r="BX494" s="142"/>
      <c r="BY494" s="142"/>
      <c r="BZ494" s="142"/>
      <c r="CA494" s="142"/>
      <c r="CB494" s="142"/>
      <c r="CC494" s="142"/>
      <c r="CD494" s="142"/>
      <c r="CE494" s="142"/>
      <c r="CF494" s="142"/>
      <c r="CG494" s="142"/>
      <c r="CH494" s="142"/>
      <c r="CI494" s="142"/>
      <c r="CJ494" s="142"/>
      <c r="CK494" s="142"/>
      <c r="CL494" s="142"/>
      <c r="CM494" s="142"/>
      <c r="CN494" s="142"/>
      <c r="CO494" s="142"/>
      <c r="CP494" s="142"/>
      <c r="CQ494" s="142"/>
      <c r="CR494" s="142"/>
      <c r="CS494" s="142"/>
      <c r="CT494" s="142"/>
      <c r="CU494" s="142"/>
      <c r="CV494" s="142"/>
      <c r="CW494" s="142"/>
      <c r="CX494" s="142"/>
      <c r="CY494" s="142"/>
      <c r="CZ494" s="142"/>
      <c r="DA494" s="142"/>
      <c r="DB494" s="142"/>
      <c r="DC494" s="142"/>
      <c r="DD494" s="142"/>
      <c r="DE494" s="142"/>
      <c r="DF494" s="142"/>
      <c r="DG494" s="142"/>
      <c r="DH494" s="142"/>
      <c r="DI494" s="142"/>
      <c r="DJ494" s="142"/>
      <c r="DK494" s="142"/>
      <c r="DL494" s="142"/>
      <c r="DM494" s="142"/>
      <c r="DN494" s="142"/>
      <c r="DO494" s="142"/>
      <c r="DP494" s="142"/>
      <c r="DQ494" s="142"/>
      <c r="DR494" s="142"/>
      <c r="DS494" s="142"/>
      <c r="DT494" s="142"/>
      <c r="DU494" s="142"/>
      <c r="DV494" s="142"/>
      <c r="DW494" s="142"/>
      <c r="DX494" s="142"/>
      <c r="DY494" s="142"/>
      <c r="DZ494" s="142"/>
      <c r="EA494" s="142"/>
      <c r="EB494" s="142"/>
      <c r="EC494" s="142"/>
      <c r="ED494" s="142"/>
      <c r="EE494" s="142"/>
    </row>
    <row r="495" spans="1:135" s="151" customFormat="1" ht="19.5" customHeight="1" x14ac:dyDescent="0.2">
      <c r="A495" s="117">
        <v>494</v>
      </c>
      <c r="B495" s="161" t="s">
        <v>577</v>
      </c>
      <c r="C495" s="161">
        <v>143965</v>
      </c>
      <c r="D495" s="171" t="s">
        <v>578</v>
      </c>
      <c r="E495" s="144" t="s">
        <v>579</v>
      </c>
      <c r="F495" s="146" t="s">
        <v>208</v>
      </c>
      <c r="G495" s="89">
        <v>42192</v>
      </c>
      <c r="H495" s="89">
        <v>41922</v>
      </c>
      <c r="I495" s="89">
        <v>46077</v>
      </c>
      <c r="J495" s="162">
        <f t="shared" si="37"/>
        <v>46807</v>
      </c>
      <c r="K495" s="89">
        <v>42076</v>
      </c>
      <c r="L495" s="89">
        <v>45756</v>
      </c>
      <c r="M495" s="163">
        <f t="shared" si="38"/>
        <v>46486</v>
      </c>
      <c r="N495" s="112">
        <v>41919</v>
      </c>
      <c r="O495" s="111">
        <v>46266</v>
      </c>
      <c r="P495" s="111">
        <v>44518</v>
      </c>
      <c r="Q495" s="165" t="s">
        <v>69</v>
      </c>
      <c r="R495" s="165" t="s">
        <v>69</v>
      </c>
      <c r="S495" s="165" t="s">
        <v>69</v>
      </c>
      <c r="T495" s="181">
        <v>43749</v>
      </c>
      <c r="U495" s="112">
        <v>43476</v>
      </c>
      <c r="V495" s="165" t="s">
        <v>69</v>
      </c>
      <c r="W495" s="165" t="s">
        <v>69</v>
      </c>
      <c r="X495" s="181">
        <v>42360</v>
      </c>
      <c r="Y495" s="181">
        <v>42258</v>
      </c>
      <c r="Z495" s="181">
        <v>43166</v>
      </c>
      <c r="AA495" s="112">
        <v>46146</v>
      </c>
      <c r="AB495" s="166" t="s">
        <v>69</v>
      </c>
      <c r="AC495" s="166" t="s">
        <v>69</v>
      </c>
      <c r="AD495" s="167" t="s">
        <v>70</v>
      </c>
      <c r="AE495" s="167" t="s">
        <v>70</v>
      </c>
      <c r="AF495" s="112">
        <v>46287</v>
      </c>
      <c r="AG495" s="166" t="s">
        <v>69</v>
      </c>
      <c r="AH495" s="167" t="s">
        <v>71</v>
      </c>
      <c r="AI495" s="167" t="s">
        <v>70</v>
      </c>
      <c r="AJ495" s="167" t="s">
        <v>70</v>
      </c>
      <c r="AK495" s="167" t="s">
        <v>70</v>
      </c>
      <c r="AL495" s="166" t="s">
        <v>69</v>
      </c>
      <c r="AM495" s="166"/>
      <c r="AN495" s="168" t="s">
        <v>69</v>
      </c>
      <c r="AO495" s="167" t="s">
        <v>70</v>
      </c>
      <c r="AP495" s="166" t="s">
        <v>69</v>
      </c>
      <c r="AQ495" s="166" t="s">
        <v>69</v>
      </c>
      <c r="AR495" s="166" t="s">
        <v>69</v>
      </c>
      <c r="AS495" s="166" t="s">
        <v>69</v>
      </c>
      <c r="AT495" s="166" t="s">
        <v>69</v>
      </c>
      <c r="AU495" s="166" t="s">
        <v>69</v>
      </c>
      <c r="AV495" s="166" t="s">
        <v>69</v>
      </c>
      <c r="AW495" s="167" t="s">
        <v>70</v>
      </c>
      <c r="AX495" s="167" t="s">
        <v>70</v>
      </c>
      <c r="AY495" s="166" t="s">
        <v>69</v>
      </c>
      <c r="AZ495" s="166" t="s">
        <v>69</v>
      </c>
      <c r="BA495" s="166" t="s">
        <v>69</v>
      </c>
      <c r="BB495" s="167" t="s">
        <v>70</v>
      </c>
      <c r="BC495" s="167" t="s">
        <v>70</v>
      </c>
      <c r="BD495" s="167" t="s">
        <v>70</v>
      </c>
      <c r="BE495" s="167" t="s">
        <v>70</v>
      </c>
      <c r="BF495" s="167" t="s">
        <v>70</v>
      </c>
      <c r="BG495" s="169" t="s">
        <v>70</v>
      </c>
      <c r="BH495" s="169" t="s">
        <v>70</v>
      </c>
      <c r="BI495" s="169" t="s">
        <v>70</v>
      </c>
      <c r="BJ495" s="167" t="s">
        <v>70</v>
      </c>
      <c r="BK495" s="167" t="s">
        <v>70</v>
      </c>
      <c r="BL495" s="167" t="s">
        <v>70</v>
      </c>
      <c r="BM495" s="167" t="s">
        <v>70</v>
      </c>
      <c r="BN495" s="167" t="s">
        <v>70</v>
      </c>
      <c r="BO495" s="167" t="s">
        <v>70</v>
      </c>
      <c r="BP495" s="167" t="s">
        <v>70</v>
      </c>
      <c r="BQ495" s="151">
        <v>0</v>
      </c>
      <c r="BR495" s="142"/>
      <c r="BS495" s="142"/>
      <c r="BT495" s="142"/>
      <c r="BU495" s="142"/>
      <c r="BV495" s="142"/>
      <c r="BW495" s="142"/>
      <c r="BX495" s="142"/>
      <c r="BY495" s="142"/>
      <c r="BZ495" s="142"/>
      <c r="CA495" s="142"/>
      <c r="CB495" s="142"/>
      <c r="CC495" s="142"/>
      <c r="CD495" s="142"/>
      <c r="CE495" s="142"/>
      <c r="CF495" s="142"/>
      <c r="CG495" s="142"/>
      <c r="CH495" s="142"/>
      <c r="CI495" s="142"/>
      <c r="CJ495" s="142"/>
      <c r="CK495" s="142"/>
      <c r="CL495" s="142"/>
      <c r="CM495" s="142"/>
      <c r="CN495" s="142"/>
      <c r="CO495" s="142"/>
      <c r="CP495" s="142"/>
      <c r="CQ495" s="142"/>
      <c r="CR495" s="142"/>
      <c r="CS495" s="142"/>
      <c r="CT495" s="142"/>
      <c r="CU495" s="142"/>
      <c r="CV495" s="142"/>
      <c r="CW495" s="142"/>
      <c r="CX495" s="142"/>
      <c r="CY495" s="142"/>
      <c r="CZ495" s="142"/>
      <c r="DA495" s="142"/>
      <c r="DB495" s="142"/>
      <c r="DC495" s="142"/>
      <c r="DD495" s="142"/>
      <c r="DE495" s="142"/>
      <c r="DF495" s="142"/>
      <c r="DG495" s="142"/>
      <c r="DH495" s="142"/>
      <c r="DI495" s="142"/>
      <c r="DJ495" s="142"/>
      <c r="DK495" s="142"/>
      <c r="DL495" s="142"/>
      <c r="DM495" s="142"/>
      <c r="DN495" s="142"/>
      <c r="DO495" s="142"/>
      <c r="DP495" s="142"/>
      <c r="DQ495" s="142"/>
      <c r="DR495" s="142"/>
      <c r="DS495" s="142"/>
      <c r="DT495" s="142"/>
      <c r="DU495" s="142"/>
      <c r="DV495" s="142"/>
      <c r="DW495" s="142"/>
      <c r="DX495" s="142"/>
      <c r="DY495" s="142"/>
      <c r="DZ495" s="142"/>
      <c r="EA495" s="142"/>
      <c r="EB495" s="142"/>
      <c r="EC495" s="142"/>
      <c r="ED495" s="142"/>
      <c r="EE495" s="142"/>
    </row>
    <row r="496" spans="1:135" s="151" customFormat="1" ht="19.5" customHeight="1" x14ac:dyDescent="0.2">
      <c r="A496" s="117">
        <v>495</v>
      </c>
      <c r="B496" s="174" t="s">
        <v>580</v>
      </c>
      <c r="C496" s="144">
        <v>83102125</v>
      </c>
      <c r="D496" s="117" t="s">
        <v>73</v>
      </c>
      <c r="E496" s="117" t="s">
        <v>579</v>
      </c>
      <c r="F496" s="146" t="s">
        <v>208</v>
      </c>
      <c r="G496" s="162">
        <v>40970</v>
      </c>
      <c r="H496" s="111">
        <v>45881</v>
      </c>
      <c r="I496" s="111">
        <v>45881</v>
      </c>
      <c r="J496" s="162">
        <f t="shared" si="37"/>
        <v>46611</v>
      </c>
      <c r="K496" s="111">
        <v>45756</v>
      </c>
      <c r="L496" s="111">
        <v>45756</v>
      </c>
      <c r="M496" s="163">
        <f t="shared" si="38"/>
        <v>46486</v>
      </c>
      <c r="N496" s="111">
        <v>40793</v>
      </c>
      <c r="O496" s="111">
        <v>46255</v>
      </c>
      <c r="P496" s="111">
        <v>44516</v>
      </c>
      <c r="Q496" s="111">
        <v>42586</v>
      </c>
      <c r="R496" s="111">
        <v>45481</v>
      </c>
      <c r="S496" s="111">
        <v>46211</v>
      </c>
      <c r="T496" s="168">
        <v>43476</v>
      </c>
      <c r="U496" s="168">
        <v>42835</v>
      </c>
      <c r="V496" s="166" t="s">
        <v>69</v>
      </c>
      <c r="W496" s="166" t="s">
        <v>69</v>
      </c>
      <c r="X496" s="166" t="s">
        <v>69</v>
      </c>
      <c r="Y496" s="166" t="s">
        <v>69</v>
      </c>
      <c r="Z496" s="166" t="s">
        <v>69</v>
      </c>
      <c r="AA496" s="166" t="s">
        <v>69</v>
      </c>
      <c r="AB496" s="166" t="s">
        <v>69</v>
      </c>
      <c r="AC496" s="166" t="s">
        <v>69</v>
      </c>
      <c r="AD496" s="167" t="s">
        <v>71</v>
      </c>
      <c r="AE496" s="167" t="s">
        <v>70</v>
      </c>
      <c r="AF496" s="111">
        <v>44931</v>
      </c>
      <c r="AG496" s="112" t="s">
        <v>69</v>
      </c>
      <c r="AH496" s="167" t="s">
        <v>71</v>
      </c>
      <c r="AI496" s="167" t="s">
        <v>70</v>
      </c>
      <c r="AJ496" s="167" t="s">
        <v>70</v>
      </c>
      <c r="AK496" s="167" t="s">
        <v>70</v>
      </c>
      <c r="AL496" s="166" t="s">
        <v>69</v>
      </c>
      <c r="AM496" s="166"/>
      <c r="AN496" s="166" t="s">
        <v>69</v>
      </c>
      <c r="AO496" s="167" t="s">
        <v>70</v>
      </c>
      <c r="AP496" s="166" t="s">
        <v>69</v>
      </c>
      <c r="AQ496" s="166" t="s">
        <v>69</v>
      </c>
      <c r="AR496" s="166" t="s">
        <v>69</v>
      </c>
      <c r="AS496" s="168">
        <v>46233</v>
      </c>
      <c r="AT496" s="166" t="s">
        <v>69</v>
      </c>
      <c r="AU496" s="166" t="s">
        <v>69</v>
      </c>
      <c r="AV496" s="166" t="s">
        <v>69</v>
      </c>
      <c r="AW496" s="166" t="s">
        <v>69</v>
      </c>
      <c r="AX496" s="166" t="s">
        <v>69</v>
      </c>
      <c r="AY496" s="166" t="s">
        <v>69</v>
      </c>
      <c r="AZ496" s="166" t="s">
        <v>69</v>
      </c>
      <c r="BA496" s="166" t="s">
        <v>69</v>
      </c>
      <c r="BB496" s="166" t="s">
        <v>69</v>
      </c>
      <c r="BC496" s="166" t="s">
        <v>69</v>
      </c>
      <c r="BD496" s="166" t="s">
        <v>69</v>
      </c>
      <c r="BE496" s="166" t="s">
        <v>69</v>
      </c>
      <c r="BF496" s="166" t="s">
        <v>69</v>
      </c>
      <c r="BG496" s="167" t="s">
        <v>70</v>
      </c>
      <c r="BH496" s="166" t="s">
        <v>69</v>
      </c>
      <c r="BI496" s="166" t="s">
        <v>69</v>
      </c>
      <c r="BJ496" s="167" t="s">
        <v>70</v>
      </c>
      <c r="BK496" s="166" t="s">
        <v>69</v>
      </c>
      <c r="BL496" s="167" t="s">
        <v>70</v>
      </c>
      <c r="BM496" s="167" t="s">
        <v>70</v>
      </c>
      <c r="BN496" s="167" t="s">
        <v>70</v>
      </c>
      <c r="BO496" s="167" t="s">
        <v>70</v>
      </c>
      <c r="BP496" s="167" t="s">
        <v>70</v>
      </c>
      <c r="BQ496" s="151">
        <v>0</v>
      </c>
      <c r="BR496" s="142"/>
      <c r="BS496" s="142"/>
      <c r="BT496" s="142"/>
      <c r="BU496" s="142"/>
      <c r="BV496" s="142"/>
      <c r="BW496" s="142"/>
      <c r="BX496" s="142"/>
      <c r="BY496" s="142"/>
      <c r="BZ496" s="142"/>
      <c r="CA496" s="142"/>
      <c r="CB496" s="142"/>
      <c r="CC496" s="142"/>
      <c r="CD496" s="142"/>
      <c r="CE496" s="142"/>
      <c r="CF496" s="142"/>
      <c r="CG496" s="142"/>
      <c r="CH496" s="142"/>
      <c r="CI496" s="142"/>
      <c r="CJ496" s="142"/>
      <c r="CK496" s="142"/>
      <c r="CL496" s="142"/>
      <c r="CM496" s="142"/>
      <c r="CN496" s="142"/>
      <c r="CO496" s="142"/>
      <c r="CP496" s="142"/>
      <c r="CQ496" s="142"/>
      <c r="CR496" s="142"/>
      <c r="CS496" s="142"/>
      <c r="CT496" s="142"/>
      <c r="CU496" s="142"/>
      <c r="CV496" s="142"/>
      <c r="CW496" s="142"/>
      <c r="CX496" s="142"/>
      <c r="CY496" s="142"/>
      <c r="CZ496" s="142"/>
      <c r="DA496" s="142"/>
      <c r="DB496" s="142"/>
      <c r="DC496" s="142"/>
      <c r="DD496" s="142"/>
      <c r="DE496" s="142"/>
      <c r="DF496" s="142"/>
      <c r="DG496" s="142"/>
      <c r="DH496" s="142"/>
      <c r="DI496" s="142"/>
      <c r="DJ496" s="142"/>
      <c r="DK496" s="142"/>
      <c r="DL496" s="142"/>
      <c r="DM496" s="142"/>
      <c r="DN496" s="142"/>
      <c r="DO496" s="142"/>
      <c r="DP496" s="142"/>
      <c r="DQ496" s="142"/>
      <c r="DR496" s="142"/>
      <c r="DS496" s="142"/>
      <c r="DT496" s="142"/>
      <c r="DU496" s="142"/>
      <c r="DV496" s="142"/>
      <c r="DW496" s="142"/>
      <c r="DX496" s="142"/>
      <c r="DY496" s="142"/>
      <c r="DZ496" s="142"/>
      <c r="EA496" s="142"/>
      <c r="EB496" s="142"/>
      <c r="EC496" s="142"/>
      <c r="ED496" s="142"/>
      <c r="EE496" s="142"/>
    </row>
    <row r="497" spans="1:135" s="151" customFormat="1" ht="19.5" customHeight="1" x14ac:dyDescent="0.2">
      <c r="A497" s="117">
        <v>496</v>
      </c>
      <c r="B497" s="174" t="s">
        <v>581</v>
      </c>
      <c r="C497" s="144">
        <v>83130394</v>
      </c>
      <c r="D497" s="117" t="s">
        <v>73</v>
      </c>
      <c r="E497" s="117" t="s">
        <v>579</v>
      </c>
      <c r="F497" s="146" t="s">
        <v>208</v>
      </c>
      <c r="G497" s="124" t="s">
        <v>69</v>
      </c>
      <c r="H497" s="119">
        <v>45726</v>
      </c>
      <c r="I497" s="172">
        <v>46091</v>
      </c>
      <c r="J497" s="162">
        <f t="shared" si="37"/>
        <v>46822</v>
      </c>
      <c r="K497" s="232">
        <v>41891</v>
      </c>
      <c r="L497" s="232">
        <v>46090</v>
      </c>
      <c r="M497" s="163">
        <f t="shared" si="38"/>
        <v>46821</v>
      </c>
      <c r="N497" s="111">
        <v>41766</v>
      </c>
      <c r="O497" s="111">
        <v>45447</v>
      </c>
      <c r="P497" s="111">
        <v>44517</v>
      </c>
      <c r="Q497" s="166" t="s">
        <v>69</v>
      </c>
      <c r="R497" s="166" t="s">
        <v>69</v>
      </c>
      <c r="S497" s="166" t="s">
        <v>69</v>
      </c>
      <c r="T497" s="168">
        <v>46183</v>
      </c>
      <c r="U497" s="168">
        <v>46080</v>
      </c>
      <c r="V497" s="166" t="s">
        <v>69</v>
      </c>
      <c r="W497" s="166" t="s">
        <v>69</v>
      </c>
      <c r="X497" s="166" t="s">
        <v>69</v>
      </c>
      <c r="Y497" s="166" t="s">
        <v>69</v>
      </c>
      <c r="Z497" s="166" t="s">
        <v>69</v>
      </c>
      <c r="AA497" s="166" t="s">
        <v>69</v>
      </c>
      <c r="AB497" s="166" t="s">
        <v>69</v>
      </c>
      <c r="AC497" s="166" t="s">
        <v>69</v>
      </c>
      <c r="AD497" s="167" t="s">
        <v>71</v>
      </c>
      <c r="AE497" s="167" t="s">
        <v>70</v>
      </c>
      <c r="AF497" s="112" t="s">
        <v>69</v>
      </c>
      <c r="AG497" s="112" t="s">
        <v>69</v>
      </c>
      <c r="AH497" s="167" t="s">
        <v>71</v>
      </c>
      <c r="AI497" s="167" t="s">
        <v>70</v>
      </c>
      <c r="AJ497" s="167" t="s">
        <v>70</v>
      </c>
      <c r="AK497" s="167" t="s">
        <v>70</v>
      </c>
      <c r="AL497" s="166" t="s">
        <v>69</v>
      </c>
      <c r="AM497" s="166"/>
      <c r="AN497" s="166" t="s">
        <v>69</v>
      </c>
      <c r="AO497" s="167" t="s">
        <v>70</v>
      </c>
      <c r="AP497" s="166" t="s">
        <v>69</v>
      </c>
      <c r="AQ497" s="166" t="s">
        <v>69</v>
      </c>
      <c r="AR497" s="166" t="s">
        <v>69</v>
      </c>
      <c r="AS497" s="94">
        <v>45989</v>
      </c>
      <c r="AT497" s="166" t="s">
        <v>69</v>
      </c>
      <c r="AU497" s="166" t="s">
        <v>69</v>
      </c>
      <c r="AV497" s="166" t="s">
        <v>69</v>
      </c>
      <c r="AW497" s="166" t="s">
        <v>69</v>
      </c>
      <c r="AX497" s="166" t="s">
        <v>69</v>
      </c>
      <c r="AY497" s="166" t="s">
        <v>69</v>
      </c>
      <c r="AZ497" s="166" t="s">
        <v>69</v>
      </c>
      <c r="BA497" s="166" t="s">
        <v>69</v>
      </c>
      <c r="BB497" s="166" t="s">
        <v>69</v>
      </c>
      <c r="BC497" s="166" t="s">
        <v>69</v>
      </c>
      <c r="BD497" s="166" t="s">
        <v>69</v>
      </c>
      <c r="BE497" s="166" t="s">
        <v>69</v>
      </c>
      <c r="BF497" s="166" t="s">
        <v>69</v>
      </c>
      <c r="BG497" s="167" t="s">
        <v>70</v>
      </c>
      <c r="BH497" s="166" t="s">
        <v>69</v>
      </c>
      <c r="BI497" s="166" t="s">
        <v>69</v>
      </c>
      <c r="BJ497" s="167" t="s">
        <v>70</v>
      </c>
      <c r="BK497" s="166" t="s">
        <v>69</v>
      </c>
      <c r="BL497" s="167" t="s">
        <v>70</v>
      </c>
      <c r="BM497" s="167" t="s">
        <v>70</v>
      </c>
      <c r="BN497" s="167" t="s">
        <v>70</v>
      </c>
      <c r="BO497" s="167" t="s">
        <v>70</v>
      </c>
      <c r="BP497" s="167" t="s">
        <v>70</v>
      </c>
      <c r="BQ497" s="151">
        <v>0</v>
      </c>
      <c r="BR497" s="142"/>
      <c r="BS497" s="142"/>
      <c r="BT497" s="142"/>
      <c r="BU497" s="142"/>
      <c r="BV497" s="142"/>
      <c r="BW497" s="142"/>
      <c r="BX497" s="142"/>
      <c r="BY497" s="142"/>
      <c r="BZ497" s="142"/>
      <c r="CA497" s="142"/>
      <c r="CB497" s="142"/>
      <c r="CC497" s="142"/>
      <c r="CD497" s="142"/>
      <c r="CE497" s="142"/>
      <c r="CF497" s="142"/>
      <c r="CG497" s="142"/>
      <c r="CH497" s="142"/>
      <c r="CI497" s="142"/>
      <c r="CJ497" s="142"/>
      <c r="CK497" s="142"/>
      <c r="CL497" s="142"/>
      <c r="CM497" s="142"/>
      <c r="CN497" s="142"/>
      <c r="CO497" s="142"/>
      <c r="CP497" s="142"/>
      <c r="CQ497" s="142"/>
      <c r="CR497" s="142"/>
      <c r="CS497" s="142"/>
      <c r="CT497" s="142"/>
      <c r="CU497" s="142"/>
      <c r="CV497" s="142"/>
      <c r="CW497" s="142"/>
      <c r="CX497" s="142"/>
      <c r="CY497" s="142"/>
      <c r="CZ497" s="142"/>
      <c r="DA497" s="142"/>
      <c r="DB497" s="142"/>
      <c r="DC497" s="142"/>
      <c r="DD497" s="142"/>
      <c r="DE497" s="142"/>
      <c r="DF497" s="142"/>
      <c r="DG497" s="142"/>
      <c r="DH497" s="142"/>
      <c r="DI497" s="142"/>
      <c r="DJ497" s="142"/>
      <c r="DK497" s="142"/>
      <c r="DL497" s="142"/>
      <c r="DM497" s="142"/>
      <c r="DN497" s="142"/>
      <c r="DO497" s="142"/>
      <c r="DP497" s="142"/>
      <c r="DQ497" s="142"/>
      <c r="DR497" s="142"/>
      <c r="DS497" s="142"/>
      <c r="DT497" s="142"/>
      <c r="DU497" s="142"/>
      <c r="DV497" s="142"/>
      <c r="DW497" s="142"/>
      <c r="DX497" s="142"/>
      <c r="DY497" s="142"/>
      <c r="DZ497" s="142"/>
      <c r="EA497" s="142"/>
      <c r="EB497" s="142"/>
      <c r="EC497" s="142"/>
      <c r="ED497" s="142"/>
      <c r="EE497" s="142"/>
    </row>
    <row r="498" spans="1:135" s="151" customFormat="1" ht="19.5" customHeight="1" x14ac:dyDescent="0.2">
      <c r="A498" s="117">
        <v>497</v>
      </c>
      <c r="B498" s="174" t="s">
        <v>582</v>
      </c>
      <c r="C498" s="144">
        <v>135415</v>
      </c>
      <c r="D498" s="117" t="s">
        <v>73</v>
      </c>
      <c r="E498" s="117" t="s">
        <v>579</v>
      </c>
      <c r="F498" s="146" t="s">
        <v>208</v>
      </c>
      <c r="G498" s="162">
        <v>41877</v>
      </c>
      <c r="H498" s="172">
        <v>42067</v>
      </c>
      <c r="I498" s="172">
        <v>45775</v>
      </c>
      <c r="J498" s="162">
        <f t="shared" si="37"/>
        <v>46505</v>
      </c>
      <c r="K498" s="111">
        <v>41856</v>
      </c>
      <c r="L498" s="111">
        <v>45756</v>
      </c>
      <c r="M498" s="163">
        <f t="shared" si="38"/>
        <v>46486</v>
      </c>
      <c r="N498" s="111">
        <v>42072</v>
      </c>
      <c r="O498" s="111">
        <v>45447</v>
      </c>
      <c r="P498" s="111">
        <v>42074</v>
      </c>
      <c r="Q498" s="166" t="s">
        <v>69</v>
      </c>
      <c r="R498" s="166" t="s">
        <v>69</v>
      </c>
      <c r="S498" s="166" t="s">
        <v>69</v>
      </c>
      <c r="T498" s="168">
        <v>46059</v>
      </c>
      <c r="U498" s="168">
        <v>46045</v>
      </c>
      <c r="V498" s="166" t="s">
        <v>69</v>
      </c>
      <c r="W498" s="166" t="s">
        <v>69</v>
      </c>
      <c r="X498" s="166" t="s">
        <v>69</v>
      </c>
      <c r="Y498" s="166" t="s">
        <v>69</v>
      </c>
      <c r="Z498" s="166" t="s">
        <v>69</v>
      </c>
      <c r="AA498" s="168">
        <v>46293</v>
      </c>
      <c r="AB498" s="166" t="s">
        <v>69</v>
      </c>
      <c r="AC498" s="166" t="s">
        <v>69</v>
      </c>
      <c r="AD498" s="167" t="s">
        <v>71</v>
      </c>
      <c r="AE498" s="167" t="s">
        <v>70</v>
      </c>
      <c r="AF498" s="112">
        <v>46190</v>
      </c>
      <c r="AG498" s="112" t="s">
        <v>69</v>
      </c>
      <c r="AH498" s="167" t="s">
        <v>71</v>
      </c>
      <c r="AI498" s="167" t="s">
        <v>70</v>
      </c>
      <c r="AJ498" s="167" t="s">
        <v>70</v>
      </c>
      <c r="AK498" s="167" t="s">
        <v>70</v>
      </c>
      <c r="AL498" s="166" t="s">
        <v>69</v>
      </c>
      <c r="AM498" s="166"/>
      <c r="AN498" s="166" t="s">
        <v>69</v>
      </c>
      <c r="AO498" s="167" t="s">
        <v>70</v>
      </c>
      <c r="AP498" s="166" t="s">
        <v>69</v>
      </c>
      <c r="AQ498" s="166" t="s">
        <v>69</v>
      </c>
      <c r="AR498" s="166" t="s">
        <v>69</v>
      </c>
      <c r="AS498" s="168">
        <v>46136</v>
      </c>
      <c r="AT498" s="166" t="s">
        <v>69</v>
      </c>
      <c r="AU498" s="166" t="s">
        <v>69</v>
      </c>
      <c r="AV498" s="166" t="s">
        <v>69</v>
      </c>
      <c r="AW498" s="166" t="s">
        <v>69</v>
      </c>
      <c r="AX498" s="166" t="s">
        <v>69</v>
      </c>
      <c r="AY498" s="166" t="s">
        <v>69</v>
      </c>
      <c r="AZ498" s="166" t="s">
        <v>69</v>
      </c>
      <c r="BA498" s="166" t="s">
        <v>69</v>
      </c>
      <c r="BB498" s="166" t="s">
        <v>69</v>
      </c>
      <c r="BC498" s="166" t="s">
        <v>69</v>
      </c>
      <c r="BD498" s="166" t="s">
        <v>69</v>
      </c>
      <c r="BE498" s="166" t="s">
        <v>69</v>
      </c>
      <c r="BF498" s="166" t="s">
        <v>69</v>
      </c>
      <c r="BG498" s="167" t="s">
        <v>70</v>
      </c>
      <c r="BH498" s="166" t="s">
        <v>69</v>
      </c>
      <c r="BI498" s="166" t="s">
        <v>69</v>
      </c>
      <c r="BJ498" s="167" t="s">
        <v>70</v>
      </c>
      <c r="BK498" s="166" t="s">
        <v>69</v>
      </c>
      <c r="BL498" s="167" t="s">
        <v>70</v>
      </c>
      <c r="BM498" s="167" t="s">
        <v>70</v>
      </c>
      <c r="BN498" s="167" t="s">
        <v>70</v>
      </c>
      <c r="BO498" s="167" t="s">
        <v>70</v>
      </c>
      <c r="BP498" s="167" t="s">
        <v>70</v>
      </c>
      <c r="BQ498" s="151">
        <v>0</v>
      </c>
      <c r="BR498" s="142"/>
      <c r="BS498" s="142"/>
      <c r="BT498" s="142"/>
      <c r="BU498" s="142"/>
      <c r="BV498" s="142"/>
      <c r="BW498" s="142"/>
      <c r="BX498" s="142"/>
      <c r="BY498" s="142"/>
      <c r="BZ498" s="142"/>
      <c r="CA498" s="142"/>
      <c r="CB498" s="142"/>
      <c r="CC498" s="142"/>
      <c r="CD498" s="142"/>
      <c r="CE498" s="142"/>
      <c r="CF498" s="142"/>
      <c r="CG498" s="142"/>
      <c r="CH498" s="142"/>
      <c r="CI498" s="142"/>
      <c r="CJ498" s="142"/>
      <c r="CK498" s="142"/>
      <c r="CL498" s="142"/>
      <c r="CM498" s="142"/>
      <c r="CN498" s="142"/>
      <c r="CO498" s="142"/>
      <c r="CP498" s="142"/>
      <c r="CQ498" s="142"/>
      <c r="CR498" s="142"/>
      <c r="CS498" s="142"/>
      <c r="CT498" s="142"/>
      <c r="CU498" s="142"/>
      <c r="CV498" s="142"/>
      <c r="CW498" s="142"/>
      <c r="CX498" s="142"/>
      <c r="CY498" s="142"/>
      <c r="CZ498" s="142"/>
      <c r="DA498" s="142"/>
      <c r="DB498" s="142"/>
      <c r="DC498" s="142"/>
      <c r="DD498" s="142"/>
      <c r="DE498" s="142"/>
      <c r="DF498" s="142"/>
      <c r="DG498" s="142"/>
      <c r="DH498" s="142"/>
      <c r="DI498" s="142"/>
      <c r="DJ498" s="142"/>
      <c r="DK498" s="142"/>
      <c r="DL498" s="142"/>
      <c r="DM498" s="142"/>
      <c r="DN498" s="142"/>
      <c r="DO498" s="142"/>
      <c r="DP498" s="142"/>
      <c r="DQ498" s="142"/>
      <c r="DR498" s="142"/>
      <c r="DS498" s="142"/>
      <c r="DT498" s="142"/>
      <c r="DU498" s="142"/>
      <c r="DV498" s="142"/>
      <c r="DW498" s="142"/>
      <c r="DX498" s="142"/>
      <c r="DY498" s="142"/>
      <c r="DZ498" s="142"/>
      <c r="EA498" s="142"/>
      <c r="EB498" s="142"/>
      <c r="EC498" s="142"/>
      <c r="ED498" s="142"/>
      <c r="EE498" s="142"/>
    </row>
    <row r="499" spans="1:135" s="151" customFormat="1" ht="19.5" customHeight="1" x14ac:dyDescent="0.2">
      <c r="A499" s="117">
        <v>498</v>
      </c>
      <c r="B499" s="117" t="s">
        <v>81</v>
      </c>
      <c r="C499" s="214">
        <v>83074619</v>
      </c>
      <c r="D499" s="117" t="s">
        <v>73</v>
      </c>
      <c r="E499" s="146" t="s">
        <v>579</v>
      </c>
      <c r="F499" s="146" t="s">
        <v>208</v>
      </c>
      <c r="G499" s="162">
        <v>40994</v>
      </c>
      <c r="H499" s="162">
        <v>40984</v>
      </c>
      <c r="I499" s="172">
        <v>45679</v>
      </c>
      <c r="J499" s="162">
        <f t="shared" si="37"/>
        <v>46409</v>
      </c>
      <c r="K499" s="111">
        <v>40952</v>
      </c>
      <c r="L499" s="111">
        <v>45663</v>
      </c>
      <c r="M499" s="163">
        <f t="shared" si="38"/>
        <v>46393</v>
      </c>
      <c r="N499" s="111">
        <v>40905</v>
      </c>
      <c r="O499" s="111">
        <v>40905</v>
      </c>
      <c r="P499" s="111">
        <v>40905</v>
      </c>
      <c r="Q499" s="166" t="s">
        <v>69</v>
      </c>
      <c r="R499" s="94">
        <v>42285</v>
      </c>
      <c r="S499" s="94">
        <v>43016</v>
      </c>
      <c r="T499" s="94">
        <v>43514</v>
      </c>
      <c r="U499" s="168">
        <v>46300</v>
      </c>
      <c r="V499" s="94">
        <v>45702</v>
      </c>
      <c r="W499" s="94">
        <v>44088</v>
      </c>
      <c r="X499" s="94">
        <v>41939</v>
      </c>
      <c r="Y499" s="94">
        <v>42359</v>
      </c>
      <c r="Z499" s="94">
        <v>42317</v>
      </c>
      <c r="AA499" s="166" t="s">
        <v>69</v>
      </c>
      <c r="AB499" s="166" t="s">
        <v>69</v>
      </c>
      <c r="AC499" s="166" t="s">
        <v>69</v>
      </c>
      <c r="AD499" s="167" t="s">
        <v>71</v>
      </c>
      <c r="AE499" s="167" t="s">
        <v>71</v>
      </c>
      <c r="AF499" s="94">
        <v>45691</v>
      </c>
      <c r="AG499" s="112" t="s">
        <v>69</v>
      </c>
      <c r="AH499" s="167" t="s">
        <v>71</v>
      </c>
      <c r="AI499" s="167" t="s">
        <v>71</v>
      </c>
      <c r="AJ499" s="167" t="s">
        <v>71</v>
      </c>
      <c r="AK499" s="167" t="s">
        <v>70</v>
      </c>
      <c r="AL499" s="166" t="s">
        <v>69</v>
      </c>
      <c r="AM499" s="166"/>
      <c r="AN499" s="94">
        <v>44349</v>
      </c>
      <c r="AO499" s="167" t="s">
        <v>70</v>
      </c>
      <c r="AP499" s="94">
        <v>41900</v>
      </c>
      <c r="AQ499" s="166" t="s">
        <v>69</v>
      </c>
      <c r="AR499" s="168">
        <v>43598</v>
      </c>
      <c r="AS499" s="168">
        <v>46198</v>
      </c>
      <c r="AT499" s="94">
        <v>43650</v>
      </c>
      <c r="AU499" s="166" t="s">
        <v>69</v>
      </c>
      <c r="AV499" s="166" t="s">
        <v>69</v>
      </c>
      <c r="AW499" s="166" t="s">
        <v>69</v>
      </c>
      <c r="AX499" s="94">
        <v>42499</v>
      </c>
      <c r="AY499" s="94">
        <v>42468</v>
      </c>
      <c r="AZ499" s="94">
        <v>42487</v>
      </c>
      <c r="BA499" s="166" t="s">
        <v>69</v>
      </c>
      <c r="BB499" s="166" t="s">
        <v>69</v>
      </c>
      <c r="BC499" s="166" t="s">
        <v>69</v>
      </c>
      <c r="BD499" s="166" t="s">
        <v>69</v>
      </c>
      <c r="BE499" s="166" t="s">
        <v>69</v>
      </c>
      <c r="BF499" s="166" t="s">
        <v>69</v>
      </c>
      <c r="BG499" s="167" t="s">
        <v>70</v>
      </c>
      <c r="BH499" s="166" t="s">
        <v>69</v>
      </c>
      <c r="BI499" s="166" t="s">
        <v>69</v>
      </c>
      <c r="BJ499" s="167" t="s">
        <v>70</v>
      </c>
      <c r="BK499" s="166" t="s">
        <v>69</v>
      </c>
      <c r="BL499" s="167" t="s">
        <v>70</v>
      </c>
      <c r="BM499" s="167" t="s">
        <v>70</v>
      </c>
      <c r="BN499" s="167" t="s">
        <v>70</v>
      </c>
      <c r="BO499" s="167" t="s">
        <v>70</v>
      </c>
      <c r="BP499" s="173"/>
      <c r="BQ499" s="151">
        <v>0</v>
      </c>
    </row>
    <row r="500" spans="1:135" s="151" customFormat="1" ht="19.5" customHeight="1" x14ac:dyDescent="0.2">
      <c r="A500" s="117">
        <v>499</v>
      </c>
      <c r="B500" s="161" t="s">
        <v>642</v>
      </c>
      <c r="C500" s="161">
        <v>83123157</v>
      </c>
      <c r="D500" s="161" t="s">
        <v>643</v>
      </c>
      <c r="E500" s="144" t="s">
        <v>644</v>
      </c>
      <c r="F500" s="146" t="s">
        <v>208</v>
      </c>
      <c r="G500" s="89">
        <v>42164</v>
      </c>
      <c r="H500" s="89">
        <v>42264</v>
      </c>
      <c r="I500" s="89">
        <v>45572</v>
      </c>
      <c r="J500" s="162">
        <f t="shared" si="37"/>
        <v>46302</v>
      </c>
      <c r="K500" s="89">
        <v>41443</v>
      </c>
      <c r="L500" s="89">
        <v>45917</v>
      </c>
      <c r="M500" s="163">
        <f t="shared" si="38"/>
        <v>46647</v>
      </c>
      <c r="N500" s="175" t="s">
        <v>69</v>
      </c>
      <c r="O500" s="175">
        <v>46266</v>
      </c>
      <c r="P500" s="175">
        <v>44517</v>
      </c>
      <c r="Q500" s="165" t="s">
        <v>69</v>
      </c>
      <c r="R500" s="165" t="s">
        <v>69</v>
      </c>
      <c r="S500" s="165" t="s">
        <v>69</v>
      </c>
      <c r="T500" s="181">
        <v>43511</v>
      </c>
      <c r="U500" s="181">
        <v>43693</v>
      </c>
      <c r="V500" s="181">
        <v>44407</v>
      </c>
      <c r="W500" s="112">
        <v>43248</v>
      </c>
      <c r="X500" s="165" t="s">
        <v>69</v>
      </c>
      <c r="Y500" s="181">
        <v>42034</v>
      </c>
      <c r="Z500" s="181">
        <v>44246</v>
      </c>
      <c r="AA500" s="112">
        <v>46293</v>
      </c>
      <c r="AB500" s="166" t="s">
        <v>69</v>
      </c>
      <c r="AC500" s="166" t="s">
        <v>69</v>
      </c>
      <c r="AD500" s="167" t="s">
        <v>71</v>
      </c>
      <c r="AE500" s="167" t="s">
        <v>70</v>
      </c>
      <c r="AF500" s="94">
        <v>45665</v>
      </c>
      <c r="AG500" s="166" t="s">
        <v>69</v>
      </c>
      <c r="AH500" s="167" t="s">
        <v>71</v>
      </c>
      <c r="AI500" s="167" t="s">
        <v>70</v>
      </c>
      <c r="AJ500" s="167" t="s">
        <v>70</v>
      </c>
      <c r="AK500" s="167" t="s">
        <v>70</v>
      </c>
      <c r="AL500" s="166" t="s">
        <v>69</v>
      </c>
      <c r="AM500" s="166"/>
      <c r="AN500" s="168" t="s">
        <v>69</v>
      </c>
      <c r="AO500" s="167" t="s">
        <v>70</v>
      </c>
      <c r="AP500" s="166" t="s">
        <v>69</v>
      </c>
      <c r="AQ500" s="166" t="s">
        <v>69</v>
      </c>
      <c r="AR500" s="94">
        <v>45940</v>
      </c>
      <c r="AS500" s="166" t="s">
        <v>69</v>
      </c>
      <c r="AT500" s="166" t="s">
        <v>69</v>
      </c>
      <c r="AU500" s="166" t="s">
        <v>69</v>
      </c>
      <c r="AV500" s="166" t="s">
        <v>69</v>
      </c>
      <c r="AW500" s="167" t="s">
        <v>70</v>
      </c>
      <c r="AX500" s="167" t="s">
        <v>70</v>
      </c>
      <c r="AY500" s="166" t="s">
        <v>69</v>
      </c>
      <c r="AZ500" s="166" t="s">
        <v>69</v>
      </c>
      <c r="BA500" s="166" t="s">
        <v>69</v>
      </c>
      <c r="BB500" s="167" t="s">
        <v>70</v>
      </c>
      <c r="BC500" s="167" t="s">
        <v>70</v>
      </c>
      <c r="BD500" s="167" t="s">
        <v>70</v>
      </c>
      <c r="BE500" s="167" t="s">
        <v>70</v>
      </c>
      <c r="BF500" s="167" t="s">
        <v>70</v>
      </c>
      <c r="BG500" s="169" t="s">
        <v>70</v>
      </c>
      <c r="BH500" s="169" t="s">
        <v>70</v>
      </c>
      <c r="BI500" s="169" t="s">
        <v>70</v>
      </c>
      <c r="BJ500" s="167" t="s">
        <v>70</v>
      </c>
      <c r="BK500" s="167" t="s">
        <v>70</v>
      </c>
      <c r="BL500" s="167" t="s">
        <v>70</v>
      </c>
      <c r="BM500" s="167" t="s">
        <v>70</v>
      </c>
      <c r="BN500" s="167" t="s">
        <v>70</v>
      </c>
      <c r="BO500" s="167" t="s">
        <v>70</v>
      </c>
      <c r="BP500" s="167" t="s">
        <v>70</v>
      </c>
      <c r="BQ500" s="151">
        <v>0</v>
      </c>
      <c r="BR500" s="142"/>
      <c r="BS500" s="142"/>
      <c r="BT500" s="142"/>
      <c r="BU500" s="142"/>
      <c r="BV500" s="142"/>
      <c r="BW500" s="142"/>
      <c r="BX500" s="142"/>
      <c r="BY500" s="142"/>
      <c r="BZ500" s="142"/>
      <c r="CA500" s="142"/>
      <c r="CB500" s="142"/>
      <c r="CC500" s="142"/>
      <c r="CD500" s="142"/>
      <c r="CE500" s="142"/>
      <c r="CF500" s="142"/>
      <c r="CG500" s="142"/>
      <c r="CH500" s="142"/>
      <c r="CI500" s="142"/>
      <c r="CJ500" s="142"/>
      <c r="CK500" s="142"/>
      <c r="CL500" s="142"/>
      <c r="CM500" s="142"/>
      <c r="CN500" s="142"/>
      <c r="CO500" s="142"/>
      <c r="CP500" s="142"/>
      <c r="CQ500" s="142"/>
      <c r="CR500" s="142"/>
      <c r="CS500" s="142"/>
      <c r="CT500" s="142"/>
      <c r="CU500" s="142"/>
      <c r="CV500" s="142"/>
      <c r="CW500" s="142"/>
      <c r="CX500" s="142"/>
      <c r="CY500" s="142"/>
      <c r="CZ500" s="142"/>
      <c r="DA500" s="142"/>
      <c r="DB500" s="142"/>
      <c r="DC500" s="142"/>
      <c r="DD500" s="142"/>
      <c r="DE500" s="142"/>
      <c r="DF500" s="142"/>
      <c r="DG500" s="142"/>
      <c r="DH500" s="142"/>
      <c r="DI500" s="142"/>
      <c r="DJ500" s="142"/>
      <c r="DK500" s="142"/>
      <c r="DL500" s="142"/>
      <c r="DM500" s="142"/>
      <c r="DN500" s="142"/>
      <c r="DO500" s="142"/>
      <c r="DP500" s="142"/>
      <c r="DQ500" s="142"/>
      <c r="DR500" s="142"/>
      <c r="DS500" s="142"/>
      <c r="DT500" s="142"/>
      <c r="DU500" s="142"/>
      <c r="DV500" s="142"/>
      <c r="DW500" s="142"/>
      <c r="DX500" s="142"/>
      <c r="DY500" s="142"/>
      <c r="DZ500" s="142"/>
      <c r="EA500" s="142"/>
      <c r="EB500" s="142"/>
      <c r="EC500" s="142"/>
      <c r="ED500" s="142"/>
      <c r="EE500" s="142"/>
    </row>
    <row r="501" spans="1:135" s="151" customFormat="1" ht="19.5" customHeight="1" x14ac:dyDescent="0.2">
      <c r="A501" s="117">
        <v>500</v>
      </c>
      <c r="B501" s="174" t="s">
        <v>645</v>
      </c>
      <c r="C501" s="144">
        <v>83122380</v>
      </c>
      <c r="D501" s="117" t="s">
        <v>73</v>
      </c>
      <c r="E501" s="117" t="s">
        <v>646</v>
      </c>
      <c r="F501" s="146" t="s">
        <v>208</v>
      </c>
      <c r="G501" s="111">
        <v>41438</v>
      </c>
      <c r="H501" s="111">
        <v>45726</v>
      </c>
      <c r="I501" s="111">
        <v>45726</v>
      </c>
      <c r="J501" s="162">
        <f t="shared" si="37"/>
        <v>46456</v>
      </c>
      <c r="K501" s="111">
        <v>45240</v>
      </c>
      <c r="L501" s="111">
        <v>46028</v>
      </c>
      <c r="M501" s="163">
        <f t="shared" si="38"/>
        <v>46758</v>
      </c>
      <c r="N501" s="111">
        <v>41435</v>
      </c>
      <c r="O501" s="111">
        <v>45328</v>
      </c>
      <c r="P501" s="111">
        <v>41437</v>
      </c>
      <c r="Q501" s="111">
        <v>43550</v>
      </c>
      <c r="R501" s="166" t="s">
        <v>69</v>
      </c>
      <c r="S501" s="166" t="s">
        <v>69</v>
      </c>
      <c r="T501" s="166" t="s">
        <v>69</v>
      </c>
      <c r="U501" s="168">
        <v>42751</v>
      </c>
      <c r="V501" s="168">
        <v>43798</v>
      </c>
      <c r="W501" s="166" t="s">
        <v>69</v>
      </c>
      <c r="X501" s="166" t="s">
        <v>69</v>
      </c>
      <c r="Y501" s="166" t="s">
        <v>69</v>
      </c>
      <c r="Z501" s="166" t="s">
        <v>69</v>
      </c>
      <c r="AA501" s="166" t="s">
        <v>69</v>
      </c>
      <c r="AB501" s="166" t="s">
        <v>69</v>
      </c>
      <c r="AC501" s="166" t="s">
        <v>69</v>
      </c>
      <c r="AD501" s="167" t="s">
        <v>71</v>
      </c>
      <c r="AE501" s="167" t="s">
        <v>70</v>
      </c>
      <c r="AF501" s="111">
        <v>44931</v>
      </c>
      <c r="AG501" s="112" t="s">
        <v>69</v>
      </c>
      <c r="AH501" s="167" t="s">
        <v>71</v>
      </c>
      <c r="AI501" s="167" t="s">
        <v>70</v>
      </c>
      <c r="AJ501" s="167" t="s">
        <v>70</v>
      </c>
      <c r="AK501" s="167" t="s">
        <v>70</v>
      </c>
      <c r="AL501" s="166" t="s">
        <v>69</v>
      </c>
      <c r="AM501" s="166"/>
      <c r="AN501" s="166" t="s">
        <v>69</v>
      </c>
      <c r="AO501" s="167" t="s">
        <v>70</v>
      </c>
      <c r="AP501" s="166" t="s">
        <v>69</v>
      </c>
      <c r="AQ501" s="166" t="s">
        <v>69</v>
      </c>
      <c r="AR501" s="166" t="s">
        <v>69</v>
      </c>
      <c r="AS501" s="166" t="s">
        <v>69</v>
      </c>
      <c r="AT501" s="166" t="s">
        <v>69</v>
      </c>
      <c r="AU501" s="166" t="s">
        <v>69</v>
      </c>
      <c r="AV501" s="166" t="s">
        <v>69</v>
      </c>
      <c r="AW501" s="166" t="s">
        <v>69</v>
      </c>
      <c r="AX501" s="166" t="s">
        <v>69</v>
      </c>
      <c r="AY501" s="166" t="s">
        <v>69</v>
      </c>
      <c r="AZ501" s="166" t="s">
        <v>69</v>
      </c>
      <c r="BA501" s="166" t="s">
        <v>69</v>
      </c>
      <c r="BB501" s="166" t="s">
        <v>69</v>
      </c>
      <c r="BC501" s="166" t="s">
        <v>69</v>
      </c>
      <c r="BD501" s="166" t="s">
        <v>69</v>
      </c>
      <c r="BE501" s="166" t="s">
        <v>69</v>
      </c>
      <c r="BF501" s="166" t="s">
        <v>69</v>
      </c>
      <c r="BG501" s="167" t="s">
        <v>70</v>
      </c>
      <c r="BH501" s="166" t="s">
        <v>69</v>
      </c>
      <c r="BI501" s="166" t="s">
        <v>69</v>
      </c>
      <c r="BJ501" s="167" t="s">
        <v>70</v>
      </c>
      <c r="BK501" s="166" t="s">
        <v>69</v>
      </c>
      <c r="BL501" s="167" t="s">
        <v>70</v>
      </c>
      <c r="BM501" s="167" t="s">
        <v>70</v>
      </c>
      <c r="BN501" s="167" t="s">
        <v>70</v>
      </c>
      <c r="BO501" s="167" t="s">
        <v>70</v>
      </c>
      <c r="BP501" s="167" t="s">
        <v>70</v>
      </c>
      <c r="BQ501" s="151">
        <v>0</v>
      </c>
      <c r="BR501" s="142"/>
      <c r="BS501" s="142"/>
      <c r="BT501" s="142"/>
      <c r="BU501" s="142"/>
      <c r="BV501" s="142"/>
      <c r="BW501" s="142"/>
      <c r="BX501" s="142"/>
      <c r="BY501" s="142"/>
      <c r="BZ501" s="142"/>
      <c r="CA501" s="142"/>
      <c r="CB501" s="142"/>
      <c r="CC501" s="142"/>
      <c r="CD501" s="142"/>
      <c r="CE501" s="142"/>
      <c r="CF501" s="142"/>
      <c r="CG501" s="142"/>
      <c r="CH501" s="142"/>
      <c r="CI501" s="142"/>
      <c r="CJ501" s="142"/>
      <c r="CK501" s="142"/>
      <c r="CL501" s="142"/>
      <c r="CM501" s="142"/>
      <c r="CN501" s="142"/>
      <c r="CO501" s="142"/>
      <c r="CP501" s="142"/>
      <c r="CQ501" s="142"/>
      <c r="CR501" s="142"/>
      <c r="CS501" s="142"/>
      <c r="CT501" s="142"/>
      <c r="CU501" s="142"/>
      <c r="CV501" s="142"/>
      <c r="CW501" s="142"/>
      <c r="CX501" s="142"/>
      <c r="CY501" s="142"/>
      <c r="CZ501" s="142"/>
      <c r="DA501" s="142"/>
      <c r="DB501" s="142"/>
      <c r="DC501" s="142"/>
      <c r="DD501" s="142"/>
      <c r="DE501" s="142"/>
      <c r="DF501" s="142"/>
      <c r="DG501" s="142"/>
      <c r="DH501" s="142"/>
      <c r="DI501" s="142"/>
      <c r="DJ501" s="142"/>
      <c r="DK501" s="142"/>
      <c r="DL501" s="142"/>
      <c r="DM501" s="142"/>
      <c r="DN501" s="142"/>
      <c r="DO501" s="142"/>
      <c r="DP501" s="142"/>
      <c r="DQ501" s="142"/>
      <c r="DR501" s="142"/>
      <c r="DS501" s="142"/>
      <c r="DT501" s="142"/>
      <c r="DU501" s="142"/>
      <c r="DV501" s="142"/>
      <c r="DW501" s="142"/>
      <c r="DX501" s="142"/>
      <c r="DY501" s="142"/>
      <c r="DZ501" s="142"/>
      <c r="EA501" s="142"/>
      <c r="EB501" s="142"/>
      <c r="EC501" s="142"/>
      <c r="ED501" s="142"/>
      <c r="EE501" s="142"/>
    </row>
    <row r="502" spans="1:135" s="151" customFormat="1" ht="19.5" customHeight="1" x14ac:dyDescent="0.2">
      <c r="A502" s="117">
        <v>501</v>
      </c>
      <c r="B502" s="174" t="s">
        <v>647</v>
      </c>
      <c r="C502" s="144">
        <v>83118305</v>
      </c>
      <c r="D502" s="117" t="s">
        <v>73</v>
      </c>
      <c r="E502" s="117" t="s">
        <v>646</v>
      </c>
      <c r="F502" s="146" t="s">
        <v>208</v>
      </c>
      <c r="G502" s="111">
        <v>43509</v>
      </c>
      <c r="H502" s="111">
        <v>45649</v>
      </c>
      <c r="I502" s="111">
        <v>45649</v>
      </c>
      <c r="J502" s="162">
        <f t="shared" si="37"/>
        <v>46379</v>
      </c>
      <c r="K502" s="111">
        <v>45484</v>
      </c>
      <c r="L502" s="111">
        <v>46205</v>
      </c>
      <c r="M502" s="163">
        <f t="shared" si="38"/>
        <v>46936</v>
      </c>
      <c r="N502" s="111">
        <v>40987</v>
      </c>
      <c r="O502" s="111">
        <v>45317</v>
      </c>
      <c r="P502" s="111">
        <v>40989</v>
      </c>
      <c r="Q502" s="166" t="s">
        <v>69</v>
      </c>
      <c r="R502" s="166" t="s">
        <v>69</v>
      </c>
      <c r="S502" s="166" t="s">
        <v>69</v>
      </c>
      <c r="T502" s="168">
        <v>46286</v>
      </c>
      <c r="U502" s="166" t="s">
        <v>69</v>
      </c>
      <c r="V502" s="168">
        <v>46080</v>
      </c>
      <c r="W502" s="166" t="s">
        <v>69</v>
      </c>
      <c r="X502" s="166" t="s">
        <v>69</v>
      </c>
      <c r="Y502" s="166" t="s">
        <v>69</v>
      </c>
      <c r="Z502" s="166" t="s">
        <v>69</v>
      </c>
      <c r="AA502" s="166" t="s">
        <v>69</v>
      </c>
      <c r="AB502" s="166" t="s">
        <v>69</v>
      </c>
      <c r="AC502" s="166" t="s">
        <v>69</v>
      </c>
      <c r="AD502" s="167" t="s">
        <v>71</v>
      </c>
      <c r="AE502" s="167" t="s">
        <v>70</v>
      </c>
      <c r="AF502" s="111">
        <v>45923</v>
      </c>
      <c r="AG502" s="112" t="s">
        <v>69</v>
      </c>
      <c r="AH502" s="167" t="s">
        <v>71</v>
      </c>
      <c r="AI502" s="167" t="s">
        <v>70</v>
      </c>
      <c r="AJ502" s="167" t="s">
        <v>70</v>
      </c>
      <c r="AK502" s="167" t="s">
        <v>70</v>
      </c>
      <c r="AL502" s="166" t="s">
        <v>69</v>
      </c>
      <c r="AM502" s="166"/>
      <c r="AN502" s="166" t="s">
        <v>69</v>
      </c>
      <c r="AO502" s="167" t="s">
        <v>70</v>
      </c>
      <c r="AP502" s="166" t="s">
        <v>69</v>
      </c>
      <c r="AQ502" s="166" t="s">
        <v>69</v>
      </c>
      <c r="AR502" s="168">
        <v>46055</v>
      </c>
      <c r="AS502" s="166" t="s">
        <v>69</v>
      </c>
      <c r="AT502" s="166" t="s">
        <v>69</v>
      </c>
      <c r="AU502" s="166" t="s">
        <v>69</v>
      </c>
      <c r="AV502" s="166" t="s">
        <v>69</v>
      </c>
      <c r="AW502" s="166" t="s">
        <v>69</v>
      </c>
      <c r="AX502" s="166" t="s">
        <v>69</v>
      </c>
      <c r="AY502" s="166" t="s">
        <v>69</v>
      </c>
      <c r="AZ502" s="166" t="s">
        <v>69</v>
      </c>
      <c r="BA502" s="166" t="s">
        <v>69</v>
      </c>
      <c r="BB502" s="166" t="s">
        <v>69</v>
      </c>
      <c r="BC502" s="166" t="s">
        <v>69</v>
      </c>
      <c r="BD502" s="166" t="s">
        <v>69</v>
      </c>
      <c r="BE502" s="166" t="s">
        <v>69</v>
      </c>
      <c r="BF502" s="166" t="s">
        <v>69</v>
      </c>
      <c r="BG502" s="167" t="s">
        <v>70</v>
      </c>
      <c r="BH502" s="166" t="s">
        <v>69</v>
      </c>
      <c r="BI502" s="166" t="s">
        <v>69</v>
      </c>
      <c r="BJ502" s="167" t="s">
        <v>70</v>
      </c>
      <c r="BK502" s="166" t="s">
        <v>69</v>
      </c>
      <c r="BL502" s="167" t="s">
        <v>70</v>
      </c>
      <c r="BM502" s="167" t="s">
        <v>70</v>
      </c>
      <c r="BN502" s="167" t="s">
        <v>70</v>
      </c>
      <c r="BO502" s="167" t="s">
        <v>70</v>
      </c>
      <c r="BP502" s="167" t="s">
        <v>70</v>
      </c>
      <c r="BQ502" s="151">
        <v>0</v>
      </c>
      <c r="BR502" s="142"/>
      <c r="BS502" s="142"/>
      <c r="BT502" s="142"/>
      <c r="BU502" s="142"/>
      <c r="BV502" s="142"/>
      <c r="BW502" s="142"/>
      <c r="BX502" s="142"/>
      <c r="BY502" s="142"/>
      <c r="BZ502" s="142"/>
      <c r="CA502" s="142"/>
      <c r="CB502" s="142"/>
      <c r="CC502" s="142"/>
      <c r="CD502" s="142"/>
      <c r="CE502" s="142"/>
      <c r="CF502" s="142"/>
      <c r="CG502" s="142"/>
      <c r="CH502" s="142"/>
      <c r="CI502" s="142"/>
      <c r="CJ502" s="142"/>
      <c r="CK502" s="142"/>
      <c r="CL502" s="142"/>
      <c r="CM502" s="142"/>
      <c r="CN502" s="142"/>
      <c r="CO502" s="142"/>
      <c r="CP502" s="142"/>
      <c r="CQ502" s="142"/>
      <c r="CR502" s="142"/>
      <c r="CS502" s="142"/>
      <c r="CT502" s="142"/>
      <c r="CU502" s="142"/>
      <c r="CV502" s="142"/>
      <c r="CW502" s="142"/>
      <c r="CX502" s="142"/>
      <c r="CY502" s="142"/>
      <c r="CZ502" s="142"/>
      <c r="DA502" s="142"/>
      <c r="DB502" s="142"/>
      <c r="DC502" s="142"/>
      <c r="DD502" s="142"/>
      <c r="DE502" s="142"/>
      <c r="DF502" s="142"/>
      <c r="DG502" s="142"/>
      <c r="DH502" s="142"/>
      <c r="DI502" s="142"/>
      <c r="DJ502" s="142"/>
      <c r="DK502" s="142"/>
      <c r="DL502" s="142"/>
      <c r="DM502" s="142"/>
      <c r="DN502" s="142"/>
      <c r="DO502" s="142"/>
      <c r="DP502" s="142"/>
      <c r="DQ502" s="142"/>
      <c r="DR502" s="142"/>
      <c r="DS502" s="142"/>
      <c r="DT502" s="142"/>
      <c r="DU502" s="142"/>
      <c r="DV502" s="142"/>
      <c r="DW502" s="142"/>
      <c r="DX502" s="142"/>
      <c r="DY502" s="142"/>
      <c r="DZ502" s="142"/>
      <c r="EA502" s="142"/>
      <c r="EB502" s="142"/>
      <c r="EC502" s="142"/>
      <c r="ED502" s="142"/>
      <c r="EE502" s="142"/>
    </row>
    <row r="503" spans="1:135" s="151" customFormat="1" ht="19.5" customHeight="1" x14ac:dyDescent="0.2">
      <c r="A503" s="117">
        <v>502</v>
      </c>
      <c r="B503" s="174" t="s">
        <v>648</v>
      </c>
      <c r="C503" s="144">
        <v>83117855</v>
      </c>
      <c r="D503" s="117" t="s">
        <v>73</v>
      </c>
      <c r="E503" s="117" t="s">
        <v>646</v>
      </c>
      <c r="F503" s="146" t="s">
        <v>208</v>
      </c>
      <c r="G503" s="162">
        <v>40779</v>
      </c>
      <c r="H503" s="172">
        <v>41026</v>
      </c>
      <c r="I503" s="172">
        <v>45995</v>
      </c>
      <c r="J503" s="162">
        <f t="shared" si="37"/>
        <v>46725</v>
      </c>
      <c r="K503" s="111">
        <v>40994</v>
      </c>
      <c r="L503" s="172">
        <v>45982</v>
      </c>
      <c r="M503" s="163">
        <f t="shared" si="38"/>
        <v>46712</v>
      </c>
      <c r="N503" s="213">
        <v>43228</v>
      </c>
      <c r="O503" s="111">
        <v>46273</v>
      </c>
      <c r="P503" s="111">
        <v>41809</v>
      </c>
      <c r="Q503" s="233">
        <v>42214</v>
      </c>
      <c r="R503" s="166" t="s">
        <v>69</v>
      </c>
      <c r="S503" s="166" t="s">
        <v>69</v>
      </c>
      <c r="T503" s="166" t="s">
        <v>69</v>
      </c>
      <c r="U503" s="166" t="s">
        <v>69</v>
      </c>
      <c r="V503" s="168">
        <v>46241</v>
      </c>
      <c r="W503" s="166" t="s">
        <v>69</v>
      </c>
      <c r="X503" s="166" t="s">
        <v>69</v>
      </c>
      <c r="Y503" s="166" t="s">
        <v>69</v>
      </c>
      <c r="Z503" s="166" t="s">
        <v>69</v>
      </c>
      <c r="AA503" s="168">
        <v>46146</v>
      </c>
      <c r="AB503" s="166" t="s">
        <v>69</v>
      </c>
      <c r="AC503" s="166" t="s">
        <v>69</v>
      </c>
      <c r="AD503" s="167" t="s">
        <v>71</v>
      </c>
      <c r="AE503" s="167" t="s">
        <v>70</v>
      </c>
      <c r="AF503" s="112" t="s">
        <v>69</v>
      </c>
      <c r="AG503" s="112" t="s">
        <v>69</v>
      </c>
      <c r="AH503" s="167" t="s">
        <v>71</v>
      </c>
      <c r="AI503" s="167" t="s">
        <v>70</v>
      </c>
      <c r="AJ503" s="167" t="s">
        <v>70</v>
      </c>
      <c r="AK503" s="167" t="s">
        <v>70</v>
      </c>
      <c r="AL503" s="166" t="s">
        <v>69</v>
      </c>
      <c r="AM503" s="166"/>
      <c r="AN503" s="166" t="s">
        <v>69</v>
      </c>
      <c r="AO503" s="167" t="s">
        <v>70</v>
      </c>
      <c r="AP503" s="166" t="s">
        <v>69</v>
      </c>
      <c r="AQ503" s="166" t="s">
        <v>69</v>
      </c>
      <c r="AR503" s="166" t="s">
        <v>69</v>
      </c>
      <c r="AS503" s="163">
        <v>46003</v>
      </c>
      <c r="AT503" s="166" t="s">
        <v>69</v>
      </c>
      <c r="AU503" s="166" t="s">
        <v>69</v>
      </c>
      <c r="AV503" s="166" t="s">
        <v>69</v>
      </c>
      <c r="AW503" s="166" t="s">
        <v>69</v>
      </c>
      <c r="AX503" s="166" t="s">
        <v>69</v>
      </c>
      <c r="AY503" s="166" t="s">
        <v>69</v>
      </c>
      <c r="AZ503" s="166" t="s">
        <v>69</v>
      </c>
      <c r="BA503" s="166" t="s">
        <v>69</v>
      </c>
      <c r="BB503" s="166" t="s">
        <v>69</v>
      </c>
      <c r="BC503" s="166" t="s">
        <v>69</v>
      </c>
      <c r="BD503" s="166" t="s">
        <v>69</v>
      </c>
      <c r="BE503" s="166" t="s">
        <v>69</v>
      </c>
      <c r="BF503" s="166" t="s">
        <v>69</v>
      </c>
      <c r="BG503" s="167" t="s">
        <v>70</v>
      </c>
      <c r="BH503" s="166" t="s">
        <v>69</v>
      </c>
      <c r="BI503" s="166" t="s">
        <v>69</v>
      </c>
      <c r="BJ503" s="167" t="s">
        <v>70</v>
      </c>
      <c r="BK503" s="166" t="s">
        <v>69</v>
      </c>
      <c r="BL503" s="167" t="s">
        <v>70</v>
      </c>
      <c r="BM503" s="167" t="s">
        <v>70</v>
      </c>
      <c r="BN503" s="167" t="s">
        <v>70</v>
      </c>
      <c r="BO503" s="167" t="s">
        <v>70</v>
      </c>
      <c r="BP503" s="167" t="s">
        <v>70</v>
      </c>
      <c r="BQ503" s="151">
        <v>0</v>
      </c>
      <c r="BR503" s="142"/>
      <c r="BS503" s="142"/>
      <c r="BT503" s="142"/>
      <c r="BU503" s="142"/>
      <c r="BV503" s="142"/>
      <c r="BW503" s="142"/>
      <c r="BX503" s="142"/>
      <c r="BY503" s="142"/>
      <c r="BZ503" s="142"/>
      <c r="CA503" s="142"/>
      <c r="CB503" s="142"/>
      <c r="CC503" s="142"/>
      <c r="CD503" s="142"/>
      <c r="CE503" s="142"/>
      <c r="CF503" s="142"/>
      <c r="CG503" s="142"/>
      <c r="CH503" s="142"/>
      <c r="CI503" s="142"/>
      <c r="CJ503" s="142"/>
      <c r="CK503" s="142"/>
      <c r="CL503" s="142"/>
      <c r="CM503" s="142"/>
      <c r="CN503" s="142"/>
      <c r="CO503" s="142"/>
      <c r="CP503" s="142"/>
      <c r="CQ503" s="142"/>
      <c r="CR503" s="142"/>
      <c r="CS503" s="142"/>
      <c r="CT503" s="142"/>
      <c r="CU503" s="142"/>
      <c r="CV503" s="142"/>
      <c r="CW503" s="142"/>
      <c r="CX503" s="142"/>
      <c r="CY503" s="142"/>
      <c r="CZ503" s="142"/>
      <c r="DA503" s="142"/>
      <c r="DB503" s="142"/>
      <c r="DC503" s="142"/>
      <c r="DD503" s="142"/>
      <c r="DE503" s="142"/>
      <c r="DF503" s="142"/>
      <c r="DG503" s="142"/>
      <c r="DH503" s="142"/>
      <c r="DI503" s="142"/>
      <c r="DJ503" s="142"/>
      <c r="DK503" s="142"/>
      <c r="DL503" s="142"/>
      <c r="DM503" s="142"/>
      <c r="DN503" s="142"/>
      <c r="DO503" s="142"/>
      <c r="DP503" s="142"/>
      <c r="DQ503" s="142"/>
      <c r="DR503" s="142"/>
      <c r="DS503" s="142"/>
      <c r="DT503" s="142"/>
      <c r="DU503" s="142"/>
      <c r="DV503" s="142"/>
      <c r="DW503" s="142"/>
      <c r="DX503" s="142"/>
      <c r="DY503" s="142"/>
      <c r="DZ503" s="142"/>
      <c r="EA503" s="142"/>
      <c r="EB503" s="142"/>
      <c r="EC503" s="142"/>
      <c r="ED503" s="142"/>
      <c r="EE503" s="142"/>
    </row>
    <row r="504" spans="1:135" s="151" customFormat="1" ht="19.5" customHeight="1" x14ac:dyDescent="0.2">
      <c r="A504" s="117">
        <v>503</v>
      </c>
      <c r="B504" s="174" t="s">
        <v>649</v>
      </c>
      <c r="C504" s="144">
        <v>83102598</v>
      </c>
      <c r="D504" s="117" t="s">
        <v>73</v>
      </c>
      <c r="E504" s="117" t="s">
        <v>646</v>
      </c>
      <c r="F504" s="146" t="s">
        <v>208</v>
      </c>
      <c r="G504" s="162">
        <v>40983</v>
      </c>
      <c r="H504" s="172">
        <v>45301</v>
      </c>
      <c r="I504" s="172">
        <v>46065</v>
      </c>
      <c r="J504" s="162">
        <f t="shared" si="37"/>
        <v>46795</v>
      </c>
      <c r="K504" s="111">
        <v>45240</v>
      </c>
      <c r="L504" s="111">
        <v>45982</v>
      </c>
      <c r="M504" s="163">
        <f t="shared" si="38"/>
        <v>46712</v>
      </c>
      <c r="N504" s="111">
        <v>40617</v>
      </c>
      <c r="O504" s="111">
        <v>45447</v>
      </c>
      <c r="P504" s="111">
        <v>40618</v>
      </c>
      <c r="Q504" s="94">
        <v>42228</v>
      </c>
      <c r="R504" s="166" t="s">
        <v>69</v>
      </c>
      <c r="S504" s="166" t="s">
        <v>69</v>
      </c>
      <c r="T504" s="166" t="s">
        <v>69</v>
      </c>
      <c r="U504" s="168">
        <v>46220</v>
      </c>
      <c r="V504" s="166" t="s">
        <v>69</v>
      </c>
      <c r="W504" s="166" t="s">
        <v>69</v>
      </c>
      <c r="X504" s="166" t="s">
        <v>69</v>
      </c>
      <c r="Y504" s="166" t="s">
        <v>69</v>
      </c>
      <c r="Z504" s="166" t="s">
        <v>69</v>
      </c>
      <c r="AA504" s="168">
        <v>46146</v>
      </c>
      <c r="AB504" s="166" t="s">
        <v>69</v>
      </c>
      <c r="AC504" s="166" t="s">
        <v>69</v>
      </c>
      <c r="AD504" s="167" t="s">
        <v>71</v>
      </c>
      <c r="AE504" s="167" t="s">
        <v>70</v>
      </c>
      <c r="AF504" s="112">
        <v>46261</v>
      </c>
      <c r="AG504" s="112" t="s">
        <v>69</v>
      </c>
      <c r="AH504" s="167" t="s">
        <v>71</v>
      </c>
      <c r="AI504" s="167" t="s">
        <v>70</v>
      </c>
      <c r="AJ504" s="167" t="s">
        <v>70</v>
      </c>
      <c r="AK504" s="167" t="s">
        <v>70</v>
      </c>
      <c r="AL504" s="166" t="s">
        <v>69</v>
      </c>
      <c r="AM504" s="166"/>
      <c r="AN504" s="166" t="s">
        <v>69</v>
      </c>
      <c r="AO504" s="167" t="s">
        <v>70</v>
      </c>
      <c r="AP504" s="166" t="s">
        <v>69</v>
      </c>
      <c r="AQ504" s="166" t="s">
        <v>69</v>
      </c>
      <c r="AR504" s="168">
        <v>46034</v>
      </c>
      <c r="AS504" s="166" t="s">
        <v>69</v>
      </c>
      <c r="AT504" s="166" t="s">
        <v>69</v>
      </c>
      <c r="AU504" s="166" t="s">
        <v>69</v>
      </c>
      <c r="AV504" s="166" t="s">
        <v>69</v>
      </c>
      <c r="AW504" s="166" t="s">
        <v>69</v>
      </c>
      <c r="AX504" s="166" t="s">
        <v>69</v>
      </c>
      <c r="AY504" s="166" t="s">
        <v>69</v>
      </c>
      <c r="AZ504" s="166" t="s">
        <v>69</v>
      </c>
      <c r="BA504" s="166" t="s">
        <v>69</v>
      </c>
      <c r="BB504" s="166" t="s">
        <v>69</v>
      </c>
      <c r="BC504" s="166" t="s">
        <v>69</v>
      </c>
      <c r="BD504" s="166" t="s">
        <v>69</v>
      </c>
      <c r="BE504" s="166" t="s">
        <v>69</v>
      </c>
      <c r="BF504" s="166" t="s">
        <v>69</v>
      </c>
      <c r="BG504" s="167" t="s">
        <v>70</v>
      </c>
      <c r="BH504" s="166" t="s">
        <v>69</v>
      </c>
      <c r="BI504" s="166" t="s">
        <v>69</v>
      </c>
      <c r="BJ504" s="167" t="s">
        <v>70</v>
      </c>
      <c r="BK504" s="166" t="s">
        <v>69</v>
      </c>
      <c r="BL504" s="167" t="s">
        <v>70</v>
      </c>
      <c r="BM504" s="167" t="s">
        <v>70</v>
      </c>
      <c r="BN504" s="167" t="s">
        <v>70</v>
      </c>
      <c r="BO504" s="167" t="s">
        <v>70</v>
      </c>
      <c r="BP504" s="167" t="s">
        <v>70</v>
      </c>
      <c r="BQ504" s="151">
        <v>0</v>
      </c>
      <c r="BR504" s="142"/>
      <c r="BS504" s="142"/>
      <c r="BT504" s="142"/>
      <c r="BU504" s="142"/>
      <c r="BV504" s="142"/>
      <c r="BW504" s="142"/>
      <c r="BX504" s="142"/>
      <c r="BY504" s="142"/>
      <c r="BZ504" s="142"/>
      <c r="CA504" s="142"/>
      <c r="CB504" s="142"/>
      <c r="CC504" s="142"/>
      <c r="CD504" s="142"/>
      <c r="CE504" s="142"/>
      <c r="CF504" s="142"/>
      <c r="CG504" s="142"/>
      <c r="CH504" s="142"/>
      <c r="CI504" s="142"/>
      <c r="CJ504" s="142"/>
      <c r="CK504" s="142"/>
      <c r="CL504" s="142"/>
      <c r="CM504" s="142"/>
      <c r="CN504" s="142"/>
      <c r="CO504" s="142"/>
      <c r="CP504" s="142"/>
      <c r="CQ504" s="142"/>
      <c r="CR504" s="142"/>
      <c r="CS504" s="142"/>
      <c r="CT504" s="142"/>
      <c r="CU504" s="142"/>
      <c r="CV504" s="142"/>
      <c r="CW504" s="142"/>
      <c r="CX504" s="142"/>
      <c r="CY504" s="142"/>
      <c r="CZ504" s="142"/>
      <c r="DA504" s="142"/>
      <c r="DB504" s="142"/>
      <c r="DC504" s="142"/>
      <c r="DD504" s="142"/>
      <c r="DE504" s="142"/>
      <c r="DF504" s="142"/>
      <c r="DG504" s="142"/>
      <c r="DH504" s="142"/>
      <c r="DI504" s="142"/>
      <c r="DJ504" s="142"/>
      <c r="DK504" s="142"/>
      <c r="DL504" s="142"/>
      <c r="DM504" s="142"/>
      <c r="DN504" s="142"/>
      <c r="DO504" s="142"/>
      <c r="DP504" s="142"/>
      <c r="DQ504" s="142"/>
      <c r="DR504" s="142"/>
      <c r="DS504" s="142"/>
      <c r="DT504" s="142"/>
      <c r="DU504" s="142"/>
      <c r="DV504" s="142"/>
      <c r="DW504" s="142"/>
      <c r="DX504" s="142"/>
      <c r="DY504" s="142"/>
      <c r="DZ504" s="142"/>
      <c r="EA504" s="142"/>
      <c r="EB504" s="142"/>
      <c r="EC504" s="142"/>
      <c r="ED504" s="142"/>
      <c r="EE504" s="142"/>
    </row>
    <row r="505" spans="1:135" s="151" customFormat="1" ht="19.5" customHeight="1" x14ac:dyDescent="0.2">
      <c r="A505" s="117">
        <v>504</v>
      </c>
      <c r="B505" s="174" t="s">
        <v>650</v>
      </c>
      <c r="C505" s="144">
        <v>87074719</v>
      </c>
      <c r="D505" s="117" t="s">
        <v>73</v>
      </c>
      <c r="E505" s="117" t="s">
        <v>646</v>
      </c>
      <c r="F505" s="146" t="s">
        <v>208</v>
      </c>
      <c r="G505" s="162">
        <v>40997</v>
      </c>
      <c r="H505" s="172">
        <v>41012</v>
      </c>
      <c r="I505" s="172">
        <v>46077</v>
      </c>
      <c r="J505" s="162">
        <f t="shared" si="37"/>
        <v>46807</v>
      </c>
      <c r="K505" s="111">
        <v>40995</v>
      </c>
      <c r="L505" s="111">
        <v>45867</v>
      </c>
      <c r="M505" s="163">
        <f t="shared" si="38"/>
        <v>46597</v>
      </c>
      <c r="N505" s="111">
        <v>40613</v>
      </c>
      <c r="O505" s="111">
        <v>45447</v>
      </c>
      <c r="P505" s="111">
        <v>40612</v>
      </c>
      <c r="Q505" s="94">
        <v>42137</v>
      </c>
      <c r="R505" s="166" t="s">
        <v>69</v>
      </c>
      <c r="S505" s="166" t="s">
        <v>69</v>
      </c>
      <c r="T505" s="166" t="s">
        <v>69</v>
      </c>
      <c r="U505" s="168">
        <v>46045</v>
      </c>
      <c r="V505" s="166" t="s">
        <v>69</v>
      </c>
      <c r="W505" s="166" t="s">
        <v>69</v>
      </c>
      <c r="X505" s="166" t="s">
        <v>69</v>
      </c>
      <c r="Y505" s="166" t="s">
        <v>69</v>
      </c>
      <c r="Z505" s="166" t="s">
        <v>69</v>
      </c>
      <c r="AA505" s="166" t="s">
        <v>69</v>
      </c>
      <c r="AB505" s="166" t="s">
        <v>69</v>
      </c>
      <c r="AC505" s="166" t="s">
        <v>69</v>
      </c>
      <c r="AD505" s="167" t="s">
        <v>71</v>
      </c>
      <c r="AE505" s="167" t="s">
        <v>70</v>
      </c>
      <c r="AF505" s="112">
        <v>46253</v>
      </c>
      <c r="AG505" s="112" t="s">
        <v>69</v>
      </c>
      <c r="AH505" s="167" t="s">
        <v>71</v>
      </c>
      <c r="AI505" s="167" t="s">
        <v>70</v>
      </c>
      <c r="AJ505" s="167" t="s">
        <v>70</v>
      </c>
      <c r="AK505" s="167" t="s">
        <v>70</v>
      </c>
      <c r="AL505" s="166" t="s">
        <v>69</v>
      </c>
      <c r="AM505" s="166"/>
      <c r="AN505" s="166" t="s">
        <v>69</v>
      </c>
      <c r="AO505" s="167" t="s">
        <v>70</v>
      </c>
      <c r="AP505" s="166" t="s">
        <v>69</v>
      </c>
      <c r="AQ505" s="166" t="s">
        <v>69</v>
      </c>
      <c r="AR505" s="166" t="s">
        <v>69</v>
      </c>
      <c r="AS505" s="166" t="s">
        <v>69</v>
      </c>
      <c r="AT505" s="166" t="s">
        <v>69</v>
      </c>
      <c r="AU505" s="166" t="s">
        <v>69</v>
      </c>
      <c r="AV505" s="166" t="s">
        <v>69</v>
      </c>
      <c r="AW505" s="166" t="s">
        <v>69</v>
      </c>
      <c r="AX505" s="166" t="s">
        <v>69</v>
      </c>
      <c r="AY505" s="166" t="s">
        <v>69</v>
      </c>
      <c r="AZ505" s="166" t="s">
        <v>69</v>
      </c>
      <c r="BA505" s="166" t="s">
        <v>69</v>
      </c>
      <c r="BB505" s="166" t="s">
        <v>69</v>
      </c>
      <c r="BC505" s="166" t="s">
        <v>69</v>
      </c>
      <c r="BD505" s="166" t="s">
        <v>69</v>
      </c>
      <c r="BE505" s="166" t="s">
        <v>69</v>
      </c>
      <c r="BF505" s="166" t="s">
        <v>69</v>
      </c>
      <c r="BG505" s="167" t="s">
        <v>70</v>
      </c>
      <c r="BH505" s="166" t="s">
        <v>69</v>
      </c>
      <c r="BI505" s="166" t="s">
        <v>69</v>
      </c>
      <c r="BJ505" s="167" t="s">
        <v>70</v>
      </c>
      <c r="BK505" s="166" t="s">
        <v>69</v>
      </c>
      <c r="BL505" s="167" t="s">
        <v>70</v>
      </c>
      <c r="BM505" s="167" t="s">
        <v>70</v>
      </c>
      <c r="BN505" s="167" t="s">
        <v>70</v>
      </c>
      <c r="BO505" s="167" t="s">
        <v>70</v>
      </c>
      <c r="BP505" s="167" t="s">
        <v>70</v>
      </c>
      <c r="BQ505" s="151">
        <v>0</v>
      </c>
      <c r="BR505" s="142"/>
      <c r="BS505" s="142"/>
      <c r="BT505" s="142"/>
      <c r="BU505" s="142"/>
      <c r="BV505" s="142"/>
      <c r="BW505" s="142"/>
      <c r="BX505" s="142"/>
      <c r="BY505" s="142"/>
      <c r="BZ505" s="142"/>
      <c r="CA505" s="142"/>
      <c r="CB505" s="142"/>
      <c r="CC505" s="142"/>
      <c r="CD505" s="142"/>
      <c r="CE505" s="142"/>
      <c r="CF505" s="142"/>
      <c r="CG505" s="142"/>
      <c r="CH505" s="142"/>
      <c r="CI505" s="142"/>
      <c r="CJ505" s="142"/>
      <c r="CK505" s="142"/>
      <c r="CL505" s="142"/>
      <c r="CM505" s="142"/>
      <c r="CN505" s="142"/>
      <c r="CO505" s="142"/>
      <c r="CP505" s="142"/>
      <c r="CQ505" s="142"/>
      <c r="CR505" s="142"/>
      <c r="CS505" s="142"/>
      <c r="CT505" s="142"/>
      <c r="CU505" s="142"/>
      <c r="CV505" s="142"/>
      <c r="CW505" s="142"/>
      <c r="CX505" s="142"/>
      <c r="CY505" s="142"/>
      <c r="CZ505" s="142"/>
      <c r="DA505" s="142"/>
      <c r="DB505" s="142"/>
      <c r="DC505" s="142"/>
      <c r="DD505" s="142"/>
      <c r="DE505" s="142"/>
      <c r="DF505" s="142"/>
      <c r="DG505" s="142"/>
      <c r="DH505" s="142"/>
      <c r="DI505" s="142"/>
      <c r="DJ505" s="142"/>
      <c r="DK505" s="142"/>
      <c r="DL505" s="142"/>
      <c r="DM505" s="142"/>
      <c r="DN505" s="142"/>
      <c r="DO505" s="142"/>
      <c r="DP505" s="142"/>
      <c r="DQ505" s="142"/>
      <c r="DR505" s="142"/>
      <c r="DS505" s="142"/>
      <c r="DT505" s="142"/>
      <c r="DU505" s="142"/>
      <c r="DV505" s="142"/>
      <c r="DW505" s="142"/>
      <c r="DX505" s="142"/>
      <c r="DY505" s="142"/>
      <c r="DZ505" s="142"/>
      <c r="EA505" s="142"/>
      <c r="EB505" s="142"/>
      <c r="EC505" s="142"/>
      <c r="ED505" s="142"/>
      <c r="EE505" s="142"/>
    </row>
    <row r="506" spans="1:135" s="151" customFormat="1" ht="19.5" customHeight="1" x14ac:dyDescent="0.2">
      <c r="A506" s="117">
        <v>505</v>
      </c>
      <c r="B506" s="171" t="s">
        <v>509</v>
      </c>
      <c r="C506" s="171">
        <v>83086608</v>
      </c>
      <c r="D506" s="171" t="s">
        <v>510</v>
      </c>
      <c r="E506" s="144" t="s">
        <v>443</v>
      </c>
      <c r="F506" s="146" t="s">
        <v>208</v>
      </c>
      <c r="G506" s="162">
        <v>39574</v>
      </c>
      <c r="H506" s="162">
        <v>40731</v>
      </c>
      <c r="I506" s="162">
        <v>46065</v>
      </c>
      <c r="J506" s="162">
        <f t="shared" si="37"/>
        <v>46795</v>
      </c>
      <c r="K506" s="111">
        <v>40835</v>
      </c>
      <c r="L506" s="111">
        <v>45917</v>
      </c>
      <c r="M506" s="163">
        <f t="shared" si="38"/>
        <v>46647</v>
      </c>
      <c r="N506" s="111">
        <v>40586</v>
      </c>
      <c r="O506" s="111">
        <v>40585</v>
      </c>
      <c r="P506" s="111">
        <v>40585</v>
      </c>
      <c r="Q506" s="165" t="s">
        <v>69</v>
      </c>
      <c r="R506" s="165" t="s">
        <v>69</v>
      </c>
      <c r="S506" s="165" t="s">
        <v>69</v>
      </c>
      <c r="T506" s="165" t="s">
        <v>69</v>
      </c>
      <c r="U506" s="165" t="s">
        <v>69</v>
      </c>
      <c r="V506" s="112">
        <v>42146</v>
      </c>
      <c r="W506" s="165" t="s">
        <v>69</v>
      </c>
      <c r="X506" s="112">
        <v>41722</v>
      </c>
      <c r="Y506" s="213">
        <v>41088</v>
      </c>
      <c r="Z506" s="165" t="s">
        <v>69</v>
      </c>
      <c r="AA506" s="168">
        <v>45856</v>
      </c>
      <c r="AB506" s="166" t="s">
        <v>69</v>
      </c>
      <c r="AC506" s="111">
        <v>41478</v>
      </c>
      <c r="AD506" s="167" t="s">
        <v>70</v>
      </c>
      <c r="AE506" s="167" t="s">
        <v>70</v>
      </c>
      <c r="AF506" s="112">
        <v>45643</v>
      </c>
      <c r="AG506" s="111">
        <v>42793</v>
      </c>
      <c r="AH506" s="166" t="s">
        <v>69</v>
      </c>
      <c r="AI506" s="167" t="s">
        <v>70</v>
      </c>
      <c r="AJ506" s="167" t="s">
        <v>70</v>
      </c>
      <c r="AK506" s="111">
        <v>46267</v>
      </c>
      <c r="AL506" s="166" t="s">
        <v>69</v>
      </c>
      <c r="AM506" s="166"/>
      <c r="AN506" s="167" t="s">
        <v>70</v>
      </c>
      <c r="AO506" s="167" t="s">
        <v>70</v>
      </c>
      <c r="AP506" s="167" t="s">
        <v>70</v>
      </c>
      <c r="AQ506" s="166" t="s">
        <v>69</v>
      </c>
      <c r="AR506" s="94">
        <v>45940</v>
      </c>
      <c r="AS506" s="168">
        <v>45891</v>
      </c>
      <c r="AT506" s="168">
        <v>42443</v>
      </c>
      <c r="AU506" s="167" t="s">
        <v>70</v>
      </c>
      <c r="AV506" s="167" t="s">
        <v>70</v>
      </c>
      <c r="AW506" s="167" t="s">
        <v>70</v>
      </c>
      <c r="AX506" s="167" t="s">
        <v>70</v>
      </c>
      <c r="AY506" s="167" t="s">
        <v>70</v>
      </c>
      <c r="AZ506" s="167" t="s">
        <v>70</v>
      </c>
      <c r="BA506" s="167" t="s">
        <v>70</v>
      </c>
      <c r="BB506" s="167" t="s">
        <v>70</v>
      </c>
      <c r="BC506" s="167" t="s">
        <v>70</v>
      </c>
      <c r="BD506" s="167" t="s">
        <v>70</v>
      </c>
      <c r="BE506" s="167" t="s">
        <v>70</v>
      </c>
      <c r="BF506" s="167" t="s">
        <v>70</v>
      </c>
      <c r="BG506" s="167" t="s">
        <v>70</v>
      </c>
      <c r="BH506" s="167" t="s">
        <v>70</v>
      </c>
      <c r="BI506" s="167" t="s">
        <v>70</v>
      </c>
      <c r="BJ506" s="167" t="s">
        <v>70</v>
      </c>
      <c r="BK506" s="167" t="s">
        <v>70</v>
      </c>
      <c r="BL506" s="167" t="s">
        <v>70</v>
      </c>
      <c r="BM506" s="167" t="s">
        <v>70</v>
      </c>
      <c r="BN506" s="167" t="s">
        <v>70</v>
      </c>
      <c r="BO506" s="167" t="s">
        <v>70</v>
      </c>
      <c r="BP506" s="167" t="s">
        <v>70</v>
      </c>
      <c r="BQ506" s="151">
        <v>0</v>
      </c>
    </row>
    <row r="507" spans="1:135" s="151" customFormat="1" ht="19.5" customHeight="1" x14ac:dyDescent="0.2">
      <c r="A507" s="117">
        <v>506</v>
      </c>
      <c r="B507" s="161" t="s">
        <v>511</v>
      </c>
      <c r="C507" s="161">
        <v>83123141</v>
      </c>
      <c r="D507" s="171" t="s">
        <v>512</v>
      </c>
      <c r="E507" s="144" t="s">
        <v>443</v>
      </c>
      <c r="F507" s="146" t="s">
        <v>208</v>
      </c>
      <c r="G507" s="172">
        <v>42290</v>
      </c>
      <c r="H507" s="172">
        <v>42290</v>
      </c>
      <c r="I507" s="162">
        <v>46175</v>
      </c>
      <c r="J507" s="162">
        <f t="shared" si="37"/>
        <v>46906</v>
      </c>
      <c r="K507" s="172">
        <v>41620</v>
      </c>
      <c r="L507" s="111">
        <v>46127</v>
      </c>
      <c r="M507" s="163">
        <f t="shared" si="38"/>
        <v>46858</v>
      </c>
      <c r="N507" s="111">
        <v>41122</v>
      </c>
      <c r="O507" s="111">
        <v>41124</v>
      </c>
      <c r="P507" s="111">
        <v>41124</v>
      </c>
      <c r="Q507" s="165" t="s">
        <v>69</v>
      </c>
      <c r="R507" s="165" t="s">
        <v>69</v>
      </c>
      <c r="S507" s="165" t="s">
        <v>69</v>
      </c>
      <c r="T507" s="112">
        <v>43777</v>
      </c>
      <c r="U507" s="112">
        <v>42807</v>
      </c>
      <c r="V507" s="165" t="s">
        <v>69</v>
      </c>
      <c r="W507" s="165" t="s">
        <v>69</v>
      </c>
      <c r="X507" s="112">
        <v>42268</v>
      </c>
      <c r="Y507" s="112">
        <v>42143</v>
      </c>
      <c r="Z507" s="112">
        <v>43721</v>
      </c>
      <c r="AA507" s="112">
        <v>45800</v>
      </c>
      <c r="AB507" s="166" t="s">
        <v>69</v>
      </c>
      <c r="AC507" s="166" t="s">
        <v>69</v>
      </c>
      <c r="AD507" s="167" t="s">
        <v>70</v>
      </c>
      <c r="AE507" s="167" t="s">
        <v>70</v>
      </c>
      <c r="AF507" s="112">
        <v>45643</v>
      </c>
      <c r="AG507" s="164">
        <v>44554</v>
      </c>
      <c r="AH507" s="167" t="s">
        <v>71</v>
      </c>
      <c r="AI507" s="167" t="s">
        <v>70</v>
      </c>
      <c r="AJ507" s="167" t="s">
        <v>70</v>
      </c>
      <c r="AK507" s="167" t="s">
        <v>70</v>
      </c>
      <c r="AL507" s="166" t="s">
        <v>69</v>
      </c>
      <c r="AM507" s="166"/>
      <c r="AN507" s="168" t="s">
        <v>69</v>
      </c>
      <c r="AO507" s="167" t="s">
        <v>70</v>
      </c>
      <c r="AP507" s="167" t="s">
        <v>70</v>
      </c>
      <c r="AQ507" s="166" t="s">
        <v>69</v>
      </c>
      <c r="AR507" s="166" t="s">
        <v>69</v>
      </c>
      <c r="AS507" s="166" t="s">
        <v>69</v>
      </c>
      <c r="AT507" s="168">
        <v>43571</v>
      </c>
      <c r="AU507" s="166" t="s">
        <v>69</v>
      </c>
      <c r="AV507" s="166" t="s">
        <v>69</v>
      </c>
      <c r="AW507" s="167" t="s">
        <v>70</v>
      </c>
      <c r="AX507" s="167" t="s">
        <v>70</v>
      </c>
      <c r="AY507" s="166" t="s">
        <v>69</v>
      </c>
      <c r="AZ507" s="166" t="s">
        <v>69</v>
      </c>
      <c r="BA507" s="166" t="s">
        <v>69</v>
      </c>
      <c r="BB507" s="167" t="s">
        <v>70</v>
      </c>
      <c r="BC507" s="167" t="s">
        <v>70</v>
      </c>
      <c r="BD507" s="167" t="s">
        <v>70</v>
      </c>
      <c r="BE507" s="167" t="s">
        <v>70</v>
      </c>
      <c r="BF507" s="167" t="s">
        <v>70</v>
      </c>
      <c r="BG507" s="169" t="s">
        <v>70</v>
      </c>
      <c r="BH507" s="169" t="s">
        <v>70</v>
      </c>
      <c r="BI507" s="169" t="s">
        <v>70</v>
      </c>
      <c r="BJ507" s="167" t="s">
        <v>70</v>
      </c>
      <c r="BK507" s="167" t="s">
        <v>70</v>
      </c>
      <c r="BL507" s="167" t="s">
        <v>70</v>
      </c>
      <c r="BM507" s="167" t="s">
        <v>70</v>
      </c>
      <c r="BN507" s="167" t="s">
        <v>70</v>
      </c>
      <c r="BO507" s="167" t="s">
        <v>70</v>
      </c>
      <c r="BP507" s="167" t="s">
        <v>70</v>
      </c>
      <c r="BQ507" s="151">
        <v>0</v>
      </c>
    </row>
    <row r="508" spans="1:135" s="151" customFormat="1" ht="19.5" customHeight="1" x14ac:dyDescent="0.2">
      <c r="A508" s="117">
        <v>507</v>
      </c>
      <c r="B508" s="174" t="s">
        <v>537</v>
      </c>
      <c r="C508" s="144">
        <v>84099753</v>
      </c>
      <c r="D508" s="117" t="s">
        <v>73</v>
      </c>
      <c r="E508" s="146" t="s">
        <v>477</v>
      </c>
      <c r="F508" s="146" t="s">
        <v>208</v>
      </c>
      <c r="G508" s="119" t="s">
        <v>69</v>
      </c>
      <c r="H508" s="162">
        <v>41887</v>
      </c>
      <c r="I508" s="162">
        <v>46244</v>
      </c>
      <c r="J508" s="162">
        <f t="shared" si="37"/>
        <v>46975</v>
      </c>
      <c r="K508" s="111">
        <v>40955</v>
      </c>
      <c r="L508" s="111">
        <v>46001</v>
      </c>
      <c r="M508" s="163">
        <f t="shared" si="38"/>
        <v>46731</v>
      </c>
      <c r="N508" s="111">
        <v>40703</v>
      </c>
      <c r="O508" s="111">
        <v>45638</v>
      </c>
      <c r="P508" s="111">
        <v>44133</v>
      </c>
      <c r="Q508" s="166" t="s">
        <v>69</v>
      </c>
      <c r="R508" s="166" t="s">
        <v>69</v>
      </c>
      <c r="S508" s="166" t="s">
        <v>69</v>
      </c>
      <c r="T508" s="168">
        <v>46286</v>
      </c>
      <c r="U508" s="168"/>
      <c r="V508" s="168">
        <v>46080</v>
      </c>
      <c r="W508" s="168"/>
      <c r="X508" s="168"/>
      <c r="Y508" s="168"/>
      <c r="Z508" s="168">
        <v>45820</v>
      </c>
      <c r="AA508" s="168">
        <v>46146</v>
      </c>
      <c r="AB508" s="166" t="s">
        <v>69</v>
      </c>
      <c r="AC508" s="166" t="s">
        <v>69</v>
      </c>
      <c r="AD508" s="167" t="s">
        <v>71</v>
      </c>
      <c r="AE508" s="167" t="s">
        <v>70</v>
      </c>
      <c r="AF508" s="112">
        <v>44931</v>
      </c>
      <c r="AG508" s="112" t="s">
        <v>69</v>
      </c>
      <c r="AH508" s="167" t="s">
        <v>71</v>
      </c>
      <c r="AI508" s="167" t="s">
        <v>70</v>
      </c>
      <c r="AJ508" s="167" t="s">
        <v>70</v>
      </c>
      <c r="AK508" s="167" t="s">
        <v>70</v>
      </c>
      <c r="AL508" s="166" t="s">
        <v>69</v>
      </c>
      <c r="AM508" s="166"/>
      <c r="AN508" s="166" t="s">
        <v>69</v>
      </c>
      <c r="AO508" s="167" t="s">
        <v>70</v>
      </c>
      <c r="AP508" s="166" t="s">
        <v>69</v>
      </c>
      <c r="AQ508" s="166" t="s">
        <v>69</v>
      </c>
      <c r="AR508" s="166" t="s">
        <v>69</v>
      </c>
      <c r="AS508" s="166" t="s">
        <v>69</v>
      </c>
      <c r="AT508" s="166" t="s">
        <v>69</v>
      </c>
      <c r="AU508" s="166" t="s">
        <v>69</v>
      </c>
      <c r="AV508" s="166" t="s">
        <v>69</v>
      </c>
      <c r="AW508" s="166" t="s">
        <v>69</v>
      </c>
      <c r="AX508" s="166" t="s">
        <v>69</v>
      </c>
      <c r="AY508" s="166" t="s">
        <v>69</v>
      </c>
      <c r="AZ508" s="166" t="s">
        <v>69</v>
      </c>
      <c r="BA508" s="166" t="s">
        <v>69</v>
      </c>
      <c r="BB508" s="166" t="s">
        <v>69</v>
      </c>
      <c r="BC508" s="166" t="s">
        <v>69</v>
      </c>
      <c r="BD508" s="166" t="s">
        <v>69</v>
      </c>
      <c r="BE508" s="166" t="s">
        <v>69</v>
      </c>
      <c r="BF508" s="166" t="s">
        <v>69</v>
      </c>
      <c r="BG508" s="167" t="s">
        <v>70</v>
      </c>
      <c r="BH508" s="166" t="s">
        <v>69</v>
      </c>
      <c r="BI508" s="166" t="s">
        <v>69</v>
      </c>
      <c r="BJ508" s="167" t="s">
        <v>70</v>
      </c>
      <c r="BK508" s="166" t="s">
        <v>69</v>
      </c>
      <c r="BL508" s="167" t="s">
        <v>70</v>
      </c>
      <c r="BM508" s="167" t="s">
        <v>70</v>
      </c>
      <c r="BN508" s="167" t="s">
        <v>70</v>
      </c>
      <c r="BO508" s="167" t="s">
        <v>70</v>
      </c>
      <c r="BP508" s="167" t="s">
        <v>70</v>
      </c>
      <c r="BQ508" s="151">
        <v>0</v>
      </c>
      <c r="BR508" s="142"/>
      <c r="BS508" s="142"/>
      <c r="BT508" s="142"/>
      <c r="BU508" s="142"/>
      <c r="BV508" s="142"/>
      <c r="BW508" s="142"/>
      <c r="BX508" s="142"/>
      <c r="BY508" s="142"/>
      <c r="BZ508" s="142"/>
      <c r="CA508" s="142"/>
      <c r="CB508" s="142"/>
      <c r="CC508" s="142"/>
      <c r="CD508" s="142"/>
      <c r="CE508" s="142"/>
      <c r="CF508" s="142"/>
      <c r="CG508" s="142"/>
      <c r="CH508" s="142"/>
      <c r="CI508" s="142"/>
      <c r="CJ508" s="142"/>
      <c r="CK508" s="142"/>
      <c r="CL508" s="142"/>
      <c r="CM508" s="142"/>
      <c r="CN508" s="142"/>
      <c r="CO508" s="142"/>
      <c r="CP508" s="142"/>
      <c r="CQ508" s="142"/>
      <c r="CR508" s="142"/>
      <c r="CS508" s="142"/>
      <c r="CT508" s="142"/>
      <c r="CU508" s="142"/>
      <c r="CV508" s="142"/>
      <c r="CW508" s="142"/>
      <c r="CX508" s="142"/>
      <c r="CY508" s="142"/>
      <c r="CZ508" s="142"/>
      <c r="DA508" s="142"/>
      <c r="DB508" s="142"/>
      <c r="DC508" s="142"/>
      <c r="DD508" s="142"/>
      <c r="DE508" s="142"/>
      <c r="DF508" s="142"/>
      <c r="DG508" s="142"/>
      <c r="DH508" s="142"/>
      <c r="DI508" s="142"/>
      <c r="DJ508" s="142"/>
      <c r="DK508" s="142"/>
      <c r="DL508" s="142"/>
      <c r="DM508" s="142"/>
      <c r="DN508" s="142"/>
      <c r="DO508" s="142"/>
      <c r="DP508" s="142"/>
      <c r="DQ508" s="142"/>
      <c r="DR508" s="142"/>
      <c r="DS508" s="142"/>
      <c r="DT508" s="142"/>
      <c r="DU508" s="142"/>
      <c r="DV508" s="142"/>
      <c r="DW508" s="142"/>
      <c r="DX508" s="142"/>
      <c r="DY508" s="142"/>
      <c r="DZ508" s="142"/>
      <c r="EA508" s="142"/>
      <c r="EB508" s="142"/>
      <c r="EC508" s="142"/>
      <c r="ED508" s="142"/>
      <c r="EE508" s="142"/>
    </row>
    <row r="509" spans="1:135" s="151" customFormat="1" ht="19.5" customHeight="1" x14ac:dyDescent="0.2">
      <c r="A509" s="117">
        <v>508</v>
      </c>
      <c r="B509" s="117" t="s">
        <v>519</v>
      </c>
      <c r="C509" s="144">
        <v>83123152</v>
      </c>
      <c r="D509" s="117" t="s">
        <v>73</v>
      </c>
      <c r="E509" s="144" t="s">
        <v>443</v>
      </c>
      <c r="F509" s="146" t="s">
        <v>208</v>
      </c>
      <c r="G509" s="172">
        <v>42395</v>
      </c>
      <c r="H509" s="172">
        <v>41589</v>
      </c>
      <c r="I509" s="172">
        <v>46079</v>
      </c>
      <c r="J509" s="162">
        <f t="shared" si="37"/>
        <v>46809</v>
      </c>
      <c r="K509" s="111">
        <v>42101</v>
      </c>
      <c r="L509" s="111">
        <v>46140</v>
      </c>
      <c r="M509" s="163">
        <f t="shared" si="38"/>
        <v>46871</v>
      </c>
      <c r="N509" s="111">
        <v>41124</v>
      </c>
      <c r="O509" s="111">
        <v>41124</v>
      </c>
      <c r="P509" s="111">
        <v>41124</v>
      </c>
      <c r="Q509" s="166" t="s">
        <v>69</v>
      </c>
      <c r="R509" s="166" t="s">
        <v>69</v>
      </c>
      <c r="S509" s="166" t="s">
        <v>69</v>
      </c>
      <c r="T509" s="166" t="s">
        <v>69</v>
      </c>
      <c r="U509" s="168">
        <v>43532</v>
      </c>
      <c r="V509" s="166" t="s">
        <v>69</v>
      </c>
      <c r="W509" s="166" t="s">
        <v>69</v>
      </c>
      <c r="X509" s="168">
        <v>42076</v>
      </c>
      <c r="Y509" s="168">
        <v>42034</v>
      </c>
      <c r="Z509" s="168">
        <v>42314</v>
      </c>
      <c r="AA509" s="94">
        <v>45723</v>
      </c>
      <c r="AB509" s="166" t="s">
        <v>69</v>
      </c>
      <c r="AC509" s="166" t="s">
        <v>69</v>
      </c>
      <c r="AD509" s="167" t="s">
        <v>71</v>
      </c>
      <c r="AE509" s="167" t="s">
        <v>70</v>
      </c>
      <c r="AF509" s="112">
        <v>45643</v>
      </c>
      <c r="AG509" s="112" t="s">
        <v>69</v>
      </c>
      <c r="AH509" s="167" t="s">
        <v>71</v>
      </c>
      <c r="AI509" s="167" t="s">
        <v>70</v>
      </c>
      <c r="AJ509" s="167" t="s">
        <v>70</v>
      </c>
      <c r="AK509" s="167" t="s">
        <v>70</v>
      </c>
      <c r="AL509" s="166" t="s">
        <v>69</v>
      </c>
      <c r="AM509" s="166"/>
      <c r="AN509" s="166" t="s">
        <v>69</v>
      </c>
      <c r="AO509" s="167" t="s">
        <v>70</v>
      </c>
      <c r="AP509" s="166" t="s">
        <v>69</v>
      </c>
      <c r="AQ509" s="166" t="s">
        <v>69</v>
      </c>
      <c r="AR509" s="166" t="s">
        <v>69</v>
      </c>
      <c r="AS509" s="166" t="s">
        <v>69</v>
      </c>
      <c r="AT509" s="166" t="s">
        <v>69</v>
      </c>
      <c r="AU509" s="166" t="s">
        <v>69</v>
      </c>
      <c r="AV509" s="166" t="s">
        <v>69</v>
      </c>
      <c r="AW509" s="166" t="s">
        <v>69</v>
      </c>
      <c r="AX509" s="166" t="s">
        <v>69</v>
      </c>
      <c r="AY509" s="166" t="s">
        <v>69</v>
      </c>
      <c r="AZ509" s="166" t="s">
        <v>69</v>
      </c>
      <c r="BA509" s="166" t="s">
        <v>69</v>
      </c>
      <c r="BB509" s="166" t="s">
        <v>69</v>
      </c>
      <c r="BC509" s="166" t="s">
        <v>69</v>
      </c>
      <c r="BD509" s="166" t="s">
        <v>69</v>
      </c>
      <c r="BE509" s="166" t="s">
        <v>69</v>
      </c>
      <c r="BF509" s="166" t="s">
        <v>69</v>
      </c>
      <c r="BG509" s="167" t="s">
        <v>70</v>
      </c>
      <c r="BH509" s="166" t="s">
        <v>69</v>
      </c>
      <c r="BI509" s="166" t="s">
        <v>69</v>
      </c>
      <c r="BJ509" s="167" t="s">
        <v>70</v>
      </c>
      <c r="BK509" s="166" t="s">
        <v>69</v>
      </c>
      <c r="BL509" s="167" t="s">
        <v>70</v>
      </c>
      <c r="BM509" s="167" t="s">
        <v>70</v>
      </c>
      <c r="BN509" s="167" t="s">
        <v>70</v>
      </c>
      <c r="BO509" s="167" t="s">
        <v>70</v>
      </c>
      <c r="BP509" s="167" t="s">
        <v>70</v>
      </c>
      <c r="BQ509" s="151">
        <v>0</v>
      </c>
      <c r="BR509" s="142"/>
      <c r="BS509" s="142"/>
      <c r="BT509" s="142"/>
      <c r="BU509" s="142"/>
      <c r="BV509" s="142"/>
      <c r="BW509" s="142"/>
      <c r="BX509" s="142"/>
      <c r="BY509" s="142"/>
      <c r="BZ509" s="142"/>
      <c r="CA509" s="142"/>
      <c r="CB509" s="142"/>
      <c r="CC509" s="142"/>
      <c r="CD509" s="142"/>
      <c r="CE509" s="142"/>
      <c r="CF509" s="142"/>
      <c r="CG509" s="142"/>
      <c r="CH509" s="142"/>
      <c r="CI509" s="142"/>
      <c r="CJ509" s="142"/>
      <c r="CK509" s="142"/>
      <c r="CL509" s="142"/>
      <c r="CM509" s="142"/>
      <c r="CN509" s="142"/>
      <c r="CO509" s="142"/>
      <c r="CP509" s="142"/>
      <c r="CQ509" s="142"/>
      <c r="CR509" s="142"/>
      <c r="CS509" s="142"/>
      <c r="CT509" s="142"/>
      <c r="CU509" s="142"/>
      <c r="CV509" s="142"/>
      <c r="CW509" s="142"/>
      <c r="CX509" s="142"/>
      <c r="CY509" s="142"/>
      <c r="CZ509" s="142"/>
      <c r="DA509" s="142"/>
      <c r="DB509" s="142"/>
      <c r="DC509" s="142"/>
      <c r="DD509" s="142"/>
      <c r="DE509" s="142"/>
      <c r="DF509" s="142"/>
      <c r="DG509" s="142"/>
      <c r="DH509" s="142"/>
      <c r="DI509" s="142"/>
      <c r="DJ509" s="142"/>
      <c r="DK509" s="142"/>
      <c r="DL509" s="142"/>
      <c r="DM509" s="142"/>
      <c r="DN509" s="142"/>
      <c r="DO509" s="142"/>
      <c r="DP509" s="142"/>
      <c r="DQ509" s="142"/>
      <c r="DR509" s="142"/>
      <c r="DS509" s="142"/>
      <c r="DT509" s="142"/>
      <c r="DU509" s="142"/>
      <c r="DV509" s="142"/>
      <c r="DW509" s="142"/>
      <c r="DX509" s="142"/>
      <c r="DY509" s="142"/>
      <c r="DZ509" s="142"/>
      <c r="EA509" s="142"/>
      <c r="EB509" s="142"/>
      <c r="EC509" s="142"/>
      <c r="ED509" s="142"/>
      <c r="EE509" s="142"/>
    </row>
    <row r="510" spans="1:135" s="151" customFormat="1" ht="19.5" customHeight="1" x14ac:dyDescent="0.2">
      <c r="A510" s="117">
        <v>509</v>
      </c>
      <c r="B510" s="117" t="s">
        <v>514</v>
      </c>
      <c r="C510" s="144">
        <v>83123151</v>
      </c>
      <c r="D510" s="117" t="s">
        <v>73</v>
      </c>
      <c r="E510" s="144" t="s">
        <v>443</v>
      </c>
      <c r="F510" s="146" t="s">
        <v>208</v>
      </c>
      <c r="G510" s="172">
        <v>41901</v>
      </c>
      <c r="H510" s="172">
        <v>42285</v>
      </c>
      <c r="I510" s="172">
        <v>46065</v>
      </c>
      <c r="J510" s="162">
        <f t="shared" si="37"/>
        <v>46795</v>
      </c>
      <c r="K510" s="111">
        <v>41444</v>
      </c>
      <c r="L510" s="111">
        <v>46090</v>
      </c>
      <c r="M510" s="163">
        <f t="shared" si="38"/>
        <v>46821</v>
      </c>
      <c r="N510" s="111">
        <v>41124</v>
      </c>
      <c r="O510" s="111">
        <v>41124</v>
      </c>
      <c r="P510" s="111">
        <v>41124</v>
      </c>
      <c r="Q510" s="166" t="s">
        <v>69</v>
      </c>
      <c r="R510" s="166" t="s">
        <v>69</v>
      </c>
      <c r="S510" s="166" t="s">
        <v>69</v>
      </c>
      <c r="T510" s="168">
        <v>44358</v>
      </c>
      <c r="U510" s="166" t="s">
        <v>69</v>
      </c>
      <c r="V510" s="168">
        <v>43714</v>
      </c>
      <c r="W510" s="166" t="s">
        <v>69</v>
      </c>
      <c r="X510" s="166" t="s">
        <v>69</v>
      </c>
      <c r="Y510" s="168">
        <v>42034</v>
      </c>
      <c r="Z510" s="166" t="s">
        <v>69</v>
      </c>
      <c r="AA510" s="168">
        <v>45674</v>
      </c>
      <c r="AB510" s="166" t="s">
        <v>69</v>
      </c>
      <c r="AC510" s="94">
        <v>42070</v>
      </c>
      <c r="AD510" s="167" t="s">
        <v>71</v>
      </c>
      <c r="AE510" s="167" t="s">
        <v>70</v>
      </c>
      <c r="AF510" s="112">
        <v>45643</v>
      </c>
      <c r="AG510" s="112" t="s">
        <v>69</v>
      </c>
      <c r="AH510" s="167" t="s">
        <v>71</v>
      </c>
      <c r="AI510" s="167" t="s">
        <v>70</v>
      </c>
      <c r="AJ510" s="167" t="s">
        <v>70</v>
      </c>
      <c r="AK510" s="167" t="s">
        <v>70</v>
      </c>
      <c r="AL510" s="166" t="s">
        <v>69</v>
      </c>
      <c r="AM510" s="166"/>
      <c r="AN510" s="166" t="s">
        <v>69</v>
      </c>
      <c r="AO510" s="167" t="s">
        <v>70</v>
      </c>
      <c r="AP510" s="166" t="s">
        <v>69</v>
      </c>
      <c r="AQ510" s="166" t="s">
        <v>69</v>
      </c>
      <c r="AR510" s="168">
        <v>46244</v>
      </c>
      <c r="AS510" s="166" t="s">
        <v>69</v>
      </c>
      <c r="AT510" s="166" t="s">
        <v>69</v>
      </c>
      <c r="AU510" s="166" t="s">
        <v>69</v>
      </c>
      <c r="AV510" s="166" t="s">
        <v>69</v>
      </c>
      <c r="AW510" s="166" t="s">
        <v>69</v>
      </c>
      <c r="AX510" s="166" t="s">
        <v>69</v>
      </c>
      <c r="AY510" s="166" t="s">
        <v>69</v>
      </c>
      <c r="AZ510" s="166" t="s">
        <v>69</v>
      </c>
      <c r="BA510" s="166" t="s">
        <v>69</v>
      </c>
      <c r="BB510" s="166" t="s">
        <v>69</v>
      </c>
      <c r="BC510" s="166" t="s">
        <v>69</v>
      </c>
      <c r="BD510" s="166" t="s">
        <v>69</v>
      </c>
      <c r="BE510" s="166" t="s">
        <v>69</v>
      </c>
      <c r="BF510" s="166" t="s">
        <v>69</v>
      </c>
      <c r="BG510" s="167" t="s">
        <v>70</v>
      </c>
      <c r="BH510" s="166" t="s">
        <v>69</v>
      </c>
      <c r="BI510" s="166" t="s">
        <v>69</v>
      </c>
      <c r="BJ510" s="167" t="s">
        <v>70</v>
      </c>
      <c r="BK510" s="166" t="s">
        <v>69</v>
      </c>
      <c r="BL510" s="167" t="s">
        <v>70</v>
      </c>
      <c r="BM510" s="167" t="s">
        <v>70</v>
      </c>
      <c r="BN510" s="167" t="s">
        <v>70</v>
      </c>
      <c r="BO510" s="167" t="s">
        <v>70</v>
      </c>
      <c r="BP510" s="167" t="s">
        <v>70</v>
      </c>
      <c r="BQ510" s="151">
        <v>0</v>
      </c>
    </row>
    <row r="511" spans="1:135" s="151" customFormat="1" ht="19.5" customHeight="1" x14ac:dyDescent="0.2">
      <c r="A511" s="117">
        <v>510</v>
      </c>
      <c r="B511" s="117" t="s">
        <v>515</v>
      </c>
      <c r="C511" s="117">
        <v>143960</v>
      </c>
      <c r="D511" s="117" t="s">
        <v>73</v>
      </c>
      <c r="E511" s="144" t="s">
        <v>443</v>
      </c>
      <c r="F511" s="146" t="s">
        <v>208</v>
      </c>
      <c r="G511" s="172">
        <v>42297</v>
      </c>
      <c r="H511" s="172">
        <v>41922</v>
      </c>
      <c r="I511" s="172">
        <v>46065</v>
      </c>
      <c r="J511" s="162">
        <f t="shared" si="37"/>
        <v>46795</v>
      </c>
      <c r="K511" s="111">
        <v>42101</v>
      </c>
      <c r="L511" s="111">
        <v>46090</v>
      </c>
      <c r="M511" s="163">
        <f t="shared" si="38"/>
        <v>46821</v>
      </c>
      <c r="N511" s="111">
        <v>41870</v>
      </c>
      <c r="O511" s="111">
        <v>41921</v>
      </c>
      <c r="P511" s="111">
        <v>41871</v>
      </c>
      <c r="Q511" s="166" t="s">
        <v>69</v>
      </c>
      <c r="R511" s="166" t="s">
        <v>69</v>
      </c>
      <c r="S511" s="166" t="s">
        <v>69</v>
      </c>
      <c r="T511" s="168">
        <v>43791</v>
      </c>
      <c r="U511" s="168">
        <v>44575</v>
      </c>
      <c r="V511" s="166" t="s">
        <v>69</v>
      </c>
      <c r="W511" s="166" t="s">
        <v>69</v>
      </c>
      <c r="X511" s="166" t="s">
        <v>69</v>
      </c>
      <c r="Y511" s="168">
        <v>42258</v>
      </c>
      <c r="Z511" s="168">
        <v>44778</v>
      </c>
      <c r="AA511" s="94">
        <v>45695</v>
      </c>
      <c r="AB511" s="166" t="s">
        <v>69</v>
      </c>
      <c r="AC511" s="166" t="s">
        <v>69</v>
      </c>
      <c r="AD511" s="167" t="s">
        <v>71</v>
      </c>
      <c r="AE511" s="167" t="s">
        <v>70</v>
      </c>
      <c r="AF511" s="112">
        <v>45643</v>
      </c>
      <c r="AG511" s="112" t="s">
        <v>69</v>
      </c>
      <c r="AH511" s="167" t="s">
        <v>71</v>
      </c>
      <c r="AI511" s="167" t="s">
        <v>70</v>
      </c>
      <c r="AJ511" s="167" t="s">
        <v>70</v>
      </c>
      <c r="AK511" s="167" t="s">
        <v>70</v>
      </c>
      <c r="AL511" s="166" t="s">
        <v>69</v>
      </c>
      <c r="AM511" s="166"/>
      <c r="AN511" s="166" t="s">
        <v>69</v>
      </c>
      <c r="AO511" s="167" t="s">
        <v>70</v>
      </c>
      <c r="AP511" s="166" t="s">
        <v>69</v>
      </c>
      <c r="AQ511" s="166" t="s">
        <v>69</v>
      </c>
      <c r="AR511" s="166" t="s">
        <v>69</v>
      </c>
      <c r="AS511" s="166" t="s">
        <v>69</v>
      </c>
      <c r="AT511" s="166" t="s">
        <v>69</v>
      </c>
      <c r="AU511" s="166" t="s">
        <v>69</v>
      </c>
      <c r="AV511" s="166" t="s">
        <v>69</v>
      </c>
      <c r="AW511" s="166" t="s">
        <v>69</v>
      </c>
      <c r="AX511" s="166" t="s">
        <v>69</v>
      </c>
      <c r="AY511" s="166" t="s">
        <v>69</v>
      </c>
      <c r="AZ511" s="166" t="s">
        <v>69</v>
      </c>
      <c r="BA511" s="166" t="s">
        <v>69</v>
      </c>
      <c r="BB511" s="166" t="s">
        <v>69</v>
      </c>
      <c r="BC511" s="166" t="s">
        <v>69</v>
      </c>
      <c r="BD511" s="166" t="s">
        <v>69</v>
      </c>
      <c r="BE511" s="166" t="s">
        <v>69</v>
      </c>
      <c r="BF511" s="166" t="s">
        <v>69</v>
      </c>
      <c r="BG511" s="167" t="s">
        <v>70</v>
      </c>
      <c r="BH511" s="166" t="s">
        <v>69</v>
      </c>
      <c r="BI511" s="166" t="s">
        <v>69</v>
      </c>
      <c r="BJ511" s="167" t="s">
        <v>70</v>
      </c>
      <c r="BK511" s="166" t="s">
        <v>69</v>
      </c>
      <c r="BL511" s="167" t="s">
        <v>70</v>
      </c>
      <c r="BM511" s="167" t="s">
        <v>70</v>
      </c>
      <c r="BN511" s="167" t="s">
        <v>70</v>
      </c>
      <c r="BO511" s="167" t="s">
        <v>70</v>
      </c>
      <c r="BP511" s="167" t="s">
        <v>70</v>
      </c>
      <c r="BQ511" s="151">
        <v>0</v>
      </c>
    </row>
    <row r="512" spans="1:135" s="151" customFormat="1" ht="19.5" customHeight="1" x14ac:dyDescent="0.2">
      <c r="A512" s="117">
        <v>511</v>
      </c>
      <c r="B512" s="117" t="s">
        <v>516</v>
      </c>
      <c r="C512" s="144">
        <v>83123159</v>
      </c>
      <c r="D512" s="117" t="s">
        <v>73</v>
      </c>
      <c r="E512" s="144" t="s">
        <v>443</v>
      </c>
      <c r="F512" s="146" t="s">
        <v>208</v>
      </c>
      <c r="G512" s="172">
        <v>42271</v>
      </c>
      <c r="H512" s="172">
        <v>41951</v>
      </c>
      <c r="I512" s="162">
        <v>45863</v>
      </c>
      <c r="J512" s="162">
        <f t="shared" si="37"/>
        <v>46593</v>
      </c>
      <c r="K512" s="111">
        <v>42052</v>
      </c>
      <c r="L512" s="111">
        <v>46090</v>
      </c>
      <c r="M512" s="163">
        <f t="shared" si="38"/>
        <v>46821</v>
      </c>
      <c r="N512" s="111">
        <v>41124</v>
      </c>
      <c r="O512" s="111">
        <v>41124</v>
      </c>
      <c r="P512" s="111">
        <v>41124</v>
      </c>
      <c r="Q512" s="166" t="s">
        <v>69</v>
      </c>
      <c r="R512" s="166" t="s">
        <v>69</v>
      </c>
      <c r="S512" s="166" t="s">
        <v>69</v>
      </c>
      <c r="T512" s="168">
        <v>42814</v>
      </c>
      <c r="U512" s="166" t="s">
        <v>69</v>
      </c>
      <c r="V512" s="166" t="s">
        <v>69</v>
      </c>
      <c r="W512" s="166" t="s">
        <v>69</v>
      </c>
      <c r="X512" s="168">
        <v>42345</v>
      </c>
      <c r="Y512" s="168">
        <v>42034</v>
      </c>
      <c r="Z512" s="166" t="s">
        <v>69</v>
      </c>
      <c r="AA512" s="94">
        <v>45856</v>
      </c>
      <c r="AB512" s="166" t="s">
        <v>69</v>
      </c>
      <c r="AC512" s="166" t="s">
        <v>69</v>
      </c>
      <c r="AD512" s="167" t="s">
        <v>71</v>
      </c>
      <c r="AE512" s="167" t="s">
        <v>70</v>
      </c>
      <c r="AF512" s="112">
        <v>45643</v>
      </c>
      <c r="AG512" s="112" t="s">
        <v>69</v>
      </c>
      <c r="AH512" s="167" t="s">
        <v>71</v>
      </c>
      <c r="AI512" s="167" t="s">
        <v>70</v>
      </c>
      <c r="AJ512" s="167" t="s">
        <v>70</v>
      </c>
      <c r="AK512" s="167" t="s">
        <v>70</v>
      </c>
      <c r="AL512" s="166" t="s">
        <v>69</v>
      </c>
      <c r="AM512" s="166"/>
      <c r="AN512" s="166" t="s">
        <v>69</v>
      </c>
      <c r="AO512" s="167" t="s">
        <v>70</v>
      </c>
      <c r="AP512" s="168">
        <v>46162</v>
      </c>
      <c r="AQ512" s="166" t="s">
        <v>69</v>
      </c>
      <c r="AR512" s="166" t="s">
        <v>69</v>
      </c>
      <c r="AS512" s="166" t="s">
        <v>69</v>
      </c>
      <c r="AT512" s="94">
        <v>43571</v>
      </c>
      <c r="AU512" s="166" t="s">
        <v>69</v>
      </c>
      <c r="AV512" s="166" t="s">
        <v>69</v>
      </c>
      <c r="AW512" s="166" t="s">
        <v>69</v>
      </c>
      <c r="AX512" s="166" t="s">
        <v>69</v>
      </c>
      <c r="AY512" s="166" t="s">
        <v>69</v>
      </c>
      <c r="AZ512" s="166" t="s">
        <v>69</v>
      </c>
      <c r="BA512" s="166" t="s">
        <v>69</v>
      </c>
      <c r="BB512" s="166" t="s">
        <v>69</v>
      </c>
      <c r="BC512" s="166" t="s">
        <v>69</v>
      </c>
      <c r="BD512" s="166" t="s">
        <v>69</v>
      </c>
      <c r="BE512" s="166" t="s">
        <v>69</v>
      </c>
      <c r="BF512" s="166" t="s">
        <v>69</v>
      </c>
      <c r="BG512" s="167" t="s">
        <v>70</v>
      </c>
      <c r="BH512" s="166" t="s">
        <v>69</v>
      </c>
      <c r="BI512" s="166" t="s">
        <v>69</v>
      </c>
      <c r="BJ512" s="167" t="s">
        <v>70</v>
      </c>
      <c r="BK512" s="166" t="s">
        <v>69</v>
      </c>
      <c r="BL512" s="167" t="s">
        <v>70</v>
      </c>
      <c r="BM512" s="167" t="s">
        <v>70</v>
      </c>
      <c r="BN512" s="167" t="s">
        <v>70</v>
      </c>
      <c r="BO512" s="167" t="s">
        <v>70</v>
      </c>
      <c r="BP512" s="167" t="s">
        <v>70</v>
      </c>
      <c r="BQ512" s="151">
        <v>0</v>
      </c>
      <c r="BR512" s="142"/>
      <c r="BS512" s="142"/>
      <c r="BT512" s="142"/>
      <c r="BU512" s="142"/>
      <c r="BV512" s="142"/>
      <c r="BW512" s="142"/>
      <c r="BX512" s="142"/>
      <c r="BY512" s="142"/>
      <c r="BZ512" s="142"/>
      <c r="CA512" s="142"/>
      <c r="CB512" s="142"/>
      <c r="CC512" s="142"/>
      <c r="CD512" s="142"/>
      <c r="CE512" s="142"/>
      <c r="CF512" s="142"/>
      <c r="CG512" s="142"/>
      <c r="CH512" s="142"/>
      <c r="CI512" s="142"/>
      <c r="CJ512" s="142"/>
      <c r="CK512" s="142"/>
      <c r="CL512" s="142"/>
      <c r="CM512" s="142"/>
      <c r="CN512" s="142"/>
      <c r="CO512" s="142"/>
      <c r="CP512" s="142"/>
      <c r="CQ512" s="142"/>
      <c r="CR512" s="142"/>
      <c r="CS512" s="142"/>
      <c r="CT512" s="142"/>
      <c r="CU512" s="142"/>
      <c r="CV512" s="142"/>
      <c r="CW512" s="142"/>
      <c r="CX512" s="142"/>
      <c r="CY512" s="142"/>
      <c r="CZ512" s="142"/>
      <c r="DA512" s="142"/>
      <c r="DB512" s="142"/>
      <c r="DC512" s="142"/>
      <c r="DD512" s="142"/>
      <c r="DE512" s="142"/>
      <c r="DF512" s="142"/>
      <c r="DG512" s="142"/>
      <c r="DH512" s="142"/>
      <c r="DI512" s="142"/>
      <c r="DJ512" s="142"/>
      <c r="DK512" s="142"/>
      <c r="DL512" s="142"/>
      <c r="DM512" s="142"/>
      <c r="DN512" s="142"/>
      <c r="DO512" s="142"/>
      <c r="DP512" s="142"/>
      <c r="DQ512" s="142"/>
      <c r="DR512" s="142"/>
      <c r="DS512" s="142"/>
      <c r="DT512" s="142"/>
      <c r="DU512" s="142"/>
      <c r="DV512" s="142"/>
      <c r="DW512" s="142"/>
      <c r="DX512" s="142"/>
      <c r="DY512" s="142"/>
      <c r="DZ512" s="142"/>
      <c r="EA512" s="142"/>
      <c r="EB512" s="142"/>
      <c r="EC512" s="142"/>
      <c r="ED512" s="142"/>
      <c r="EE512" s="142"/>
    </row>
    <row r="513" spans="1:135" s="151" customFormat="1" ht="19.5" customHeight="1" x14ac:dyDescent="0.2">
      <c r="A513" s="117">
        <v>512</v>
      </c>
      <c r="B513" s="117" t="s">
        <v>532</v>
      </c>
      <c r="C513" s="117">
        <v>143968</v>
      </c>
      <c r="D513" s="146" t="s">
        <v>533</v>
      </c>
      <c r="E513" s="144" t="s">
        <v>443</v>
      </c>
      <c r="F513" s="146" t="s">
        <v>208</v>
      </c>
      <c r="G513" s="172">
        <v>42444</v>
      </c>
      <c r="H513" s="172">
        <v>41923</v>
      </c>
      <c r="I513" s="172">
        <v>45863</v>
      </c>
      <c r="J513" s="162">
        <f t="shared" si="37"/>
        <v>46593</v>
      </c>
      <c r="K513" s="111">
        <v>46113</v>
      </c>
      <c r="L513" s="111">
        <v>46113</v>
      </c>
      <c r="M513" s="163">
        <f t="shared" si="38"/>
        <v>46844</v>
      </c>
      <c r="N513" s="111">
        <v>42101</v>
      </c>
      <c r="O513" s="111">
        <v>42101</v>
      </c>
      <c r="P513" s="111">
        <v>42101</v>
      </c>
      <c r="Q513" s="165" t="s">
        <v>69</v>
      </c>
      <c r="R513" s="165" t="s">
        <v>69</v>
      </c>
      <c r="S513" s="165" t="s">
        <v>69</v>
      </c>
      <c r="T513" s="112">
        <v>43707</v>
      </c>
      <c r="U513" s="165" t="s">
        <v>69</v>
      </c>
      <c r="V513" s="112">
        <v>43784</v>
      </c>
      <c r="W513" s="165" t="s">
        <v>69</v>
      </c>
      <c r="X513" s="112">
        <v>44519</v>
      </c>
      <c r="Y513" s="112">
        <v>42307</v>
      </c>
      <c r="Z513" s="112">
        <v>44778</v>
      </c>
      <c r="AA513" s="112">
        <v>45674</v>
      </c>
      <c r="AB513" s="166" t="s">
        <v>69</v>
      </c>
      <c r="AC513" s="166" t="s">
        <v>69</v>
      </c>
      <c r="AD513" s="167" t="s">
        <v>70</v>
      </c>
      <c r="AE513" s="167" t="s">
        <v>70</v>
      </c>
      <c r="AF513" s="112">
        <v>45646</v>
      </c>
      <c r="AG513" s="166" t="s">
        <v>69</v>
      </c>
      <c r="AH513" s="167" t="s">
        <v>71</v>
      </c>
      <c r="AI513" s="167" t="s">
        <v>70</v>
      </c>
      <c r="AJ513" s="167" t="s">
        <v>70</v>
      </c>
      <c r="AK513" s="167" t="s">
        <v>70</v>
      </c>
      <c r="AL513" s="166" t="s">
        <v>69</v>
      </c>
      <c r="AM513" s="166"/>
      <c r="AN513" s="166" t="s">
        <v>69</v>
      </c>
      <c r="AO513" s="167" t="s">
        <v>70</v>
      </c>
      <c r="AP513" s="166" t="s">
        <v>69</v>
      </c>
      <c r="AQ513" s="166" t="s">
        <v>69</v>
      </c>
      <c r="AR513" s="94">
        <v>45940</v>
      </c>
      <c r="AS513" s="166" t="s">
        <v>69</v>
      </c>
      <c r="AT513" s="168">
        <v>43571</v>
      </c>
      <c r="AU513" s="166" t="s">
        <v>69</v>
      </c>
      <c r="AV513" s="166" t="s">
        <v>69</v>
      </c>
      <c r="AW513" s="167" t="s">
        <v>70</v>
      </c>
      <c r="AX513" s="167" t="s">
        <v>70</v>
      </c>
      <c r="AY513" s="166" t="s">
        <v>69</v>
      </c>
      <c r="AZ513" s="166" t="s">
        <v>69</v>
      </c>
      <c r="BA513" s="166" t="s">
        <v>69</v>
      </c>
      <c r="BB513" s="167" t="s">
        <v>70</v>
      </c>
      <c r="BC513" s="167" t="s">
        <v>70</v>
      </c>
      <c r="BD513" s="167" t="s">
        <v>70</v>
      </c>
      <c r="BE513" s="167" t="s">
        <v>70</v>
      </c>
      <c r="BF513" s="167" t="s">
        <v>70</v>
      </c>
      <c r="BG513" s="169" t="s">
        <v>70</v>
      </c>
      <c r="BH513" s="169" t="s">
        <v>70</v>
      </c>
      <c r="BI513" s="169" t="s">
        <v>70</v>
      </c>
      <c r="BJ513" s="167" t="s">
        <v>70</v>
      </c>
      <c r="BK513" s="167" t="s">
        <v>70</v>
      </c>
      <c r="BL513" s="167" t="s">
        <v>70</v>
      </c>
      <c r="BM513" s="167" t="s">
        <v>70</v>
      </c>
      <c r="BN513" s="167" t="s">
        <v>70</v>
      </c>
      <c r="BO513" s="167" t="s">
        <v>70</v>
      </c>
      <c r="BP513" s="167" t="s">
        <v>70</v>
      </c>
      <c r="BQ513" s="151">
        <v>0</v>
      </c>
      <c r="BR513" s="142"/>
      <c r="BS513" s="142"/>
      <c r="BT513" s="142"/>
      <c r="BU513" s="142"/>
      <c r="BV513" s="142"/>
      <c r="BW513" s="142"/>
      <c r="BX513" s="142"/>
      <c r="BY513" s="142"/>
      <c r="BZ513" s="142"/>
      <c r="CA513" s="142"/>
      <c r="CB513" s="142"/>
      <c r="CC513" s="142"/>
      <c r="CD513" s="142"/>
      <c r="CE513" s="142"/>
      <c r="CF513" s="142"/>
      <c r="CG513" s="142"/>
      <c r="CH513" s="142"/>
      <c r="CI513" s="142"/>
      <c r="CJ513" s="142"/>
      <c r="CK513" s="142"/>
      <c r="CL513" s="142"/>
      <c r="CM513" s="142"/>
      <c r="CN513" s="142"/>
      <c r="CO513" s="142"/>
      <c r="CP513" s="142"/>
      <c r="CQ513" s="142"/>
      <c r="CR513" s="142"/>
      <c r="CS513" s="142"/>
      <c r="CT513" s="142"/>
      <c r="CU513" s="142"/>
      <c r="CV513" s="142"/>
      <c r="CW513" s="142"/>
      <c r="CX513" s="142"/>
      <c r="CY513" s="142"/>
      <c r="CZ513" s="142"/>
      <c r="DA513" s="142"/>
      <c r="DB513" s="142"/>
      <c r="DC513" s="142"/>
      <c r="DD513" s="142"/>
      <c r="DE513" s="142"/>
      <c r="DF513" s="142"/>
      <c r="DG513" s="142"/>
      <c r="DH513" s="142"/>
      <c r="DI513" s="142"/>
      <c r="DJ513" s="142"/>
      <c r="DK513" s="142"/>
      <c r="DL513" s="142"/>
      <c r="DM513" s="142"/>
      <c r="DN513" s="142"/>
      <c r="DO513" s="142"/>
      <c r="DP513" s="142"/>
      <c r="DQ513" s="142"/>
      <c r="DR513" s="142"/>
      <c r="DS513" s="142"/>
      <c r="DT513" s="142"/>
      <c r="DU513" s="142"/>
      <c r="DV513" s="142"/>
      <c r="DW513" s="142"/>
      <c r="DX513" s="142"/>
      <c r="DY513" s="142"/>
      <c r="DZ513" s="142"/>
      <c r="EA513" s="142"/>
      <c r="EB513" s="142"/>
      <c r="EC513" s="142"/>
      <c r="ED513" s="142"/>
      <c r="EE513" s="142"/>
    </row>
    <row r="514" spans="1:135" s="151" customFormat="1" ht="19.5" customHeight="1" x14ac:dyDescent="0.2">
      <c r="A514" s="117">
        <v>513</v>
      </c>
      <c r="B514" s="117" t="s">
        <v>517</v>
      </c>
      <c r="C514" s="144">
        <v>143956</v>
      </c>
      <c r="D514" s="117" t="s">
        <v>73</v>
      </c>
      <c r="E514" s="144" t="s">
        <v>443</v>
      </c>
      <c r="F514" s="146" t="s">
        <v>208</v>
      </c>
      <c r="G514" s="172">
        <v>42444</v>
      </c>
      <c r="H514" s="172">
        <v>41873</v>
      </c>
      <c r="I514" s="172">
        <v>46147</v>
      </c>
      <c r="J514" s="162">
        <f t="shared" si="37"/>
        <v>46878</v>
      </c>
      <c r="K514" s="111">
        <v>42262</v>
      </c>
      <c r="L514" s="111">
        <v>45917</v>
      </c>
      <c r="M514" s="163">
        <f t="shared" si="38"/>
        <v>46647</v>
      </c>
      <c r="N514" s="112">
        <v>41870</v>
      </c>
      <c r="O514" s="112">
        <v>41872</v>
      </c>
      <c r="P514" s="112">
        <v>41871</v>
      </c>
      <c r="Q514" s="166" t="s">
        <v>69</v>
      </c>
      <c r="R514" s="166" t="s">
        <v>69</v>
      </c>
      <c r="S514" s="166" t="s">
        <v>69</v>
      </c>
      <c r="T514" s="168">
        <v>43812</v>
      </c>
      <c r="U514" s="166" t="s">
        <v>69</v>
      </c>
      <c r="V514" s="168">
        <v>46080</v>
      </c>
      <c r="W514" s="166" t="s">
        <v>69</v>
      </c>
      <c r="X514" s="168">
        <v>42360</v>
      </c>
      <c r="Y514" s="168">
        <v>42258</v>
      </c>
      <c r="Z514" s="166" t="s">
        <v>69</v>
      </c>
      <c r="AA514" s="94">
        <v>45695</v>
      </c>
      <c r="AB514" s="166" t="s">
        <v>69</v>
      </c>
      <c r="AC514" s="94">
        <v>42166</v>
      </c>
      <c r="AD514" s="167" t="s">
        <v>71</v>
      </c>
      <c r="AE514" s="167" t="s">
        <v>70</v>
      </c>
      <c r="AF514" s="112">
        <v>45646</v>
      </c>
      <c r="AG514" s="112" t="s">
        <v>69</v>
      </c>
      <c r="AH514" s="167" t="s">
        <v>71</v>
      </c>
      <c r="AI514" s="167" t="s">
        <v>70</v>
      </c>
      <c r="AJ514" s="167" t="s">
        <v>70</v>
      </c>
      <c r="AK514" s="167" t="s">
        <v>70</v>
      </c>
      <c r="AL514" s="166" t="s">
        <v>69</v>
      </c>
      <c r="AM514" s="166"/>
      <c r="AN514" s="166" t="s">
        <v>69</v>
      </c>
      <c r="AO514" s="167" t="s">
        <v>70</v>
      </c>
      <c r="AP514" s="166" t="s">
        <v>69</v>
      </c>
      <c r="AQ514" s="166" t="s">
        <v>69</v>
      </c>
      <c r="AR514" s="168">
        <v>46220</v>
      </c>
      <c r="AS514" s="166" t="s">
        <v>69</v>
      </c>
      <c r="AT514" s="164">
        <v>43571</v>
      </c>
      <c r="AU514" s="166" t="s">
        <v>69</v>
      </c>
      <c r="AV514" s="166" t="s">
        <v>69</v>
      </c>
      <c r="AW514" s="166" t="s">
        <v>69</v>
      </c>
      <c r="AX514" s="166" t="s">
        <v>69</v>
      </c>
      <c r="AY514" s="166" t="s">
        <v>69</v>
      </c>
      <c r="AZ514" s="166" t="s">
        <v>69</v>
      </c>
      <c r="BA514" s="166" t="s">
        <v>69</v>
      </c>
      <c r="BB514" s="166" t="s">
        <v>69</v>
      </c>
      <c r="BC514" s="166" t="s">
        <v>69</v>
      </c>
      <c r="BD514" s="166" t="s">
        <v>69</v>
      </c>
      <c r="BE514" s="166" t="s">
        <v>69</v>
      </c>
      <c r="BF514" s="166" t="s">
        <v>69</v>
      </c>
      <c r="BG514" s="167" t="s">
        <v>70</v>
      </c>
      <c r="BH514" s="166" t="s">
        <v>69</v>
      </c>
      <c r="BI514" s="166" t="s">
        <v>69</v>
      </c>
      <c r="BJ514" s="167" t="s">
        <v>70</v>
      </c>
      <c r="BK514" s="166" t="s">
        <v>69</v>
      </c>
      <c r="BL514" s="167" t="s">
        <v>70</v>
      </c>
      <c r="BM514" s="167" t="s">
        <v>70</v>
      </c>
      <c r="BN514" s="167" t="s">
        <v>70</v>
      </c>
      <c r="BO514" s="167" t="s">
        <v>70</v>
      </c>
      <c r="BP514" s="167" t="s">
        <v>70</v>
      </c>
      <c r="BQ514" s="151">
        <v>0</v>
      </c>
      <c r="BR514" s="142"/>
      <c r="BS514" s="142"/>
      <c r="BT514" s="142"/>
      <c r="BU514" s="142"/>
      <c r="BV514" s="142"/>
      <c r="BW514" s="142"/>
      <c r="BX514" s="142"/>
      <c r="BY514" s="142"/>
      <c r="BZ514" s="142"/>
      <c r="CA514" s="142"/>
      <c r="CB514" s="142"/>
      <c r="CC514" s="142"/>
      <c r="CD514" s="142"/>
      <c r="CE514" s="142"/>
      <c r="CF514" s="142"/>
      <c r="CG514" s="142"/>
      <c r="CH514" s="142"/>
      <c r="CI514" s="142"/>
      <c r="CJ514" s="142"/>
      <c r="CK514" s="142"/>
      <c r="CL514" s="142"/>
      <c r="CM514" s="142"/>
      <c r="CN514" s="142"/>
      <c r="CO514" s="142"/>
      <c r="CP514" s="142"/>
      <c r="CQ514" s="142"/>
      <c r="CR514" s="142"/>
      <c r="CS514" s="142"/>
      <c r="CT514" s="142"/>
      <c r="CU514" s="142"/>
      <c r="CV514" s="142"/>
      <c r="CW514" s="142"/>
      <c r="CX514" s="142"/>
      <c r="CY514" s="142"/>
      <c r="CZ514" s="142"/>
      <c r="DA514" s="142"/>
      <c r="DB514" s="142"/>
      <c r="DC514" s="142"/>
      <c r="DD514" s="142"/>
      <c r="DE514" s="142"/>
      <c r="DF514" s="142"/>
      <c r="DG514" s="142"/>
      <c r="DH514" s="142"/>
      <c r="DI514" s="142"/>
      <c r="DJ514" s="142"/>
      <c r="DK514" s="142"/>
      <c r="DL514" s="142"/>
      <c r="DM514" s="142"/>
      <c r="DN514" s="142"/>
      <c r="DO514" s="142"/>
      <c r="DP514" s="142"/>
      <c r="DQ514" s="142"/>
      <c r="DR514" s="142"/>
      <c r="DS514" s="142"/>
      <c r="DT514" s="142"/>
      <c r="DU514" s="142"/>
      <c r="DV514" s="142"/>
      <c r="DW514" s="142"/>
      <c r="DX514" s="142"/>
      <c r="DY514" s="142"/>
      <c r="DZ514" s="142"/>
      <c r="EA514" s="142"/>
      <c r="EB514" s="142"/>
      <c r="EC514" s="142"/>
      <c r="ED514" s="142"/>
      <c r="EE514" s="142"/>
    </row>
    <row r="515" spans="1:135" s="151" customFormat="1" ht="19.5" customHeight="1" x14ac:dyDescent="0.2">
      <c r="A515" s="117">
        <v>514</v>
      </c>
      <c r="B515" s="117" t="s">
        <v>518</v>
      </c>
      <c r="C515" s="117">
        <v>83123140</v>
      </c>
      <c r="D515" s="117" t="s">
        <v>73</v>
      </c>
      <c r="E515" s="144" t="s">
        <v>443</v>
      </c>
      <c r="F515" s="146" t="s">
        <v>208</v>
      </c>
      <c r="G515" s="162">
        <v>42397</v>
      </c>
      <c r="H515" s="162">
        <v>41402</v>
      </c>
      <c r="I515" s="162">
        <v>45867</v>
      </c>
      <c r="J515" s="162">
        <f t="shared" si="37"/>
        <v>46597</v>
      </c>
      <c r="K515" s="111">
        <v>42053</v>
      </c>
      <c r="L515" s="111">
        <v>46090</v>
      </c>
      <c r="M515" s="163">
        <f t="shared" si="38"/>
        <v>46821</v>
      </c>
      <c r="N515" s="111">
        <v>41199</v>
      </c>
      <c r="O515" s="111">
        <v>41201</v>
      </c>
      <c r="P515" s="111">
        <v>41123</v>
      </c>
      <c r="Q515" s="166" t="s">
        <v>69</v>
      </c>
      <c r="R515" s="166" t="s">
        <v>69</v>
      </c>
      <c r="S515" s="166" t="s">
        <v>69</v>
      </c>
      <c r="T515" s="168">
        <v>43476</v>
      </c>
      <c r="U515" s="168">
        <v>43651</v>
      </c>
      <c r="V515" s="166" t="s">
        <v>69</v>
      </c>
      <c r="W515" s="166" t="s">
        <v>69</v>
      </c>
      <c r="X515" s="168">
        <v>43840</v>
      </c>
      <c r="Y515" s="168">
        <v>42258</v>
      </c>
      <c r="Z515" s="168">
        <v>42702</v>
      </c>
      <c r="AA515" s="168">
        <v>45800</v>
      </c>
      <c r="AB515" s="166" t="s">
        <v>69</v>
      </c>
      <c r="AC515" s="166" t="s">
        <v>69</v>
      </c>
      <c r="AD515" s="167" t="s">
        <v>71</v>
      </c>
      <c r="AE515" s="167" t="s">
        <v>70</v>
      </c>
      <c r="AF515" s="112">
        <v>45646</v>
      </c>
      <c r="AG515" s="112" t="s">
        <v>69</v>
      </c>
      <c r="AH515" s="167" t="s">
        <v>71</v>
      </c>
      <c r="AI515" s="167" t="s">
        <v>70</v>
      </c>
      <c r="AJ515" s="167" t="s">
        <v>70</v>
      </c>
      <c r="AK515" s="167" t="s">
        <v>70</v>
      </c>
      <c r="AL515" s="166" t="s">
        <v>69</v>
      </c>
      <c r="AM515" s="166"/>
      <c r="AN515" s="166" t="s">
        <v>69</v>
      </c>
      <c r="AO515" s="167" t="s">
        <v>70</v>
      </c>
      <c r="AP515" s="168" t="s">
        <v>69</v>
      </c>
      <c r="AQ515" s="166" t="s">
        <v>69</v>
      </c>
      <c r="AR515" s="168">
        <v>46276</v>
      </c>
      <c r="AS515" s="166" t="s">
        <v>69</v>
      </c>
      <c r="AT515" s="94">
        <v>43571</v>
      </c>
      <c r="AU515" s="166" t="s">
        <v>69</v>
      </c>
      <c r="AV515" s="166" t="s">
        <v>69</v>
      </c>
      <c r="AW515" s="166" t="s">
        <v>69</v>
      </c>
      <c r="AX515" s="166" t="s">
        <v>69</v>
      </c>
      <c r="AY515" s="166" t="s">
        <v>69</v>
      </c>
      <c r="AZ515" s="166" t="s">
        <v>69</v>
      </c>
      <c r="BA515" s="166" t="s">
        <v>69</v>
      </c>
      <c r="BB515" s="166" t="s">
        <v>69</v>
      </c>
      <c r="BC515" s="166" t="s">
        <v>69</v>
      </c>
      <c r="BD515" s="166" t="s">
        <v>69</v>
      </c>
      <c r="BE515" s="166" t="s">
        <v>69</v>
      </c>
      <c r="BF515" s="166" t="s">
        <v>69</v>
      </c>
      <c r="BG515" s="167" t="s">
        <v>70</v>
      </c>
      <c r="BH515" s="166" t="s">
        <v>69</v>
      </c>
      <c r="BI515" s="166" t="s">
        <v>69</v>
      </c>
      <c r="BJ515" s="167" t="s">
        <v>70</v>
      </c>
      <c r="BK515" s="166" t="s">
        <v>69</v>
      </c>
      <c r="BL515" s="167" t="s">
        <v>70</v>
      </c>
      <c r="BM515" s="167" t="s">
        <v>70</v>
      </c>
      <c r="BN515" s="167" t="s">
        <v>70</v>
      </c>
      <c r="BO515" s="167" t="s">
        <v>70</v>
      </c>
      <c r="BP515" s="167" t="s">
        <v>70</v>
      </c>
      <c r="BQ515" s="151">
        <v>0</v>
      </c>
      <c r="BR515" s="142"/>
      <c r="BS515" s="142"/>
      <c r="BT515" s="142"/>
      <c r="BU515" s="142"/>
      <c r="BV515" s="142"/>
      <c r="BW515" s="142"/>
      <c r="BX515" s="142"/>
      <c r="BY515" s="142"/>
      <c r="BZ515" s="142"/>
      <c r="CA515" s="142"/>
      <c r="CB515" s="142"/>
      <c r="CC515" s="142"/>
      <c r="CD515" s="142"/>
      <c r="CE515" s="142"/>
      <c r="CF515" s="142"/>
      <c r="CG515" s="142"/>
      <c r="CH515" s="142"/>
      <c r="CI515" s="142"/>
      <c r="CJ515" s="142"/>
      <c r="CK515" s="142"/>
      <c r="CL515" s="142"/>
      <c r="CM515" s="142"/>
      <c r="CN515" s="142"/>
      <c r="CO515" s="142"/>
      <c r="CP515" s="142"/>
      <c r="CQ515" s="142"/>
      <c r="CR515" s="142"/>
      <c r="CS515" s="142"/>
      <c r="CT515" s="142"/>
      <c r="CU515" s="142"/>
      <c r="CV515" s="142"/>
      <c r="CW515" s="142"/>
      <c r="CX515" s="142"/>
      <c r="CY515" s="142"/>
      <c r="CZ515" s="142"/>
      <c r="DA515" s="142"/>
      <c r="DB515" s="142"/>
      <c r="DC515" s="142"/>
      <c r="DD515" s="142"/>
      <c r="DE515" s="142"/>
      <c r="DF515" s="142"/>
      <c r="DG515" s="142"/>
      <c r="DH515" s="142"/>
      <c r="DI515" s="142"/>
      <c r="DJ515" s="142"/>
      <c r="DK515" s="142"/>
      <c r="DL515" s="142"/>
      <c r="DM515" s="142"/>
      <c r="DN515" s="142"/>
      <c r="DO515" s="142"/>
      <c r="DP515" s="142"/>
      <c r="DQ515" s="142"/>
      <c r="DR515" s="142"/>
      <c r="DS515" s="142"/>
      <c r="DT515" s="142"/>
      <c r="DU515" s="142"/>
      <c r="DV515" s="142"/>
      <c r="DW515" s="142"/>
      <c r="DX515" s="142"/>
      <c r="DY515" s="142"/>
      <c r="DZ515" s="142"/>
      <c r="EA515" s="142"/>
      <c r="EB515" s="142"/>
      <c r="EC515" s="142"/>
      <c r="ED515" s="142"/>
      <c r="EE515" s="142"/>
    </row>
    <row r="516" spans="1:135" s="151" customFormat="1" ht="19.5" customHeight="1" x14ac:dyDescent="0.2">
      <c r="A516" s="117">
        <v>515</v>
      </c>
      <c r="B516" s="117" t="s">
        <v>520</v>
      </c>
      <c r="C516" s="144">
        <v>83123143</v>
      </c>
      <c r="D516" s="117" t="s">
        <v>73</v>
      </c>
      <c r="E516" s="144" t="s">
        <v>443</v>
      </c>
      <c r="F516" s="146" t="s">
        <v>208</v>
      </c>
      <c r="G516" s="172">
        <v>42271</v>
      </c>
      <c r="H516" s="172">
        <v>42445</v>
      </c>
      <c r="I516" s="172">
        <v>46147</v>
      </c>
      <c r="J516" s="162">
        <f t="shared" si="37"/>
        <v>46878</v>
      </c>
      <c r="K516" s="111">
        <v>44547</v>
      </c>
      <c r="L516" s="111">
        <v>46113</v>
      </c>
      <c r="M516" s="163">
        <f t="shared" si="38"/>
        <v>46844</v>
      </c>
      <c r="N516" s="111">
        <v>41124</v>
      </c>
      <c r="O516" s="111">
        <v>41124</v>
      </c>
      <c r="P516" s="111">
        <v>41124</v>
      </c>
      <c r="Q516" s="166" t="s">
        <v>69</v>
      </c>
      <c r="R516" s="166" t="s">
        <v>69</v>
      </c>
      <c r="S516" s="166" t="s">
        <v>69</v>
      </c>
      <c r="T516" s="166" t="s">
        <v>69</v>
      </c>
      <c r="U516" s="168">
        <v>42506</v>
      </c>
      <c r="V516" s="168">
        <v>44785</v>
      </c>
      <c r="W516" s="166" t="s">
        <v>69</v>
      </c>
      <c r="X516" s="168">
        <v>45723</v>
      </c>
      <c r="Y516" s="168">
        <v>42083</v>
      </c>
      <c r="Z516" s="168">
        <v>43910</v>
      </c>
      <c r="AA516" s="94">
        <v>45723</v>
      </c>
      <c r="AB516" s="166" t="s">
        <v>69</v>
      </c>
      <c r="AC516" s="94">
        <v>42055</v>
      </c>
      <c r="AD516" s="167" t="s">
        <v>71</v>
      </c>
      <c r="AE516" s="167" t="s">
        <v>70</v>
      </c>
      <c r="AF516" s="112">
        <v>45646</v>
      </c>
      <c r="AG516" s="112" t="s">
        <v>69</v>
      </c>
      <c r="AH516" s="167" t="s">
        <v>71</v>
      </c>
      <c r="AI516" s="167" t="s">
        <v>70</v>
      </c>
      <c r="AJ516" s="167" t="s">
        <v>70</v>
      </c>
      <c r="AK516" s="167" t="s">
        <v>70</v>
      </c>
      <c r="AL516" s="166" t="s">
        <v>69</v>
      </c>
      <c r="AM516" s="166"/>
      <c r="AN516" s="166" t="s">
        <v>69</v>
      </c>
      <c r="AO516" s="167" t="s">
        <v>70</v>
      </c>
      <c r="AP516" s="166" t="s">
        <v>69</v>
      </c>
      <c r="AQ516" s="166" t="s">
        <v>69</v>
      </c>
      <c r="AR516" s="166" t="s">
        <v>69</v>
      </c>
      <c r="AS516" s="166" t="s">
        <v>69</v>
      </c>
      <c r="AT516" s="166" t="s">
        <v>69</v>
      </c>
      <c r="AU516" s="166" t="s">
        <v>69</v>
      </c>
      <c r="AV516" s="166" t="s">
        <v>69</v>
      </c>
      <c r="AW516" s="166" t="s">
        <v>69</v>
      </c>
      <c r="AX516" s="166" t="s">
        <v>69</v>
      </c>
      <c r="AY516" s="166" t="s">
        <v>69</v>
      </c>
      <c r="AZ516" s="166" t="s">
        <v>69</v>
      </c>
      <c r="BA516" s="166" t="s">
        <v>69</v>
      </c>
      <c r="BB516" s="166" t="s">
        <v>69</v>
      </c>
      <c r="BC516" s="166" t="s">
        <v>69</v>
      </c>
      <c r="BD516" s="166" t="s">
        <v>69</v>
      </c>
      <c r="BE516" s="166" t="s">
        <v>69</v>
      </c>
      <c r="BF516" s="166" t="s">
        <v>69</v>
      </c>
      <c r="BG516" s="167" t="s">
        <v>70</v>
      </c>
      <c r="BH516" s="166" t="s">
        <v>69</v>
      </c>
      <c r="BI516" s="166" t="s">
        <v>69</v>
      </c>
      <c r="BJ516" s="167" t="s">
        <v>70</v>
      </c>
      <c r="BK516" s="166" t="s">
        <v>69</v>
      </c>
      <c r="BL516" s="167" t="s">
        <v>70</v>
      </c>
      <c r="BM516" s="167" t="s">
        <v>70</v>
      </c>
      <c r="BN516" s="167" t="s">
        <v>70</v>
      </c>
      <c r="BO516" s="167" t="s">
        <v>70</v>
      </c>
      <c r="BP516" s="167" t="s">
        <v>70</v>
      </c>
      <c r="BQ516" s="151">
        <v>0</v>
      </c>
      <c r="BR516" s="142"/>
      <c r="BS516" s="142"/>
      <c r="BT516" s="142"/>
      <c r="BU516" s="142"/>
      <c r="BV516" s="142"/>
      <c r="BW516" s="142"/>
      <c r="BX516" s="142"/>
      <c r="BY516" s="142"/>
      <c r="BZ516" s="142"/>
      <c r="CA516" s="142"/>
      <c r="CB516" s="142"/>
      <c r="CC516" s="142"/>
      <c r="CD516" s="142"/>
      <c r="CE516" s="142"/>
      <c r="CF516" s="142"/>
      <c r="CG516" s="142"/>
      <c r="CH516" s="142"/>
      <c r="CI516" s="142"/>
      <c r="CJ516" s="142"/>
      <c r="CK516" s="142"/>
      <c r="CL516" s="142"/>
      <c r="CM516" s="142"/>
      <c r="CN516" s="142"/>
      <c r="CO516" s="142"/>
      <c r="CP516" s="142"/>
      <c r="CQ516" s="142"/>
      <c r="CR516" s="142"/>
      <c r="CS516" s="142"/>
      <c r="CT516" s="142"/>
      <c r="CU516" s="142"/>
      <c r="CV516" s="142"/>
      <c r="CW516" s="142"/>
      <c r="CX516" s="142"/>
      <c r="CY516" s="142"/>
      <c r="CZ516" s="142"/>
      <c r="DA516" s="142"/>
      <c r="DB516" s="142"/>
      <c r="DC516" s="142"/>
      <c r="DD516" s="142"/>
      <c r="DE516" s="142"/>
      <c r="DF516" s="142"/>
      <c r="DG516" s="142"/>
      <c r="DH516" s="142"/>
      <c r="DI516" s="142"/>
      <c r="DJ516" s="142"/>
      <c r="DK516" s="142"/>
      <c r="DL516" s="142"/>
      <c r="DM516" s="142"/>
      <c r="DN516" s="142"/>
      <c r="DO516" s="142"/>
      <c r="DP516" s="142"/>
      <c r="DQ516" s="142"/>
      <c r="DR516" s="142"/>
      <c r="DS516" s="142"/>
      <c r="DT516" s="142"/>
      <c r="DU516" s="142"/>
      <c r="DV516" s="142"/>
      <c r="DW516" s="142"/>
      <c r="DX516" s="142"/>
      <c r="DY516" s="142"/>
      <c r="DZ516" s="142"/>
      <c r="EA516" s="142"/>
      <c r="EB516" s="142"/>
      <c r="EC516" s="142"/>
      <c r="ED516" s="142"/>
      <c r="EE516" s="142"/>
    </row>
    <row r="517" spans="1:135" s="151" customFormat="1" ht="19.5" customHeight="1" x14ac:dyDescent="0.2">
      <c r="A517" s="117">
        <v>516</v>
      </c>
      <c r="B517" s="161" t="s">
        <v>522</v>
      </c>
      <c r="C517" s="159">
        <v>83123160</v>
      </c>
      <c r="D517" s="171" t="s">
        <v>523</v>
      </c>
      <c r="E517" s="144" t="s">
        <v>443</v>
      </c>
      <c r="F517" s="146" t="s">
        <v>208</v>
      </c>
      <c r="G517" s="172">
        <v>42193</v>
      </c>
      <c r="H517" s="172">
        <v>41951</v>
      </c>
      <c r="I517" s="172">
        <v>45866</v>
      </c>
      <c r="J517" s="162">
        <f t="shared" si="37"/>
        <v>46596</v>
      </c>
      <c r="K517" s="111">
        <v>42053</v>
      </c>
      <c r="L517" s="111">
        <v>46134</v>
      </c>
      <c r="M517" s="163">
        <f t="shared" si="38"/>
        <v>46865</v>
      </c>
      <c r="N517" s="111">
        <v>41124</v>
      </c>
      <c r="O517" s="111">
        <v>41124</v>
      </c>
      <c r="P517" s="111">
        <v>41124</v>
      </c>
      <c r="Q517" s="165" t="s">
        <v>69</v>
      </c>
      <c r="R517" s="165" t="s">
        <v>69</v>
      </c>
      <c r="S517" s="165" t="s">
        <v>69</v>
      </c>
      <c r="T517" s="112">
        <v>42814</v>
      </c>
      <c r="U517" s="165" t="s">
        <v>69</v>
      </c>
      <c r="V517" s="112">
        <v>44512</v>
      </c>
      <c r="W517" s="165" t="s">
        <v>69</v>
      </c>
      <c r="X517" s="112">
        <v>42345</v>
      </c>
      <c r="Y517" s="112">
        <v>42143</v>
      </c>
      <c r="Z517" s="112">
        <v>44484</v>
      </c>
      <c r="AA517" s="94">
        <v>45772</v>
      </c>
      <c r="AB517" s="166" t="s">
        <v>69</v>
      </c>
      <c r="AC517" s="166" t="s">
        <v>69</v>
      </c>
      <c r="AD517" s="167" t="s">
        <v>70</v>
      </c>
      <c r="AE517" s="167" t="s">
        <v>70</v>
      </c>
      <c r="AF517" s="112">
        <v>45643</v>
      </c>
      <c r="AG517" s="164">
        <v>44582</v>
      </c>
      <c r="AH517" s="167" t="s">
        <v>71</v>
      </c>
      <c r="AI517" s="167" t="s">
        <v>70</v>
      </c>
      <c r="AJ517" s="167" t="s">
        <v>70</v>
      </c>
      <c r="AK517" s="167" t="s">
        <v>70</v>
      </c>
      <c r="AL517" s="166" t="s">
        <v>69</v>
      </c>
      <c r="AM517" s="166"/>
      <c r="AN517" s="168" t="s">
        <v>69</v>
      </c>
      <c r="AO517" s="167" t="s">
        <v>70</v>
      </c>
      <c r="AP517" s="166" t="s">
        <v>69</v>
      </c>
      <c r="AQ517" s="166" t="s">
        <v>69</v>
      </c>
      <c r="AR517" s="168">
        <v>46090</v>
      </c>
      <c r="AS517" s="166" t="s">
        <v>69</v>
      </c>
      <c r="AT517" s="166" t="s">
        <v>69</v>
      </c>
      <c r="AU517" s="166" t="s">
        <v>69</v>
      </c>
      <c r="AV517" s="166" t="s">
        <v>69</v>
      </c>
      <c r="AW517" s="167" t="s">
        <v>70</v>
      </c>
      <c r="AX517" s="167" t="s">
        <v>70</v>
      </c>
      <c r="AY517" s="166" t="s">
        <v>69</v>
      </c>
      <c r="AZ517" s="166" t="s">
        <v>69</v>
      </c>
      <c r="BA517" s="166" t="s">
        <v>69</v>
      </c>
      <c r="BB517" s="167" t="s">
        <v>70</v>
      </c>
      <c r="BC517" s="167" t="s">
        <v>70</v>
      </c>
      <c r="BD517" s="167" t="s">
        <v>70</v>
      </c>
      <c r="BE517" s="167" t="s">
        <v>70</v>
      </c>
      <c r="BF517" s="167" t="s">
        <v>70</v>
      </c>
      <c r="BG517" s="169" t="s">
        <v>70</v>
      </c>
      <c r="BH517" s="169" t="s">
        <v>70</v>
      </c>
      <c r="BI517" s="169" t="s">
        <v>70</v>
      </c>
      <c r="BJ517" s="167" t="s">
        <v>70</v>
      </c>
      <c r="BK517" s="167" t="s">
        <v>70</v>
      </c>
      <c r="BL517" s="167" t="s">
        <v>70</v>
      </c>
      <c r="BM517" s="167" t="s">
        <v>70</v>
      </c>
      <c r="BN517" s="167" t="s">
        <v>70</v>
      </c>
      <c r="BO517" s="167" t="s">
        <v>70</v>
      </c>
      <c r="BP517" s="167" t="s">
        <v>70</v>
      </c>
      <c r="BQ517" s="151">
        <v>0</v>
      </c>
      <c r="BR517" s="142"/>
      <c r="BS517" s="142"/>
      <c r="BT517" s="142"/>
      <c r="BU517" s="142"/>
      <c r="BV517" s="142"/>
      <c r="BW517" s="142"/>
      <c r="BX517" s="142"/>
      <c r="BY517" s="142"/>
      <c r="BZ517" s="142"/>
      <c r="CA517" s="142"/>
      <c r="CB517" s="142"/>
      <c r="CC517" s="142"/>
      <c r="CD517" s="142"/>
      <c r="CE517" s="142"/>
      <c r="CF517" s="142"/>
      <c r="CG517" s="142"/>
      <c r="CH517" s="142"/>
      <c r="CI517" s="142"/>
      <c r="CJ517" s="142"/>
      <c r="CK517" s="142"/>
      <c r="CL517" s="142"/>
      <c r="CM517" s="142"/>
      <c r="CN517" s="142"/>
      <c r="CO517" s="142"/>
      <c r="CP517" s="142"/>
      <c r="CQ517" s="142"/>
      <c r="CR517" s="142"/>
      <c r="CS517" s="142"/>
      <c r="CT517" s="142"/>
      <c r="CU517" s="142"/>
      <c r="CV517" s="142"/>
      <c r="CW517" s="142"/>
      <c r="CX517" s="142"/>
      <c r="CY517" s="142"/>
      <c r="CZ517" s="142"/>
      <c r="DA517" s="142"/>
      <c r="DB517" s="142"/>
      <c r="DC517" s="142"/>
      <c r="DD517" s="142"/>
      <c r="DE517" s="142"/>
      <c r="DF517" s="142"/>
      <c r="DG517" s="142"/>
      <c r="DH517" s="142"/>
      <c r="DI517" s="142"/>
      <c r="DJ517" s="142"/>
      <c r="DK517" s="142"/>
      <c r="DL517" s="142"/>
      <c r="DM517" s="142"/>
      <c r="DN517" s="142"/>
      <c r="DO517" s="142"/>
      <c r="DP517" s="142"/>
      <c r="DQ517" s="142"/>
      <c r="DR517" s="142"/>
      <c r="DS517" s="142"/>
      <c r="DT517" s="142"/>
      <c r="DU517" s="142"/>
      <c r="DV517" s="142"/>
      <c r="DW517" s="142"/>
      <c r="DX517" s="142"/>
      <c r="DY517" s="142"/>
      <c r="DZ517" s="142"/>
      <c r="EA517" s="142"/>
      <c r="EB517" s="142"/>
      <c r="EC517" s="142"/>
      <c r="ED517" s="142"/>
      <c r="EE517" s="142"/>
    </row>
    <row r="518" spans="1:135" s="151" customFormat="1" ht="19.5" customHeight="1" x14ac:dyDescent="0.2">
      <c r="A518" s="117">
        <v>517</v>
      </c>
      <c r="B518" s="117" t="s">
        <v>743</v>
      </c>
      <c r="C518" s="117">
        <v>222340</v>
      </c>
      <c r="D518" s="117" t="s">
        <v>73</v>
      </c>
      <c r="E518" s="144" t="s">
        <v>443</v>
      </c>
      <c r="F518" s="146" t="s">
        <v>208</v>
      </c>
      <c r="G518" s="172">
        <v>42111</v>
      </c>
      <c r="H518" s="172">
        <v>41407</v>
      </c>
      <c r="I518" s="172">
        <v>45994</v>
      </c>
      <c r="J518" s="162">
        <f t="shared" si="37"/>
        <v>46724</v>
      </c>
      <c r="K518" s="111">
        <v>42124</v>
      </c>
      <c r="L518" s="111">
        <v>45722</v>
      </c>
      <c r="M518" s="163">
        <f t="shared" si="38"/>
        <v>46452</v>
      </c>
      <c r="N518" s="28">
        <v>40471</v>
      </c>
      <c r="O518" s="28">
        <v>42703</v>
      </c>
      <c r="P518" s="28">
        <v>44670</v>
      </c>
      <c r="Q518" s="166" t="s">
        <v>69</v>
      </c>
      <c r="R518" s="166" t="s">
        <v>69</v>
      </c>
      <c r="S518" s="166" t="s">
        <v>69</v>
      </c>
      <c r="T518" s="166" t="s">
        <v>69</v>
      </c>
      <c r="U518" s="168">
        <v>42804</v>
      </c>
      <c r="V518" s="166" t="s">
        <v>69</v>
      </c>
      <c r="W518" s="166" t="s">
        <v>69</v>
      </c>
      <c r="X518" s="168">
        <v>44309</v>
      </c>
      <c r="Y518" s="168">
        <v>43854</v>
      </c>
      <c r="Z518" s="166" t="s">
        <v>69</v>
      </c>
      <c r="AA518" s="94">
        <v>45723</v>
      </c>
      <c r="AB518" s="166" t="s">
        <v>69</v>
      </c>
      <c r="AC518" s="166" t="s">
        <v>69</v>
      </c>
      <c r="AD518" s="167" t="s">
        <v>71</v>
      </c>
      <c r="AE518" s="167" t="s">
        <v>70</v>
      </c>
      <c r="AF518" s="112">
        <v>45643</v>
      </c>
      <c r="AG518" s="112" t="s">
        <v>69</v>
      </c>
      <c r="AH518" s="167" t="s">
        <v>71</v>
      </c>
      <c r="AI518" s="167" t="s">
        <v>70</v>
      </c>
      <c r="AJ518" s="167" t="s">
        <v>70</v>
      </c>
      <c r="AK518" s="167" t="s">
        <v>70</v>
      </c>
      <c r="AL518" s="166" t="s">
        <v>69</v>
      </c>
      <c r="AM518" s="166"/>
      <c r="AN518" s="166" t="s">
        <v>69</v>
      </c>
      <c r="AO518" s="167" t="s">
        <v>70</v>
      </c>
      <c r="AP518" s="166" t="s">
        <v>69</v>
      </c>
      <c r="AQ518" s="166" t="s">
        <v>69</v>
      </c>
      <c r="AR518" s="166" t="s">
        <v>69</v>
      </c>
      <c r="AS518" s="166" t="s">
        <v>69</v>
      </c>
      <c r="AT518" s="166" t="s">
        <v>69</v>
      </c>
      <c r="AU518" s="166" t="s">
        <v>69</v>
      </c>
      <c r="AV518" s="166" t="s">
        <v>69</v>
      </c>
      <c r="AW518" s="166" t="s">
        <v>69</v>
      </c>
      <c r="AX518" s="166" t="s">
        <v>69</v>
      </c>
      <c r="AY518" s="166" t="s">
        <v>69</v>
      </c>
      <c r="AZ518" s="166" t="s">
        <v>69</v>
      </c>
      <c r="BA518" s="166" t="s">
        <v>69</v>
      </c>
      <c r="BB518" s="166" t="s">
        <v>69</v>
      </c>
      <c r="BC518" s="166" t="s">
        <v>69</v>
      </c>
      <c r="BD518" s="166" t="s">
        <v>69</v>
      </c>
      <c r="BE518" s="166" t="s">
        <v>69</v>
      </c>
      <c r="BF518" s="166" t="s">
        <v>69</v>
      </c>
      <c r="BG518" s="167" t="s">
        <v>70</v>
      </c>
      <c r="BH518" s="166" t="s">
        <v>69</v>
      </c>
      <c r="BI518" s="166" t="s">
        <v>69</v>
      </c>
      <c r="BJ518" s="167" t="s">
        <v>70</v>
      </c>
      <c r="BK518" s="166" t="s">
        <v>69</v>
      </c>
      <c r="BL518" s="167" t="s">
        <v>70</v>
      </c>
      <c r="BM518" s="167" t="s">
        <v>70</v>
      </c>
      <c r="BN518" s="167" t="s">
        <v>70</v>
      </c>
      <c r="BO518" s="167" t="s">
        <v>70</v>
      </c>
      <c r="BP518" s="167" t="s">
        <v>70</v>
      </c>
      <c r="BQ518" s="151">
        <v>0</v>
      </c>
      <c r="BR518" s="142"/>
      <c r="BS518" s="142"/>
      <c r="BT518" s="142"/>
      <c r="BU518" s="142"/>
      <c r="BV518" s="142"/>
      <c r="BW518" s="142"/>
      <c r="BX518" s="142"/>
      <c r="BY518" s="142"/>
      <c r="BZ518" s="142"/>
      <c r="CA518" s="142"/>
      <c r="CB518" s="142"/>
      <c r="CC518" s="142"/>
      <c r="CD518" s="142"/>
      <c r="CE518" s="142"/>
      <c r="CF518" s="142"/>
      <c r="CG518" s="142"/>
      <c r="CH518" s="142"/>
      <c r="CI518" s="142"/>
      <c r="CJ518" s="142"/>
      <c r="CK518" s="142"/>
      <c r="CL518" s="142"/>
      <c r="CM518" s="142"/>
      <c r="CN518" s="142"/>
      <c r="CO518" s="142"/>
      <c r="CP518" s="142"/>
      <c r="CQ518" s="142"/>
      <c r="CR518" s="142"/>
      <c r="CS518" s="142"/>
      <c r="CT518" s="142"/>
      <c r="CU518" s="142"/>
      <c r="CV518" s="142"/>
      <c r="CW518" s="142"/>
      <c r="CX518" s="142"/>
      <c r="CY518" s="142"/>
      <c r="CZ518" s="142"/>
      <c r="DA518" s="142"/>
      <c r="DB518" s="142"/>
      <c r="DC518" s="142"/>
      <c r="DD518" s="142"/>
      <c r="DE518" s="142"/>
      <c r="DF518" s="142"/>
      <c r="DG518" s="142"/>
      <c r="DH518" s="142"/>
      <c r="DI518" s="142"/>
      <c r="DJ518" s="142"/>
      <c r="DK518" s="142"/>
      <c r="DL518" s="142"/>
      <c r="DM518" s="142"/>
      <c r="DN518" s="142"/>
      <c r="DO518" s="142"/>
      <c r="DP518" s="142"/>
      <c r="DQ518" s="142"/>
      <c r="DR518" s="142"/>
      <c r="DS518" s="142"/>
      <c r="DT518" s="142"/>
      <c r="DU518" s="142"/>
      <c r="DV518" s="142"/>
      <c r="DW518" s="142"/>
      <c r="DX518" s="142"/>
      <c r="DY518" s="142"/>
      <c r="DZ518" s="142"/>
      <c r="EA518" s="142"/>
      <c r="EB518" s="142"/>
      <c r="EC518" s="142"/>
      <c r="ED518" s="142"/>
      <c r="EE518" s="142"/>
    </row>
    <row r="519" spans="1:135" s="151" customFormat="1" ht="19.5" customHeight="1" x14ac:dyDescent="0.2">
      <c r="A519" s="117">
        <v>518</v>
      </c>
      <c r="B519" s="117" t="s">
        <v>524</v>
      </c>
      <c r="C519" s="117">
        <v>83123144</v>
      </c>
      <c r="D519" s="117" t="s">
        <v>73</v>
      </c>
      <c r="E519" s="144" t="s">
        <v>443</v>
      </c>
      <c r="F519" s="146" t="s">
        <v>208</v>
      </c>
      <c r="G519" s="162">
        <v>42446</v>
      </c>
      <c r="H519" s="162">
        <v>42299</v>
      </c>
      <c r="I519" s="172">
        <v>46084</v>
      </c>
      <c r="J519" s="162">
        <f t="shared" si="37"/>
        <v>46815</v>
      </c>
      <c r="K519" s="111">
        <v>41469</v>
      </c>
      <c r="L519" s="111">
        <v>46083</v>
      </c>
      <c r="M519" s="163">
        <f t="shared" si="38"/>
        <v>46814</v>
      </c>
      <c r="N519" s="111">
        <v>41124</v>
      </c>
      <c r="O519" s="111">
        <v>41124</v>
      </c>
      <c r="P519" s="111">
        <v>41124</v>
      </c>
      <c r="Q519" s="166" t="s">
        <v>69</v>
      </c>
      <c r="R519" s="166" t="s">
        <v>69</v>
      </c>
      <c r="S519" s="166" t="s">
        <v>69</v>
      </c>
      <c r="T519" s="168">
        <v>44498</v>
      </c>
      <c r="U519" s="168">
        <v>43693</v>
      </c>
      <c r="V519" s="168">
        <v>44498</v>
      </c>
      <c r="W519" s="166" t="s">
        <v>69</v>
      </c>
      <c r="X519" s="168">
        <v>42646</v>
      </c>
      <c r="Y519" s="168">
        <v>42258</v>
      </c>
      <c r="Z519" s="166" t="s">
        <v>69</v>
      </c>
      <c r="AA519" s="168">
        <v>45800</v>
      </c>
      <c r="AB519" s="166" t="s">
        <v>69</v>
      </c>
      <c r="AC519" s="166" t="s">
        <v>69</v>
      </c>
      <c r="AD519" s="167" t="s">
        <v>71</v>
      </c>
      <c r="AE519" s="167" t="s">
        <v>70</v>
      </c>
      <c r="AF519" s="112">
        <v>45643</v>
      </c>
      <c r="AG519" s="112" t="s">
        <v>69</v>
      </c>
      <c r="AH519" s="167" t="s">
        <v>71</v>
      </c>
      <c r="AI519" s="167" t="s">
        <v>70</v>
      </c>
      <c r="AJ519" s="167" t="s">
        <v>70</v>
      </c>
      <c r="AK519" s="167" t="s">
        <v>70</v>
      </c>
      <c r="AL519" s="166" t="s">
        <v>69</v>
      </c>
      <c r="AM519" s="166"/>
      <c r="AN519" s="166" t="s">
        <v>69</v>
      </c>
      <c r="AO519" s="167" t="s">
        <v>70</v>
      </c>
      <c r="AP519" s="166" t="s">
        <v>69</v>
      </c>
      <c r="AQ519" s="166" t="s">
        <v>69</v>
      </c>
      <c r="AR519" s="166" t="s">
        <v>69</v>
      </c>
      <c r="AS519" s="166" t="s">
        <v>69</v>
      </c>
      <c r="AT519" s="166" t="s">
        <v>69</v>
      </c>
      <c r="AU519" s="166" t="s">
        <v>69</v>
      </c>
      <c r="AV519" s="166" t="s">
        <v>69</v>
      </c>
      <c r="AW519" s="166" t="s">
        <v>69</v>
      </c>
      <c r="AX519" s="166" t="s">
        <v>69</v>
      </c>
      <c r="AY519" s="166" t="s">
        <v>69</v>
      </c>
      <c r="AZ519" s="166" t="s">
        <v>69</v>
      </c>
      <c r="BA519" s="166" t="s">
        <v>69</v>
      </c>
      <c r="BB519" s="166" t="s">
        <v>69</v>
      </c>
      <c r="BC519" s="166" t="s">
        <v>69</v>
      </c>
      <c r="BD519" s="166" t="s">
        <v>69</v>
      </c>
      <c r="BE519" s="166" t="s">
        <v>69</v>
      </c>
      <c r="BF519" s="166" t="s">
        <v>69</v>
      </c>
      <c r="BG519" s="167" t="s">
        <v>70</v>
      </c>
      <c r="BH519" s="166" t="s">
        <v>69</v>
      </c>
      <c r="BI519" s="166" t="s">
        <v>69</v>
      </c>
      <c r="BJ519" s="167" t="s">
        <v>70</v>
      </c>
      <c r="BK519" s="166" t="s">
        <v>69</v>
      </c>
      <c r="BL519" s="167" t="s">
        <v>70</v>
      </c>
      <c r="BM519" s="167" t="s">
        <v>70</v>
      </c>
      <c r="BN519" s="167" t="s">
        <v>70</v>
      </c>
      <c r="BO519" s="167" t="s">
        <v>70</v>
      </c>
      <c r="BP519" s="167" t="s">
        <v>70</v>
      </c>
      <c r="BQ519" s="151">
        <v>0</v>
      </c>
      <c r="BR519" s="142"/>
      <c r="BS519" s="142"/>
      <c r="BT519" s="142"/>
      <c r="BU519" s="142"/>
      <c r="BV519" s="142"/>
      <c r="BW519" s="142"/>
      <c r="BX519" s="142"/>
      <c r="BY519" s="142"/>
      <c r="BZ519" s="142"/>
      <c r="CA519" s="142"/>
      <c r="CB519" s="142"/>
      <c r="CC519" s="142"/>
      <c r="CD519" s="142"/>
      <c r="CE519" s="142"/>
      <c r="CF519" s="142"/>
      <c r="CG519" s="142"/>
      <c r="CH519" s="142"/>
      <c r="CI519" s="142"/>
      <c r="CJ519" s="142"/>
      <c r="CK519" s="142"/>
      <c r="CL519" s="142"/>
      <c r="CM519" s="142"/>
      <c r="CN519" s="142"/>
      <c r="CO519" s="142"/>
      <c r="CP519" s="142"/>
      <c r="CQ519" s="142"/>
      <c r="CR519" s="142"/>
      <c r="CS519" s="142"/>
      <c r="CT519" s="142"/>
      <c r="CU519" s="142"/>
      <c r="CV519" s="142"/>
      <c r="CW519" s="142"/>
      <c r="CX519" s="142"/>
      <c r="CY519" s="142"/>
      <c r="CZ519" s="142"/>
      <c r="DA519" s="142"/>
      <c r="DB519" s="142"/>
      <c r="DC519" s="142"/>
      <c r="DD519" s="142"/>
      <c r="DE519" s="142"/>
      <c r="DF519" s="142"/>
      <c r="DG519" s="142"/>
      <c r="DH519" s="142"/>
      <c r="DI519" s="142"/>
      <c r="DJ519" s="142"/>
      <c r="DK519" s="142"/>
      <c r="DL519" s="142"/>
      <c r="DM519" s="142"/>
      <c r="DN519" s="142"/>
      <c r="DO519" s="142"/>
      <c r="DP519" s="142"/>
      <c r="DQ519" s="142"/>
      <c r="DR519" s="142"/>
      <c r="DS519" s="142"/>
      <c r="DT519" s="142"/>
      <c r="DU519" s="142"/>
      <c r="DV519" s="142"/>
      <c r="DW519" s="142"/>
      <c r="DX519" s="142"/>
      <c r="DY519" s="142"/>
      <c r="DZ519" s="142"/>
      <c r="EA519" s="142"/>
      <c r="EB519" s="142"/>
      <c r="EC519" s="142"/>
      <c r="ED519" s="142"/>
      <c r="EE519" s="142"/>
    </row>
    <row r="520" spans="1:135" s="151" customFormat="1" ht="19.5" customHeight="1" x14ac:dyDescent="0.2">
      <c r="A520" s="117">
        <v>519</v>
      </c>
      <c r="B520" s="117" t="s">
        <v>525</v>
      </c>
      <c r="C520" s="144">
        <v>83123148</v>
      </c>
      <c r="D520" s="117" t="s">
        <v>73</v>
      </c>
      <c r="E520" s="144" t="s">
        <v>443</v>
      </c>
      <c r="F520" s="146" t="s">
        <v>208</v>
      </c>
      <c r="G520" s="172">
        <v>41946</v>
      </c>
      <c r="H520" s="172">
        <v>41589</v>
      </c>
      <c r="I520" s="172">
        <v>45716</v>
      </c>
      <c r="J520" s="162">
        <f t="shared" si="37"/>
        <v>46446</v>
      </c>
      <c r="K520" s="111">
        <v>42045</v>
      </c>
      <c r="L520" s="111">
        <v>46083</v>
      </c>
      <c r="M520" s="163">
        <f t="shared" si="38"/>
        <v>46814</v>
      </c>
      <c r="N520" s="111">
        <v>41124</v>
      </c>
      <c r="O520" s="111">
        <v>41124</v>
      </c>
      <c r="P520" s="111">
        <v>41124</v>
      </c>
      <c r="Q520" s="166" t="s">
        <v>69</v>
      </c>
      <c r="R520" s="166" t="s">
        <v>69</v>
      </c>
      <c r="S520" s="166" t="s">
        <v>69</v>
      </c>
      <c r="T520" s="166" t="s">
        <v>69</v>
      </c>
      <c r="U520" s="234">
        <v>40223</v>
      </c>
      <c r="V520" s="168">
        <v>44785</v>
      </c>
      <c r="W520" s="166" t="s">
        <v>69</v>
      </c>
      <c r="X520" s="168">
        <v>42020</v>
      </c>
      <c r="Y520" s="168">
        <v>42083</v>
      </c>
      <c r="Z520" s="168">
        <v>44414</v>
      </c>
      <c r="AA520" s="168">
        <v>45674</v>
      </c>
      <c r="AB520" s="166" t="s">
        <v>69</v>
      </c>
      <c r="AC520" s="166" t="s">
        <v>69</v>
      </c>
      <c r="AD520" s="167" t="s">
        <v>71</v>
      </c>
      <c r="AE520" s="167" t="s">
        <v>70</v>
      </c>
      <c r="AF520" s="112">
        <v>45643</v>
      </c>
      <c r="AG520" s="112" t="s">
        <v>69</v>
      </c>
      <c r="AH520" s="167" t="s">
        <v>71</v>
      </c>
      <c r="AI520" s="167" t="s">
        <v>70</v>
      </c>
      <c r="AJ520" s="167" t="s">
        <v>70</v>
      </c>
      <c r="AK520" s="167" t="s">
        <v>70</v>
      </c>
      <c r="AL520" s="166" t="s">
        <v>69</v>
      </c>
      <c r="AM520" s="166"/>
      <c r="AN520" s="166" t="s">
        <v>69</v>
      </c>
      <c r="AO520" s="167" t="s">
        <v>70</v>
      </c>
      <c r="AP520" s="166" t="s">
        <v>69</v>
      </c>
      <c r="AQ520" s="166" t="s">
        <v>69</v>
      </c>
      <c r="AR520" s="166" t="s">
        <v>69</v>
      </c>
      <c r="AS520" s="166" t="s">
        <v>69</v>
      </c>
      <c r="AT520" s="166" t="s">
        <v>69</v>
      </c>
      <c r="AU520" s="166" t="s">
        <v>69</v>
      </c>
      <c r="AV520" s="166" t="s">
        <v>69</v>
      </c>
      <c r="AW520" s="166" t="s">
        <v>69</v>
      </c>
      <c r="AX520" s="166" t="s">
        <v>69</v>
      </c>
      <c r="AY520" s="166" t="s">
        <v>69</v>
      </c>
      <c r="AZ520" s="166" t="s">
        <v>69</v>
      </c>
      <c r="BA520" s="166" t="s">
        <v>69</v>
      </c>
      <c r="BB520" s="166" t="s">
        <v>69</v>
      </c>
      <c r="BC520" s="166" t="s">
        <v>69</v>
      </c>
      <c r="BD520" s="166" t="s">
        <v>69</v>
      </c>
      <c r="BE520" s="166" t="s">
        <v>69</v>
      </c>
      <c r="BF520" s="166" t="s">
        <v>69</v>
      </c>
      <c r="BG520" s="167" t="s">
        <v>70</v>
      </c>
      <c r="BH520" s="166" t="s">
        <v>69</v>
      </c>
      <c r="BI520" s="166" t="s">
        <v>69</v>
      </c>
      <c r="BJ520" s="167" t="s">
        <v>70</v>
      </c>
      <c r="BK520" s="166" t="s">
        <v>69</v>
      </c>
      <c r="BL520" s="167" t="s">
        <v>70</v>
      </c>
      <c r="BM520" s="167" t="s">
        <v>70</v>
      </c>
      <c r="BN520" s="167" t="s">
        <v>70</v>
      </c>
      <c r="BO520" s="167" t="s">
        <v>70</v>
      </c>
      <c r="BP520" s="167" t="s">
        <v>70</v>
      </c>
      <c r="BQ520" s="151">
        <v>0</v>
      </c>
      <c r="BR520" s="142"/>
      <c r="BS520" s="142"/>
      <c r="BT520" s="142"/>
      <c r="BU520" s="142"/>
      <c r="BV520" s="142"/>
      <c r="BW520" s="142"/>
      <c r="BX520" s="142"/>
      <c r="BY520" s="142"/>
      <c r="BZ520" s="142"/>
      <c r="CA520" s="142"/>
      <c r="CB520" s="142"/>
      <c r="CC520" s="142"/>
      <c r="CD520" s="142"/>
      <c r="CE520" s="142"/>
      <c r="CF520" s="142"/>
      <c r="CG520" s="142"/>
      <c r="CH520" s="142"/>
      <c r="CI520" s="142"/>
      <c r="CJ520" s="142"/>
      <c r="CK520" s="142"/>
      <c r="CL520" s="142"/>
      <c r="CM520" s="142"/>
      <c r="CN520" s="142"/>
      <c r="CO520" s="142"/>
      <c r="CP520" s="142"/>
      <c r="CQ520" s="142"/>
      <c r="CR520" s="142"/>
      <c r="CS520" s="142"/>
      <c r="CT520" s="142"/>
      <c r="CU520" s="142"/>
      <c r="CV520" s="142"/>
      <c r="CW520" s="142"/>
      <c r="CX520" s="142"/>
      <c r="CY520" s="142"/>
      <c r="CZ520" s="142"/>
      <c r="DA520" s="142"/>
      <c r="DB520" s="142"/>
      <c r="DC520" s="142"/>
      <c r="DD520" s="142"/>
      <c r="DE520" s="142"/>
      <c r="DF520" s="142"/>
      <c r="DG520" s="142"/>
      <c r="DH520" s="142"/>
      <c r="DI520" s="142"/>
      <c r="DJ520" s="142"/>
      <c r="DK520" s="142"/>
      <c r="DL520" s="142"/>
      <c r="DM520" s="142"/>
      <c r="DN520" s="142"/>
      <c r="DO520" s="142"/>
      <c r="DP520" s="142"/>
      <c r="DQ520" s="142"/>
      <c r="DR520" s="142"/>
      <c r="DS520" s="142"/>
      <c r="DT520" s="142"/>
      <c r="DU520" s="142"/>
      <c r="DV520" s="142"/>
      <c r="DW520" s="142"/>
      <c r="DX520" s="142"/>
      <c r="DY520" s="142"/>
      <c r="DZ520" s="142"/>
      <c r="EA520" s="142"/>
      <c r="EB520" s="142"/>
      <c r="EC520" s="142"/>
      <c r="ED520" s="142"/>
      <c r="EE520" s="142"/>
    </row>
    <row r="521" spans="1:135" s="151" customFormat="1" ht="19.5" customHeight="1" x14ac:dyDescent="0.2">
      <c r="A521" s="117">
        <v>520</v>
      </c>
      <c r="B521" s="117" t="s">
        <v>526</v>
      </c>
      <c r="C521" s="117">
        <v>143966</v>
      </c>
      <c r="D521" s="117" t="s">
        <v>73</v>
      </c>
      <c r="E521" s="144" t="s">
        <v>443</v>
      </c>
      <c r="F521" s="146" t="s">
        <v>208</v>
      </c>
      <c r="G521" s="172">
        <v>42297</v>
      </c>
      <c r="H521" s="111">
        <v>41929</v>
      </c>
      <c r="I521" s="172">
        <v>45867</v>
      </c>
      <c r="J521" s="162">
        <f t="shared" si="37"/>
        <v>46597</v>
      </c>
      <c r="K521" s="111">
        <v>42079</v>
      </c>
      <c r="L521" s="111">
        <v>46127</v>
      </c>
      <c r="M521" s="163">
        <f t="shared" si="38"/>
        <v>46858</v>
      </c>
      <c r="N521" s="162">
        <v>41926</v>
      </c>
      <c r="O521" s="162">
        <v>41928</v>
      </c>
      <c r="P521" s="162">
        <v>41928</v>
      </c>
      <c r="Q521" s="166" t="s">
        <v>69</v>
      </c>
      <c r="R521" s="166" t="s">
        <v>69</v>
      </c>
      <c r="S521" s="166" t="s">
        <v>69</v>
      </c>
      <c r="T521" s="168">
        <v>42800</v>
      </c>
      <c r="U521" s="168">
        <v>43476</v>
      </c>
      <c r="V521" s="168">
        <v>43798</v>
      </c>
      <c r="W521" s="168">
        <v>43903</v>
      </c>
      <c r="X521" s="168">
        <v>44211</v>
      </c>
      <c r="Y521" s="168">
        <v>42234</v>
      </c>
      <c r="Z521" s="168">
        <v>43166</v>
      </c>
      <c r="AA521" s="94">
        <v>45695</v>
      </c>
      <c r="AB521" s="166" t="s">
        <v>69</v>
      </c>
      <c r="AC521" s="166" t="s">
        <v>69</v>
      </c>
      <c r="AD521" s="167" t="s">
        <v>71</v>
      </c>
      <c r="AE521" s="167" t="s">
        <v>70</v>
      </c>
      <c r="AF521" s="112">
        <v>45643</v>
      </c>
      <c r="AG521" s="112" t="s">
        <v>69</v>
      </c>
      <c r="AH521" s="167" t="s">
        <v>71</v>
      </c>
      <c r="AI521" s="167" t="s">
        <v>70</v>
      </c>
      <c r="AJ521" s="167" t="s">
        <v>70</v>
      </c>
      <c r="AK521" s="167" t="s">
        <v>70</v>
      </c>
      <c r="AL521" s="166" t="s">
        <v>69</v>
      </c>
      <c r="AM521" s="166"/>
      <c r="AN521" s="166" t="s">
        <v>69</v>
      </c>
      <c r="AO521" s="167" t="s">
        <v>70</v>
      </c>
      <c r="AP521" s="166" t="s">
        <v>69</v>
      </c>
      <c r="AQ521" s="166" t="s">
        <v>69</v>
      </c>
      <c r="AR521" s="166" t="s">
        <v>69</v>
      </c>
      <c r="AS521" s="166" t="s">
        <v>69</v>
      </c>
      <c r="AT521" s="166" t="s">
        <v>69</v>
      </c>
      <c r="AU521" s="166" t="s">
        <v>69</v>
      </c>
      <c r="AV521" s="166" t="s">
        <v>69</v>
      </c>
      <c r="AW521" s="166" t="s">
        <v>69</v>
      </c>
      <c r="AX521" s="166" t="s">
        <v>69</v>
      </c>
      <c r="AY521" s="166" t="s">
        <v>69</v>
      </c>
      <c r="AZ521" s="166" t="s">
        <v>69</v>
      </c>
      <c r="BA521" s="166" t="s">
        <v>69</v>
      </c>
      <c r="BB521" s="166" t="s">
        <v>69</v>
      </c>
      <c r="BC521" s="166" t="s">
        <v>69</v>
      </c>
      <c r="BD521" s="166" t="s">
        <v>69</v>
      </c>
      <c r="BE521" s="166" t="s">
        <v>69</v>
      </c>
      <c r="BF521" s="166" t="s">
        <v>69</v>
      </c>
      <c r="BG521" s="167" t="s">
        <v>70</v>
      </c>
      <c r="BH521" s="166" t="s">
        <v>69</v>
      </c>
      <c r="BI521" s="166" t="s">
        <v>69</v>
      </c>
      <c r="BJ521" s="167" t="s">
        <v>70</v>
      </c>
      <c r="BK521" s="166" t="s">
        <v>69</v>
      </c>
      <c r="BL521" s="167" t="s">
        <v>70</v>
      </c>
      <c r="BM521" s="167" t="s">
        <v>70</v>
      </c>
      <c r="BN521" s="167" t="s">
        <v>70</v>
      </c>
      <c r="BO521" s="167" t="s">
        <v>70</v>
      </c>
      <c r="BP521" s="167" t="s">
        <v>70</v>
      </c>
      <c r="BQ521" s="151">
        <v>0</v>
      </c>
      <c r="BR521" s="142"/>
      <c r="BS521" s="142"/>
      <c r="BT521" s="142"/>
      <c r="BU521" s="142"/>
      <c r="BV521" s="142"/>
      <c r="BW521" s="142"/>
      <c r="BX521" s="142"/>
      <c r="BY521" s="142"/>
      <c r="BZ521" s="142"/>
      <c r="CA521" s="142"/>
      <c r="CB521" s="142"/>
      <c r="CC521" s="142"/>
      <c r="CD521" s="142"/>
      <c r="CE521" s="142"/>
      <c r="CF521" s="142"/>
      <c r="CG521" s="142"/>
      <c r="CH521" s="142"/>
      <c r="CI521" s="142"/>
      <c r="CJ521" s="142"/>
      <c r="CK521" s="142"/>
      <c r="CL521" s="142"/>
      <c r="CM521" s="142"/>
      <c r="CN521" s="142"/>
      <c r="CO521" s="142"/>
      <c r="CP521" s="142"/>
      <c r="CQ521" s="142"/>
      <c r="CR521" s="142"/>
      <c r="CS521" s="142"/>
      <c r="CT521" s="142"/>
      <c r="CU521" s="142"/>
      <c r="CV521" s="142"/>
      <c r="CW521" s="142"/>
      <c r="CX521" s="142"/>
      <c r="CY521" s="142"/>
      <c r="CZ521" s="142"/>
      <c r="DA521" s="142"/>
      <c r="DB521" s="142"/>
      <c r="DC521" s="142"/>
      <c r="DD521" s="142"/>
      <c r="DE521" s="142"/>
      <c r="DF521" s="142"/>
      <c r="DG521" s="142"/>
      <c r="DH521" s="142"/>
      <c r="DI521" s="142"/>
      <c r="DJ521" s="142"/>
      <c r="DK521" s="142"/>
      <c r="DL521" s="142"/>
      <c r="DM521" s="142"/>
      <c r="DN521" s="142"/>
      <c r="DO521" s="142"/>
      <c r="DP521" s="142"/>
      <c r="DQ521" s="142"/>
      <c r="DR521" s="142"/>
      <c r="DS521" s="142"/>
      <c r="DT521" s="142"/>
      <c r="DU521" s="142"/>
      <c r="DV521" s="142"/>
      <c r="DW521" s="142"/>
      <c r="DX521" s="142"/>
      <c r="DY521" s="142"/>
      <c r="DZ521" s="142"/>
      <c r="EA521" s="142"/>
      <c r="EB521" s="142"/>
      <c r="EC521" s="142"/>
      <c r="ED521" s="142"/>
      <c r="EE521" s="142"/>
    </row>
    <row r="522" spans="1:135" s="151" customFormat="1" ht="19.5" customHeight="1" x14ac:dyDescent="0.2">
      <c r="A522" s="117">
        <v>521</v>
      </c>
      <c r="B522" s="161" t="s">
        <v>528</v>
      </c>
      <c r="C522" s="161">
        <v>83123145</v>
      </c>
      <c r="D522" s="171" t="s">
        <v>529</v>
      </c>
      <c r="E522" s="144" t="s">
        <v>443</v>
      </c>
      <c r="F522" s="146" t="s">
        <v>208</v>
      </c>
      <c r="G522" s="162">
        <v>42165</v>
      </c>
      <c r="H522" s="162">
        <v>42317</v>
      </c>
      <c r="I522" s="162">
        <v>46083</v>
      </c>
      <c r="J522" s="162">
        <f t="shared" si="37"/>
        <v>46814</v>
      </c>
      <c r="K522" s="111">
        <v>42061</v>
      </c>
      <c r="L522" s="111">
        <v>46083</v>
      </c>
      <c r="M522" s="163">
        <f t="shared" si="38"/>
        <v>46814</v>
      </c>
      <c r="N522" s="111">
        <v>41124</v>
      </c>
      <c r="O522" s="111">
        <v>41124</v>
      </c>
      <c r="P522" s="111">
        <v>41124</v>
      </c>
      <c r="Q522" s="165" t="s">
        <v>69</v>
      </c>
      <c r="R522" s="165" t="s">
        <v>69</v>
      </c>
      <c r="S522" s="165" t="s">
        <v>69</v>
      </c>
      <c r="T522" s="112">
        <v>43511</v>
      </c>
      <c r="U522" s="112">
        <v>43791</v>
      </c>
      <c r="V522" s="112">
        <v>44092</v>
      </c>
      <c r="W522" s="112">
        <v>43882</v>
      </c>
      <c r="X522" s="112">
        <v>42360</v>
      </c>
      <c r="Y522" s="112">
        <v>42234</v>
      </c>
      <c r="Z522" s="112">
        <v>44386</v>
      </c>
      <c r="AA522" s="94">
        <v>45772</v>
      </c>
      <c r="AB522" s="166" t="s">
        <v>69</v>
      </c>
      <c r="AC522" s="166" t="s">
        <v>69</v>
      </c>
      <c r="AD522" s="167" t="s">
        <v>70</v>
      </c>
      <c r="AE522" s="167" t="s">
        <v>70</v>
      </c>
      <c r="AF522" s="112">
        <v>45646</v>
      </c>
      <c r="AG522" s="164">
        <v>44582</v>
      </c>
      <c r="AH522" s="167" t="s">
        <v>71</v>
      </c>
      <c r="AI522" s="167" t="s">
        <v>70</v>
      </c>
      <c r="AJ522" s="167" t="s">
        <v>70</v>
      </c>
      <c r="AK522" s="167" t="s">
        <v>70</v>
      </c>
      <c r="AL522" s="166" t="s">
        <v>69</v>
      </c>
      <c r="AM522" s="166"/>
      <c r="AN522" s="166" t="s">
        <v>69</v>
      </c>
      <c r="AO522" s="167" t="s">
        <v>70</v>
      </c>
      <c r="AP522" s="166" t="s">
        <v>69</v>
      </c>
      <c r="AQ522" s="166" t="s">
        <v>69</v>
      </c>
      <c r="AR522" s="168">
        <v>46119</v>
      </c>
      <c r="AS522" s="166" t="s">
        <v>69</v>
      </c>
      <c r="AT522" s="166" t="s">
        <v>69</v>
      </c>
      <c r="AU522" s="166" t="s">
        <v>69</v>
      </c>
      <c r="AV522" s="166" t="s">
        <v>69</v>
      </c>
      <c r="AW522" s="167" t="s">
        <v>70</v>
      </c>
      <c r="AX522" s="167" t="s">
        <v>70</v>
      </c>
      <c r="AY522" s="166" t="s">
        <v>69</v>
      </c>
      <c r="AZ522" s="166" t="s">
        <v>69</v>
      </c>
      <c r="BA522" s="166" t="s">
        <v>69</v>
      </c>
      <c r="BB522" s="167" t="s">
        <v>70</v>
      </c>
      <c r="BC522" s="167" t="s">
        <v>70</v>
      </c>
      <c r="BD522" s="167" t="s">
        <v>70</v>
      </c>
      <c r="BE522" s="167" t="s">
        <v>70</v>
      </c>
      <c r="BF522" s="167" t="s">
        <v>70</v>
      </c>
      <c r="BG522" s="169" t="s">
        <v>70</v>
      </c>
      <c r="BH522" s="169" t="s">
        <v>70</v>
      </c>
      <c r="BI522" s="169" t="s">
        <v>70</v>
      </c>
      <c r="BJ522" s="167" t="s">
        <v>70</v>
      </c>
      <c r="BK522" s="167" t="s">
        <v>70</v>
      </c>
      <c r="BL522" s="167" t="s">
        <v>70</v>
      </c>
      <c r="BM522" s="167" t="s">
        <v>70</v>
      </c>
      <c r="BN522" s="167" t="s">
        <v>70</v>
      </c>
      <c r="BO522" s="167" t="s">
        <v>70</v>
      </c>
      <c r="BP522" s="167" t="s">
        <v>70</v>
      </c>
      <c r="BQ522" s="151">
        <v>0</v>
      </c>
      <c r="BR522" s="142"/>
      <c r="BS522" s="142"/>
      <c r="BT522" s="142"/>
      <c r="BU522" s="142"/>
      <c r="BV522" s="142"/>
      <c r="BW522" s="142"/>
      <c r="BX522" s="142"/>
      <c r="BY522" s="142"/>
      <c r="BZ522" s="142"/>
      <c r="CA522" s="142"/>
      <c r="CB522" s="142"/>
      <c r="CC522" s="142"/>
      <c r="CD522" s="142"/>
      <c r="CE522" s="142"/>
      <c r="CF522" s="142"/>
      <c r="CG522" s="142"/>
      <c r="CH522" s="142"/>
      <c r="CI522" s="142"/>
      <c r="CJ522" s="142"/>
      <c r="CK522" s="142"/>
      <c r="CL522" s="142"/>
      <c r="CM522" s="142"/>
      <c r="CN522" s="142"/>
      <c r="CO522" s="142"/>
      <c r="CP522" s="142"/>
      <c r="CQ522" s="142"/>
      <c r="CR522" s="142"/>
      <c r="CS522" s="142"/>
      <c r="CT522" s="142"/>
      <c r="CU522" s="142"/>
      <c r="CV522" s="142"/>
      <c r="CW522" s="142"/>
      <c r="CX522" s="142"/>
      <c r="CY522" s="142"/>
      <c r="CZ522" s="142"/>
      <c r="DA522" s="142"/>
      <c r="DB522" s="142"/>
      <c r="DC522" s="142"/>
      <c r="DD522" s="142"/>
      <c r="DE522" s="142"/>
      <c r="DF522" s="142"/>
      <c r="DG522" s="142"/>
      <c r="DH522" s="142"/>
      <c r="DI522" s="142"/>
      <c r="DJ522" s="142"/>
      <c r="DK522" s="142"/>
      <c r="DL522" s="142"/>
      <c r="DM522" s="142"/>
      <c r="DN522" s="142"/>
      <c r="DO522" s="142"/>
      <c r="DP522" s="142"/>
      <c r="DQ522" s="142"/>
      <c r="DR522" s="142"/>
      <c r="DS522" s="142"/>
      <c r="DT522" s="142"/>
      <c r="DU522" s="142"/>
      <c r="DV522" s="142"/>
      <c r="DW522" s="142"/>
      <c r="DX522" s="142"/>
      <c r="DY522" s="142"/>
      <c r="DZ522" s="142"/>
      <c r="EA522" s="142"/>
      <c r="EB522" s="142"/>
      <c r="EC522" s="142"/>
      <c r="ED522" s="142"/>
      <c r="EE522" s="142"/>
    </row>
    <row r="523" spans="1:135" s="151" customFormat="1" ht="19.5" customHeight="1" x14ac:dyDescent="0.2">
      <c r="A523" s="117">
        <v>522</v>
      </c>
      <c r="B523" s="117" t="s">
        <v>521</v>
      </c>
      <c r="C523" s="117">
        <v>143964</v>
      </c>
      <c r="D523" s="117" t="s">
        <v>73</v>
      </c>
      <c r="E523" s="144" t="s">
        <v>443</v>
      </c>
      <c r="F523" s="146" t="s">
        <v>208</v>
      </c>
      <c r="G523" s="172">
        <v>42451</v>
      </c>
      <c r="H523" s="172">
        <v>41925</v>
      </c>
      <c r="I523" s="172">
        <v>45865</v>
      </c>
      <c r="J523" s="162">
        <f t="shared" si="37"/>
        <v>46595</v>
      </c>
      <c r="K523" s="111">
        <v>42262</v>
      </c>
      <c r="L523" s="111">
        <v>46134</v>
      </c>
      <c r="M523" s="163">
        <f t="shared" si="38"/>
        <v>46865</v>
      </c>
      <c r="N523" s="111">
        <v>41560</v>
      </c>
      <c r="O523" s="111">
        <v>41560</v>
      </c>
      <c r="P523" s="111">
        <v>41560</v>
      </c>
      <c r="Q523" s="166" t="s">
        <v>69</v>
      </c>
      <c r="R523" s="166" t="s">
        <v>69</v>
      </c>
      <c r="S523" s="166" t="s">
        <v>69</v>
      </c>
      <c r="T523" s="168">
        <v>43749</v>
      </c>
      <c r="U523" s="185">
        <v>42481</v>
      </c>
      <c r="V523" s="166" t="s">
        <v>69</v>
      </c>
      <c r="W523" s="166" t="s">
        <v>69</v>
      </c>
      <c r="X523" s="168">
        <v>44442</v>
      </c>
      <c r="Y523" s="168">
        <v>42234</v>
      </c>
      <c r="Z523" s="168" t="s">
        <v>69</v>
      </c>
      <c r="AA523" s="168">
        <v>45800</v>
      </c>
      <c r="AB523" s="166" t="s">
        <v>69</v>
      </c>
      <c r="AC523" s="166" t="s">
        <v>69</v>
      </c>
      <c r="AD523" s="167" t="s">
        <v>71</v>
      </c>
      <c r="AE523" s="167" t="s">
        <v>70</v>
      </c>
      <c r="AF523" s="112">
        <v>45646</v>
      </c>
      <c r="AG523" s="112" t="s">
        <v>69</v>
      </c>
      <c r="AH523" s="167" t="s">
        <v>71</v>
      </c>
      <c r="AI523" s="167" t="s">
        <v>70</v>
      </c>
      <c r="AJ523" s="167" t="s">
        <v>70</v>
      </c>
      <c r="AK523" s="167" t="s">
        <v>70</v>
      </c>
      <c r="AL523" s="166" t="s">
        <v>69</v>
      </c>
      <c r="AM523" s="166"/>
      <c r="AN523" s="166" t="s">
        <v>69</v>
      </c>
      <c r="AO523" s="167" t="s">
        <v>70</v>
      </c>
      <c r="AP523" s="166" t="s">
        <v>69</v>
      </c>
      <c r="AQ523" s="166" t="s">
        <v>69</v>
      </c>
      <c r="AR523" s="166" t="s">
        <v>69</v>
      </c>
      <c r="AS523" s="166" t="s">
        <v>69</v>
      </c>
      <c r="AT523" s="166" t="s">
        <v>69</v>
      </c>
      <c r="AU523" s="166" t="s">
        <v>69</v>
      </c>
      <c r="AV523" s="166" t="s">
        <v>69</v>
      </c>
      <c r="AW523" s="166" t="s">
        <v>69</v>
      </c>
      <c r="AX523" s="166" t="s">
        <v>69</v>
      </c>
      <c r="AY523" s="166" t="s">
        <v>69</v>
      </c>
      <c r="AZ523" s="166" t="s">
        <v>69</v>
      </c>
      <c r="BA523" s="166" t="s">
        <v>69</v>
      </c>
      <c r="BB523" s="166" t="s">
        <v>69</v>
      </c>
      <c r="BC523" s="166" t="s">
        <v>69</v>
      </c>
      <c r="BD523" s="166" t="s">
        <v>69</v>
      </c>
      <c r="BE523" s="166" t="s">
        <v>69</v>
      </c>
      <c r="BF523" s="166" t="s">
        <v>69</v>
      </c>
      <c r="BG523" s="167" t="s">
        <v>70</v>
      </c>
      <c r="BH523" s="166" t="s">
        <v>69</v>
      </c>
      <c r="BI523" s="166" t="s">
        <v>69</v>
      </c>
      <c r="BJ523" s="167" t="s">
        <v>70</v>
      </c>
      <c r="BK523" s="166" t="s">
        <v>69</v>
      </c>
      <c r="BL523" s="167" t="s">
        <v>70</v>
      </c>
      <c r="BM523" s="167" t="s">
        <v>70</v>
      </c>
      <c r="BN523" s="167" t="s">
        <v>70</v>
      </c>
      <c r="BO523" s="167" t="s">
        <v>70</v>
      </c>
      <c r="BP523" s="167" t="s">
        <v>70</v>
      </c>
      <c r="BQ523" s="151">
        <v>0</v>
      </c>
      <c r="BR523" s="142"/>
      <c r="BS523" s="142"/>
      <c r="BT523" s="142"/>
      <c r="BU523" s="142"/>
      <c r="BV523" s="142"/>
      <c r="BW523" s="142"/>
      <c r="BX523" s="142"/>
      <c r="BY523" s="142"/>
      <c r="BZ523" s="142"/>
      <c r="CA523" s="142"/>
      <c r="CB523" s="142"/>
      <c r="CC523" s="142"/>
      <c r="CD523" s="142"/>
      <c r="CE523" s="142"/>
      <c r="CF523" s="142"/>
      <c r="CG523" s="142"/>
      <c r="CH523" s="142"/>
      <c r="CI523" s="142"/>
      <c r="CJ523" s="142"/>
      <c r="CK523" s="142"/>
      <c r="CL523" s="142"/>
      <c r="CM523" s="142"/>
      <c r="CN523" s="142"/>
      <c r="CO523" s="142"/>
      <c r="CP523" s="142"/>
      <c r="CQ523" s="142"/>
      <c r="CR523" s="142"/>
      <c r="CS523" s="142"/>
      <c r="CT523" s="142"/>
      <c r="CU523" s="142"/>
      <c r="CV523" s="142"/>
      <c r="CW523" s="142"/>
      <c r="CX523" s="142"/>
      <c r="CY523" s="142"/>
      <c r="CZ523" s="142"/>
      <c r="DA523" s="142"/>
      <c r="DB523" s="142"/>
      <c r="DC523" s="142"/>
      <c r="DD523" s="142"/>
      <c r="DE523" s="142"/>
      <c r="DF523" s="142"/>
      <c r="DG523" s="142"/>
      <c r="DH523" s="142"/>
      <c r="DI523" s="142"/>
      <c r="DJ523" s="142"/>
      <c r="DK523" s="142"/>
      <c r="DL523" s="142"/>
      <c r="DM523" s="142"/>
      <c r="DN523" s="142"/>
      <c r="DO523" s="142"/>
      <c r="DP523" s="142"/>
      <c r="DQ523" s="142"/>
      <c r="DR523" s="142"/>
      <c r="DS523" s="142"/>
      <c r="DT523" s="142"/>
      <c r="DU523" s="142"/>
      <c r="DV523" s="142"/>
      <c r="DW523" s="142"/>
      <c r="DX523" s="142"/>
      <c r="DY523" s="142"/>
      <c r="DZ523" s="142"/>
      <c r="EA523" s="142"/>
      <c r="EB523" s="142"/>
      <c r="EC523" s="142"/>
      <c r="ED523" s="142"/>
      <c r="EE523" s="142"/>
    </row>
    <row r="524" spans="1:135" s="151" customFormat="1" ht="19.5" customHeight="1" x14ac:dyDescent="0.2">
      <c r="A524" s="117">
        <v>523</v>
      </c>
      <c r="B524" s="174" t="s">
        <v>527</v>
      </c>
      <c r="C524" s="144">
        <v>83099621</v>
      </c>
      <c r="D524" s="117" t="s">
        <v>73</v>
      </c>
      <c r="E524" s="146" t="s">
        <v>477</v>
      </c>
      <c r="F524" s="146" t="s">
        <v>208</v>
      </c>
      <c r="G524" s="162">
        <v>41011</v>
      </c>
      <c r="H524" s="111">
        <v>45533</v>
      </c>
      <c r="I524" s="111">
        <v>46244</v>
      </c>
      <c r="J524" s="162">
        <f t="shared" si="37"/>
        <v>46975</v>
      </c>
      <c r="K524" s="111">
        <v>45287</v>
      </c>
      <c r="L524" s="111">
        <v>46036</v>
      </c>
      <c r="M524" s="163">
        <f t="shared" si="38"/>
        <v>46766</v>
      </c>
      <c r="N524" s="111">
        <v>40738</v>
      </c>
      <c r="O524" s="111">
        <v>45628</v>
      </c>
      <c r="P524" s="111">
        <v>44133</v>
      </c>
      <c r="Q524" s="166" t="s">
        <v>69</v>
      </c>
      <c r="R524" s="166" t="s">
        <v>69</v>
      </c>
      <c r="S524" s="166" t="s">
        <v>69</v>
      </c>
      <c r="T524" s="168">
        <v>46031</v>
      </c>
      <c r="U524" s="168">
        <v>46146</v>
      </c>
      <c r="V524" s="166" t="s">
        <v>69</v>
      </c>
      <c r="W524" s="166" t="s">
        <v>69</v>
      </c>
      <c r="X524" s="164"/>
      <c r="Y524" s="166" t="s">
        <v>69</v>
      </c>
      <c r="Z524" s="164">
        <v>45798</v>
      </c>
      <c r="AA524" s="166" t="s">
        <v>69</v>
      </c>
      <c r="AB524" s="166" t="s">
        <v>69</v>
      </c>
      <c r="AC524" s="166" t="s">
        <v>69</v>
      </c>
      <c r="AD524" s="167" t="s">
        <v>71</v>
      </c>
      <c r="AE524" s="167" t="s">
        <v>70</v>
      </c>
      <c r="AF524" s="111">
        <v>44932</v>
      </c>
      <c r="AG524" s="112" t="s">
        <v>69</v>
      </c>
      <c r="AH524" s="167" t="s">
        <v>71</v>
      </c>
      <c r="AI524" s="167" t="s">
        <v>70</v>
      </c>
      <c r="AJ524" s="167" t="s">
        <v>70</v>
      </c>
      <c r="AK524" s="167" t="s">
        <v>70</v>
      </c>
      <c r="AL524" s="166" t="s">
        <v>69</v>
      </c>
      <c r="AM524" s="166"/>
      <c r="AN524" s="166" t="s">
        <v>69</v>
      </c>
      <c r="AO524" s="167" t="s">
        <v>70</v>
      </c>
      <c r="AP524" s="166" t="s">
        <v>69</v>
      </c>
      <c r="AQ524" s="166" t="s">
        <v>69</v>
      </c>
      <c r="AR524" s="166" t="s">
        <v>69</v>
      </c>
      <c r="AS524" s="166" t="s">
        <v>69</v>
      </c>
      <c r="AT524" s="166" t="s">
        <v>69</v>
      </c>
      <c r="AU524" s="166" t="s">
        <v>69</v>
      </c>
      <c r="AV524" s="166" t="s">
        <v>69</v>
      </c>
      <c r="AW524" s="166" t="s">
        <v>69</v>
      </c>
      <c r="AX524" s="166" t="s">
        <v>69</v>
      </c>
      <c r="AY524" s="166" t="s">
        <v>69</v>
      </c>
      <c r="AZ524" s="166" t="s">
        <v>69</v>
      </c>
      <c r="BA524" s="166" t="s">
        <v>69</v>
      </c>
      <c r="BB524" s="166" t="s">
        <v>69</v>
      </c>
      <c r="BC524" s="166" t="s">
        <v>69</v>
      </c>
      <c r="BD524" s="166" t="s">
        <v>69</v>
      </c>
      <c r="BE524" s="166" t="s">
        <v>69</v>
      </c>
      <c r="BF524" s="166" t="s">
        <v>69</v>
      </c>
      <c r="BG524" s="167" t="s">
        <v>70</v>
      </c>
      <c r="BH524" s="166" t="s">
        <v>69</v>
      </c>
      <c r="BI524" s="166" t="s">
        <v>69</v>
      </c>
      <c r="BJ524" s="167" t="s">
        <v>70</v>
      </c>
      <c r="BK524" s="166" t="s">
        <v>69</v>
      </c>
      <c r="BL524" s="167" t="s">
        <v>70</v>
      </c>
      <c r="BM524" s="167" t="s">
        <v>70</v>
      </c>
      <c r="BN524" s="167" t="s">
        <v>70</v>
      </c>
      <c r="BO524" s="167" t="s">
        <v>70</v>
      </c>
      <c r="BP524" s="167" t="s">
        <v>70</v>
      </c>
      <c r="BQ524" s="151">
        <v>0</v>
      </c>
      <c r="BR524" s="142"/>
      <c r="BS524" s="142"/>
      <c r="BT524" s="142"/>
      <c r="BU524" s="142"/>
      <c r="BV524" s="142"/>
      <c r="BW524" s="142"/>
      <c r="BX524" s="142"/>
      <c r="BY524" s="142"/>
      <c r="BZ524" s="142"/>
      <c r="CA524" s="142"/>
      <c r="CB524" s="142"/>
      <c r="CC524" s="142"/>
      <c r="CD524" s="142"/>
      <c r="CE524" s="142"/>
      <c r="CF524" s="142"/>
      <c r="CG524" s="142"/>
      <c r="CH524" s="142"/>
      <c r="CI524" s="142"/>
      <c r="CJ524" s="142"/>
      <c r="CK524" s="142"/>
      <c r="CL524" s="142"/>
      <c r="CM524" s="142"/>
      <c r="CN524" s="142"/>
      <c r="CO524" s="142"/>
      <c r="CP524" s="142"/>
      <c r="CQ524" s="142"/>
      <c r="CR524" s="142"/>
      <c r="CS524" s="142"/>
      <c r="CT524" s="142"/>
      <c r="CU524" s="142"/>
      <c r="CV524" s="142"/>
      <c r="CW524" s="142"/>
      <c r="CX524" s="142"/>
      <c r="CY524" s="142"/>
      <c r="CZ524" s="142"/>
      <c r="DA524" s="142"/>
      <c r="DB524" s="142"/>
      <c r="DC524" s="142"/>
      <c r="DD524" s="142"/>
      <c r="DE524" s="142"/>
      <c r="DF524" s="142"/>
      <c r="DG524" s="142"/>
      <c r="DH524" s="142"/>
      <c r="DI524" s="142"/>
      <c r="DJ524" s="142"/>
      <c r="DK524" s="142"/>
      <c r="DL524" s="142"/>
      <c r="DM524" s="142"/>
      <c r="DN524" s="142"/>
      <c r="DO524" s="142"/>
      <c r="DP524" s="142"/>
      <c r="DQ524" s="142"/>
      <c r="DR524" s="142"/>
      <c r="DS524" s="142"/>
      <c r="DT524" s="142"/>
      <c r="DU524" s="142"/>
      <c r="DV524" s="142"/>
      <c r="DW524" s="142"/>
      <c r="DX524" s="142"/>
      <c r="DY524" s="142"/>
      <c r="DZ524" s="142"/>
      <c r="EA524" s="142"/>
      <c r="EB524" s="142"/>
      <c r="EC524" s="142"/>
      <c r="ED524" s="142"/>
      <c r="EE524" s="142"/>
    </row>
    <row r="525" spans="1:135" s="151" customFormat="1" ht="19.5" customHeight="1" x14ac:dyDescent="0.2">
      <c r="A525" s="117">
        <v>524</v>
      </c>
      <c r="B525" s="174" t="s">
        <v>476</v>
      </c>
      <c r="C525" s="144">
        <v>134729</v>
      </c>
      <c r="D525" s="117" t="s">
        <v>73</v>
      </c>
      <c r="E525" s="117" t="s">
        <v>477</v>
      </c>
      <c r="F525" s="146" t="s">
        <v>208</v>
      </c>
      <c r="G525" s="119">
        <v>41586</v>
      </c>
      <c r="H525" s="111">
        <v>42593</v>
      </c>
      <c r="I525" s="111">
        <v>46149</v>
      </c>
      <c r="J525" s="162">
        <f t="shared" si="37"/>
        <v>46880</v>
      </c>
      <c r="K525" s="111">
        <v>45433</v>
      </c>
      <c r="L525" s="163">
        <v>46154</v>
      </c>
      <c r="M525" s="163">
        <f t="shared" si="38"/>
        <v>46885</v>
      </c>
      <c r="N525" s="111">
        <v>41599</v>
      </c>
      <c r="O525" s="111">
        <v>45694</v>
      </c>
      <c r="P525" s="111">
        <v>44113</v>
      </c>
      <c r="Q525" s="168">
        <v>45821</v>
      </c>
      <c r="R525" s="166" t="s">
        <v>69</v>
      </c>
      <c r="S525" s="166" t="s">
        <v>69</v>
      </c>
      <c r="T525" s="168">
        <v>46199</v>
      </c>
      <c r="U525" s="168">
        <v>46094</v>
      </c>
      <c r="V525" s="166" t="s">
        <v>69</v>
      </c>
      <c r="W525" s="166" t="s">
        <v>69</v>
      </c>
      <c r="X525" s="166" t="s">
        <v>69</v>
      </c>
      <c r="Y525" s="166" t="s">
        <v>69</v>
      </c>
      <c r="Z525" s="166" t="s">
        <v>69</v>
      </c>
      <c r="AA525" s="168">
        <v>46293</v>
      </c>
      <c r="AB525" s="166" t="s">
        <v>69</v>
      </c>
      <c r="AC525" s="166" t="s">
        <v>69</v>
      </c>
      <c r="AD525" s="167" t="s">
        <v>71</v>
      </c>
      <c r="AE525" s="167" t="s">
        <v>70</v>
      </c>
      <c r="AF525" s="111">
        <v>45993</v>
      </c>
      <c r="AG525" s="112" t="s">
        <v>69</v>
      </c>
      <c r="AH525" s="167" t="s">
        <v>71</v>
      </c>
      <c r="AI525" s="167" t="s">
        <v>70</v>
      </c>
      <c r="AJ525" s="167" t="s">
        <v>70</v>
      </c>
      <c r="AK525" s="167" t="s">
        <v>70</v>
      </c>
      <c r="AL525" s="166" t="s">
        <v>69</v>
      </c>
      <c r="AM525" s="166"/>
      <c r="AN525" s="166" t="s">
        <v>69</v>
      </c>
      <c r="AO525" s="167" t="s">
        <v>70</v>
      </c>
      <c r="AP525" s="166" t="s">
        <v>69</v>
      </c>
      <c r="AQ525" s="166" t="s">
        <v>69</v>
      </c>
      <c r="AR525" s="166" t="s">
        <v>69</v>
      </c>
      <c r="AS525" s="166" t="s">
        <v>69</v>
      </c>
      <c r="AT525" s="166" t="s">
        <v>69</v>
      </c>
      <c r="AU525" s="166" t="s">
        <v>69</v>
      </c>
      <c r="AV525" s="166" t="s">
        <v>69</v>
      </c>
      <c r="AW525" s="166" t="s">
        <v>69</v>
      </c>
      <c r="AX525" s="166" t="s">
        <v>69</v>
      </c>
      <c r="AY525" s="166" t="s">
        <v>69</v>
      </c>
      <c r="AZ525" s="166" t="s">
        <v>69</v>
      </c>
      <c r="BA525" s="166" t="s">
        <v>69</v>
      </c>
      <c r="BB525" s="166" t="s">
        <v>69</v>
      </c>
      <c r="BC525" s="166" t="s">
        <v>69</v>
      </c>
      <c r="BD525" s="166" t="s">
        <v>69</v>
      </c>
      <c r="BE525" s="166" t="s">
        <v>69</v>
      </c>
      <c r="BF525" s="166" t="s">
        <v>69</v>
      </c>
      <c r="BG525" s="167" t="s">
        <v>70</v>
      </c>
      <c r="BH525" s="166" t="s">
        <v>69</v>
      </c>
      <c r="BI525" s="166" t="s">
        <v>69</v>
      </c>
      <c r="BJ525" s="167" t="s">
        <v>70</v>
      </c>
      <c r="BK525" s="166" t="s">
        <v>69</v>
      </c>
      <c r="BL525" s="167" t="s">
        <v>70</v>
      </c>
      <c r="BM525" s="167" t="s">
        <v>70</v>
      </c>
      <c r="BN525" s="167" t="s">
        <v>70</v>
      </c>
      <c r="BO525" s="167" t="s">
        <v>70</v>
      </c>
      <c r="BP525" s="167" t="s">
        <v>70</v>
      </c>
      <c r="BQ525" s="151">
        <v>0</v>
      </c>
      <c r="BR525" s="142"/>
      <c r="BS525" s="142"/>
      <c r="BT525" s="142"/>
      <c r="BU525" s="142"/>
      <c r="BV525" s="142"/>
      <c r="BW525" s="142"/>
      <c r="BX525" s="142"/>
      <c r="BY525" s="142"/>
      <c r="BZ525" s="142"/>
      <c r="CA525" s="142"/>
      <c r="CB525" s="142"/>
      <c r="CC525" s="142"/>
      <c r="CD525" s="142"/>
      <c r="CE525" s="142"/>
      <c r="CF525" s="142"/>
      <c r="CG525" s="142"/>
      <c r="CH525" s="142"/>
      <c r="CI525" s="142"/>
      <c r="CJ525" s="142"/>
      <c r="CK525" s="142"/>
      <c r="CL525" s="142"/>
      <c r="CM525" s="142"/>
      <c r="CN525" s="142"/>
      <c r="CO525" s="142"/>
      <c r="CP525" s="142"/>
      <c r="CQ525" s="142"/>
      <c r="CR525" s="142"/>
      <c r="CS525" s="142"/>
      <c r="CT525" s="142"/>
      <c r="CU525" s="142"/>
      <c r="CV525" s="142"/>
      <c r="CW525" s="142"/>
      <c r="CX525" s="142"/>
      <c r="CY525" s="142"/>
      <c r="CZ525" s="142"/>
      <c r="DA525" s="142"/>
      <c r="DB525" s="142"/>
      <c r="DC525" s="142"/>
      <c r="DD525" s="142"/>
      <c r="DE525" s="142"/>
      <c r="DF525" s="142"/>
      <c r="DG525" s="142"/>
      <c r="DH525" s="142"/>
      <c r="DI525" s="142"/>
      <c r="DJ525" s="142"/>
      <c r="DK525" s="142"/>
      <c r="DL525" s="142"/>
      <c r="DM525" s="142"/>
      <c r="DN525" s="142"/>
      <c r="DO525" s="142"/>
      <c r="DP525" s="142"/>
      <c r="DQ525" s="142"/>
      <c r="DR525" s="142"/>
      <c r="DS525" s="142"/>
      <c r="DT525" s="142"/>
      <c r="DU525" s="142"/>
      <c r="DV525" s="142"/>
      <c r="DW525" s="142"/>
      <c r="DX525" s="142"/>
      <c r="DY525" s="142"/>
      <c r="DZ525" s="142"/>
      <c r="EA525" s="142"/>
      <c r="EB525" s="142"/>
      <c r="EC525" s="142"/>
      <c r="ED525" s="142"/>
    </row>
    <row r="526" spans="1:135" s="151" customFormat="1" ht="19.5" customHeight="1" x14ac:dyDescent="0.2">
      <c r="A526" s="117">
        <v>525</v>
      </c>
      <c r="B526" s="235" t="s">
        <v>530</v>
      </c>
      <c r="C526" s="235">
        <v>143961</v>
      </c>
      <c r="D526" s="117" t="s">
        <v>73</v>
      </c>
      <c r="E526" s="144" t="s">
        <v>443</v>
      </c>
      <c r="F526" s="146" t="s">
        <v>208</v>
      </c>
      <c r="G526" s="162">
        <v>42453</v>
      </c>
      <c r="H526" s="111">
        <v>41929</v>
      </c>
      <c r="I526" s="172">
        <v>45864</v>
      </c>
      <c r="J526" s="162">
        <f t="shared" si="37"/>
        <v>46594</v>
      </c>
      <c r="K526" s="111">
        <v>42263</v>
      </c>
      <c r="L526" s="111">
        <v>46127</v>
      </c>
      <c r="M526" s="163">
        <f t="shared" si="38"/>
        <v>46858</v>
      </c>
      <c r="N526" s="111">
        <v>41919</v>
      </c>
      <c r="O526" s="111">
        <v>41921</v>
      </c>
      <c r="P526" s="111">
        <v>41921</v>
      </c>
      <c r="Q526" s="166" t="s">
        <v>69</v>
      </c>
      <c r="R526" s="166" t="s">
        <v>69</v>
      </c>
      <c r="S526" s="166" t="s">
        <v>69</v>
      </c>
      <c r="T526" s="166" t="s">
        <v>69</v>
      </c>
      <c r="U526" s="168">
        <v>44575</v>
      </c>
      <c r="V526" s="166" t="s">
        <v>69</v>
      </c>
      <c r="W526" s="166" t="s">
        <v>69</v>
      </c>
      <c r="X526" s="168">
        <v>42646</v>
      </c>
      <c r="Y526" s="168">
        <v>42338</v>
      </c>
      <c r="Z526" s="166" t="s">
        <v>69</v>
      </c>
      <c r="AA526" s="94">
        <v>45723</v>
      </c>
      <c r="AB526" s="166" t="s">
        <v>69</v>
      </c>
      <c r="AC526" s="166" t="s">
        <v>69</v>
      </c>
      <c r="AD526" s="167" t="s">
        <v>71</v>
      </c>
      <c r="AE526" s="167" t="s">
        <v>70</v>
      </c>
      <c r="AF526" s="112">
        <v>45646</v>
      </c>
      <c r="AG526" s="112" t="s">
        <v>69</v>
      </c>
      <c r="AH526" s="167" t="s">
        <v>71</v>
      </c>
      <c r="AI526" s="167" t="s">
        <v>70</v>
      </c>
      <c r="AJ526" s="167" t="s">
        <v>70</v>
      </c>
      <c r="AK526" s="167" t="s">
        <v>70</v>
      </c>
      <c r="AL526" s="166" t="s">
        <v>69</v>
      </c>
      <c r="AM526" s="166"/>
      <c r="AN526" s="166" t="s">
        <v>69</v>
      </c>
      <c r="AO526" s="167" t="s">
        <v>70</v>
      </c>
      <c r="AP526" s="166" t="s">
        <v>69</v>
      </c>
      <c r="AQ526" s="166" t="s">
        <v>69</v>
      </c>
      <c r="AR526" s="168">
        <v>46153</v>
      </c>
      <c r="AS526" s="166" t="s">
        <v>69</v>
      </c>
      <c r="AT526" s="166" t="s">
        <v>69</v>
      </c>
      <c r="AU526" s="166" t="s">
        <v>69</v>
      </c>
      <c r="AV526" s="166" t="s">
        <v>69</v>
      </c>
      <c r="AW526" s="166" t="s">
        <v>69</v>
      </c>
      <c r="AX526" s="166" t="s">
        <v>69</v>
      </c>
      <c r="AY526" s="166" t="s">
        <v>69</v>
      </c>
      <c r="AZ526" s="166" t="s">
        <v>69</v>
      </c>
      <c r="BA526" s="166" t="s">
        <v>69</v>
      </c>
      <c r="BB526" s="166" t="s">
        <v>69</v>
      </c>
      <c r="BC526" s="166" t="s">
        <v>69</v>
      </c>
      <c r="BD526" s="166" t="s">
        <v>69</v>
      </c>
      <c r="BE526" s="166" t="s">
        <v>69</v>
      </c>
      <c r="BF526" s="166" t="s">
        <v>69</v>
      </c>
      <c r="BG526" s="167" t="s">
        <v>70</v>
      </c>
      <c r="BH526" s="166" t="s">
        <v>69</v>
      </c>
      <c r="BI526" s="166" t="s">
        <v>69</v>
      </c>
      <c r="BJ526" s="167" t="s">
        <v>70</v>
      </c>
      <c r="BK526" s="166" t="s">
        <v>69</v>
      </c>
      <c r="BL526" s="167" t="s">
        <v>70</v>
      </c>
      <c r="BM526" s="167" t="s">
        <v>70</v>
      </c>
      <c r="BN526" s="167" t="s">
        <v>70</v>
      </c>
      <c r="BO526" s="167" t="s">
        <v>70</v>
      </c>
      <c r="BP526" s="167" t="s">
        <v>70</v>
      </c>
      <c r="BQ526" s="151">
        <v>0</v>
      </c>
      <c r="BR526" s="142"/>
      <c r="BS526" s="142"/>
      <c r="BT526" s="142"/>
      <c r="BU526" s="142"/>
      <c r="BV526" s="142"/>
      <c r="BW526" s="142"/>
      <c r="BX526" s="142"/>
      <c r="BY526" s="142"/>
      <c r="BZ526" s="142"/>
      <c r="CA526" s="142"/>
      <c r="CB526" s="142"/>
      <c r="CC526" s="142"/>
      <c r="CD526" s="142"/>
      <c r="CE526" s="142"/>
      <c r="CF526" s="142"/>
      <c r="CG526" s="142"/>
      <c r="CH526" s="142"/>
      <c r="CI526" s="142"/>
      <c r="CJ526" s="142"/>
      <c r="CK526" s="142"/>
      <c r="CL526" s="142"/>
      <c r="CM526" s="142"/>
      <c r="CN526" s="142"/>
      <c r="CO526" s="142"/>
      <c r="CP526" s="142"/>
      <c r="CQ526" s="142"/>
      <c r="CR526" s="142"/>
      <c r="CS526" s="142"/>
      <c r="CT526" s="142"/>
      <c r="CU526" s="142"/>
      <c r="CV526" s="142"/>
      <c r="CW526" s="142"/>
      <c r="CX526" s="142"/>
      <c r="CY526" s="142"/>
      <c r="CZ526" s="142"/>
      <c r="DA526" s="142"/>
      <c r="DB526" s="142"/>
      <c r="DC526" s="142"/>
      <c r="DD526" s="142"/>
      <c r="DE526" s="142"/>
      <c r="DF526" s="142"/>
      <c r="DG526" s="142"/>
      <c r="DH526" s="142"/>
      <c r="DI526" s="142"/>
      <c r="DJ526" s="142"/>
      <c r="DK526" s="142"/>
      <c r="DL526" s="142"/>
      <c r="DM526" s="142"/>
      <c r="DN526" s="142"/>
      <c r="DO526" s="142"/>
      <c r="DP526" s="142"/>
      <c r="DQ526" s="142"/>
      <c r="DR526" s="142"/>
      <c r="DS526" s="142"/>
      <c r="DT526" s="142"/>
      <c r="DU526" s="142"/>
      <c r="DV526" s="142"/>
      <c r="DW526" s="142"/>
      <c r="DX526" s="142"/>
      <c r="DY526" s="142"/>
      <c r="DZ526" s="142"/>
      <c r="EA526" s="142"/>
      <c r="EB526" s="142"/>
      <c r="EC526" s="142"/>
      <c r="ED526" s="142"/>
      <c r="EE526" s="142"/>
    </row>
    <row r="527" spans="1:135" s="151" customFormat="1" ht="19.5" customHeight="1" x14ac:dyDescent="0.2">
      <c r="A527" s="117">
        <v>526</v>
      </c>
      <c r="B527" s="117" t="s">
        <v>531</v>
      </c>
      <c r="C527" s="117">
        <v>145147</v>
      </c>
      <c r="D527" s="117" t="s">
        <v>73</v>
      </c>
      <c r="E527" s="144" t="s">
        <v>443</v>
      </c>
      <c r="F527" s="146" t="s">
        <v>208</v>
      </c>
      <c r="G527" s="162">
        <v>42425</v>
      </c>
      <c r="H527" s="111">
        <v>41929</v>
      </c>
      <c r="I527" s="111">
        <v>46083</v>
      </c>
      <c r="J527" s="162">
        <f t="shared" si="37"/>
        <v>46814</v>
      </c>
      <c r="K527" s="111">
        <v>42263</v>
      </c>
      <c r="L527" s="111">
        <v>45722</v>
      </c>
      <c r="M527" s="163">
        <f t="shared" si="38"/>
        <v>46452</v>
      </c>
      <c r="N527" s="111">
        <v>41961</v>
      </c>
      <c r="O527" s="111">
        <v>41963</v>
      </c>
      <c r="P527" s="111">
        <v>41963</v>
      </c>
      <c r="Q527" s="166" t="s">
        <v>69</v>
      </c>
      <c r="R527" s="166" t="s">
        <v>69</v>
      </c>
      <c r="S527" s="166" t="s">
        <v>69</v>
      </c>
      <c r="T527" s="168">
        <v>44799</v>
      </c>
      <c r="U527" s="168">
        <v>46300</v>
      </c>
      <c r="V527" s="168">
        <v>44813</v>
      </c>
      <c r="W527" s="166" t="s">
        <v>69</v>
      </c>
      <c r="X527" s="168">
        <v>43798</v>
      </c>
      <c r="Y527" s="168">
        <v>42307</v>
      </c>
      <c r="Z527" s="166" t="s">
        <v>69</v>
      </c>
      <c r="AA527" s="94">
        <v>45695</v>
      </c>
      <c r="AB527" s="166" t="s">
        <v>69</v>
      </c>
      <c r="AC527" s="166" t="s">
        <v>69</v>
      </c>
      <c r="AD527" s="167" t="s">
        <v>71</v>
      </c>
      <c r="AE527" s="167" t="s">
        <v>70</v>
      </c>
      <c r="AF527" s="112">
        <v>45646</v>
      </c>
      <c r="AG527" s="112" t="s">
        <v>69</v>
      </c>
      <c r="AH527" s="167" t="s">
        <v>71</v>
      </c>
      <c r="AI527" s="167" t="s">
        <v>70</v>
      </c>
      <c r="AJ527" s="167" t="s">
        <v>70</v>
      </c>
      <c r="AK527" s="167" t="s">
        <v>70</v>
      </c>
      <c r="AL527" s="166" t="s">
        <v>69</v>
      </c>
      <c r="AM527" s="166"/>
      <c r="AN527" s="166" t="s">
        <v>69</v>
      </c>
      <c r="AO527" s="167" t="s">
        <v>70</v>
      </c>
      <c r="AP527" s="166" t="s">
        <v>69</v>
      </c>
      <c r="AQ527" s="166" t="s">
        <v>69</v>
      </c>
      <c r="AR527" s="166" t="s">
        <v>69</v>
      </c>
      <c r="AS527" s="166" t="s">
        <v>69</v>
      </c>
      <c r="AT527" s="166" t="s">
        <v>69</v>
      </c>
      <c r="AU527" s="166" t="s">
        <v>69</v>
      </c>
      <c r="AV527" s="166" t="s">
        <v>69</v>
      </c>
      <c r="AW527" s="166" t="s">
        <v>69</v>
      </c>
      <c r="AX527" s="166" t="s">
        <v>69</v>
      </c>
      <c r="AY527" s="166" t="s">
        <v>69</v>
      </c>
      <c r="AZ527" s="166" t="s">
        <v>69</v>
      </c>
      <c r="BA527" s="166" t="s">
        <v>69</v>
      </c>
      <c r="BB527" s="166" t="s">
        <v>69</v>
      </c>
      <c r="BC527" s="166" t="s">
        <v>69</v>
      </c>
      <c r="BD527" s="166" t="s">
        <v>69</v>
      </c>
      <c r="BE527" s="166" t="s">
        <v>69</v>
      </c>
      <c r="BF527" s="166" t="s">
        <v>69</v>
      </c>
      <c r="BG527" s="167" t="s">
        <v>70</v>
      </c>
      <c r="BH527" s="166" t="s">
        <v>69</v>
      </c>
      <c r="BI527" s="166" t="s">
        <v>69</v>
      </c>
      <c r="BJ527" s="167" t="s">
        <v>70</v>
      </c>
      <c r="BK527" s="166" t="s">
        <v>69</v>
      </c>
      <c r="BL527" s="167" t="s">
        <v>70</v>
      </c>
      <c r="BM527" s="167" t="s">
        <v>70</v>
      </c>
      <c r="BN527" s="167" t="s">
        <v>70</v>
      </c>
      <c r="BO527" s="167" t="s">
        <v>70</v>
      </c>
      <c r="BP527" s="167" t="s">
        <v>70</v>
      </c>
      <c r="BQ527" s="151">
        <v>0</v>
      </c>
      <c r="BR527" s="142"/>
      <c r="BS527" s="142"/>
      <c r="BT527" s="142"/>
      <c r="BU527" s="142"/>
      <c r="BV527" s="142"/>
      <c r="BW527" s="142"/>
      <c r="BX527" s="142"/>
      <c r="BY527" s="142"/>
      <c r="BZ527" s="142"/>
      <c r="CA527" s="142"/>
      <c r="CB527" s="142"/>
      <c r="CC527" s="142"/>
      <c r="CD527" s="142"/>
      <c r="CE527" s="142"/>
      <c r="CF527" s="142"/>
      <c r="CG527" s="142"/>
      <c r="CH527" s="142"/>
      <c r="CI527" s="142"/>
      <c r="CJ527" s="142"/>
      <c r="CK527" s="142"/>
      <c r="CL527" s="142"/>
      <c r="CM527" s="142"/>
      <c r="CN527" s="142"/>
      <c r="CO527" s="142"/>
      <c r="CP527" s="142"/>
      <c r="CQ527" s="142"/>
      <c r="CR527" s="142"/>
      <c r="CS527" s="142"/>
      <c r="CT527" s="142"/>
      <c r="CU527" s="142"/>
      <c r="CV527" s="142"/>
      <c r="CW527" s="142"/>
      <c r="CX527" s="142"/>
      <c r="CY527" s="142"/>
      <c r="CZ527" s="142"/>
      <c r="DA527" s="142"/>
      <c r="DB527" s="142"/>
      <c r="DC527" s="142"/>
      <c r="DD527" s="142"/>
      <c r="DE527" s="142"/>
      <c r="DF527" s="142"/>
      <c r="DG527" s="142"/>
      <c r="DH527" s="142"/>
      <c r="DI527" s="142"/>
      <c r="DJ527" s="142"/>
      <c r="DK527" s="142"/>
      <c r="DL527" s="142"/>
      <c r="DM527" s="142"/>
      <c r="DN527" s="142"/>
      <c r="DO527" s="142"/>
      <c r="DP527" s="142"/>
      <c r="DQ527" s="142"/>
      <c r="DR527" s="142"/>
      <c r="DS527" s="142"/>
      <c r="DT527" s="142"/>
      <c r="DU527" s="142"/>
      <c r="DV527" s="142"/>
      <c r="DW527" s="142"/>
      <c r="DX527" s="142"/>
      <c r="DY527" s="142"/>
      <c r="DZ527" s="142"/>
      <c r="EA527" s="142"/>
      <c r="EB527" s="142"/>
      <c r="EC527" s="142"/>
      <c r="ED527" s="142"/>
      <c r="EE527" s="142"/>
    </row>
    <row r="528" spans="1:135" s="151" customFormat="1" ht="19.5" customHeight="1" x14ac:dyDescent="0.2">
      <c r="A528" s="117">
        <v>527</v>
      </c>
      <c r="B528" s="174" t="s">
        <v>534</v>
      </c>
      <c r="C528" s="144">
        <v>134119</v>
      </c>
      <c r="D528" s="117" t="s">
        <v>73</v>
      </c>
      <c r="E528" s="146" t="s">
        <v>477</v>
      </c>
      <c r="F528" s="146" t="s">
        <v>208</v>
      </c>
      <c r="G528" s="162">
        <v>41877</v>
      </c>
      <c r="H528" s="111">
        <v>45533</v>
      </c>
      <c r="I528" s="111">
        <v>46056</v>
      </c>
      <c r="J528" s="162">
        <f t="shared" si="37"/>
        <v>46786</v>
      </c>
      <c r="K528" s="111">
        <v>45260</v>
      </c>
      <c r="L528" s="111">
        <v>46043</v>
      </c>
      <c r="M528" s="163">
        <f t="shared" si="38"/>
        <v>46773</v>
      </c>
      <c r="N528" s="111">
        <v>41541</v>
      </c>
      <c r="O528" s="111">
        <v>45642</v>
      </c>
      <c r="P528" s="111">
        <v>44133</v>
      </c>
      <c r="Q528" s="166" t="s">
        <v>69</v>
      </c>
      <c r="R528" s="111">
        <v>45874</v>
      </c>
      <c r="S528" s="111">
        <v>46604</v>
      </c>
      <c r="T528" s="166" t="s">
        <v>69</v>
      </c>
      <c r="U528" s="166" t="s">
        <v>69</v>
      </c>
      <c r="V528" s="166" t="s">
        <v>69</v>
      </c>
      <c r="W528" s="166" t="s">
        <v>69</v>
      </c>
      <c r="X528" s="166" t="s">
        <v>69</v>
      </c>
      <c r="Y528" s="166" t="s">
        <v>69</v>
      </c>
      <c r="Z528" s="111">
        <v>45820</v>
      </c>
      <c r="AA528" s="166" t="s">
        <v>69</v>
      </c>
      <c r="AB528" s="166" t="s">
        <v>69</v>
      </c>
      <c r="AC528" s="166" t="s">
        <v>69</v>
      </c>
      <c r="AD528" s="167" t="s">
        <v>70</v>
      </c>
      <c r="AE528" s="167" t="s">
        <v>70</v>
      </c>
      <c r="AF528" s="111">
        <v>44932</v>
      </c>
      <c r="AG528" s="112" t="s">
        <v>69</v>
      </c>
      <c r="AH528" s="167" t="s">
        <v>70</v>
      </c>
      <c r="AI528" s="167" t="s">
        <v>70</v>
      </c>
      <c r="AJ528" s="166" t="s">
        <v>69</v>
      </c>
      <c r="AK528" s="167" t="s">
        <v>70</v>
      </c>
      <c r="AL528" s="166" t="s">
        <v>69</v>
      </c>
      <c r="AM528" s="166"/>
      <c r="AN528" s="166" t="s">
        <v>69</v>
      </c>
      <c r="AO528" s="167" t="s">
        <v>70</v>
      </c>
      <c r="AP528" s="166" t="s">
        <v>69</v>
      </c>
      <c r="AQ528" s="166" t="s">
        <v>69</v>
      </c>
      <c r="AR528" s="166" t="s">
        <v>69</v>
      </c>
      <c r="AS528" s="166" t="s">
        <v>69</v>
      </c>
      <c r="AT528" s="166" t="s">
        <v>69</v>
      </c>
      <c r="AU528" s="166" t="s">
        <v>69</v>
      </c>
      <c r="AV528" s="166" t="s">
        <v>69</v>
      </c>
      <c r="AW528" s="166" t="s">
        <v>69</v>
      </c>
      <c r="AX528" s="166" t="s">
        <v>69</v>
      </c>
      <c r="AY528" s="166" t="s">
        <v>69</v>
      </c>
      <c r="AZ528" s="166" t="s">
        <v>69</v>
      </c>
      <c r="BA528" s="166" t="s">
        <v>69</v>
      </c>
      <c r="BB528" s="166" t="s">
        <v>69</v>
      </c>
      <c r="BC528" s="166" t="s">
        <v>69</v>
      </c>
      <c r="BD528" s="166" t="s">
        <v>69</v>
      </c>
      <c r="BE528" s="166" t="s">
        <v>69</v>
      </c>
      <c r="BF528" s="166" t="s">
        <v>69</v>
      </c>
      <c r="BG528" s="167" t="s">
        <v>70</v>
      </c>
      <c r="BH528" s="166" t="s">
        <v>69</v>
      </c>
      <c r="BI528" s="166" t="s">
        <v>69</v>
      </c>
      <c r="BJ528" s="167" t="s">
        <v>70</v>
      </c>
      <c r="BK528" s="166" t="s">
        <v>69</v>
      </c>
      <c r="BL528" s="167" t="s">
        <v>70</v>
      </c>
      <c r="BM528" s="167" t="s">
        <v>70</v>
      </c>
      <c r="BN528" s="167" t="s">
        <v>70</v>
      </c>
      <c r="BO528" s="167" t="s">
        <v>70</v>
      </c>
      <c r="BP528" s="167" t="s">
        <v>70</v>
      </c>
      <c r="BQ528" s="151">
        <v>0</v>
      </c>
      <c r="BR528" s="142"/>
      <c r="BS528" s="142"/>
      <c r="BT528" s="142"/>
      <c r="BU528" s="142"/>
      <c r="BV528" s="142"/>
      <c r="BW528" s="142"/>
      <c r="BX528" s="142"/>
      <c r="BY528" s="142"/>
      <c r="BZ528" s="142"/>
      <c r="CA528" s="142"/>
      <c r="CB528" s="142"/>
      <c r="CC528" s="142"/>
      <c r="CD528" s="142"/>
      <c r="CE528" s="142"/>
      <c r="CF528" s="142"/>
      <c r="CG528" s="142"/>
      <c r="CH528" s="142"/>
      <c r="CI528" s="142"/>
      <c r="CJ528" s="142"/>
      <c r="CK528" s="142"/>
      <c r="CL528" s="142"/>
      <c r="CM528" s="142"/>
      <c r="CN528" s="142"/>
      <c r="CO528" s="142"/>
      <c r="CP528" s="142"/>
      <c r="CQ528" s="142"/>
      <c r="CR528" s="142"/>
      <c r="CS528" s="142"/>
      <c r="CT528" s="142"/>
      <c r="CU528" s="142"/>
      <c r="CV528" s="142"/>
      <c r="CW528" s="142"/>
      <c r="CX528" s="142"/>
      <c r="CY528" s="142"/>
      <c r="CZ528" s="142"/>
      <c r="DA528" s="142"/>
      <c r="DB528" s="142"/>
      <c r="DC528" s="142"/>
      <c r="DD528" s="142"/>
      <c r="DE528" s="142"/>
      <c r="DF528" s="142"/>
      <c r="DG528" s="142"/>
      <c r="DH528" s="142"/>
      <c r="DI528" s="142"/>
      <c r="DJ528" s="142"/>
      <c r="DK528" s="142"/>
      <c r="DL528" s="142"/>
      <c r="DM528" s="142"/>
      <c r="DN528" s="142"/>
      <c r="DO528" s="142"/>
      <c r="DP528" s="142"/>
      <c r="DQ528" s="142"/>
      <c r="DR528" s="142"/>
      <c r="DS528" s="142"/>
      <c r="DT528" s="142"/>
      <c r="DU528" s="142"/>
      <c r="DV528" s="142"/>
      <c r="DW528" s="142"/>
      <c r="DX528" s="142"/>
      <c r="DY528" s="142"/>
      <c r="DZ528" s="142"/>
      <c r="EA528" s="142"/>
      <c r="EB528" s="142"/>
      <c r="EC528" s="142"/>
      <c r="ED528" s="142"/>
      <c r="EE528" s="142"/>
    </row>
    <row r="529" spans="1:135" s="151" customFormat="1" ht="19.5" customHeight="1" x14ac:dyDescent="0.2">
      <c r="A529" s="117">
        <v>528</v>
      </c>
      <c r="B529" s="235" t="s">
        <v>513</v>
      </c>
      <c r="C529" s="235">
        <v>143957</v>
      </c>
      <c r="D529" s="117" t="s">
        <v>67</v>
      </c>
      <c r="E529" s="144" t="s">
        <v>443</v>
      </c>
      <c r="F529" s="146" t="s">
        <v>208</v>
      </c>
      <c r="G529" s="162">
        <v>42397</v>
      </c>
      <c r="H529" s="162">
        <v>41873</v>
      </c>
      <c r="I529" s="162">
        <v>45716</v>
      </c>
      <c r="J529" s="162">
        <f t="shared" si="37"/>
        <v>46446</v>
      </c>
      <c r="K529" s="111">
        <v>42284</v>
      </c>
      <c r="L529" s="162">
        <v>46076</v>
      </c>
      <c r="M529" s="163">
        <f t="shared" si="38"/>
        <v>46806</v>
      </c>
      <c r="N529" s="111">
        <v>41870</v>
      </c>
      <c r="O529" s="111">
        <v>41872</v>
      </c>
      <c r="P529" s="111">
        <v>41872</v>
      </c>
      <c r="Q529" s="166" t="s">
        <v>69</v>
      </c>
      <c r="R529" s="166" t="s">
        <v>69</v>
      </c>
      <c r="S529" s="166" t="s">
        <v>69</v>
      </c>
      <c r="T529" s="168">
        <v>44799</v>
      </c>
      <c r="U529" s="236">
        <v>43805</v>
      </c>
      <c r="V529" s="168">
        <v>46213</v>
      </c>
      <c r="W529" s="166" t="s">
        <v>69</v>
      </c>
      <c r="X529" s="168">
        <v>44442</v>
      </c>
      <c r="Y529" s="168">
        <v>42307</v>
      </c>
      <c r="Z529" s="168" t="s">
        <v>69</v>
      </c>
      <c r="AA529" s="94">
        <v>45772</v>
      </c>
      <c r="AB529" s="167" t="s">
        <v>71</v>
      </c>
      <c r="AC529" s="167" t="s">
        <v>70</v>
      </c>
      <c r="AD529" s="165" t="s">
        <v>69</v>
      </c>
      <c r="AE529" s="165" t="s">
        <v>69</v>
      </c>
      <c r="AF529" s="112">
        <v>45646</v>
      </c>
      <c r="AG529" s="167" t="s">
        <v>70</v>
      </c>
      <c r="AH529" s="167" t="s">
        <v>71</v>
      </c>
      <c r="AI529" s="167" t="s">
        <v>70</v>
      </c>
      <c r="AJ529" s="167" t="s">
        <v>70</v>
      </c>
      <c r="AK529" s="167" t="s">
        <v>70</v>
      </c>
      <c r="AL529" s="166" t="s">
        <v>69</v>
      </c>
      <c r="AM529" s="166"/>
      <c r="AN529" s="167" t="s">
        <v>70</v>
      </c>
      <c r="AO529" s="167" t="s">
        <v>70</v>
      </c>
      <c r="AP529" s="166" t="s">
        <v>69</v>
      </c>
      <c r="AQ529" s="166" t="s">
        <v>69</v>
      </c>
      <c r="AR529" s="166" t="s">
        <v>69</v>
      </c>
      <c r="AS529" s="94">
        <v>45891</v>
      </c>
      <c r="AT529" s="166" t="s">
        <v>69</v>
      </c>
      <c r="AU529" s="166" t="s">
        <v>69</v>
      </c>
      <c r="AV529" s="166" t="s">
        <v>69</v>
      </c>
      <c r="AW529" s="167" t="s">
        <v>70</v>
      </c>
      <c r="AX529" s="167" t="s">
        <v>70</v>
      </c>
      <c r="AY529" s="167" t="s">
        <v>70</v>
      </c>
      <c r="AZ529" s="166" t="s">
        <v>69</v>
      </c>
      <c r="BA529" s="166" t="s">
        <v>69</v>
      </c>
      <c r="BB529" s="167" t="s">
        <v>70</v>
      </c>
      <c r="BC529" s="167" t="s">
        <v>70</v>
      </c>
      <c r="BD529" s="167" t="s">
        <v>70</v>
      </c>
      <c r="BE529" s="167" t="s">
        <v>70</v>
      </c>
      <c r="BF529" s="167" t="s">
        <v>70</v>
      </c>
      <c r="BG529" s="167" t="s">
        <v>70</v>
      </c>
      <c r="BH529" s="167" t="s">
        <v>70</v>
      </c>
      <c r="BI529" s="167" t="s">
        <v>70</v>
      </c>
      <c r="BJ529" s="167" t="s">
        <v>70</v>
      </c>
      <c r="BK529" s="167" t="s">
        <v>70</v>
      </c>
      <c r="BL529" s="167" t="s">
        <v>70</v>
      </c>
      <c r="BM529" s="167" t="s">
        <v>70</v>
      </c>
      <c r="BN529" s="166" t="s">
        <v>69</v>
      </c>
      <c r="BO529" s="166" t="s">
        <v>69</v>
      </c>
      <c r="BP529" s="167" t="s">
        <v>70</v>
      </c>
      <c r="BQ529" s="151">
        <v>0</v>
      </c>
    </row>
    <row r="530" spans="1:135" s="151" customFormat="1" ht="19.5" customHeight="1" x14ac:dyDescent="0.2">
      <c r="A530" s="117">
        <v>529</v>
      </c>
      <c r="B530" s="174" t="s">
        <v>535</v>
      </c>
      <c r="C530" s="144">
        <v>134099</v>
      </c>
      <c r="D530" s="146" t="s">
        <v>67</v>
      </c>
      <c r="E530" s="146" t="s">
        <v>477</v>
      </c>
      <c r="F530" s="146" t="s">
        <v>208</v>
      </c>
      <c r="G530" s="162">
        <v>42024</v>
      </c>
      <c r="H530" s="119">
        <v>42436</v>
      </c>
      <c r="I530" s="119">
        <v>46157</v>
      </c>
      <c r="J530" s="162">
        <f t="shared" si="37"/>
        <v>46888</v>
      </c>
      <c r="K530" s="111">
        <v>41543</v>
      </c>
      <c r="L530" s="111">
        <v>46127</v>
      </c>
      <c r="M530" s="163">
        <f t="shared" si="38"/>
        <v>46858</v>
      </c>
      <c r="N530" s="111">
        <v>41599</v>
      </c>
      <c r="O530" s="111">
        <v>46255</v>
      </c>
      <c r="P530" s="112" t="s">
        <v>69</v>
      </c>
      <c r="Q530" s="166" t="s">
        <v>69</v>
      </c>
      <c r="R530" s="166" t="s">
        <v>69</v>
      </c>
      <c r="S530" s="166" t="s">
        <v>69</v>
      </c>
      <c r="T530" s="166" t="s">
        <v>69</v>
      </c>
      <c r="U530" s="166" t="s">
        <v>69</v>
      </c>
      <c r="V530" s="166" t="s">
        <v>69</v>
      </c>
      <c r="W530" s="166" t="s">
        <v>69</v>
      </c>
      <c r="X530" s="166" t="s">
        <v>69</v>
      </c>
      <c r="Y530" s="166" t="s">
        <v>69</v>
      </c>
      <c r="Z530" s="166" t="s">
        <v>69</v>
      </c>
      <c r="AA530" s="168">
        <v>46293</v>
      </c>
      <c r="AB530" s="167" t="s">
        <v>70</v>
      </c>
      <c r="AC530" s="167" t="s">
        <v>70</v>
      </c>
      <c r="AD530" s="168">
        <v>45988</v>
      </c>
      <c r="AE530" s="112" t="s">
        <v>69</v>
      </c>
      <c r="AF530" s="112" t="s">
        <v>69</v>
      </c>
      <c r="AG530" s="167" t="s">
        <v>70</v>
      </c>
      <c r="AH530" s="167" t="s">
        <v>70</v>
      </c>
      <c r="AI530" s="167" t="s">
        <v>70</v>
      </c>
      <c r="AJ530" s="167" t="s">
        <v>70</v>
      </c>
      <c r="AK530" s="167" t="s">
        <v>70</v>
      </c>
      <c r="AL530" s="166" t="s">
        <v>69</v>
      </c>
      <c r="AM530" s="166"/>
      <c r="AN530" s="167" t="s">
        <v>70</v>
      </c>
      <c r="AO530" s="167" t="s">
        <v>70</v>
      </c>
      <c r="AP530" s="166" t="s">
        <v>69</v>
      </c>
      <c r="AQ530" s="166" t="s">
        <v>69</v>
      </c>
      <c r="AR530" s="166" t="s">
        <v>69</v>
      </c>
      <c r="AS530" s="94">
        <v>45989</v>
      </c>
      <c r="AT530" s="166" t="s">
        <v>69</v>
      </c>
      <c r="AU530" s="166" t="s">
        <v>69</v>
      </c>
      <c r="AV530" s="166" t="s">
        <v>69</v>
      </c>
      <c r="AW530" s="167" t="s">
        <v>70</v>
      </c>
      <c r="AX530" s="167" t="s">
        <v>70</v>
      </c>
      <c r="AY530" s="167" t="s">
        <v>70</v>
      </c>
      <c r="AZ530" s="166" t="s">
        <v>69</v>
      </c>
      <c r="BA530" s="166" t="s">
        <v>69</v>
      </c>
      <c r="BB530" s="167" t="s">
        <v>70</v>
      </c>
      <c r="BC530" s="167" t="s">
        <v>70</v>
      </c>
      <c r="BD530" s="167" t="s">
        <v>70</v>
      </c>
      <c r="BE530" s="167" t="s">
        <v>70</v>
      </c>
      <c r="BF530" s="167" t="s">
        <v>70</v>
      </c>
      <c r="BG530" s="167" t="s">
        <v>70</v>
      </c>
      <c r="BH530" s="167" t="s">
        <v>70</v>
      </c>
      <c r="BI530" s="167" t="s">
        <v>70</v>
      </c>
      <c r="BJ530" s="167" t="s">
        <v>70</v>
      </c>
      <c r="BK530" s="167" t="s">
        <v>70</v>
      </c>
      <c r="BL530" s="167" t="s">
        <v>70</v>
      </c>
      <c r="BM530" s="167" t="s">
        <v>70</v>
      </c>
      <c r="BN530" s="166" t="s">
        <v>69</v>
      </c>
      <c r="BO530" s="166" t="s">
        <v>69</v>
      </c>
      <c r="BP530" s="167" t="s">
        <v>70</v>
      </c>
      <c r="BQ530" s="151">
        <v>0</v>
      </c>
      <c r="BR530" s="142"/>
      <c r="BS530" s="142"/>
      <c r="BT530" s="142"/>
      <c r="BU530" s="142"/>
      <c r="BV530" s="142"/>
      <c r="BW530" s="142"/>
      <c r="BX530" s="142"/>
      <c r="BY530" s="142"/>
      <c r="BZ530" s="142"/>
      <c r="CA530" s="142"/>
      <c r="CB530" s="142"/>
      <c r="CC530" s="142"/>
      <c r="CD530" s="142"/>
      <c r="CE530" s="142"/>
      <c r="CF530" s="142"/>
      <c r="CG530" s="142"/>
      <c r="CH530" s="142"/>
      <c r="CI530" s="142"/>
      <c r="CJ530" s="142"/>
      <c r="CK530" s="142"/>
      <c r="CL530" s="142"/>
      <c r="CM530" s="142"/>
      <c r="CN530" s="142"/>
      <c r="CO530" s="142"/>
      <c r="CP530" s="142"/>
      <c r="CQ530" s="142"/>
      <c r="CR530" s="142"/>
      <c r="CS530" s="142"/>
      <c r="CT530" s="142"/>
      <c r="CU530" s="142"/>
      <c r="CV530" s="142"/>
      <c r="CW530" s="142"/>
      <c r="CX530" s="142"/>
      <c r="CY530" s="142"/>
      <c r="CZ530" s="142"/>
      <c r="DA530" s="142"/>
      <c r="DB530" s="142"/>
      <c r="DC530" s="142"/>
      <c r="DD530" s="142"/>
      <c r="DE530" s="142"/>
      <c r="DF530" s="142"/>
      <c r="DG530" s="142"/>
      <c r="DH530" s="142"/>
      <c r="DI530" s="142"/>
      <c r="DJ530" s="142"/>
      <c r="DK530" s="142"/>
      <c r="DL530" s="142"/>
      <c r="DM530" s="142"/>
      <c r="DN530" s="142"/>
      <c r="DO530" s="142"/>
      <c r="DP530" s="142"/>
      <c r="DQ530" s="142"/>
      <c r="DR530" s="142"/>
      <c r="DS530" s="142"/>
      <c r="DT530" s="142"/>
      <c r="DU530" s="142"/>
      <c r="DV530" s="142"/>
      <c r="DW530" s="142"/>
      <c r="DX530" s="142"/>
      <c r="DY530" s="142"/>
      <c r="DZ530" s="142"/>
      <c r="EA530" s="142"/>
      <c r="EB530" s="142"/>
      <c r="EC530" s="142"/>
      <c r="ED530" s="142"/>
      <c r="EE530" s="142"/>
    </row>
    <row r="531" spans="1:135" s="151" customFormat="1" ht="19.5" customHeight="1" x14ac:dyDescent="0.2">
      <c r="A531" s="117">
        <v>530</v>
      </c>
      <c r="B531" s="174" t="s">
        <v>536</v>
      </c>
      <c r="C531" s="144">
        <v>142105</v>
      </c>
      <c r="D531" s="117" t="s">
        <v>67</v>
      </c>
      <c r="E531" s="146" t="s">
        <v>477</v>
      </c>
      <c r="F531" s="146" t="s">
        <v>208</v>
      </c>
      <c r="G531" s="162">
        <v>42045</v>
      </c>
      <c r="H531" s="119">
        <v>42436</v>
      </c>
      <c r="I531" s="162">
        <v>46184</v>
      </c>
      <c r="J531" s="162">
        <f t="shared" si="37"/>
        <v>46915</v>
      </c>
      <c r="K531" s="111">
        <v>41836</v>
      </c>
      <c r="L531" s="111">
        <v>46064</v>
      </c>
      <c r="M531" s="163">
        <f t="shared" si="38"/>
        <v>46794</v>
      </c>
      <c r="N531" s="111">
        <v>41801</v>
      </c>
      <c r="O531" s="111">
        <v>45494</v>
      </c>
      <c r="P531" s="111">
        <v>41803</v>
      </c>
      <c r="Q531" s="166" t="s">
        <v>69</v>
      </c>
      <c r="R531" s="166" t="s">
        <v>69</v>
      </c>
      <c r="S531" s="166" t="s">
        <v>69</v>
      </c>
      <c r="T531" s="168">
        <v>43129</v>
      </c>
      <c r="U531" s="166" t="s">
        <v>69</v>
      </c>
      <c r="V531" s="166" t="s">
        <v>69</v>
      </c>
      <c r="W531" s="166" t="s">
        <v>69</v>
      </c>
      <c r="X531" s="166" t="s">
        <v>69</v>
      </c>
      <c r="Y531" s="166" t="s">
        <v>69</v>
      </c>
      <c r="Z531" s="166" t="s">
        <v>69</v>
      </c>
      <c r="AA531" s="166" t="s">
        <v>69</v>
      </c>
      <c r="AB531" s="167" t="s">
        <v>70</v>
      </c>
      <c r="AC531" s="167" t="s">
        <v>70</v>
      </c>
      <c r="AD531" s="165" t="s">
        <v>69</v>
      </c>
      <c r="AE531" s="165" t="s">
        <v>69</v>
      </c>
      <c r="AF531" s="112" t="s">
        <v>69</v>
      </c>
      <c r="AG531" s="167" t="s">
        <v>70</v>
      </c>
      <c r="AH531" s="167" t="s">
        <v>71</v>
      </c>
      <c r="AI531" s="167" t="s">
        <v>70</v>
      </c>
      <c r="AJ531" s="167" t="s">
        <v>70</v>
      </c>
      <c r="AK531" s="167" t="s">
        <v>70</v>
      </c>
      <c r="AL531" s="166" t="s">
        <v>69</v>
      </c>
      <c r="AM531" s="166"/>
      <c r="AN531" s="167" t="s">
        <v>70</v>
      </c>
      <c r="AO531" s="167" t="s">
        <v>70</v>
      </c>
      <c r="AP531" s="166" t="s">
        <v>69</v>
      </c>
      <c r="AQ531" s="166" t="s">
        <v>69</v>
      </c>
      <c r="AR531" s="166" t="s">
        <v>69</v>
      </c>
      <c r="AS531" s="94">
        <v>45989</v>
      </c>
      <c r="AT531" s="166" t="s">
        <v>69</v>
      </c>
      <c r="AU531" s="166" t="s">
        <v>69</v>
      </c>
      <c r="AV531" s="166" t="s">
        <v>69</v>
      </c>
      <c r="AW531" s="167" t="s">
        <v>70</v>
      </c>
      <c r="AX531" s="167" t="s">
        <v>70</v>
      </c>
      <c r="AY531" s="167" t="s">
        <v>70</v>
      </c>
      <c r="AZ531" s="166" t="s">
        <v>69</v>
      </c>
      <c r="BA531" s="166" t="s">
        <v>69</v>
      </c>
      <c r="BB531" s="167" t="s">
        <v>70</v>
      </c>
      <c r="BC531" s="167" t="s">
        <v>70</v>
      </c>
      <c r="BD531" s="167" t="s">
        <v>70</v>
      </c>
      <c r="BE531" s="167" t="s">
        <v>70</v>
      </c>
      <c r="BF531" s="167" t="s">
        <v>70</v>
      </c>
      <c r="BG531" s="167" t="s">
        <v>70</v>
      </c>
      <c r="BH531" s="167" t="s">
        <v>70</v>
      </c>
      <c r="BI531" s="167" t="s">
        <v>70</v>
      </c>
      <c r="BJ531" s="167" t="s">
        <v>70</v>
      </c>
      <c r="BK531" s="167" t="s">
        <v>70</v>
      </c>
      <c r="BL531" s="167" t="s">
        <v>70</v>
      </c>
      <c r="BM531" s="167" t="s">
        <v>70</v>
      </c>
      <c r="BN531" s="166" t="s">
        <v>69</v>
      </c>
      <c r="BO531" s="166" t="s">
        <v>69</v>
      </c>
      <c r="BP531" s="167" t="s">
        <v>70</v>
      </c>
      <c r="BQ531" s="151">
        <v>0</v>
      </c>
      <c r="BR531" s="142"/>
      <c r="BS531" s="142"/>
      <c r="BT531" s="142"/>
      <c r="BU531" s="142"/>
      <c r="BV531" s="142"/>
      <c r="BW531" s="142"/>
      <c r="BX531" s="142"/>
      <c r="BY531" s="142"/>
      <c r="BZ531" s="142"/>
      <c r="CA531" s="142"/>
      <c r="CB531" s="142"/>
      <c r="CC531" s="142"/>
      <c r="CD531" s="142"/>
      <c r="CE531" s="142"/>
      <c r="CF531" s="142"/>
      <c r="CG531" s="142"/>
      <c r="CH531" s="142"/>
      <c r="CI531" s="142"/>
      <c r="CJ531" s="142"/>
      <c r="CK531" s="142"/>
      <c r="CL531" s="142"/>
      <c r="CM531" s="142"/>
      <c r="CN531" s="142"/>
      <c r="CO531" s="142"/>
      <c r="CP531" s="142"/>
      <c r="CQ531" s="142"/>
      <c r="CR531" s="142"/>
      <c r="CS531" s="142"/>
      <c r="CT531" s="142"/>
      <c r="CU531" s="142"/>
      <c r="CV531" s="142"/>
      <c r="CW531" s="142"/>
      <c r="CX531" s="142"/>
      <c r="CY531" s="142"/>
      <c r="CZ531" s="142"/>
      <c r="DA531" s="142"/>
      <c r="DB531" s="142"/>
      <c r="DC531" s="142"/>
      <c r="DD531" s="142"/>
      <c r="DE531" s="142"/>
      <c r="DF531" s="142"/>
      <c r="DG531" s="142"/>
      <c r="DH531" s="142"/>
      <c r="DI531" s="142"/>
      <c r="DJ531" s="142"/>
      <c r="DK531" s="142"/>
      <c r="DL531" s="142"/>
      <c r="DM531" s="142"/>
      <c r="DN531" s="142"/>
      <c r="DO531" s="142"/>
      <c r="DP531" s="142"/>
      <c r="DQ531" s="142"/>
      <c r="DR531" s="142"/>
      <c r="DS531" s="142"/>
      <c r="DT531" s="142"/>
      <c r="DU531" s="142"/>
      <c r="DV531" s="142"/>
      <c r="DW531" s="142"/>
      <c r="DX531" s="142"/>
      <c r="DY531" s="142"/>
      <c r="DZ531" s="142"/>
      <c r="EA531" s="142"/>
      <c r="EB531" s="142"/>
      <c r="EC531" s="142"/>
      <c r="ED531" s="142"/>
      <c r="EE531" s="142"/>
    </row>
    <row r="532" spans="1:135" s="151" customFormat="1" ht="19.5" customHeight="1" x14ac:dyDescent="0.2">
      <c r="A532" s="117">
        <v>531</v>
      </c>
      <c r="B532" s="161" t="s">
        <v>731</v>
      </c>
      <c r="C532" s="161">
        <v>83104426</v>
      </c>
      <c r="D532" s="177" t="s">
        <v>732</v>
      </c>
      <c r="E532" s="117" t="s">
        <v>443</v>
      </c>
      <c r="F532" s="146" t="s">
        <v>256</v>
      </c>
      <c r="G532" s="229">
        <v>41848</v>
      </c>
      <c r="H532" s="111">
        <v>46218</v>
      </c>
      <c r="I532" s="111">
        <v>46218</v>
      </c>
      <c r="J532" s="111">
        <v>46949</v>
      </c>
      <c r="K532" s="111">
        <v>42348</v>
      </c>
      <c r="L532" s="232">
        <v>46220</v>
      </c>
      <c r="M532" s="163">
        <f>IF(L532="", "", DATE(YEAR(L532)+3, MONTH(L532), DAY(L532)))</f>
        <v>47316</v>
      </c>
      <c r="N532" s="232">
        <v>46219</v>
      </c>
      <c r="O532" s="237">
        <v>46216</v>
      </c>
      <c r="P532" s="232">
        <v>46217</v>
      </c>
      <c r="Q532" s="167" t="s">
        <v>70</v>
      </c>
      <c r="R532" s="167" t="s">
        <v>70</v>
      </c>
      <c r="S532" s="167" t="s">
        <v>70</v>
      </c>
      <c r="T532" s="167" t="s">
        <v>70</v>
      </c>
      <c r="U532" s="167" t="s">
        <v>70</v>
      </c>
      <c r="V532" s="167" t="s">
        <v>70</v>
      </c>
      <c r="W532" s="167" t="s">
        <v>70</v>
      </c>
      <c r="X532" s="167" t="s">
        <v>70</v>
      </c>
      <c r="Y532" s="167" t="s">
        <v>70</v>
      </c>
      <c r="Z532" s="167" t="s">
        <v>70</v>
      </c>
      <c r="AA532" s="167" t="s">
        <v>70</v>
      </c>
      <c r="AB532" s="167" t="s">
        <v>70</v>
      </c>
      <c r="AC532" s="167" t="s">
        <v>70</v>
      </c>
      <c r="AD532" s="167" t="s">
        <v>70</v>
      </c>
      <c r="AE532" s="167" t="s">
        <v>70</v>
      </c>
      <c r="AF532" s="167" t="s">
        <v>70</v>
      </c>
      <c r="AG532" s="167" t="s">
        <v>70</v>
      </c>
      <c r="AH532" s="167" t="s">
        <v>70</v>
      </c>
      <c r="AI532" s="111">
        <v>45939</v>
      </c>
      <c r="AJ532" s="166" t="s">
        <v>69</v>
      </c>
      <c r="AK532" s="167" t="s">
        <v>70</v>
      </c>
      <c r="AL532" s="167" t="s">
        <v>70</v>
      </c>
      <c r="AM532" s="167"/>
      <c r="AN532" s="167" t="s">
        <v>70</v>
      </c>
      <c r="AO532" s="167" t="s">
        <v>70</v>
      </c>
      <c r="AP532" s="167" t="s">
        <v>70</v>
      </c>
      <c r="AQ532" s="167" t="s">
        <v>70</v>
      </c>
      <c r="AR532" s="166" t="s">
        <v>69</v>
      </c>
      <c r="AS532" s="167" t="s">
        <v>70</v>
      </c>
      <c r="AT532" s="167" t="s">
        <v>70</v>
      </c>
      <c r="AU532" s="167" t="s">
        <v>70</v>
      </c>
      <c r="AV532" s="167" t="s">
        <v>70</v>
      </c>
      <c r="AW532" s="167" t="s">
        <v>70</v>
      </c>
      <c r="AX532" s="167" t="s">
        <v>70</v>
      </c>
      <c r="AY532" s="167" t="s">
        <v>70</v>
      </c>
      <c r="AZ532" s="167" t="s">
        <v>70</v>
      </c>
      <c r="BA532" s="167" t="s">
        <v>70</v>
      </c>
      <c r="BB532" s="167" t="s">
        <v>70</v>
      </c>
      <c r="BC532" s="167" t="s">
        <v>70</v>
      </c>
      <c r="BD532" s="167" t="s">
        <v>70</v>
      </c>
      <c r="BE532" s="167" t="s">
        <v>70</v>
      </c>
      <c r="BF532" s="167" t="s">
        <v>70</v>
      </c>
      <c r="BG532" s="167" t="s">
        <v>70</v>
      </c>
      <c r="BH532" s="167" t="s">
        <v>70</v>
      </c>
      <c r="BI532" s="167" t="s">
        <v>70</v>
      </c>
      <c r="BJ532" s="167" t="s">
        <v>70</v>
      </c>
      <c r="BK532" s="167" t="s">
        <v>70</v>
      </c>
      <c r="BL532" s="167" t="s">
        <v>70</v>
      </c>
      <c r="BM532" s="167" t="s">
        <v>70</v>
      </c>
      <c r="BN532" s="167" t="s">
        <v>70</v>
      </c>
      <c r="BO532" s="167" t="s">
        <v>70</v>
      </c>
      <c r="BP532" s="167" t="s">
        <v>70</v>
      </c>
      <c r="BQ532" s="151" t="s">
        <v>208</v>
      </c>
    </row>
    <row r="533" spans="1:135" s="151" customFormat="1" ht="19.5" customHeight="1" x14ac:dyDescent="0.2">
      <c r="A533" s="117">
        <v>532</v>
      </c>
      <c r="B533" s="161" t="s">
        <v>733</v>
      </c>
      <c r="C533" s="161">
        <v>83117269</v>
      </c>
      <c r="D533" s="177" t="s">
        <v>734</v>
      </c>
      <c r="E533" s="117" t="s">
        <v>443</v>
      </c>
      <c r="F533" s="146" t="s">
        <v>256</v>
      </c>
      <c r="G533" s="111">
        <v>42044</v>
      </c>
      <c r="H533" s="89">
        <v>42478</v>
      </c>
      <c r="I533" s="140">
        <v>46080</v>
      </c>
      <c r="J533" s="162">
        <f>IF(I533="", "", DATE(YEAR(I533)+3, MONTH(I533), DAY(I533)))</f>
        <v>47176</v>
      </c>
      <c r="K533" s="89">
        <v>42478</v>
      </c>
      <c r="L533" s="111">
        <v>46079</v>
      </c>
      <c r="M533" s="163">
        <f>IF(L533="", "", DATE(YEAR(L533)+3, MONTH(L533), DAY(L533)))</f>
        <v>47175</v>
      </c>
      <c r="N533" s="89">
        <v>46076</v>
      </c>
      <c r="O533" s="89">
        <v>46077</v>
      </c>
      <c r="P533" s="89">
        <v>46078</v>
      </c>
      <c r="Q533" s="167" t="s">
        <v>70</v>
      </c>
      <c r="R533" s="167" t="s">
        <v>70</v>
      </c>
      <c r="S533" s="167" t="s">
        <v>70</v>
      </c>
      <c r="T533" s="167" t="s">
        <v>70</v>
      </c>
      <c r="U533" s="167" t="s">
        <v>70</v>
      </c>
      <c r="V533" s="167" t="s">
        <v>70</v>
      </c>
      <c r="W533" s="167" t="s">
        <v>70</v>
      </c>
      <c r="X533" s="167" t="s">
        <v>70</v>
      </c>
      <c r="Y533" s="167" t="s">
        <v>70</v>
      </c>
      <c r="Z533" s="167" t="s">
        <v>70</v>
      </c>
      <c r="AA533" s="167" t="s">
        <v>70</v>
      </c>
      <c r="AB533" s="167" t="s">
        <v>70</v>
      </c>
      <c r="AC533" s="167" t="s">
        <v>70</v>
      </c>
      <c r="AD533" s="167" t="s">
        <v>70</v>
      </c>
      <c r="AE533" s="167" t="s">
        <v>70</v>
      </c>
      <c r="AF533" s="167" t="s">
        <v>70</v>
      </c>
      <c r="AG533" s="167" t="s">
        <v>70</v>
      </c>
      <c r="AH533" s="167" t="s">
        <v>70</v>
      </c>
      <c r="AI533" s="163">
        <v>45994</v>
      </c>
      <c r="AJ533" s="166" t="s">
        <v>69</v>
      </c>
      <c r="AK533" s="167" t="s">
        <v>70</v>
      </c>
      <c r="AL533" s="167" t="s">
        <v>70</v>
      </c>
      <c r="AM533" s="167"/>
      <c r="AN533" s="167" t="s">
        <v>70</v>
      </c>
      <c r="AO533" s="167" t="s">
        <v>70</v>
      </c>
      <c r="AP533" s="167" t="s">
        <v>70</v>
      </c>
      <c r="AQ533" s="167" t="s">
        <v>70</v>
      </c>
      <c r="AR533" s="168">
        <v>46153</v>
      </c>
      <c r="AS533" s="167" t="s">
        <v>70</v>
      </c>
      <c r="AT533" s="167" t="s">
        <v>70</v>
      </c>
      <c r="AU533" s="167" t="s">
        <v>70</v>
      </c>
      <c r="AV533" s="167" t="s">
        <v>70</v>
      </c>
      <c r="AW533" s="167" t="s">
        <v>70</v>
      </c>
      <c r="AX533" s="167" t="s">
        <v>70</v>
      </c>
      <c r="AY533" s="167" t="s">
        <v>70</v>
      </c>
      <c r="AZ533" s="167" t="s">
        <v>70</v>
      </c>
      <c r="BA533" s="167" t="s">
        <v>70</v>
      </c>
      <c r="BB533" s="167" t="s">
        <v>70</v>
      </c>
      <c r="BC533" s="167" t="s">
        <v>70</v>
      </c>
      <c r="BD533" s="167" t="s">
        <v>70</v>
      </c>
      <c r="BE533" s="167" t="s">
        <v>70</v>
      </c>
      <c r="BF533" s="167" t="s">
        <v>70</v>
      </c>
      <c r="BG533" s="167" t="s">
        <v>70</v>
      </c>
      <c r="BH533" s="167" t="s">
        <v>70</v>
      </c>
      <c r="BI533" s="167" t="s">
        <v>70</v>
      </c>
      <c r="BJ533" s="167" t="s">
        <v>70</v>
      </c>
      <c r="BK533" s="167" t="s">
        <v>70</v>
      </c>
      <c r="BL533" s="167" t="s">
        <v>70</v>
      </c>
      <c r="BM533" s="167" t="s">
        <v>70</v>
      </c>
      <c r="BN533" s="167" t="s">
        <v>70</v>
      </c>
      <c r="BO533" s="167" t="s">
        <v>70</v>
      </c>
      <c r="BP533" s="167" t="s">
        <v>70</v>
      </c>
      <c r="BQ533" s="151" t="s">
        <v>208</v>
      </c>
    </row>
    <row r="534" spans="1:135" s="151" customFormat="1" ht="19.5" customHeight="1" x14ac:dyDescent="0.2">
      <c r="A534" s="117">
        <v>533</v>
      </c>
      <c r="B534" s="188" t="s">
        <v>441</v>
      </c>
      <c r="C534" s="189">
        <v>83117279</v>
      </c>
      <c r="D534" s="171" t="s">
        <v>442</v>
      </c>
      <c r="E534" s="117" t="s">
        <v>443</v>
      </c>
      <c r="F534" s="146" t="s">
        <v>256</v>
      </c>
      <c r="G534" s="124" t="s">
        <v>69</v>
      </c>
      <c r="H534" s="93">
        <v>46248</v>
      </c>
      <c r="I534" s="93">
        <v>46248</v>
      </c>
      <c r="J534" s="92">
        <f>IF(I534="", "", DATE(YEAR(I534)+3, MONTH(I534), DAY(I534)))</f>
        <v>47344</v>
      </c>
      <c r="K534" s="93">
        <v>46247</v>
      </c>
      <c r="L534" s="93">
        <v>46247</v>
      </c>
      <c r="M534" s="140">
        <f>IF(L534="", "", DATE(YEAR(L534)+3, MONTH(L534), DAY(L534)))</f>
        <v>47343</v>
      </c>
      <c r="N534" s="93">
        <v>46245</v>
      </c>
      <c r="O534" s="93">
        <v>46258</v>
      </c>
      <c r="P534" s="93">
        <v>46246</v>
      </c>
      <c r="Q534" s="167" t="s">
        <v>70</v>
      </c>
      <c r="R534" s="167" t="s">
        <v>70</v>
      </c>
      <c r="S534" s="167" t="s">
        <v>70</v>
      </c>
      <c r="T534" s="167" t="s">
        <v>70</v>
      </c>
      <c r="U534" s="167" t="s">
        <v>70</v>
      </c>
      <c r="V534" s="167" t="s">
        <v>70</v>
      </c>
      <c r="W534" s="167" t="s">
        <v>70</v>
      </c>
      <c r="X534" s="167" t="s">
        <v>70</v>
      </c>
      <c r="Y534" s="167" t="s">
        <v>70</v>
      </c>
      <c r="Z534" s="167" t="s">
        <v>70</v>
      </c>
      <c r="AA534" s="167" t="s">
        <v>70</v>
      </c>
      <c r="AB534" s="167" t="s">
        <v>70</v>
      </c>
      <c r="AC534" s="167" t="s">
        <v>70</v>
      </c>
      <c r="AD534" s="167" t="s">
        <v>70</v>
      </c>
      <c r="AE534" s="167" t="s">
        <v>70</v>
      </c>
      <c r="AF534" s="167" t="s">
        <v>70</v>
      </c>
      <c r="AG534" s="167" t="s">
        <v>70</v>
      </c>
      <c r="AH534" s="167" t="s">
        <v>70</v>
      </c>
      <c r="AI534" s="111">
        <v>45939</v>
      </c>
      <c r="AJ534" s="166" t="s">
        <v>69</v>
      </c>
      <c r="AK534" s="167" t="s">
        <v>70</v>
      </c>
      <c r="AL534" s="167" t="s">
        <v>70</v>
      </c>
      <c r="AM534" s="167"/>
      <c r="AN534" s="167" t="s">
        <v>70</v>
      </c>
      <c r="AO534" s="167" t="s">
        <v>70</v>
      </c>
      <c r="AP534" s="167" t="s">
        <v>70</v>
      </c>
      <c r="AQ534" s="167" t="s">
        <v>70</v>
      </c>
      <c r="AR534" s="166" t="s">
        <v>69</v>
      </c>
      <c r="AS534" s="167" t="s">
        <v>70</v>
      </c>
      <c r="AT534" s="167" t="s">
        <v>70</v>
      </c>
      <c r="AU534" s="167" t="s">
        <v>70</v>
      </c>
      <c r="AV534" s="167" t="s">
        <v>70</v>
      </c>
      <c r="AW534" s="167" t="s">
        <v>70</v>
      </c>
      <c r="AX534" s="167" t="s">
        <v>70</v>
      </c>
      <c r="AY534" s="167" t="s">
        <v>70</v>
      </c>
      <c r="AZ534" s="167" t="s">
        <v>70</v>
      </c>
      <c r="BA534" s="167" t="s">
        <v>70</v>
      </c>
      <c r="BB534" s="167" t="s">
        <v>70</v>
      </c>
      <c r="BC534" s="167" t="s">
        <v>70</v>
      </c>
      <c r="BD534" s="167" t="s">
        <v>70</v>
      </c>
      <c r="BE534" s="167" t="s">
        <v>70</v>
      </c>
      <c r="BF534" s="167" t="s">
        <v>70</v>
      </c>
      <c r="BG534" s="167" t="s">
        <v>70</v>
      </c>
      <c r="BH534" s="167" t="s">
        <v>70</v>
      </c>
      <c r="BI534" s="167" t="s">
        <v>70</v>
      </c>
      <c r="BJ534" s="167" t="s">
        <v>70</v>
      </c>
      <c r="BK534" s="167" t="s">
        <v>70</v>
      </c>
      <c r="BL534" s="167" t="s">
        <v>70</v>
      </c>
      <c r="BM534" s="167" t="s">
        <v>70</v>
      </c>
      <c r="BN534" s="167" t="s">
        <v>70</v>
      </c>
      <c r="BO534" s="167" t="s">
        <v>70</v>
      </c>
      <c r="BP534" s="167" t="s">
        <v>70</v>
      </c>
      <c r="BQ534" s="151" t="s">
        <v>256</v>
      </c>
    </row>
    <row r="535" spans="1:135" s="151" customFormat="1" ht="19.5" customHeight="1" x14ac:dyDescent="0.2">
      <c r="A535" s="117">
        <v>534</v>
      </c>
      <c r="B535" s="117" t="s">
        <v>674</v>
      </c>
      <c r="C535" s="117">
        <v>148188</v>
      </c>
      <c r="D535" s="117" t="s">
        <v>212</v>
      </c>
      <c r="E535" s="117" t="s">
        <v>443</v>
      </c>
      <c r="F535" s="146" t="s">
        <v>256</v>
      </c>
      <c r="G535" s="238">
        <v>42044</v>
      </c>
      <c r="H535" s="124">
        <v>45988</v>
      </c>
      <c r="I535" s="124">
        <v>45988</v>
      </c>
      <c r="J535" s="162">
        <f>IF(I535="", "", DATE(YEAR(I535)+3, MONTH(I535), DAY(I535)))</f>
        <v>47084</v>
      </c>
      <c r="K535" s="112">
        <v>45989</v>
      </c>
      <c r="L535" s="112">
        <v>45989</v>
      </c>
      <c r="M535" s="163">
        <f>IF(L535="", "", DATE(YEAR(L535)+3, MONTH(L535), DAY(L535)))</f>
        <v>47085</v>
      </c>
      <c r="N535" s="239">
        <v>45985</v>
      </c>
      <c r="O535" s="239">
        <v>45987</v>
      </c>
      <c r="P535" s="240">
        <v>46006</v>
      </c>
      <c r="Q535" s="167" t="s">
        <v>70</v>
      </c>
      <c r="R535" s="167" t="s">
        <v>70</v>
      </c>
      <c r="S535" s="167" t="s">
        <v>70</v>
      </c>
      <c r="T535" s="167" t="s">
        <v>70</v>
      </c>
      <c r="U535" s="167" t="s">
        <v>70</v>
      </c>
      <c r="V535" s="167" t="s">
        <v>70</v>
      </c>
      <c r="W535" s="167" t="s">
        <v>70</v>
      </c>
      <c r="X535" s="167" t="s">
        <v>70</v>
      </c>
      <c r="Y535" s="167" t="s">
        <v>70</v>
      </c>
      <c r="Z535" s="167" t="s">
        <v>70</v>
      </c>
      <c r="AA535" s="167" t="s">
        <v>70</v>
      </c>
      <c r="AB535" s="167" t="s">
        <v>70</v>
      </c>
      <c r="AC535" s="167" t="s">
        <v>70</v>
      </c>
      <c r="AD535" s="167" t="s">
        <v>70</v>
      </c>
      <c r="AE535" s="167" t="s">
        <v>70</v>
      </c>
      <c r="AF535" s="167" t="s">
        <v>70</v>
      </c>
      <c r="AG535" s="167" t="s">
        <v>70</v>
      </c>
      <c r="AH535" s="167" t="s">
        <v>70</v>
      </c>
      <c r="AI535" s="111">
        <v>45764</v>
      </c>
      <c r="AJ535" s="166" t="s">
        <v>69</v>
      </c>
      <c r="AK535" s="167" t="s">
        <v>70</v>
      </c>
      <c r="AL535" s="167" t="s">
        <v>70</v>
      </c>
      <c r="AM535" s="167"/>
      <c r="AN535" s="167" t="s">
        <v>70</v>
      </c>
      <c r="AO535" s="167" t="s">
        <v>70</v>
      </c>
      <c r="AP535" s="167" t="s">
        <v>70</v>
      </c>
      <c r="AQ535" s="167" t="s">
        <v>70</v>
      </c>
      <c r="AR535" s="166" t="s">
        <v>69</v>
      </c>
      <c r="AS535" s="167" t="s">
        <v>70</v>
      </c>
      <c r="AT535" s="167" t="s">
        <v>70</v>
      </c>
      <c r="AU535" s="167" t="s">
        <v>70</v>
      </c>
      <c r="AV535" s="167" t="s">
        <v>70</v>
      </c>
      <c r="AW535" s="167" t="s">
        <v>70</v>
      </c>
      <c r="AX535" s="167" t="s">
        <v>70</v>
      </c>
      <c r="AY535" s="167" t="s">
        <v>70</v>
      </c>
      <c r="AZ535" s="167" t="s">
        <v>70</v>
      </c>
      <c r="BA535" s="167" t="s">
        <v>70</v>
      </c>
      <c r="BB535" s="167" t="s">
        <v>70</v>
      </c>
      <c r="BC535" s="167" t="s">
        <v>70</v>
      </c>
      <c r="BD535" s="167" t="s">
        <v>70</v>
      </c>
      <c r="BE535" s="167" t="s">
        <v>70</v>
      </c>
      <c r="BF535" s="167" t="s">
        <v>70</v>
      </c>
      <c r="BG535" s="167" t="s">
        <v>70</v>
      </c>
      <c r="BH535" s="167" t="s">
        <v>70</v>
      </c>
      <c r="BI535" s="167" t="s">
        <v>70</v>
      </c>
      <c r="BJ535" s="167" t="s">
        <v>70</v>
      </c>
      <c r="BK535" s="167" t="s">
        <v>70</v>
      </c>
      <c r="BL535" s="167" t="s">
        <v>70</v>
      </c>
      <c r="BM535" s="167" t="s">
        <v>70</v>
      </c>
      <c r="BN535" s="167" t="s">
        <v>70</v>
      </c>
      <c r="BO535" s="167" t="s">
        <v>70</v>
      </c>
      <c r="BP535" s="167" t="s">
        <v>70</v>
      </c>
      <c r="BQ535" s="151" t="s">
        <v>208</v>
      </c>
    </row>
    <row r="536" spans="1:135" s="151" customFormat="1" ht="19.5" customHeight="1" x14ac:dyDescent="0.2">
      <c r="A536" s="117">
        <v>535</v>
      </c>
      <c r="B536" s="117" t="s">
        <v>675</v>
      </c>
      <c r="C536" s="117">
        <v>148190</v>
      </c>
      <c r="D536" s="117" t="s">
        <v>212</v>
      </c>
      <c r="E536" s="117" t="s">
        <v>443</v>
      </c>
      <c r="F536" s="146" t="s">
        <v>256</v>
      </c>
      <c r="G536" s="238">
        <v>42044</v>
      </c>
      <c r="H536" s="89">
        <v>46003</v>
      </c>
      <c r="I536" s="89">
        <v>46003</v>
      </c>
      <c r="J536" s="162">
        <f>IF(I536="", "", DATE(YEAR(I536)+3, MONTH(I536), DAY(I536)))</f>
        <v>47099</v>
      </c>
      <c r="K536" s="89">
        <v>42146</v>
      </c>
      <c r="L536" s="140">
        <v>46001</v>
      </c>
      <c r="M536" s="163">
        <f>IF(L536="", "", DATE(YEAR(L536)+3, MONTH(L536), DAY(L536)))</f>
        <v>47097</v>
      </c>
      <c r="N536" s="238">
        <v>45999</v>
      </c>
      <c r="O536" s="238">
        <v>46002</v>
      </c>
      <c r="P536" s="238">
        <v>46000</v>
      </c>
      <c r="Q536" s="167" t="s">
        <v>70</v>
      </c>
      <c r="R536" s="167" t="s">
        <v>70</v>
      </c>
      <c r="S536" s="167" t="s">
        <v>70</v>
      </c>
      <c r="T536" s="167" t="s">
        <v>70</v>
      </c>
      <c r="U536" s="167" t="s">
        <v>70</v>
      </c>
      <c r="V536" s="167" t="s">
        <v>70</v>
      </c>
      <c r="W536" s="167" t="s">
        <v>70</v>
      </c>
      <c r="X536" s="167" t="s">
        <v>70</v>
      </c>
      <c r="Y536" s="167" t="s">
        <v>70</v>
      </c>
      <c r="Z536" s="167" t="s">
        <v>70</v>
      </c>
      <c r="AA536" s="167" t="s">
        <v>70</v>
      </c>
      <c r="AB536" s="167" t="s">
        <v>70</v>
      </c>
      <c r="AC536" s="167" t="s">
        <v>70</v>
      </c>
      <c r="AD536" s="167" t="s">
        <v>70</v>
      </c>
      <c r="AE536" s="167" t="s">
        <v>70</v>
      </c>
      <c r="AF536" s="167" t="s">
        <v>70</v>
      </c>
      <c r="AG536" s="167" t="s">
        <v>70</v>
      </c>
      <c r="AH536" s="167" t="s">
        <v>70</v>
      </c>
      <c r="AI536" s="111">
        <v>45785</v>
      </c>
      <c r="AJ536" s="166" t="s">
        <v>69</v>
      </c>
      <c r="AK536" s="167" t="s">
        <v>70</v>
      </c>
      <c r="AL536" s="167" t="s">
        <v>70</v>
      </c>
      <c r="AM536" s="167"/>
      <c r="AN536" s="167" t="s">
        <v>70</v>
      </c>
      <c r="AO536" s="167" t="s">
        <v>70</v>
      </c>
      <c r="AP536" s="167" t="s">
        <v>70</v>
      </c>
      <c r="AQ536" s="167" t="s">
        <v>70</v>
      </c>
      <c r="AR536" s="166" t="s">
        <v>69</v>
      </c>
      <c r="AS536" s="167" t="s">
        <v>70</v>
      </c>
      <c r="AT536" s="167" t="s">
        <v>70</v>
      </c>
      <c r="AU536" s="167" t="s">
        <v>70</v>
      </c>
      <c r="AV536" s="167" t="s">
        <v>70</v>
      </c>
      <c r="AW536" s="167" t="s">
        <v>70</v>
      </c>
      <c r="AX536" s="167" t="s">
        <v>70</v>
      </c>
      <c r="AY536" s="167" t="s">
        <v>70</v>
      </c>
      <c r="AZ536" s="167" t="s">
        <v>70</v>
      </c>
      <c r="BA536" s="167" t="s">
        <v>70</v>
      </c>
      <c r="BB536" s="167" t="s">
        <v>70</v>
      </c>
      <c r="BC536" s="167" t="s">
        <v>70</v>
      </c>
      <c r="BD536" s="167" t="s">
        <v>70</v>
      </c>
      <c r="BE536" s="167" t="s">
        <v>70</v>
      </c>
      <c r="BF536" s="167" t="s">
        <v>70</v>
      </c>
      <c r="BG536" s="167" t="s">
        <v>70</v>
      </c>
      <c r="BH536" s="167" t="s">
        <v>70</v>
      </c>
      <c r="BI536" s="167" t="s">
        <v>70</v>
      </c>
      <c r="BJ536" s="167" t="s">
        <v>70</v>
      </c>
      <c r="BK536" s="167" t="s">
        <v>70</v>
      </c>
      <c r="BL536" s="167" t="s">
        <v>70</v>
      </c>
      <c r="BM536" s="167" t="s">
        <v>70</v>
      </c>
      <c r="BN536" s="167" t="s">
        <v>70</v>
      </c>
      <c r="BO536" s="167" t="s">
        <v>70</v>
      </c>
      <c r="BP536" s="167" t="s">
        <v>70</v>
      </c>
      <c r="BQ536" s="151" t="s">
        <v>208</v>
      </c>
    </row>
    <row r="537" spans="1:135" s="151" customFormat="1" ht="19.5" customHeight="1" x14ac:dyDescent="0.2">
      <c r="A537" s="117">
        <v>536</v>
      </c>
      <c r="B537" s="117" t="s">
        <v>676</v>
      </c>
      <c r="C537" s="117">
        <v>148194</v>
      </c>
      <c r="D537" s="117" t="s">
        <v>212</v>
      </c>
      <c r="E537" s="117" t="s">
        <v>443</v>
      </c>
      <c r="F537" s="146" t="s">
        <v>256</v>
      </c>
      <c r="G537" s="124" t="s">
        <v>69</v>
      </c>
      <c r="H537" s="124"/>
      <c r="I537" s="112"/>
      <c r="J537" s="162" t="str">
        <f>IF(I537="", "", DATE(YEAR(I537)+2, MONTH(I537), DAY(I537)))</f>
        <v/>
      </c>
      <c r="K537" s="112"/>
      <c r="L537" s="112"/>
      <c r="M537" s="163"/>
      <c r="N537" s="112">
        <v>46171</v>
      </c>
      <c r="O537" s="112"/>
      <c r="P537" s="112">
        <v>46170</v>
      </c>
      <c r="Q537" s="167" t="s">
        <v>70</v>
      </c>
      <c r="R537" s="167" t="s">
        <v>70</v>
      </c>
      <c r="S537" s="167" t="s">
        <v>70</v>
      </c>
      <c r="T537" s="167" t="s">
        <v>70</v>
      </c>
      <c r="U537" s="167" t="s">
        <v>70</v>
      </c>
      <c r="V537" s="167" t="s">
        <v>70</v>
      </c>
      <c r="W537" s="167" t="s">
        <v>70</v>
      </c>
      <c r="X537" s="167" t="s">
        <v>70</v>
      </c>
      <c r="Y537" s="167" t="s">
        <v>70</v>
      </c>
      <c r="Z537" s="167" t="s">
        <v>70</v>
      </c>
      <c r="AA537" s="167" t="s">
        <v>70</v>
      </c>
      <c r="AB537" s="167" t="s">
        <v>70</v>
      </c>
      <c r="AC537" s="167" t="s">
        <v>70</v>
      </c>
      <c r="AD537" s="167" t="s">
        <v>70</v>
      </c>
      <c r="AE537" s="167" t="s">
        <v>70</v>
      </c>
      <c r="AF537" s="167" t="s">
        <v>70</v>
      </c>
      <c r="AG537" s="167" t="s">
        <v>70</v>
      </c>
      <c r="AH537" s="167" t="s">
        <v>70</v>
      </c>
      <c r="AI537" s="181">
        <v>45813</v>
      </c>
      <c r="AJ537" s="166" t="s">
        <v>69</v>
      </c>
      <c r="AK537" s="167" t="s">
        <v>70</v>
      </c>
      <c r="AL537" s="167" t="s">
        <v>70</v>
      </c>
      <c r="AM537" s="167"/>
      <c r="AN537" s="167" t="s">
        <v>70</v>
      </c>
      <c r="AO537" s="167" t="s">
        <v>70</v>
      </c>
      <c r="AP537" s="167" t="s">
        <v>70</v>
      </c>
      <c r="AQ537" s="167" t="s">
        <v>70</v>
      </c>
      <c r="AR537" s="166" t="s">
        <v>69</v>
      </c>
      <c r="AS537" s="167" t="s">
        <v>70</v>
      </c>
      <c r="AT537" s="167" t="s">
        <v>70</v>
      </c>
      <c r="AU537" s="167" t="s">
        <v>70</v>
      </c>
      <c r="AV537" s="167" t="s">
        <v>70</v>
      </c>
      <c r="AW537" s="167" t="s">
        <v>70</v>
      </c>
      <c r="AX537" s="167" t="s">
        <v>70</v>
      </c>
      <c r="AY537" s="167" t="s">
        <v>70</v>
      </c>
      <c r="AZ537" s="167" t="s">
        <v>70</v>
      </c>
      <c r="BA537" s="167" t="s">
        <v>70</v>
      </c>
      <c r="BB537" s="167" t="s">
        <v>70</v>
      </c>
      <c r="BC537" s="167" t="s">
        <v>70</v>
      </c>
      <c r="BD537" s="167" t="s">
        <v>70</v>
      </c>
      <c r="BE537" s="167" t="s">
        <v>70</v>
      </c>
      <c r="BF537" s="167" t="s">
        <v>70</v>
      </c>
      <c r="BG537" s="167" t="s">
        <v>70</v>
      </c>
      <c r="BH537" s="167" t="s">
        <v>70</v>
      </c>
      <c r="BI537" s="167" t="s">
        <v>70</v>
      </c>
      <c r="BJ537" s="167" t="s">
        <v>70</v>
      </c>
      <c r="BK537" s="167" t="s">
        <v>70</v>
      </c>
      <c r="BL537" s="167" t="s">
        <v>70</v>
      </c>
      <c r="BM537" s="167" t="s">
        <v>70</v>
      </c>
      <c r="BN537" s="167" t="s">
        <v>70</v>
      </c>
      <c r="BO537" s="167" t="s">
        <v>70</v>
      </c>
      <c r="BP537" s="167" t="s">
        <v>70</v>
      </c>
      <c r="BQ537" s="151" t="s">
        <v>208</v>
      </c>
    </row>
    <row r="538" spans="1:135" s="151" customFormat="1" ht="19.5" customHeight="1" x14ac:dyDescent="0.2">
      <c r="A538" s="117">
        <v>537</v>
      </c>
      <c r="B538" s="117" t="s">
        <v>677</v>
      </c>
      <c r="C538" s="117">
        <v>148195</v>
      </c>
      <c r="D538" s="117" t="s">
        <v>212</v>
      </c>
      <c r="E538" s="117" t="s">
        <v>443</v>
      </c>
      <c r="F538" s="146" t="s">
        <v>256</v>
      </c>
      <c r="G538" s="124" t="s">
        <v>69</v>
      </c>
      <c r="H538" s="89">
        <v>46003</v>
      </c>
      <c r="I538" s="89">
        <v>46003</v>
      </c>
      <c r="J538" s="162">
        <f>IF(I538="", "", DATE(YEAR(I538)+3, MONTH(I538), DAY(I538)))</f>
        <v>47099</v>
      </c>
      <c r="K538" s="89">
        <v>42146</v>
      </c>
      <c r="L538" s="140">
        <v>46001</v>
      </c>
      <c r="M538" s="163">
        <f>IF(L538="", "", DATE(YEAR(L538)+3, MONTH(L538), DAY(L538)))</f>
        <v>47097</v>
      </c>
      <c r="N538" s="239">
        <v>45999</v>
      </c>
      <c r="O538" s="239">
        <v>46002</v>
      </c>
      <c r="P538" s="239">
        <v>46000</v>
      </c>
      <c r="Q538" s="167" t="s">
        <v>70</v>
      </c>
      <c r="R538" s="167" t="s">
        <v>70</v>
      </c>
      <c r="S538" s="167" t="s">
        <v>70</v>
      </c>
      <c r="T538" s="167" t="s">
        <v>70</v>
      </c>
      <c r="U538" s="167" t="s">
        <v>70</v>
      </c>
      <c r="V538" s="167" t="s">
        <v>70</v>
      </c>
      <c r="W538" s="167" t="s">
        <v>70</v>
      </c>
      <c r="X538" s="167" t="s">
        <v>70</v>
      </c>
      <c r="Y538" s="167" t="s">
        <v>70</v>
      </c>
      <c r="Z538" s="167" t="s">
        <v>70</v>
      </c>
      <c r="AA538" s="167" t="s">
        <v>70</v>
      </c>
      <c r="AB538" s="167" t="s">
        <v>70</v>
      </c>
      <c r="AC538" s="167" t="s">
        <v>70</v>
      </c>
      <c r="AD538" s="167" t="s">
        <v>70</v>
      </c>
      <c r="AE538" s="167" t="s">
        <v>70</v>
      </c>
      <c r="AF538" s="167" t="s">
        <v>70</v>
      </c>
      <c r="AG538" s="167" t="s">
        <v>70</v>
      </c>
      <c r="AH538" s="167" t="s">
        <v>70</v>
      </c>
      <c r="AI538" s="181">
        <v>45855</v>
      </c>
      <c r="AJ538" s="166" t="s">
        <v>69</v>
      </c>
      <c r="AK538" s="167" t="s">
        <v>70</v>
      </c>
      <c r="AL538" s="167" t="s">
        <v>70</v>
      </c>
      <c r="AM538" s="167"/>
      <c r="AN538" s="167" t="s">
        <v>70</v>
      </c>
      <c r="AO538" s="167" t="s">
        <v>70</v>
      </c>
      <c r="AP538" s="167" t="s">
        <v>70</v>
      </c>
      <c r="AQ538" s="167" t="s">
        <v>70</v>
      </c>
      <c r="AR538" s="166" t="s">
        <v>69</v>
      </c>
      <c r="AS538" s="167" t="s">
        <v>70</v>
      </c>
      <c r="AT538" s="167" t="s">
        <v>70</v>
      </c>
      <c r="AU538" s="167" t="s">
        <v>70</v>
      </c>
      <c r="AV538" s="167" t="s">
        <v>70</v>
      </c>
      <c r="AW538" s="167" t="s">
        <v>70</v>
      </c>
      <c r="AX538" s="167" t="s">
        <v>70</v>
      </c>
      <c r="AY538" s="167" t="s">
        <v>70</v>
      </c>
      <c r="AZ538" s="167" t="s">
        <v>70</v>
      </c>
      <c r="BA538" s="167" t="s">
        <v>70</v>
      </c>
      <c r="BB538" s="167" t="s">
        <v>70</v>
      </c>
      <c r="BC538" s="167" t="s">
        <v>70</v>
      </c>
      <c r="BD538" s="167" t="s">
        <v>70</v>
      </c>
      <c r="BE538" s="167" t="s">
        <v>70</v>
      </c>
      <c r="BF538" s="167" t="s">
        <v>70</v>
      </c>
      <c r="BG538" s="167" t="s">
        <v>70</v>
      </c>
      <c r="BH538" s="167" t="s">
        <v>70</v>
      </c>
      <c r="BI538" s="167" t="s">
        <v>70</v>
      </c>
      <c r="BJ538" s="167" t="s">
        <v>70</v>
      </c>
      <c r="BK538" s="167" t="s">
        <v>70</v>
      </c>
      <c r="BL538" s="167" t="s">
        <v>70</v>
      </c>
      <c r="BM538" s="167" t="s">
        <v>70</v>
      </c>
      <c r="BN538" s="167" t="s">
        <v>70</v>
      </c>
      <c r="BO538" s="167" t="s">
        <v>70</v>
      </c>
      <c r="BP538" s="167" t="s">
        <v>70</v>
      </c>
      <c r="BQ538" s="151" t="s">
        <v>208</v>
      </c>
    </row>
    <row r="539" spans="1:135" s="151" customFormat="1" ht="19.5" customHeight="1" x14ac:dyDescent="0.2">
      <c r="A539" s="117">
        <v>538</v>
      </c>
      <c r="B539" s="117" t="s">
        <v>678</v>
      </c>
      <c r="C539" s="117">
        <v>148200</v>
      </c>
      <c r="D539" s="117" t="s">
        <v>212</v>
      </c>
      <c r="E539" s="117" t="s">
        <v>443</v>
      </c>
      <c r="F539" s="146" t="s">
        <v>256</v>
      </c>
      <c r="G539" s="124" t="s">
        <v>69</v>
      </c>
      <c r="H539" s="89">
        <v>46052</v>
      </c>
      <c r="I539" s="89">
        <v>46052</v>
      </c>
      <c r="J539" s="162">
        <f>IF(I539="", "", DATE(YEAR(I539)+3, MONTH(I539), DAY(I539)))</f>
        <v>47148</v>
      </c>
      <c r="K539" s="89">
        <v>46051</v>
      </c>
      <c r="L539" s="89">
        <v>46051</v>
      </c>
      <c r="M539" s="162">
        <f>IF(L539="", "", DATE(YEAR(L539)+3, MONTH(L539), DAY(L539)))</f>
        <v>47147</v>
      </c>
      <c r="N539" s="89">
        <v>46048</v>
      </c>
      <c r="O539" s="89">
        <v>46049</v>
      </c>
      <c r="P539" s="89">
        <v>46050</v>
      </c>
      <c r="Q539" s="167" t="s">
        <v>70</v>
      </c>
      <c r="R539" s="167" t="s">
        <v>70</v>
      </c>
      <c r="S539" s="167" t="s">
        <v>70</v>
      </c>
      <c r="T539" s="167" t="s">
        <v>70</v>
      </c>
      <c r="U539" s="167" t="s">
        <v>70</v>
      </c>
      <c r="V539" s="167" t="s">
        <v>70</v>
      </c>
      <c r="W539" s="167" t="s">
        <v>70</v>
      </c>
      <c r="X539" s="167" t="s">
        <v>70</v>
      </c>
      <c r="Y539" s="167" t="s">
        <v>70</v>
      </c>
      <c r="Z539" s="167" t="s">
        <v>70</v>
      </c>
      <c r="AA539" s="167" t="s">
        <v>70</v>
      </c>
      <c r="AB539" s="167" t="s">
        <v>70</v>
      </c>
      <c r="AC539" s="167" t="s">
        <v>70</v>
      </c>
      <c r="AD539" s="167" t="s">
        <v>70</v>
      </c>
      <c r="AE539" s="167" t="s">
        <v>70</v>
      </c>
      <c r="AF539" s="167" t="s">
        <v>70</v>
      </c>
      <c r="AG539" s="167" t="s">
        <v>70</v>
      </c>
      <c r="AH539" s="167" t="s">
        <v>70</v>
      </c>
      <c r="AI539" s="111">
        <v>45785</v>
      </c>
      <c r="AJ539" s="166" t="s">
        <v>69</v>
      </c>
      <c r="AK539" s="167" t="s">
        <v>70</v>
      </c>
      <c r="AL539" s="167" t="s">
        <v>70</v>
      </c>
      <c r="AM539" s="167"/>
      <c r="AN539" s="167" t="s">
        <v>70</v>
      </c>
      <c r="AO539" s="167" t="s">
        <v>70</v>
      </c>
      <c r="AP539" s="167" t="s">
        <v>70</v>
      </c>
      <c r="AQ539" s="167" t="s">
        <v>70</v>
      </c>
      <c r="AR539" s="166" t="s">
        <v>69</v>
      </c>
      <c r="AS539" s="167" t="s">
        <v>70</v>
      </c>
      <c r="AT539" s="167" t="s">
        <v>70</v>
      </c>
      <c r="AU539" s="167" t="s">
        <v>70</v>
      </c>
      <c r="AV539" s="167" t="s">
        <v>70</v>
      </c>
      <c r="AW539" s="167" t="s">
        <v>70</v>
      </c>
      <c r="AX539" s="167" t="s">
        <v>70</v>
      </c>
      <c r="AY539" s="167" t="s">
        <v>70</v>
      </c>
      <c r="AZ539" s="167" t="s">
        <v>70</v>
      </c>
      <c r="BA539" s="167" t="s">
        <v>70</v>
      </c>
      <c r="BB539" s="167" t="s">
        <v>70</v>
      </c>
      <c r="BC539" s="167" t="s">
        <v>70</v>
      </c>
      <c r="BD539" s="167" t="s">
        <v>70</v>
      </c>
      <c r="BE539" s="167" t="s">
        <v>70</v>
      </c>
      <c r="BF539" s="167" t="s">
        <v>70</v>
      </c>
      <c r="BG539" s="167" t="s">
        <v>70</v>
      </c>
      <c r="BH539" s="167" t="s">
        <v>70</v>
      </c>
      <c r="BI539" s="167" t="s">
        <v>70</v>
      </c>
      <c r="BJ539" s="167" t="s">
        <v>70</v>
      </c>
      <c r="BK539" s="167" t="s">
        <v>70</v>
      </c>
      <c r="BL539" s="167" t="s">
        <v>70</v>
      </c>
      <c r="BM539" s="167" t="s">
        <v>70</v>
      </c>
      <c r="BN539" s="167" t="s">
        <v>70</v>
      </c>
      <c r="BO539" s="167" t="s">
        <v>70</v>
      </c>
      <c r="BP539" s="167" t="s">
        <v>70</v>
      </c>
      <c r="BQ539" s="151" t="s">
        <v>208</v>
      </c>
    </row>
    <row r="540" spans="1:135" s="151" customFormat="1" ht="19.5" customHeight="1" x14ac:dyDescent="0.2">
      <c r="A540" s="117">
        <v>539</v>
      </c>
      <c r="B540" s="117" t="s">
        <v>679</v>
      </c>
      <c r="C540" s="117">
        <v>148208</v>
      </c>
      <c r="D540" s="117" t="s">
        <v>212</v>
      </c>
      <c r="E540" s="117" t="s">
        <v>443</v>
      </c>
      <c r="F540" s="146" t="s">
        <v>256</v>
      </c>
      <c r="G540" s="124" t="s">
        <v>69</v>
      </c>
      <c r="H540" s="229">
        <v>46136</v>
      </c>
      <c r="I540" s="229">
        <v>46136</v>
      </c>
      <c r="J540" s="162">
        <f>IF(I540="", "", DATE(YEAR(I540)+3, MONTH(I540), DAY(I540)))</f>
        <v>47232</v>
      </c>
      <c r="K540" s="229">
        <v>42513</v>
      </c>
      <c r="L540" s="89">
        <v>46135</v>
      </c>
      <c r="M540" s="163">
        <f>IF(L540="", "", DATE(YEAR(L540)+3, MONTH(L540), DAY(L540)))</f>
        <v>47231</v>
      </c>
      <c r="N540" s="229">
        <v>46132</v>
      </c>
      <c r="O540" s="112">
        <v>46133</v>
      </c>
      <c r="P540" s="229">
        <v>46133</v>
      </c>
      <c r="Q540" s="167" t="s">
        <v>70</v>
      </c>
      <c r="R540" s="167" t="s">
        <v>70</v>
      </c>
      <c r="S540" s="167" t="s">
        <v>70</v>
      </c>
      <c r="T540" s="167" t="s">
        <v>70</v>
      </c>
      <c r="U540" s="167" t="s">
        <v>70</v>
      </c>
      <c r="V540" s="167" t="s">
        <v>70</v>
      </c>
      <c r="W540" s="167" t="s">
        <v>70</v>
      </c>
      <c r="X540" s="167" t="s">
        <v>70</v>
      </c>
      <c r="Y540" s="167" t="s">
        <v>70</v>
      </c>
      <c r="Z540" s="167" t="s">
        <v>70</v>
      </c>
      <c r="AA540" s="167" t="s">
        <v>70</v>
      </c>
      <c r="AB540" s="167" t="s">
        <v>70</v>
      </c>
      <c r="AC540" s="167" t="s">
        <v>70</v>
      </c>
      <c r="AD540" s="167" t="s">
        <v>70</v>
      </c>
      <c r="AE540" s="167" t="s">
        <v>70</v>
      </c>
      <c r="AF540" s="167" t="s">
        <v>70</v>
      </c>
      <c r="AG540" s="167" t="s">
        <v>70</v>
      </c>
      <c r="AH540" s="167" t="s">
        <v>70</v>
      </c>
      <c r="AI540" s="181">
        <v>45813</v>
      </c>
      <c r="AJ540" s="166" t="s">
        <v>69</v>
      </c>
      <c r="AK540" s="167" t="s">
        <v>70</v>
      </c>
      <c r="AL540" s="167" t="s">
        <v>70</v>
      </c>
      <c r="AM540" s="167"/>
      <c r="AN540" s="167" t="s">
        <v>70</v>
      </c>
      <c r="AO540" s="167" t="s">
        <v>70</v>
      </c>
      <c r="AP540" s="167" t="s">
        <v>70</v>
      </c>
      <c r="AQ540" s="167" t="s">
        <v>70</v>
      </c>
      <c r="AR540" s="166" t="s">
        <v>69</v>
      </c>
      <c r="AS540" s="167" t="s">
        <v>70</v>
      </c>
      <c r="AT540" s="167" t="s">
        <v>70</v>
      </c>
      <c r="AU540" s="167" t="s">
        <v>70</v>
      </c>
      <c r="AV540" s="167" t="s">
        <v>70</v>
      </c>
      <c r="AW540" s="167" t="s">
        <v>70</v>
      </c>
      <c r="AX540" s="167" t="s">
        <v>70</v>
      </c>
      <c r="AY540" s="167" t="s">
        <v>70</v>
      </c>
      <c r="AZ540" s="167" t="s">
        <v>70</v>
      </c>
      <c r="BA540" s="167" t="s">
        <v>70</v>
      </c>
      <c r="BB540" s="167" t="s">
        <v>70</v>
      </c>
      <c r="BC540" s="167" t="s">
        <v>70</v>
      </c>
      <c r="BD540" s="167" t="s">
        <v>70</v>
      </c>
      <c r="BE540" s="167" t="s">
        <v>70</v>
      </c>
      <c r="BF540" s="167" t="s">
        <v>70</v>
      </c>
      <c r="BG540" s="167" t="s">
        <v>70</v>
      </c>
      <c r="BH540" s="167" t="s">
        <v>70</v>
      </c>
      <c r="BI540" s="167" t="s">
        <v>70</v>
      </c>
      <c r="BJ540" s="167" t="s">
        <v>70</v>
      </c>
      <c r="BK540" s="167" t="s">
        <v>70</v>
      </c>
      <c r="BL540" s="167" t="s">
        <v>70</v>
      </c>
      <c r="BM540" s="167" t="s">
        <v>70</v>
      </c>
      <c r="BN540" s="167" t="s">
        <v>70</v>
      </c>
      <c r="BO540" s="167" t="s">
        <v>70</v>
      </c>
      <c r="BP540" s="167" t="s">
        <v>70</v>
      </c>
      <c r="BQ540" s="151" t="s">
        <v>208</v>
      </c>
    </row>
    <row r="541" spans="1:135" s="151" customFormat="1" ht="19.5" customHeight="1" x14ac:dyDescent="0.2">
      <c r="A541" s="117">
        <v>540</v>
      </c>
      <c r="B541" s="117" t="s">
        <v>680</v>
      </c>
      <c r="C541" s="117">
        <v>162487</v>
      </c>
      <c r="D541" s="117" t="s">
        <v>212</v>
      </c>
      <c r="E541" s="117" t="s">
        <v>443</v>
      </c>
      <c r="F541" s="146" t="s">
        <v>256</v>
      </c>
      <c r="G541" s="124" t="s">
        <v>69</v>
      </c>
      <c r="H541" s="124"/>
      <c r="I541" s="112"/>
      <c r="J541" s="162"/>
      <c r="K541" s="89"/>
      <c r="L541" s="89"/>
      <c r="M541" s="163"/>
      <c r="N541" s="229"/>
      <c r="O541" s="89"/>
      <c r="P541" s="89"/>
      <c r="Q541" s="167" t="s">
        <v>70</v>
      </c>
      <c r="R541" s="167" t="s">
        <v>70</v>
      </c>
      <c r="S541" s="167" t="s">
        <v>70</v>
      </c>
      <c r="T541" s="167" t="s">
        <v>70</v>
      </c>
      <c r="U541" s="167" t="s">
        <v>70</v>
      </c>
      <c r="V541" s="167" t="s">
        <v>70</v>
      </c>
      <c r="W541" s="167" t="s">
        <v>70</v>
      </c>
      <c r="X541" s="167" t="s">
        <v>70</v>
      </c>
      <c r="Y541" s="167" t="s">
        <v>70</v>
      </c>
      <c r="Z541" s="167" t="s">
        <v>70</v>
      </c>
      <c r="AA541" s="167" t="s">
        <v>70</v>
      </c>
      <c r="AB541" s="167" t="s">
        <v>70</v>
      </c>
      <c r="AC541" s="167" t="s">
        <v>70</v>
      </c>
      <c r="AD541" s="167" t="s">
        <v>70</v>
      </c>
      <c r="AE541" s="167" t="s">
        <v>70</v>
      </c>
      <c r="AF541" s="167" t="s">
        <v>70</v>
      </c>
      <c r="AG541" s="167" t="s">
        <v>70</v>
      </c>
      <c r="AH541" s="167" t="s">
        <v>70</v>
      </c>
      <c r="AI541" s="111">
        <v>45799</v>
      </c>
      <c r="AJ541" s="166" t="s">
        <v>69</v>
      </c>
      <c r="AK541" s="167" t="s">
        <v>70</v>
      </c>
      <c r="AL541" s="167" t="s">
        <v>70</v>
      </c>
      <c r="AM541" s="167"/>
      <c r="AN541" s="167" t="s">
        <v>70</v>
      </c>
      <c r="AO541" s="167" t="s">
        <v>70</v>
      </c>
      <c r="AP541" s="167" t="s">
        <v>70</v>
      </c>
      <c r="AQ541" s="167" t="s">
        <v>70</v>
      </c>
      <c r="AR541" s="166" t="s">
        <v>69</v>
      </c>
      <c r="AS541" s="167" t="s">
        <v>70</v>
      </c>
      <c r="AT541" s="167" t="s">
        <v>70</v>
      </c>
      <c r="AU541" s="167" t="s">
        <v>70</v>
      </c>
      <c r="AV541" s="167" t="s">
        <v>70</v>
      </c>
      <c r="AW541" s="167" t="s">
        <v>70</v>
      </c>
      <c r="AX541" s="167" t="s">
        <v>70</v>
      </c>
      <c r="AY541" s="167" t="s">
        <v>70</v>
      </c>
      <c r="AZ541" s="167" t="s">
        <v>70</v>
      </c>
      <c r="BA541" s="167" t="s">
        <v>70</v>
      </c>
      <c r="BB541" s="167" t="s">
        <v>70</v>
      </c>
      <c r="BC541" s="167" t="s">
        <v>70</v>
      </c>
      <c r="BD541" s="167" t="s">
        <v>70</v>
      </c>
      <c r="BE541" s="167" t="s">
        <v>70</v>
      </c>
      <c r="BF541" s="167" t="s">
        <v>70</v>
      </c>
      <c r="BG541" s="167" t="s">
        <v>70</v>
      </c>
      <c r="BH541" s="167" t="s">
        <v>70</v>
      </c>
      <c r="BI541" s="167" t="s">
        <v>70</v>
      </c>
      <c r="BJ541" s="167" t="s">
        <v>70</v>
      </c>
      <c r="BK541" s="167" t="s">
        <v>70</v>
      </c>
      <c r="BL541" s="167" t="s">
        <v>70</v>
      </c>
      <c r="BM541" s="167" t="s">
        <v>70</v>
      </c>
      <c r="BN541" s="167" t="s">
        <v>70</v>
      </c>
      <c r="BO541" s="167" t="s">
        <v>70</v>
      </c>
      <c r="BP541" s="167" t="s">
        <v>70</v>
      </c>
      <c r="BQ541" s="151" t="s">
        <v>208</v>
      </c>
    </row>
    <row r="542" spans="1:135" s="151" customFormat="1" ht="19.5" customHeight="1" x14ac:dyDescent="0.2">
      <c r="A542" s="117">
        <v>541</v>
      </c>
      <c r="B542" s="117" t="s">
        <v>681</v>
      </c>
      <c r="C542" s="117">
        <v>162490</v>
      </c>
      <c r="D542" s="117" t="s">
        <v>212</v>
      </c>
      <c r="E542" s="117" t="s">
        <v>443</v>
      </c>
      <c r="F542" s="146" t="s">
        <v>256</v>
      </c>
      <c r="G542" s="124" t="s">
        <v>69</v>
      </c>
      <c r="H542" s="89">
        <v>45709</v>
      </c>
      <c r="I542" s="89">
        <v>45709</v>
      </c>
      <c r="J542" s="162">
        <f>IF(I542="", "", DATE(YEAR(I542)+3, MONTH(I542), DAY(I542)))</f>
        <v>46804</v>
      </c>
      <c r="K542" s="89">
        <v>45351</v>
      </c>
      <c r="L542" s="89">
        <v>45706</v>
      </c>
      <c r="M542" s="163">
        <f>IF(L542="", "", DATE(YEAR(L542)+3, MONTH(L542), DAY(L542)))</f>
        <v>46801</v>
      </c>
      <c r="N542" s="89">
        <v>45707</v>
      </c>
      <c r="O542" s="89">
        <v>45708</v>
      </c>
      <c r="P542" s="89">
        <v>45705</v>
      </c>
      <c r="Q542" s="167" t="s">
        <v>70</v>
      </c>
      <c r="R542" s="167" t="s">
        <v>70</v>
      </c>
      <c r="S542" s="167" t="s">
        <v>70</v>
      </c>
      <c r="T542" s="167" t="s">
        <v>70</v>
      </c>
      <c r="U542" s="167" t="s">
        <v>70</v>
      </c>
      <c r="V542" s="167" t="s">
        <v>70</v>
      </c>
      <c r="W542" s="167" t="s">
        <v>70</v>
      </c>
      <c r="X542" s="167" t="s">
        <v>70</v>
      </c>
      <c r="Y542" s="167" t="s">
        <v>70</v>
      </c>
      <c r="Z542" s="167" t="s">
        <v>70</v>
      </c>
      <c r="AA542" s="167" t="s">
        <v>70</v>
      </c>
      <c r="AB542" s="167" t="s">
        <v>70</v>
      </c>
      <c r="AC542" s="167" t="s">
        <v>70</v>
      </c>
      <c r="AD542" s="167" t="s">
        <v>70</v>
      </c>
      <c r="AE542" s="167" t="s">
        <v>70</v>
      </c>
      <c r="AF542" s="167" t="s">
        <v>70</v>
      </c>
      <c r="AG542" s="167" t="s">
        <v>70</v>
      </c>
      <c r="AH542" s="167" t="s">
        <v>70</v>
      </c>
      <c r="AI542" s="111">
        <v>45883</v>
      </c>
      <c r="AJ542" s="166" t="s">
        <v>69</v>
      </c>
      <c r="AK542" s="167" t="s">
        <v>70</v>
      </c>
      <c r="AL542" s="167" t="s">
        <v>70</v>
      </c>
      <c r="AM542" s="167"/>
      <c r="AN542" s="167" t="s">
        <v>70</v>
      </c>
      <c r="AO542" s="167" t="s">
        <v>70</v>
      </c>
      <c r="AP542" s="167" t="s">
        <v>70</v>
      </c>
      <c r="AQ542" s="167" t="s">
        <v>70</v>
      </c>
      <c r="AR542" s="166" t="s">
        <v>69</v>
      </c>
      <c r="AS542" s="167" t="s">
        <v>70</v>
      </c>
      <c r="AT542" s="167" t="s">
        <v>70</v>
      </c>
      <c r="AU542" s="167" t="s">
        <v>70</v>
      </c>
      <c r="AV542" s="167" t="s">
        <v>70</v>
      </c>
      <c r="AW542" s="167" t="s">
        <v>70</v>
      </c>
      <c r="AX542" s="167" t="s">
        <v>70</v>
      </c>
      <c r="AY542" s="167" t="s">
        <v>70</v>
      </c>
      <c r="AZ542" s="167" t="s">
        <v>70</v>
      </c>
      <c r="BA542" s="167" t="s">
        <v>70</v>
      </c>
      <c r="BB542" s="167" t="s">
        <v>70</v>
      </c>
      <c r="BC542" s="167" t="s">
        <v>70</v>
      </c>
      <c r="BD542" s="167" t="s">
        <v>70</v>
      </c>
      <c r="BE542" s="167" t="s">
        <v>70</v>
      </c>
      <c r="BF542" s="167" t="s">
        <v>70</v>
      </c>
      <c r="BG542" s="167" t="s">
        <v>70</v>
      </c>
      <c r="BH542" s="167" t="s">
        <v>70</v>
      </c>
      <c r="BI542" s="167" t="s">
        <v>70</v>
      </c>
      <c r="BJ542" s="167" t="s">
        <v>70</v>
      </c>
      <c r="BK542" s="167" t="s">
        <v>70</v>
      </c>
      <c r="BL542" s="167" t="s">
        <v>70</v>
      </c>
      <c r="BM542" s="167" t="s">
        <v>70</v>
      </c>
      <c r="BN542" s="167" t="s">
        <v>70</v>
      </c>
      <c r="BO542" s="167" t="s">
        <v>70</v>
      </c>
      <c r="BP542" s="167" t="s">
        <v>70</v>
      </c>
      <c r="BQ542" s="151" t="s">
        <v>208</v>
      </c>
    </row>
    <row r="543" spans="1:135" s="151" customFormat="1" ht="19.5" customHeight="1" x14ac:dyDescent="0.2">
      <c r="A543" s="117">
        <v>542</v>
      </c>
      <c r="B543" s="117" t="s">
        <v>682</v>
      </c>
      <c r="C543" s="117">
        <v>162491</v>
      </c>
      <c r="D543" s="117" t="s">
        <v>212</v>
      </c>
      <c r="E543" s="117" t="s">
        <v>443</v>
      </c>
      <c r="F543" s="146" t="s">
        <v>256</v>
      </c>
      <c r="G543" s="124" t="s">
        <v>69</v>
      </c>
      <c r="H543" s="89"/>
      <c r="I543" s="89"/>
      <c r="J543" s="162"/>
      <c r="K543" s="89"/>
      <c r="L543" s="89"/>
      <c r="M543" s="163"/>
      <c r="N543" s="89"/>
      <c r="O543" s="89"/>
      <c r="P543" s="89"/>
      <c r="Q543" s="167" t="s">
        <v>70</v>
      </c>
      <c r="R543" s="167" t="s">
        <v>70</v>
      </c>
      <c r="S543" s="167" t="s">
        <v>70</v>
      </c>
      <c r="T543" s="167" t="s">
        <v>70</v>
      </c>
      <c r="U543" s="167" t="s">
        <v>70</v>
      </c>
      <c r="V543" s="167" t="s">
        <v>70</v>
      </c>
      <c r="W543" s="167" t="s">
        <v>70</v>
      </c>
      <c r="X543" s="167" t="s">
        <v>70</v>
      </c>
      <c r="Y543" s="167" t="s">
        <v>70</v>
      </c>
      <c r="Z543" s="167" t="s">
        <v>70</v>
      </c>
      <c r="AA543" s="167" t="s">
        <v>70</v>
      </c>
      <c r="AB543" s="167" t="s">
        <v>70</v>
      </c>
      <c r="AC543" s="167" t="s">
        <v>70</v>
      </c>
      <c r="AD543" s="167" t="s">
        <v>70</v>
      </c>
      <c r="AE543" s="167" t="s">
        <v>70</v>
      </c>
      <c r="AF543" s="167" t="s">
        <v>70</v>
      </c>
      <c r="AG543" s="167" t="s">
        <v>70</v>
      </c>
      <c r="AH543" s="167" t="s">
        <v>70</v>
      </c>
      <c r="AI543" s="111">
        <v>45799</v>
      </c>
      <c r="AJ543" s="166" t="s">
        <v>69</v>
      </c>
      <c r="AK543" s="167" t="s">
        <v>70</v>
      </c>
      <c r="AL543" s="167" t="s">
        <v>70</v>
      </c>
      <c r="AM543" s="167"/>
      <c r="AN543" s="167" t="s">
        <v>70</v>
      </c>
      <c r="AO543" s="167" t="s">
        <v>70</v>
      </c>
      <c r="AP543" s="167" t="s">
        <v>70</v>
      </c>
      <c r="AQ543" s="167" t="s">
        <v>70</v>
      </c>
      <c r="AR543" s="166" t="s">
        <v>69</v>
      </c>
      <c r="AS543" s="167" t="s">
        <v>70</v>
      </c>
      <c r="AT543" s="167" t="s">
        <v>70</v>
      </c>
      <c r="AU543" s="167" t="s">
        <v>70</v>
      </c>
      <c r="AV543" s="167" t="s">
        <v>70</v>
      </c>
      <c r="AW543" s="167" t="s">
        <v>70</v>
      </c>
      <c r="AX543" s="167" t="s">
        <v>70</v>
      </c>
      <c r="AY543" s="167" t="s">
        <v>70</v>
      </c>
      <c r="AZ543" s="167" t="s">
        <v>70</v>
      </c>
      <c r="BA543" s="167" t="s">
        <v>70</v>
      </c>
      <c r="BB543" s="167" t="s">
        <v>70</v>
      </c>
      <c r="BC543" s="167" t="s">
        <v>70</v>
      </c>
      <c r="BD543" s="167" t="s">
        <v>70</v>
      </c>
      <c r="BE543" s="167" t="s">
        <v>70</v>
      </c>
      <c r="BF543" s="167" t="s">
        <v>70</v>
      </c>
      <c r="BG543" s="167" t="s">
        <v>70</v>
      </c>
      <c r="BH543" s="167" t="s">
        <v>70</v>
      </c>
      <c r="BI543" s="167" t="s">
        <v>70</v>
      </c>
      <c r="BJ543" s="167" t="s">
        <v>70</v>
      </c>
      <c r="BK543" s="167" t="s">
        <v>70</v>
      </c>
      <c r="BL543" s="167" t="s">
        <v>70</v>
      </c>
      <c r="BM543" s="167" t="s">
        <v>70</v>
      </c>
      <c r="BN543" s="167" t="s">
        <v>70</v>
      </c>
      <c r="BO543" s="167" t="s">
        <v>70</v>
      </c>
      <c r="BP543" s="167" t="s">
        <v>70</v>
      </c>
      <c r="BQ543" s="151" t="s">
        <v>208</v>
      </c>
    </row>
    <row r="544" spans="1:135" s="151" customFormat="1" ht="19.5" customHeight="1" x14ac:dyDescent="0.2">
      <c r="A544" s="117">
        <v>543</v>
      </c>
      <c r="B544" s="117" t="s">
        <v>683</v>
      </c>
      <c r="C544" s="117">
        <v>162493</v>
      </c>
      <c r="D544" s="117" t="s">
        <v>212</v>
      </c>
      <c r="E544" s="117" t="s">
        <v>443</v>
      </c>
      <c r="F544" s="146" t="s">
        <v>256</v>
      </c>
      <c r="G544" s="124" t="s">
        <v>69</v>
      </c>
      <c r="H544" s="124">
        <v>45988</v>
      </c>
      <c r="I544" s="124">
        <v>45988</v>
      </c>
      <c r="J544" s="162">
        <f>IF(I544="", "", DATE(YEAR(I544)+3, MONTH(I544), DAY(I544)))</f>
        <v>47084</v>
      </c>
      <c r="K544" s="112">
        <v>45989</v>
      </c>
      <c r="L544" s="112">
        <v>45989</v>
      </c>
      <c r="M544" s="163">
        <f>IF(L544="", "", DATE(YEAR(L544)+3, MONTH(L544), DAY(L544)))</f>
        <v>47085</v>
      </c>
      <c r="N544" s="89">
        <v>45985</v>
      </c>
      <c r="O544" s="89">
        <v>45987</v>
      </c>
      <c r="P544" s="175">
        <v>46006</v>
      </c>
      <c r="Q544" s="167" t="s">
        <v>70</v>
      </c>
      <c r="R544" s="167" t="s">
        <v>70</v>
      </c>
      <c r="S544" s="167" t="s">
        <v>70</v>
      </c>
      <c r="T544" s="167" t="s">
        <v>70</v>
      </c>
      <c r="U544" s="167" t="s">
        <v>70</v>
      </c>
      <c r="V544" s="167" t="s">
        <v>70</v>
      </c>
      <c r="W544" s="167" t="s">
        <v>70</v>
      </c>
      <c r="X544" s="167" t="s">
        <v>70</v>
      </c>
      <c r="Y544" s="167" t="s">
        <v>70</v>
      </c>
      <c r="Z544" s="167" t="s">
        <v>70</v>
      </c>
      <c r="AA544" s="167" t="s">
        <v>70</v>
      </c>
      <c r="AB544" s="167" t="s">
        <v>70</v>
      </c>
      <c r="AC544" s="167" t="s">
        <v>70</v>
      </c>
      <c r="AD544" s="167" t="s">
        <v>70</v>
      </c>
      <c r="AE544" s="167" t="s">
        <v>70</v>
      </c>
      <c r="AF544" s="167" t="s">
        <v>70</v>
      </c>
      <c r="AG544" s="167" t="s">
        <v>70</v>
      </c>
      <c r="AH544" s="167" t="s">
        <v>70</v>
      </c>
      <c r="AI544" s="186">
        <v>45769</v>
      </c>
      <c r="AJ544" s="166" t="s">
        <v>69</v>
      </c>
      <c r="AK544" s="167" t="s">
        <v>70</v>
      </c>
      <c r="AL544" s="167" t="s">
        <v>70</v>
      </c>
      <c r="AM544" s="167"/>
      <c r="AN544" s="167" t="s">
        <v>70</v>
      </c>
      <c r="AO544" s="167" t="s">
        <v>70</v>
      </c>
      <c r="AP544" s="167" t="s">
        <v>70</v>
      </c>
      <c r="AQ544" s="167" t="s">
        <v>70</v>
      </c>
      <c r="AR544" s="166" t="s">
        <v>69</v>
      </c>
      <c r="AS544" s="167" t="s">
        <v>70</v>
      </c>
      <c r="AT544" s="167" t="s">
        <v>70</v>
      </c>
      <c r="AU544" s="167" t="s">
        <v>70</v>
      </c>
      <c r="AV544" s="167" t="s">
        <v>70</v>
      </c>
      <c r="AW544" s="167" t="s">
        <v>70</v>
      </c>
      <c r="AX544" s="167" t="s">
        <v>70</v>
      </c>
      <c r="AY544" s="167" t="s">
        <v>70</v>
      </c>
      <c r="AZ544" s="167" t="s">
        <v>70</v>
      </c>
      <c r="BA544" s="167" t="s">
        <v>70</v>
      </c>
      <c r="BB544" s="167" t="s">
        <v>70</v>
      </c>
      <c r="BC544" s="167" t="s">
        <v>70</v>
      </c>
      <c r="BD544" s="167" t="s">
        <v>70</v>
      </c>
      <c r="BE544" s="167" t="s">
        <v>70</v>
      </c>
      <c r="BF544" s="167" t="s">
        <v>70</v>
      </c>
      <c r="BG544" s="167" t="s">
        <v>70</v>
      </c>
      <c r="BH544" s="167" t="s">
        <v>70</v>
      </c>
      <c r="BI544" s="167" t="s">
        <v>70</v>
      </c>
      <c r="BJ544" s="167" t="s">
        <v>70</v>
      </c>
      <c r="BK544" s="167" t="s">
        <v>70</v>
      </c>
      <c r="BL544" s="167" t="s">
        <v>70</v>
      </c>
      <c r="BM544" s="167" t="s">
        <v>70</v>
      </c>
      <c r="BN544" s="167" t="s">
        <v>70</v>
      </c>
      <c r="BO544" s="167" t="s">
        <v>70</v>
      </c>
      <c r="BP544" s="167" t="s">
        <v>70</v>
      </c>
      <c r="BQ544" s="151" t="s">
        <v>208</v>
      </c>
    </row>
    <row r="545" spans="1:135" s="151" customFormat="1" ht="19.5" customHeight="1" x14ac:dyDescent="0.2">
      <c r="A545" s="117">
        <v>544</v>
      </c>
      <c r="B545" s="117" t="s">
        <v>684</v>
      </c>
      <c r="C545" s="117">
        <v>162494</v>
      </c>
      <c r="D545" s="117" t="s">
        <v>212</v>
      </c>
      <c r="E545" s="117" t="s">
        <v>443</v>
      </c>
      <c r="F545" s="146" t="s">
        <v>256</v>
      </c>
      <c r="G545" s="124" t="s">
        <v>69</v>
      </c>
      <c r="H545" s="89">
        <v>45926</v>
      </c>
      <c r="I545" s="89">
        <v>45926</v>
      </c>
      <c r="J545" s="162">
        <f>IF(I545="", "", DATE(YEAR(I545)+3, MONTH(I545), DAY(I545)))</f>
        <v>47022</v>
      </c>
      <c r="K545" s="89">
        <v>45925</v>
      </c>
      <c r="L545" s="89">
        <v>45925</v>
      </c>
      <c r="M545" s="163">
        <f>IF(L545="", "", DATE(YEAR(L545)+3, MONTH(L545), DAY(L545)))</f>
        <v>47021</v>
      </c>
      <c r="N545" s="89">
        <v>45924</v>
      </c>
      <c r="O545" s="89">
        <v>45923</v>
      </c>
      <c r="P545" s="89">
        <v>45922</v>
      </c>
      <c r="Q545" s="167" t="s">
        <v>70</v>
      </c>
      <c r="R545" s="167" t="s">
        <v>70</v>
      </c>
      <c r="S545" s="167" t="s">
        <v>70</v>
      </c>
      <c r="T545" s="167" t="s">
        <v>70</v>
      </c>
      <c r="U545" s="167" t="s">
        <v>70</v>
      </c>
      <c r="V545" s="167" t="s">
        <v>70</v>
      </c>
      <c r="W545" s="167" t="s">
        <v>70</v>
      </c>
      <c r="X545" s="167" t="s">
        <v>70</v>
      </c>
      <c r="Y545" s="167" t="s">
        <v>70</v>
      </c>
      <c r="Z545" s="167" t="s">
        <v>70</v>
      </c>
      <c r="AA545" s="167" t="s">
        <v>70</v>
      </c>
      <c r="AB545" s="167" t="s">
        <v>70</v>
      </c>
      <c r="AC545" s="167" t="s">
        <v>70</v>
      </c>
      <c r="AD545" s="167" t="s">
        <v>70</v>
      </c>
      <c r="AE545" s="167" t="s">
        <v>70</v>
      </c>
      <c r="AF545" s="167" t="s">
        <v>70</v>
      </c>
      <c r="AG545" s="167" t="s">
        <v>70</v>
      </c>
      <c r="AH545" s="167" t="s">
        <v>70</v>
      </c>
      <c r="AI545" s="111">
        <v>45764</v>
      </c>
      <c r="AJ545" s="166" t="s">
        <v>69</v>
      </c>
      <c r="AK545" s="167" t="s">
        <v>70</v>
      </c>
      <c r="AL545" s="167" t="s">
        <v>70</v>
      </c>
      <c r="AM545" s="167"/>
      <c r="AN545" s="167" t="s">
        <v>70</v>
      </c>
      <c r="AO545" s="167" t="s">
        <v>70</v>
      </c>
      <c r="AP545" s="167" t="s">
        <v>70</v>
      </c>
      <c r="AQ545" s="167" t="s">
        <v>70</v>
      </c>
      <c r="AR545" s="166" t="s">
        <v>69</v>
      </c>
      <c r="AS545" s="167" t="s">
        <v>70</v>
      </c>
      <c r="AT545" s="167" t="s">
        <v>70</v>
      </c>
      <c r="AU545" s="167" t="s">
        <v>70</v>
      </c>
      <c r="AV545" s="167" t="s">
        <v>70</v>
      </c>
      <c r="AW545" s="167" t="s">
        <v>70</v>
      </c>
      <c r="AX545" s="167" t="s">
        <v>70</v>
      </c>
      <c r="AY545" s="167" t="s">
        <v>70</v>
      </c>
      <c r="AZ545" s="167" t="s">
        <v>70</v>
      </c>
      <c r="BA545" s="167" t="s">
        <v>70</v>
      </c>
      <c r="BB545" s="167" t="s">
        <v>70</v>
      </c>
      <c r="BC545" s="167" t="s">
        <v>70</v>
      </c>
      <c r="BD545" s="167" t="s">
        <v>70</v>
      </c>
      <c r="BE545" s="167" t="s">
        <v>70</v>
      </c>
      <c r="BF545" s="167" t="s">
        <v>70</v>
      </c>
      <c r="BG545" s="167" t="s">
        <v>70</v>
      </c>
      <c r="BH545" s="167" t="s">
        <v>70</v>
      </c>
      <c r="BI545" s="167" t="s">
        <v>70</v>
      </c>
      <c r="BJ545" s="167" t="s">
        <v>70</v>
      </c>
      <c r="BK545" s="167" t="s">
        <v>70</v>
      </c>
      <c r="BL545" s="167" t="s">
        <v>70</v>
      </c>
      <c r="BM545" s="167" t="s">
        <v>70</v>
      </c>
      <c r="BN545" s="167" t="s">
        <v>70</v>
      </c>
      <c r="BO545" s="167" t="s">
        <v>70</v>
      </c>
      <c r="BP545" s="167" t="s">
        <v>70</v>
      </c>
      <c r="BQ545" s="151" t="s">
        <v>208</v>
      </c>
    </row>
    <row r="546" spans="1:135" s="151" customFormat="1" ht="19.5" customHeight="1" x14ac:dyDescent="0.2">
      <c r="A546" s="117">
        <v>545</v>
      </c>
      <c r="B546" s="117" t="s">
        <v>685</v>
      </c>
      <c r="C546" s="117">
        <v>162495</v>
      </c>
      <c r="D546" s="117" t="s">
        <v>212</v>
      </c>
      <c r="E546" s="117" t="s">
        <v>443</v>
      </c>
      <c r="F546" s="146" t="s">
        <v>256</v>
      </c>
      <c r="G546" s="124" t="s">
        <v>69</v>
      </c>
      <c r="H546" s="89">
        <v>45889</v>
      </c>
      <c r="I546" s="89">
        <v>45889</v>
      </c>
      <c r="J546" s="162">
        <f>IF(I546="", "", DATE(YEAR(I546)+3, MONTH(I546), DAY(I546)))</f>
        <v>46985</v>
      </c>
      <c r="K546" s="89">
        <v>45888</v>
      </c>
      <c r="L546" s="89">
        <v>45888</v>
      </c>
      <c r="M546" s="163">
        <f>IF(L546="", "", DATE(YEAR(L546)+3, MONTH(L546), DAY(L546)))</f>
        <v>46984</v>
      </c>
      <c r="N546" s="89">
        <v>45891</v>
      </c>
      <c r="O546" s="89">
        <v>45890</v>
      </c>
      <c r="P546" s="89">
        <v>45887</v>
      </c>
      <c r="Q546" s="167" t="s">
        <v>70</v>
      </c>
      <c r="R546" s="167" t="s">
        <v>70</v>
      </c>
      <c r="S546" s="167" t="s">
        <v>70</v>
      </c>
      <c r="T546" s="167" t="s">
        <v>70</v>
      </c>
      <c r="U546" s="167" t="s">
        <v>70</v>
      </c>
      <c r="V546" s="167" t="s">
        <v>70</v>
      </c>
      <c r="W546" s="167" t="s">
        <v>70</v>
      </c>
      <c r="X546" s="167" t="s">
        <v>70</v>
      </c>
      <c r="Y546" s="167" t="s">
        <v>70</v>
      </c>
      <c r="Z546" s="167" t="s">
        <v>70</v>
      </c>
      <c r="AA546" s="167" t="s">
        <v>70</v>
      </c>
      <c r="AB546" s="167" t="s">
        <v>70</v>
      </c>
      <c r="AC546" s="167" t="s">
        <v>70</v>
      </c>
      <c r="AD546" s="167" t="s">
        <v>70</v>
      </c>
      <c r="AE546" s="167" t="s">
        <v>70</v>
      </c>
      <c r="AF546" s="167" t="s">
        <v>70</v>
      </c>
      <c r="AG546" s="167" t="s">
        <v>70</v>
      </c>
      <c r="AH546" s="167" t="s">
        <v>70</v>
      </c>
      <c r="AI546" s="111">
        <v>45727</v>
      </c>
      <c r="AJ546" s="166" t="s">
        <v>69</v>
      </c>
      <c r="AK546" s="167" t="s">
        <v>70</v>
      </c>
      <c r="AL546" s="167" t="s">
        <v>70</v>
      </c>
      <c r="AM546" s="167"/>
      <c r="AN546" s="167" t="s">
        <v>70</v>
      </c>
      <c r="AO546" s="167" t="s">
        <v>70</v>
      </c>
      <c r="AP546" s="167" t="s">
        <v>70</v>
      </c>
      <c r="AQ546" s="167" t="s">
        <v>70</v>
      </c>
      <c r="AR546" s="166" t="s">
        <v>69</v>
      </c>
      <c r="AS546" s="167" t="s">
        <v>70</v>
      </c>
      <c r="AT546" s="167" t="s">
        <v>70</v>
      </c>
      <c r="AU546" s="167" t="s">
        <v>70</v>
      </c>
      <c r="AV546" s="167" t="s">
        <v>70</v>
      </c>
      <c r="AW546" s="167" t="s">
        <v>70</v>
      </c>
      <c r="AX546" s="167" t="s">
        <v>70</v>
      </c>
      <c r="AY546" s="167" t="s">
        <v>70</v>
      </c>
      <c r="AZ546" s="167" t="s">
        <v>70</v>
      </c>
      <c r="BA546" s="167" t="s">
        <v>70</v>
      </c>
      <c r="BB546" s="167" t="s">
        <v>70</v>
      </c>
      <c r="BC546" s="167" t="s">
        <v>70</v>
      </c>
      <c r="BD546" s="167" t="s">
        <v>70</v>
      </c>
      <c r="BE546" s="167" t="s">
        <v>70</v>
      </c>
      <c r="BF546" s="167" t="s">
        <v>70</v>
      </c>
      <c r="BG546" s="167" t="s">
        <v>70</v>
      </c>
      <c r="BH546" s="167" t="s">
        <v>70</v>
      </c>
      <c r="BI546" s="167" t="s">
        <v>70</v>
      </c>
      <c r="BJ546" s="167" t="s">
        <v>70</v>
      </c>
      <c r="BK546" s="167" t="s">
        <v>70</v>
      </c>
      <c r="BL546" s="167" t="s">
        <v>70</v>
      </c>
      <c r="BM546" s="167" t="s">
        <v>70</v>
      </c>
      <c r="BN546" s="167" t="s">
        <v>70</v>
      </c>
      <c r="BO546" s="167" t="s">
        <v>70</v>
      </c>
      <c r="BP546" s="167" t="s">
        <v>70</v>
      </c>
      <c r="BQ546" s="151" t="s">
        <v>208</v>
      </c>
    </row>
    <row r="547" spans="1:135" s="151" customFormat="1" ht="19.5" customHeight="1" x14ac:dyDescent="0.2">
      <c r="A547" s="117">
        <v>546</v>
      </c>
      <c r="B547" s="117" t="s">
        <v>686</v>
      </c>
      <c r="C547" s="117">
        <v>162497</v>
      </c>
      <c r="D547" s="117" t="s">
        <v>212</v>
      </c>
      <c r="E547" s="117" t="s">
        <v>443</v>
      </c>
      <c r="F547" s="146" t="s">
        <v>256</v>
      </c>
      <c r="G547" s="124" t="s">
        <v>69</v>
      </c>
      <c r="H547" s="93">
        <v>46227</v>
      </c>
      <c r="I547" s="93">
        <v>46227</v>
      </c>
      <c r="J547" s="92">
        <f>IF(I547="", "", DATE(YEAR(I547)+3, MONTH(I547), DAY(L547)))</f>
        <v>47322</v>
      </c>
      <c r="K547" s="93">
        <v>46226</v>
      </c>
      <c r="L547" s="93">
        <v>46226</v>
      </c>
      <c r="M547" s="140">
        <f>IF(L547="", "", DATE(YEAR(L547)+3, MONTH(L547), DAY(L547)))</f>
        <v>47322</v>
      </c>
      <c r="N547" s="93">
        <v>46223</v>
      </c>
      <c r="O547" s="93">
        <v>46224</v>
      </c>
      <c r="P547" s="93">
        <v>46225</v>
      </c>
      <c r="Q547" s="167" t="s">
        <v>70</v>
      </c>
      <c r="R547" s="167" t="s">
        <v>70</v>
      </c>
      <c r="S547" s="167" t="s">
        <v>70</v>
      </c>
      <c r="T547" s="167" t="s">
        <v>70</v>
      </c>
      <c r="U547" s="167" t="s">
        <v>70</v>
      </c>
      <c r="V547" s="167" t="s">
        <v>70</v>
      </c>
      <c r="W547" s="167" t="s">
        <v>70</v>
      </c>
      <c r="X547" s="167" t="s">
        <v>70</v>
      </c>
      <c r="Y547" s="167" t="s">
        <v>70</v>
      </c>
      <c r="Z547" s="167" t="s">
        <v>70</v>
      </c>
      <c r="AA547" s="167" t="s">
        <v>70</v>
      </c>
      <c r="AB547" s="167" t="s">
        <v>70</v>
      </c>
      <c r="AC547" s="167" t="s">
        <v>70</v>
      </c>
      <c r="AD547" s="167" t="s">
        <v>70</v>
      </c>
      <c r="AE547" s="167" t="s">
        <v>70</v>
      </c>
      <c r="AF547" s="167" t="s">
        <v>70</v>
      </c>
      <c r="AG547" s="167" t="s">
        <v>70</v>
      </c>
      <c r="AH547" s="167" t="s">
        <v>70</v>
      </c>
      <c r="AI547" s="111">
        <v>45827</v>
      </c>
      <c r="AJ547" s="166" t="s">
        <v>69</v>
      </c>
      <c r="AK547" s="167" t="s">
        <v>70</v>
      </c>
      <c r="AL547" s="167" t="s">
        <v>70</v>
      </c>
      <c r="AM547" s="167"/>
      <c r="AN547" s="167" t="s">
        <v>70</v>
      </c>
      <c r="AO547" s="167" t="s">
        <v>70</v>
      </c>
      <c r="AP547" s="167" t="s">
        <v>70</v>
      </c>
      <c r="AQ547" s="167" t="s">
        <v>70</v>
      </c>
      <c r="AR547" s="166" t="s">
        <v>69</v>
      </c>
      <c r="AS547" s="167" t="s">
        <v>70</v>
      </c>
      <c r="AT547" s="167" t="s">
        <v>70</v>
      </c>
      <c r="AU547" s="167" t="s">
        <v>70</v>
      </c>
      <c r="AV547" s="167" t="s">
        <v>70</v>
      </c>
      <c r="AW547" s="167" t="s">
        <v>70</v>
      </c>
      <c r="AX547" s="167" t="s">
        <v>70</v>
      </c>
      <c r="AY547" s="167" t="s">
        <v>70</v>
      </c>
      <c r="AZ547" s="167" t="s">
        <v>70</v>
      </c>
      <c r="BA547" s="167" t="s">
        <v>70</v>
      </c>
      <c r="BB547" s="167" t="s">
        <v>70</v>
      </c>
      <c r="BC547" s="167" t="s">
        <v>70</v>
      </c>
      <c r="BD547" s="167" t="s">
        <v>70</v>
      </c>
      <c r="BE547" s="167" t="s">
        <v>70</v>
      </c>
      <c r="BF547" s="167" t="s">
        <v>70</v>
      </c>
      <c r="BG547" s="167" t="s">
        <v>70</v>
      </c>
      <c r="BH547" s="167" t="s">
        <v>70</v>
      </c>
      <c r="BI547" s="167" t="s">
        <v>70</v>
      </c>
      <c r="BJ547" s="167" t="s">
        <v>70</v>
      </c>
      <c r="BK547" s="167" t="s">
        <v>70</v>
      </c>
      <c r="BL547" s="167" t="s">
        <v>70</v>
      </c>
      <c r="BM547" s="167" t="s">
        <v>70</v>
      </c>
      <c r="BN547" s="167" t="s">
        <v>70</v>
      </c>
      <c r="BO547" s="167" t="s">
        <v>70</v>
      </c>
      <c r="BP547" s="167" t="s">
        <v>70</v>
      </c>
      <c r="BQ547" s="151" t="s">
        <v>208</v>
      </c>
    </row>
    <row r="548" spans="1:135" s="151" customFormat="1" ht="19.5" customHeight="1" x14ac:dyDescent="0.2">
      <c r="A548" s="117">
        <v>547</v>
      </c>
      <c r="B548" s="117" t="s">
        <v>687</v>
      </c>
      <c r="C548" s="117">
        <v>162503</v>
      </c>
      <c r="D548" s="117" t="s">
        <v>212</v>
      </c>
      <c r="E548" s="117" t="s">
        <v>443</v>
      </c>
      <c r="F548" s="146" t="s">
        <v>256</v>
      </c>
      <c r="G548" s="124" t="s">
        <v>69</v>
      </c>
      <c r="H548" s="124"/>
      <c r="I548" s="112"/>
      <c r="J548" s="162" t="str">
        <f>IF(I548="", "", DATE(YEAR(I548)+2, MONTH(I548), DAY(I548)))</f>
        <v/>
      </c>
      <c r="K548" s="89"/>
      <c r="L548" s="89"/>
      <c r="M548" s="163"/>
      <c r="N548" s="89"/>
      <c r="O548" s="89"/>
      <c r="P548" s="89"/>
      <c r="Q548" s="167" t="s">
        <v>70</v>
      </c>
      <c r="R548" s="167" t="s">
        <v>70</v>
      </c>
      <c r="S548" s="167" t="s">
        <v>70</v>
      </c>
      <c r="T548" s="167" t="s">
        <v>70</v>
      </c>
      <c r="U548" s="167" t="s">
        <v>70</v>
      </c>
      <c r="V548" s="167" t="s">
        <v>70</v>
      </c>
      <c r="W548" s="167" t="s">
        <v>70</v>
      </c>
      <c r="X548" s="167" t="s">
        <v>70</v>
      </c>
      <c r="Y548" s="167" t="s">
        <v>70</v>
      </c>
      <c r="Z548" s="167" t="s">
        <v>70</v>
      </c>
      <c r="AA548" s="167" t="s">
        <v>70</v>
      </c>
      <c r="AB548" s="167" t="s">
        <v>70</v>
      </c>
      <c r="AC548" s="167" t="s">
        <v>70</v>
      </c>
      <c r="AD548" s="167" t="s">
        <v>70</v>
      </c>
      <c r="AE548" s="167" t="s">
        <v>70</v>
      </c>
      <c r="AF548" s="167" t="s">
        <v>70</v>
      </c>
      <c r="AG548" s="167" t="s">
        <v>70</v>
      </c>
      <c r="AH548" s="167" t="s">
        <v>70</v>
      </c>
      <c r="AI548" s="186">
        <v>45869</v>
      </c>
      <c r="AJ548" s="166" t="s">
        <v>69</v>
      </c>
      <c r="AK548" s="167" t="s">
        <v>70</v>
      </c>
      <c r="AL548" s="167" t="s">
        <v>70</v>
      </c>
      <c r="AM548" s="167"/>
      <c r="AN548" s="167" t="s">
        <v>70</v>
      </c>
      <c r="AO548" s="167" t="s">
        <v>70</v>
      </c>
      <c r="AP548" s="167" t="s">
        <v>70</v>
      </c>
      <c r="AQ548" s="167" t="s">
        <v>70</v>
      </c>
      <c r="AR548" s="166" t="s">
        <v>69</v>
      </c>
      <c r="AS548" s="167" t="s">
        <v>70</v>
      </c>
      <c r="AT548" s="167" t="s">
        <v>70</v>
      </c>
      <c r="AU548" s="167" t="s">
        <v>70</v>
      </c>
      <c r="AV548" s="167" t="s">
        <v>70</v>
      </c>
      <c r="AW548" s="167" t="s">
        <v>70</v>
      </c>
      <c r="AX548" s="167" t="s">
        <v>70</v>
      </c>
      <c r="AY548" s="167" t="s">
        <v>70</v>
      </c>
      <c r="AZ548" s="167" t="s">
        <v>70</v>
      </c>
      <c r="BA548" s="167" t="s">
        <v>70</v>
      </c>
      <c r="BB548" s="167" t="s">
        <v>70</v>
      </c>
      <c r="BC548" s="167" t="s">
        <v>70</v>
      </c>
      <c r="BD548" s="167" t="s">
        <v>70</v>
      </c>
      <c r="BE548" s="167" t="s">
        <v>70</v>
      </c>
      <c r="BF548" s="167" t="s">
        <v>70</v>
      </c>
      <c r="BG548" s="167" t="s">
        <v>70</v>
      </c>
      <c r="BH548" s="167" t="s">
        <v>70</v>
      </c>
      <c r="BI548" s="167" t="s">
        <v>70</v>
      </c>
      <c r="BJ548" s="167" t="s">
        <v>70</v>
      </c>
      <c r="BK548" s="167" t="s">
        <v>70</v>
      </c>
      <c r="BL548" s="167" t="s">
        <v>70</v>
      </c>
      <c r="BM548" s="167" t="s">
        <v>70</v>
      </c>
      <c r="BN548" s="167" t="s">
        <v>70</v>
      </c>
      <c r="BO548" s="167" t="s">
        <v>70</v>
      </c>
      <c r="BP548" s="167" t="s">
        <v>70</v>
      </c>
      <c r="BQ548" s="151" t="s">
        <v>208</v>
      </c>
    </row>
    <row r="549" spans="1:135" s="151" customFormat="1" ht="19.5" customHeight="1" x14ac:dyDescent="0.2">
      <c r="A549" s="117">
        <v>548</v>
      </c>
      <c r="B549" s="117" t="s">
        <v>688</v>
      </c>
      <c r="C549" s="117">
        <v>162510</v>
      </c>
      <c r="D549" s="117" t="s">
        <v>212</v>
      </c>
      <c r="E549" s="117" t="s">
        <v>443</v>
      </c>
      <c r="F549" s="146" t="s">
        <v>256</v>
      </c>
      <c r="G549" s="124" t="s">
        <v>69</v>
      </c>
      <c r="H549" s="89">
        <v>45798</v>
      </c>
      <c r="I549" s="89">
        <v>45798</v>
      </c>
      <c r="J549" s="162">
        <f>IF(I549="", "", DATE(YEAR(I549)+3, MONTH(I549), DAY(I549)))</f>
        <v>46894</v>
      </c>
      <c r="K549" s="89">
        <v>42682</v>
      </c>
      <c r="L549" s="89">
        <v>45797</v>
      </c>
      <c r="M549" s="163">
        <f>IF(L549="", "", DATE(YEAR(L549)+3, MONTH(L549), DAY(L549)))</f>
        <v>46893</v>
      </c>
      <c r="N549" s="89">
        <v>45800</v>
      </c>
      <c r="O549" s="89">
        <v>45799</v>
      </c>
      <c r="P549" s="89">
        <v>45796</v>
      </c>
      <c r="Q549" s="167" t="s">
        <v>70</v>
      </c>
      <c r="R549" s="167" t="s">
        <v>70</v>
      </c>
      <c r="S549" s="167" t="s">
        <v>70</v>
      </c>
      <c r="T549" s="167" t="s">
        <v>70</v>
      </c>
      <c r="U549" s="167" t="s">
        <v>70</v>
      </c>
      <c r="V549" s="167" t="s">
        <v>70</v>
      </c>
      <c r="W549" s="167" t="s">
        <v>70</v>
      </c>
      <c r="X549" s="167" t="s">
        <v>70</v>
      </c>
      <c r="Y549" s="167" t="s">
        <v>70</v>
      </c>
      <c r="Z549" s="167" t="s">
        <v>70</v>
      </c>
      <c r="AA549" s="167" t="s">
        <v>70</v>
      </c>
      <c r="AB549" s="167" t="s">
        <v>70</v>
      </c>
      <c r="AC549" s="167" t="s">
        <v>70</v>
      </c>
      <c r="AD549" s="167" t="s">
        <v>70</v>
      </c>
      <c r="AE549" s="167" t="s">
        <v>70</v>
      </c>
      <c r="AF549" s="167" t="s">
        <v>70</v>
      </c>
      <c r="AG549" s="167" t="s">
        <v>70</v>
      </c>
      <c r="AH549" s="167" t="s">
        <v>70</v>
      </c>
      <c r="AI549" s="111">
        <v>45883</v>
      </c>
      <c r="AJ549" s="166" t="s">
        <v>69</v>
      </c>
      <c r="AK549" s="167" t="s">
        <v>70</v>
      </c>
      <c r="AL549" s="167" t="s">
        <v>70</v>
      </c>
      <c r="AM549" s="167"/>
      <c r="AN549" s="167" t="s">
        <v>70</v>
      </c>
      <c r="AO549" s="167" t="s">
        <v>70</v>
      </c>
      <c r="AP549" s="167" t="s">
        <v>70</v>
      </c>
      <c r="AQ549" s="167" t="s">
        <v>70</v>
      </c>
      <c r="AR549" s="166" t="s">
        <v>69</v>
      </c>
      <c r="AS549" s="167" t="s">
        <v>70</v>
      </c>
      <c r="AT549" s="167" t="s">
        <v>70</v>
      </c>
      <c r="AU549" s="167" t="s">
        <v>70</v>
      </c>
      <c r="AV549" s="167" t="s">
        <v>70</v>
      </c>
      <c r="AW549" s="167" t="s">
        <v>70</v>
      </c>
      <c r="AX549" s="167" t="s">
        <v>70</v>
      </c>
      <c r="AY549" s="167" t="s">
        <v>70</v>
      </c>
      <c r="AZ549" s="167" t="s">
        <v>70</v>
      </c>
      <c r="BA549" s="167" t="s">
        <v>70</v>
      </c>
      <c r="BB549" s="167" t="s">
        <v>70</v>
      </c>
      <c r="BC549" s="167" t="s">
        <v>70</v>
      </c>
      <c r="BD549" s="167" t="s">
        <v>70</v>
      </c>
      <c r="BE549" s="167" t="s">
        <v>70</v>
      </c>
      <c r="BF549" s="167" t="s">
        <v>70</v>
      </c>
      <c r="BG549" s="167" t="s">
        <v>70</v>
      </c>
      <c r="BH549" s="167" t="s">
        <v>70</v>
      </c>
      <c r="BI549" s="167" t="s">
        <v>70</v>
      </c>
      <c r="BJ549" s="167" t="s">
        <v>70</v>
      </c>
      <c r="BK549" s="167" t="s">
        <v>70</v>
      </c>
      <c r="BL549" s="167" t="s">
        <v>70</v>
      </c>
      <c r="BM549" s="167" t="s">
        <v>70</v>
      </c>
      <c r="BN549" s="167" t="s">
        <v>70</v>
      </c>
      <c r="BO549" s="167" t="s">
        <v>70</v>
      </c>
      <c r="BP549" s="167" t="s">
        <v>70</v>
      </c>
      <c r="BQ549" s="151" t="s">
        <v>208</v>
      </c>
    </row>
    <row r="550" spans="1:135" s="151" customFormat="1" ht="19.5" customHeight="1" x14ac:dyDescent="0.2">
      <c r="A550" s="117">
        <v>549</v>
      </c>
      <c r="B550" s="117" t="s">
        <v>689</v>
      </c>
      <c r="C550" s="117">
        <v>162511</v>
      </c>
      <c r="D550" s="117" t="s">
        <v>212</v>
      </c>
      <c r="E550" s="117" t="s">
        <v>443</v>
      </c>
      <c r="F550" s="146" t="s">
        <v>256</v>
      </c>
      <c r="G550" s="124" t="s">
        <v>69</v>
      </c>
      <c r="H550" s="124">
        <v>46282</v>
      </c>
      <c r="I550" s="124">
        <v>46282</v>
      </c>
      <c r="J550" s="162">
        <f>IF(I550="", "", DATE(YEAR(I550)+3, MONTH(I550), DAY(I550)))</f>
        <v>47378</v>
      </c>
      <c r="K550" s="124">
        <v>46281</v>
      </c>
      <c r="L550" s="124">
        <v>46281</v>
      </c>
      <c r="M550" s="124">
        <v>47377</v>
      </c>
      <c r="N550" s="89">
        <v>46279</v>
      </c>
      <c r="O550" s="89">
        <v>46286</v>
      </c>
      <c r="P550" s="89">
        <v>46280</v>
      </c>
      <c r="Q550" s="167" t="s">
        <v>70</v>
      </c>
      <c r="R550" s="167" t="s">
        <v>70</v>
      </c>
      <c r="S550" s="167" t="s">
        <v>70</v>
      </c>
      <c r="T550" s="167" t="s">
        <v>70</v>
      </c>
      <c r="U550" s="167" t="s">
        <v>70</v>
      </c>
      <c r="V550" s="167" t="s">
        <v>70</v>
      </c>
      <c r="W550" s="167" t="s">
        <v>70</v>
      </c>
      <c r="X550" s="167" t="s">
        <v>70</v>
      </c>
      <c r="Y550" s="167" t="s">
        <v>70</v>
      </c>
      <c r="Z550" s="167" t="s">
        <v>70</v>
      </c>
      <c r="AA550" s="167" t="s">
        <v>70</v>
      </c>
      <c r="AB550" s="167" t="s">
        <v>70</v>
      </c>
      <c r="AC550" s="167" t="s">
        <v>70</v>
      </c>
      <c r="AD550" s="167" t="s">
        <v>70</v>
      </c>
      <c r="AE550" s="167" t="s">
        <v>70</v>
      </c>
      <c r="AF550" s="167" t="s">
        <v>70</v>
      </c>
      <c r="AG550" s="167" t="s">
        <v>70</v>
      </c>
      <c r="AH550" s="167" t="s">
        <v>70</v>
      </c>
      <c r="AI550" s="181">
        <v>45855</v>
      </c>
      <c r="AJ550" s="166" t="s">
        <v>69</v>
      </c>
      <c r="AK550" s="167" t="s">
        <v>70</v>
      </c>
      <c r="AL550" s="167" t="s">
        <v>70</v>
      </c>
      <c r="AM550" s="167"/>
      <c r="AN550" s="167" t="s">
        <v>70</v>
      </c>
      <c r="AO550" s="167" t="s">
        <v>70</v>
      </c>
      <c r="AP550" s="167" t="s">
        <v>70</v>
      </c>
      <c r="AQ550" s="167" t="s">
        <v>70</v>
      </c>
      <c r="AR550" s="166" t="s">
        <v>69</v>
      </c>
      <c r="AS550" s="167" t="s">
        <v>70</v>
      </c>
      <c r="AT550" s="167" t="s">
        <v>70</v>
      </c>
      <c r="AU550" s="167" t="s">
        <v>70</v>
      </c>
      <c r="AV550" s="167" t="s">
        <v>70</v>
      </c>
      <c r="AW550" s="167" t="s">
        <v>70</v>
      </c>
      <c r="AX550" s="167" t="s">
        <v>70</v>
      </c>
      <c r="AY550" s="167" t="s">
        <v>70</v>
      </c>
      <c r="AZ550" s="167" t="s">
        <v>70</v>
      </c>
      <c r="BA550" s="167" t="s">
        <v>70</v>
      </c>
      <c r="BB550" s="167" t="s">
        <v>70</v>
      </c>
      <c r="BC550" s="167" t="s">
        <v>70</v>
      </c>
      <c r="BD550" s="167" t="s">
        <v>70</v>
      </c>
      <c r="BE550" s="167" t="s">
        <v>70</v>
      </c>
      <c r="BF550" s="167" t="s">
        <v>70</v>
      </c>
      <c r="BG550" s="167" t="s">
        <v>70</v>
      </c>
      <c r="BH550" s="167" t="s">
        <v>70</v>
      </c>
      <c r="BI550" s="167" t="s">
        <v>70</v>
      </c>
      <c r="BJ550" s="167" t="s">
        <v>70</v>
      </c>
      <c r="BK550" s="167" t="s">
        <v>70</v>
      </c>
      <c r="BL550" s="167" t="s">
        <v>70</v>
      </c>
      <c r="BM550" s="167" t="s">
        <v>70</v>
      </c>
      <c r="BN550" s="167" t="s">
        <v>70</v>
      </c>
      <c r="BO550" s="167" t="s">
        <v>70</v>
      </c>
      <c r="BP550" s="167" t="s">
        <v>70</v>
      </c>
      <c r="BQ550" s="151" t="s">
        <v>208</v>
      </c>
    </row>
    <row r="551" spans="1:135" s="151" customFormat="1" ht="19.5" customHeight="1" x14ac:dyDescent="0.2">
      <c r="A551" s="117">
        <v>550</v>
      </c>
      <c r="B551" s="117" t="s">
        <v>690</v>
      </c>
      <c r="C551" s="117">
        <v>162512</v>
      </c>
      <c r="D551" s="117" t="s">
        <v>212</v>
      </c>
      <c r="E551" s="117" t="s">
        <v>443</v>
      </c>
      <c r="F551" s="146" t="s">
        <v>256</v>
      </c>
      <c r="G551" s="124" t="s">
        <v>69</v>
      </c>
      <c r="H551" s="124">
        <v>46227</v>
      </c>
      <c r="I551" s="124">
        <v>46227</v>
      </c>
      <c r="J551" s="162">
        <f t="shared" ref="J551:J556" si="39">IF(I551="", "", DATE(YEAR(I551)+3, MONTH(I551), DAY(I551)))</f>
        <v>47323</v>
      </c>
      <c r="K551" s="89">
        <v>46226</v>
      </c>
      <c r="L551" s="89">
        <v>46226</v>
      </c>
      <c r="M551" s="163">
        <f t="shared" ref="M551:M556" si="40">IF(L551="", "", DATE(YEAR(L551)+3, MONTH(L551), DAY(L551)))</f>
        <v>47322</v>
      </c>
      <c r="N551" s="89">
        <v>46167</v>
      </c>
      <c r="O551" s="89">
        <v>46224</v>
      </c>
      <c r="P551" s="89">
        <v>46225</v>
      </c>
      <c r="Q551" s="167" t="s">
        <v>70</v>
      </c>
      <c r="R551" s="167" t="s">
        <v>70</v>
      </c>
      <c r="S551" s="167" t="s">
        <v>70</v>
      </c>
      <c r="T551" s="167" t="s">
        <v>70</v>
      </c>
      <c r="U551" s="167" t="s">
        <v>70</v>
      </c>
      <c r="V551" s="167" t="s">
        <v>70</v>
      </c>
      <c r="W551" s="167" t="s">
        <v>70</v>
      </c>
      <c r="X551" s="167" t="s">
        <v>70</v>
      </c>
      <c r="Y551" s="167" t="s">
        <v>70</v>
      </c>
      <c r="Z551" s="167" t="s">
        <v>70</v>
      </c>
      <c r="AA551" s="167" t="s">
        <v>70</v>
      </c>
      <c r="AB551" s="167" t="s">
        <v>70</v>
      </c>
      <c r="AC551" s="167" t="s">
        <v>70</v>
      </c>
      <c r="AD551" s="167" t="s">
        <v>70</v>
      </c>
      <c r="AE551" s="167" t="s">
        <v>70</v>
      </c>
      <c r="AF551" s="167" t="s">
        <v>70</v>
      </c>
      <c r="AG551" s="167" t="s">
        <v>70</v>
      </c>
      <c r="AH551" s="167" t="s">
        <v>70</v>
      </c>
      <c r="AI551" s="111">
        <v>45827</v>
      </c>
      <c r="AJ551" s="166" t="s">
        <v>69</v>
      </c>
      <c r="AK551" s="167" t="s">
        <v>70</v>
      </c>
      <c r="AL551" s="167" t="s">
        <v>70</v>
      </c>
      <c r="AM551" s="167"/>
      <c r="AN551" s="167" t="s">
        <v>70</v>
      </c>
      <c r="AO551" s="167" t="s">
        <v>70</v>
      </c>
      <c r="AP551" s="167" t="s">
        <v>70</v>
      </c>
      <c r="AQ551" s="167" t="s">
        <v>70</v>
      </c>
      <c r="AR551" s="166" t="s">
        <v>69</v>
      </c>
      <c r="AS551" s="167" t="s">
        <v>70</v>
      </c>
      <c r="AT551" s="167" t="s">
        <v>70</v>
      </c>
      <c r="AU551" s="167" t="s">
        <v>70</v>
      </c>
      <c r="AV551" s="167" t="s">
        <v>70</v>
      </c>
      <c r="AW551" s="167" t="s">
        <v>70</v>
      </c>
      <c r="AX551" s="167" t="s">
        <v>70</v>
      </c>
      <c r="AY551" s="167" t="s">
        <v>70</v>
      </c>
      <c r="AZ551" s="167" t="s">
        <v>70</v>
      </c>
      <c r="BA551" s="167" t="s">
        <v>70</v>
      </c>
      <c r="BB551" s="167" t="s">
        <v>70</v>
      </c>
      <c r="BC551" s="167" t="s">
        <v>70</v>
      </c>
      <c r="BD551" s="167" t="s">
        <v>70</v>
      </c>
      <c r="BE551" s="167" t="s">
        <v>70</v>
      </c>
      <c r="BF551" s="167" t="s">
        <v>70</v>
      </c>
      <c r="BG551" s="167" t="s">
        <v>70</v>
      </c>
      <c r="BH551" s="167" t="s">
        <v>70</v>
      </c>
      <c r="BI551" s="167" t="s">
        <v>70</v>
      </c>
      <c r="BJ551" s="167" t="s">
        <v>70</v>
      </c>
      <c r="BK551" s="167" t="s">
        <v>70</v>
      </c>
      <c r="BL551" s="167" t="s">
        <v>70</v>
      </c>
      <c r="BM551" s="167" t="s">
        <v>70</v>
      </c>
      <c r="BN551" s="167" t="s">
        <v>70</v>
      </c>
      <c r="BO551" s="167" t="s">
        <v>70</v>
      </c>
      <c r="BP551" s="167" t="s">
        <v>70</v>
      </c>
      <c r="BQ551" s="151" t="s">
        <v>208</v>
      </c>
    </row>
    <row r="552" spans="1:135" s="151" customFormat="1" ht="19.5" customHeight="1" x14ac:dyDescent="0.2">
      <c r="A552" s="117">
        <v>551</v>
      </c>
      <c r="B552" s="117" t="s">
        <v>691</v>
      </c>
      <c r="C552" s="117">
        <v>162515</v>
      </c>
      <c r="D552" s="117" t="s">
        <v>212</v>
      </c>
      <c r="E552" s="117" t="s">
        <v>443</v>
      </c>
      <c r="F552" s="146" t="s">
        <v>256</v>
      </c>
      <c r="G552" s="124" t="s">
        <v>69</v>
      </c>
      <c r="H552" s="93">
        <v>46248</v>
      </c>
      <c r="I552" s="93">
        <v>46248</v>
      </c>
      <c r="J552" s="92">
        <f t="shared" si="39"/>
        <v>47344</v>
      </c>
      <c r="K552" s="93">
        <v>46247</v>
      </c>
      <c r="L552" s="93">
        <v>46247</v>
      </c>
      <c r="M552" s="140">
        <f t="shared" si="40"/>
        <v>47343</v>
      </c>
      <c r="N552" s="93">
        <v>46245</v>
      </c>
      <c r="O552" s="93">
        <v>46258</v>
      </c>
      <c r="P552" s="93">
        <v>46246</v>
      </c>
      <c r="Q552" s="167" t="s">
        <v>70</v>
      </c>
      <c r="R552" s="167" t="s">
        <v>70</v>
      </c>
      <c r="S552" s="167" t="s">
        <v>70</v>
      </c>
      <c r="T552" s="167" t="s">
        <v>70</v>
      </c>
      <c r="U552" s="167" t="s">
        <v>70</v>
      </c>
      <c r="V552" s="167" t="s">
        <v>70</v>
      </c>
      <c r="W552" s="167" t="s">
        <v>70</v>
      </c>
      <c r="X552" s="167" t="s">
        <v>70</v>
      </c>
      <c r="Y552" s="167" t="s">
        <v>70</v>
      </c>
      <c r="Z552" s="167" t="s">
        <v>70</v>
      </c>
      <c r="AA552" s="167" t="s">
        <v>70</v>
      </c>
      <c r="AB552" s="167" t="s">
        <v>70</v>
      </c>
      <c r="AC552" s="167" t="s">
        <v>70</v>
      </c>
      <c r="AD552" s="167" t="s">
        <v>70</v>
      </c>
      <c r="AE552" s="167" t="s">
        <v>70</v>
      </c>
      <c r="AF552" s="167" t="s">
        <v>70</v>
      </c>
      <c r="AG552" s="167" t="s">
        <v>70</v>
      </c>
      <c r="AH552" s="167" t="s">
        <v>70</v>
      </c>
      <c r="AI552" s="111">
        <v>45883</v>
      </c>
      <c r="AJ552" s="166" t="s">
        <v>69</v>
      </c>
      <c r="AK552" s="167" t="s">
        <v>70</v>
      </c>
      <c r="AL552" s="167" t="s">
        <v>70</v>
      </c>
      <c r="AM552" s="167"/>
      <c r="AN552" s="167" t="s">
        <v>70</v>
      </c>
      <c r="AO552" s="167" t="s">
        <v>70</v>
      </c>
      <c r="AP552" s="167" t="s">
        <v>70</v>
      </c>
      <c r="AQ552" s="167" t="s">
        <v>70</v>
      </c>
      <c r="AR552" s="166" t="s">
        <v>69</v>
      </c>
      <c r="AS552" s="167" t="s">
        <v>70</v>
      </c>
      <c r="AT552" s="167" t="s">
        <v>70</v>
      </c>
      <c r="AU552" s="167" t="s">
        <v>70</v>
      </c>
      <c r="AV552" s="167" t="s">
        <v>70</v>
      </c>
      <c r="AW552" s="167" t="s">
        <v>70</v>
      </c>
      <c r="AX552" s="167" t="s">
        <v>70</v>
      </c>
      <c r="AY552" s="167" t="s">
        <v>70</v>
      </c>
      <c r="AZ552" s="167" t="s">
        <v>70</v>
      </c>
      <c r="BA552" s="167" t="s">
        <v>70</v>
      </c>
      <c r="BB552" s="167" t="s">
        <v>70</v>
      </c>
      <c r="BC552" s="167" t="s">
        <v>70</v>
      </c>
      <c r="BD552" s="167" t="s">
        <v>70</v>
      </c>
      <c r="BE552" s="167" t="s">
        <v>70</v>
      </c>
      <c r="BF552" s="167" t="s">
        <v>70</v>
      </c>
      <c r="BG552" s="167" t="s">
        <v>70</v>
      </c>
      <c r="BH552" s="167" t="s">
        <v>70</v>
      </c>
      <c r="BI552" s="167" t="s">
        <v>70</v>
      </c>
      <c r="BJ552" s="167" t="s">
        <v>70</v>
      </c>
      <c r="BK552" s="167" t="s">
        <v>70</v>
      </c>
      <c r="BL552" s="167" t="s">
        <v>70</v>
      </c>
      <c r="BM552" s="167" t="s">
        <v>70</v>
      </c>
      <c r="BN552" s="167" t="s">
        <v>70</v>
      </c>
      <c r="BO552" s="167" t="s">
        <v>70</v>
      </c>
      <c r="BP552" s="167" t="s">
        <v>70</v>
      </c>
      <c r="BQ552" s="151" t="s">
        <v>208</v>
      </c>
    </row>
    <row r="553" spans="1:135" s="151" customFormat="1" ht="19.5" customHeight="1" x14ac:dyDescent="0.2">
      <c r="A553" s="117">
        <v>552</v>
      </c>
      <c r="B553" s="117" t="s">
        <v>692</v>
      </c>
      <c r="C553" s="117">
        <v>162516</v>
      </c>
      <c r="D553" s="117" t="s">
        <v>212</v>
      </c>
      <c r="E553" s="117" t="s">
        <v>443</v>
      </c>
      <c r="F553" s="146" t="s">
        <v>256</v>
      </c>
      <c r="G553" s="124" t="s">
        <v>69</v>
      </c>
      <c r="H553" s="89">
        <v>45709</v>
      </c>
      <c r="I553" s="89">
        <v>45709</v>
      </c>
      <c r="J553" s="162">
        <f t="shared" si="39"/>
        <v>46804</v>
      </c>
      <c r="K553" s="89">
        <v>45351</v>
      </c>
      <c r="L553" s="89">
        <v>45706</v>
      </c>
      <c r="M553" s="163">
        <f t="shared" si="40"/>
        <v>46801</v>
      </c>
      <c r="N553" s="89">
        <v>45707</v>
      </c>
      <c r="O553" s="89">
        <v>45708</v>
      </c>
      <c r="P553" s="89">
        <v>45705</v>
      </c>
      <c r="Q553" s="167" t="s">
        <v>70</v>
      </c>
      <c r="R553" s="167" t="s">
        <v>70</v>
      </c>
      <c r="S553" s="167" t="s">
        <v>70</v>
      </c>
      <c r="T553" s="167" t="s">
        <v>70</v>
      </c>
      <c r="U553" s="167" t="s">
        <v>70</v>
      </c>
      <c r="V553" s="167" t="s">
        <v>70</v>
      </c>
      <c r="W553" s="167" t="s">
        <v>70</v>
      </c>
      <c r="X553" s="167" t="s">
        <v>70</v>
      </c>
      <c r="Y553" s="167" t="s">
        <v>70</v>
      </c>
      <c r="Z553" s="167" t="s">
        <v>70</v>
      </c>
      <c r="AA553" s="167" t="s">
        <v>70</v>
      </c>
      <c r="AB553" s="167" t="s">
        <v>70</v>
      </c>
      <c r="AC553" s="167" t="s">
        <v>70</v>
      </c>
      <c r="AD553" s="167" t="s">
        <v>70</v>
      </c>
      <c r="AE553" s="167" t="s">
        <v>70</v>
      </c>
      <c r="AF553" s="167" t="s">
        <v>70</v>
      </c>
      <c r="AG553" s="167" t="s">
        <v>70</v>
      </c>
      <c r="AH553" s="167" t="s">
        <v>70</v>
      </c>
      <c r="AI553" s="111">
        <v>45897</v>
      </c>
      <c r="AJ553" s="166" t="s">
        <v>69</v>
      </c>
      <c r="AK553" s="167" t="s">
        <v>70</v>
      </c>
      <c r="AL553" s="167" t="s">
        <v>70</v>
      </c>
      <c r="AM553" s="167"/>
      <c r="AN553" s="167" t="s">
        <v>70</v>
      </c>
      <c r="AO553" s="167" t="s">
        <v>70</v>
      </c>
      <c r="AP553" s="167" t="s">
        <v>70</v>
      </c>
      <c r="AQ553" s="167" t="s">
        <v>70</v>
      </c>
      <c r="AR553" s="166" t="s">
        <v>69</v>
      </c>
      <c r="AS553" s="167" t="s">
        <v>70</v>
      </c>
      <c r="AT553" s="167" t="s">
        <v>70</v>
      </c>
      <c r="AU553" s="167" t="s">
        <v>70</v>
      </c>
      <c r="AV553" s="167" t="s">
        <v>70</v>
      </c>
      <c r="AW553" s="167" t="s">
        <v>70</v>
      </c>
      <c r="AX553" s="167" t="s">
        <v>70</v>
      </c>
      <c r="AY553" s="167" t="s">
        <v>70</v>
      </c>
      <c r="AZ553" s="167" t="s">
        <v>70</v>
      </c>
      <c r="BA553" s="167" t="s">
        <v>70</v>
      </c>
      <c r="BB553" s="167" t="s">
        <v>70</v>
      </c>
      <c r="BC553" s="167" t="s">
        <v>70</v>
      </c>
      <c r="BD553" s="167" t="s">
        <v>70</v>
      </c>
      <c r="BE553" s="167" t="s">
        <v>70</v>
      </c>
      <c r="BF553" s="167" t="s">
        <v>70</v>
      </c>
      <c r="BG553" s="167" t="s">
        <v>70</v>
      </c>
      <c r="BH553" s="167" t="s">
        <v>70</v>
      </c>
      <c r="BI553" s="167" t="s">
        <v>70</v>
      </c>
      <c r="BJ553" s="167" t="s">
        <v>70</v>
      </c>
      <c r="BK553" s="167" t="s">
        <v>70</v>
      </c>
      <c r="BL553" s="167" t="s">
        <v>70</v>
      </c>
      <c r="BM553" s="167" t="s">
        <v>70</v>
      </c>
      <c r="BN553" s="167" t="s">
        <v>70</v>
      </c>
      <c r="BO553" s="167" t="s">
        <v>70</v>
      </c>
      <c r="BP553" s="167" t="s">
        <v>70</v>
      </c>
      <c r="BQ553" s="151" t="s">
        <v>208</v>
      </c>
    </row>
    <row r="554" spans="1:135" s="151" customFormat="1" ht="19.5" customHeight="1" x14ac:dyDescent="0.2">
      <c r="A554" s="117">
        <v>553</v>
      </c>
      <c r="B554" s="117" t="s">
        <v>656</v>
      </c>
      <c r="C554" s="117">
        <v>136038</v>
      </c>
      <c r="D554" s="117" t="s">
        <v>212</v>
      </c>
      <c r="E554" s="117" t="s">
        <v>443</v>
      </c>
      <c r="F554" s="146" t="s">
        <v>256</v>
      </c>
      <c r="G554" s="238">
        <v>41785</v>
      </c>
      <c r="H554" s="89">
        <v>42478</v>
      </c>
      <c r="I554" s="140">
        <v>46080</v>
      </c>
      <c r="J554" s="162">
        <f t="shared" si="39"/>
        <v>47176</v>
      </c>
      <c r="K554" s="89">
        <v>42478</v>
      </c>
      <c r="L554" s="111">
        <v>46079</v>
      </c>
      <c r="M554" s="163">
        <f t="shared" si="40"/>
        <v>47175</v>
      </c>
      <c r="N554" s="89">
        <v>46076</v>
      </c>
      <c r="O554" s="89">
        <v>46077</v>
      </c>
      <c r="P554" s="89">
        <v>46078</v>
      </c>
      <c r="Q554" s="167" t="s">
        <v>70</v>
      </c>
      <c r="R554" s="167" t="s">
        <v>70</v>
      </c>
      <c r="S554" s="167" t="s">
        <v>70</v>
      </c>
      <c r="T554" s="167" t="s">
        <v>70</v>
      </c>
      <c r="U554" s="167" t="s">
        <v>70</v>
      </c>
      <c r="V554" s="167" t="s">
        <v>70</v>
      </c>
      <c r="W554" s="167" t="s">
        <v>70</v>
      </c>
      <c r="X554" s="167" t="s">
        <v>70</v>
      </c>
      <c r="Y554" s="167" t="s">
        <v>70</v>
      </c>
      <c r="Z554" s="167" t="s">
        <v>70</v>
      </c>
      <c r="AA554" s="167" t="s">
        <v>70</v>
      </c>
      <c r="AB554" s="167" t="s">
        <v>70</v>
      </c>
      <c r="AC554" s="167" t="s">
        <v>70</v>
      </c>
      <c r="AD554" s="167" t="s">
        <v>70</v>
      </c>
      <c r="AE554" s="167" t="s">
        <v>70</v>
      </c>
      <c r="AF554" s="167" t="s">
        <v>70</v>
      </c>
      <c r="AG554" s="167" t="s">
        <v>70</v>
      </c>
      <c r="AH554" s="167" t="s">
        <v>70</v>
      </c>
      <c r="AI554" s="111">
        <v>45919</v>
      </c>
      <c r="AJ554" s="166" t="s">
        <v>69</v>
      </c>
      <c r="AK554" s="167" t="s">
        <v>70</v>
      </c>
      <c r="AL554" s="167" t="s">
        <v>70</v>
      </c>
      <c r="AM554" s="167"/>
      <c r="AN554" s="167" t="s">
        <v>70</v>
      </c>
      <c r="AO554" s="167" t="s">
        <v>70</v>
      </c>
      <c r="AP554" s="167" t="s">
        <v>70</v>
      </c>
      <c r="AQ554" s="167" t="s">
        <v>70</v>
      </c>
      <c r="AR554" s="166" t="s">
        <v>69</v>
      </c>
      <c r="AS554" s="167" t="s">
        <v>70</v>
      </c>
      <c r="AT554" s="167" t="s">
        <v>70</v>
      </c>
      <c r="AU554" s="167" t="s">
        <v>70</v>
      </c>
      <c r="AV554" s="167" t="s">
        <v>70</v>
      </c>
      <c r="AW554" s="167" t="s">
        <v>70</v>
      </c>
      <c r="AX554" s="167" t="s">
        <v>70</v>
      </c>
      <c r="AY554" s="167" t="s">
        <v>70</v>
      </c>
      <c r="AZ554" s="167" t="s">
        <v>70</v>
      </c>
      <c r="BA554" s="167" t="s">
        <v>70</v>
      </c>
      <c r="BB554" s="167" t="s">
        <v>70</v>
      </c>
      <c r="BC554" s="167" t="s">
        <v>70</v>
      </c>
      <c r="BD554" s="167" t="s">
        <v>70</v>
      </c>
      <c r="BE554" s="167" t="s">
        <v>70</v>
      </c>
      <c r="BF554" s="167" t="s">
        <v>70</v>
      </c>
      <c r="BG554" s="167" t="s">
        <v>70</v>
      </c>
      <c r="BH554" s="167" t="s">
        <v>70</v>
      </c>
      <c r="BI554" s="167" t="s">
        <v>70</v>
      </c>
      <c r="BJ554" s="167" t="s">
        <v>70</v>
      </c>
      <c r="BK554" s="167" t="s">
        <v>70</v>
      </c>
      <c r="BL554" s="167" t="s">
        <v>70</v>
      </c>
      <c r="BM554" s="167" t="s">
        <v>70</v>
      </c>
      <c r="BN554" s="167" t="s">
        <v>70</v>
      </c>
      <c r="BO554" s="167" t="s">
        <v>70</v>
      </c>
      <c r="BP554" s="167" t="s">
        <v>70</v>
      </c>
      <c r="BQ554" s="151" t="s">
        <v>208</v>
      </c>
      <c r="BR554" s="142"/>
      <c r="BS554" s="142"/>
      <c r="BT554" s="142"/>
      <c r="BU554" s="142"/>
      <c r="BV554" s="142"/>
      <c r="BW554" s="142"/>
      <c r="BX554" s="142"/>
      <c r="BY554" s="142"/>
      <c r="BZ554" s="142"/>
      <c r="CA554" s="142"/>
      <c r="CB554" s="142"/>
      <c r="CC554" s="142"/>
      <c r="CD554" s="142"/>
      <c r="CE554" s="142"/>
      <c r="CF554" s="142"/>
      <c r="CG554" s="142"/>
      <c r="CH554" s="142"/>
      <c r="CI554" s="142"/>
      <c r="CJ554" s="142"/>
      <c r="CK554" s="142"/>
      <c r="CL554" s="142"/>
      <c r="CM554" s="142"/>
      <c r="CN554" s="142"/>
      <c r="CO554" s="142"/>
      <c r="CP554" s="142"/>
      <c r="CQ554" s="142"/>
      <c r="CR554" s="142"/>
      <c r="CS554" s="142"/>
      <c r="CT554" s="142"/>
      <c r="CU554" s="142"/>
      <c r="CV554" s="142"/>
      <c r="CW554" s="142"/>
      <c r="CX554" s="142"/>
      <c r="CY554" s="142"/>
      <c r="CZ554" s="142"/>
      <c r="DA554" s="142"/>
      <c r="DB554" s="142"/>
      <c r="DC554" s="142"/>
      <c r="DD554" s="142"/>
      <c r="DE554" s="142"/>
      <c r="DF554" s="142"/>
      <c r="DG554" s="142"/>
      <c r="DH554" s="142"/>
      <c r="DI554" s="142"/>
      <c r="DJ554" s="142"/>
      <c r="DK554" s="142"/>
      <c r="DL554" s="142"/>
      <c r="DM554" s="142"/>
      <c r="DN554" s="142"/>
      <c r="DO554" s="142"/>
      <c r="DP554" s="142"/>
      <c r="DQ554" s="142"/>
      <c r="DR554" s="142"/>
      <c r="DS554" s="142"/>
      <c r="DT554" s="142"/>
      <c r="DU554" s="142"/>
      <c r="DV554" s="142"/>
      <c r="DW554" s="142"/>
      <c r="DX554" s="142"/>
      <c r="DY554" s="142"/>
      <c r="DZ554" s="142"/>
      <c r="EA554" s="142"/>
      <c r="EB554" s="142"/>
      <c r="EC554" s="142"/>
      <c r="ED554" s="142"/>
      <c r="EE554" s="142"/>
    </row>
    <row r="555" spans="1:135" s="151" customFormat="1" ht="19.5" customHeight="1" x14ac:dyDescent="0.2">
      <c r="A555" s="117">
        <v>554</v>
      </c>
      <c r="B555" s="117" t="s">
        <v>705</v>
      </c>
      <c r="C555" s="117">
        <v>83117264</v>
      </c>
      <c r="D555" s="117" t="s">
        <v>212</v>
      </c>
      <c r="E555" s="117" t="s">
        <v>443</v>
      </c>
      <c r="F555" s="146" t="s">
        <v>256</v>
      </c>
      <c r="G555" s="238">
        <v>41785</v>
      </c>
      <c r="H555" s="229">
        <v>46136</v>
      </c>
      <c r="I555" s="229">
        <v>46136</v>
      </c>
      <c r="J555" s="162">
        <f t="shared" si="39"/>
        <v>47232</v>
      </c>
      <c r="K555" s="229">
        <v>42513</v>
      </c>
      <c r="L555" s="89">
        <v>46135</v>
      </c>
      <c r="M555" s="163">
        <f t="shared" si="40"/>
        <v>47231</v>
      </c>
      <c r="N555" s="229">
        <v>46132</v>
      </c>
      <c r="O555" s="112">
        <v>46133</v>
      </c>
      <c r="P555" s="229">
        <v>46133</v>
      </c>
      <c r="Q555" s="167" t="s">
        <v>70</v>
      </c>
      <c r="R555" s="167" t="s">
        <v>70</v>
      </c>
      <c r="S555" s="167" t="s">
        <v>70</v>
      </c>
      <c r="T555" s="167" t="s">
        <v>70</v>
      </c>
      <c r="U555" s="167" t="s">
        <v>70</v>
      </c>
      <c r="V555" s="167" t="s">
        <v>70</v>
      </c>
      <c r="W555" s="167" t="s">
        <v>70</v>
      </c>
      <c r="X555" s="167" t="s">
        <v>70</v>
      </c>
      <c r="Y555" s="167" t="s">
        <v>70</v>
      </c>
      <c r="Z555" s="167" t="s">
        <v>70</v>
      </c>
      <c r="AA555" s="167" t="s">
        <v>70</v>
      </c>
      <c r="AB555" s="167" t="s">
        <v>70</v>
      </c>
      <c r="AC555" s="167" t="s">
        <v>70</v>
      </c>
      <c r="AD555" s="167" t="s">
        <v>70</v>
      </c>
      <c r="AE555" s="167" t="s">
        <v>70</v>
      </c>
      <c r="AF555" s="167" t="s">
        <v>70</v>
      </c>
      <c r="AG555" s="167" t="s">
        <v>70</v>
      </c>
      <c r="AH555" s="167" t="s">
        <v>70</v>
      </c>
      <c r="AI555" s="186">
        <v>45869</v>
      </c>
      <c r="AJ555" s="166" t="s">
        <v>69</v>
      </c>
      <c r="AK555" s="167" t="s">
        <v>70</v>
      </c>
      <c r="AL555" s="167" t="s">
        <v>70</v>
      </c>
      <c r="AM555" s="167"/>
      <c r="AN555" s="167" t="s">
        <v>70</v>
      </c>
      <c r="AO555" s="167" t="s">
        <v>70</v>
      </c>
      <c r="AP555" s="167" t="s">
        <v>70</v>
      </c>
      <c r="AQ555" s="167" t="s">
        <v>70</v>
      </c>
      <c r="AR555" s="166" t="s">
        <v>69</v>
      </c>
      <c r="AS555" s="167" t="s">
        <v>70</v>
      </c>
      <c r="AT555" s="167" t="s">
        <v>70</v>
      </c>
      <c r="AU555" s="167" t="s">
        <v>70</v>
      </c>
      <c r="AV555" s="167" t="s">
        <v>70</v>
      </c>
      <c r="AW555" s="167" t="s">
        <v>70</v>
      </c>
      <c r="AX555" s="167" t="s">
        <v>70</v>
      </c>
      <c r="AY555" s="167" t="s">
        <v>70</v>
      </c>
      <c r="AZ555" s="167" t="s">
        <v>70</v>
      </c>
      <c r="BA555" s="167" t="s">
        <v>70</v>
      </c>
      <c r="BB555" s="167" t="s">
        <v>70</v>
      </c>
      <c r="BC555" s="167" t="s">
        <v>70</v>
      </c>
      <c r="BD555" s="167" t="s">
        <v>70</v>
      </c>
      <c r="BE555" s="167" t="s">
        <v>70</v>
      </c>
      <c r="BF555" s="167" t="s">
        <v>70</v>
      </c>
      <c r="BG555" s="167" t="s">
        <v>70</v>
      </c>
      <c r="BH555" s="167" t="s">
        <v>70</v>
      </c>
      <c r="BI555" s="167" t="s">
        <v>70</v>
      </c>
      <c r="BJ555" s="167" t="s">
        <v>70</v>
      </c>
      <c r="BK555" s="167" t="s">
        <v>70</v>
      </c>
      <c r="BL555" s="167" t="s">
        <v>70</v>
      </c>
      <c r="BM555" s="167" t="s">
        <v>70</v>
      </c>
      <c r="BN555" s="167" t="s">
        <v>70</v>
      </c>
      <c r="BO555" s="167" t="s">
        <v>70</v>
      </c>
      <c r="BP555" s="167" t="s">
        <v>70</v>
      </c>
      <c r="BQ555" s="151" t="s">
        <v>208</v>
      </c>
    </row>
    <row r="556" spans="1:135" s="151" customFormat="1" ht="19.5" customHeight="1" x14ac:dyDescent="0.2">
      <c r="A556" s="117">
        <v>555</v>
      </c>
      <c r="B556" s="117" t="s">
        <v>706</v>
      </c>
      <c r="C556" s="117">
        <v>83117266</v>
      </c>
      <c r="D556" s="117" t="s">
        <v>212</v>
      </c>
      <c r="E556" s="117" t="s">
        <v>443</v>
      </c>
      <c r="F556" s="146" t="s">
        <v>256</v>
      </c>
      <c r="G556" s="124" t="s">
        <v>69</v>
      </c>
      <c r="H556" s="89">
        <v>45798</v>
      </c>
      <c r="I556" s="89">
        <v>45798</v>
      </c>
      <c r="J556" s="162">
        <f t="shared" si="39"/>
        <v>46894</v>
      </c>
      <c r="K556" s="89">
        <v>45797</v>
      </c>
      <c r="L556" s="89">
        <v>45797</v>
      </c>
      <c r="M556" s="163">
        <f t="shared" si="40"/>
        <v>46893</v>
      </c>
      <c r="N556" s="89">
        <v>45800</v>
      </c>
      <c r="O556" s="89">
        <v>45799</v>
      </c>
      <c r="P556" s="89">
        <v>45796</v>
      </c>
      <c r="Q556" s="167" t="s">
        <v>70</v>
      </c>
      <c r="R556" s="167" t="s">
        <v>70</v>
      </c>
      <c r="S556" s="167" t="s">
        <v>70</v>
      </c>
      <c r="T556" s="167" t="s">
        <v>70</v>
      </c>
      <c r="U556" s="167" t="s">
        <v>70</v>
      </c>
      <c r="V556" s="167" t="s">
        <v>70</v>
      </c>
      <c r="W556" s="167" t="s">
        <v>70</v>
      </c>
      <c r="X556" s="167" t="s">
        <v>70</v>
      </c>
      <c r="Y556" s="167" t="s">
        <v>70</v>
      </c>
      <c r="Z556" s="167" t="s">
        <v>70</v>
      </c>
      <c r="AA556" s="167" t="s">
        <v>70</v>
      </c>
      <c r="AB556" s="167" t="s">
        <v>70</v>
      </c>
      <c r="AC556" s="167" t="s">
        <v>70</v>
      </c>
      <c r="AD556" s="167" t="s">
        <v>70</v>
      </c>
      <c r="AE556" s="167" t="s">
        <v>70</v>
      </c>
      <c r="AF556" s="167" t="s">
        <v>70</v>
      </c>
      <c r="AG556" s="167" t="s">
        <v>70</v>
      </c>
      <c r="AH556" s="167" t="s">
        <v>70</v>
      </c>
      <c r="AI556" s="111">
        <v>45919</v>
      </c>
      <c r="AJ556" s="166" t="s">
        <v>69</v>
      </c>
      <c r="AK556" s="167" t="s">
        <v>70</v>
      </c>
      <c r="AL556" s="167" t="s">
        <v>70</v>
      </c>
      <c r="AM556" s="167"/>
      <c r="AN556" s="167" t="s">
        <v>70</v>
      </c>
      <c r="AO556" s="167" t="s">
        <v>70</v>
      </c>
      <c r="AP556" s="167" t="s">
        <v>70</v>
      </c>
      <c r="AQ556" s="167" t="s">
        <v>70</v>
      </c>
      <c r="AR556" s="166" t="s">
        <v>69</v>
      </c>
      <c r="AS556" s="167" t="s">
        <v>70</v>
      </c>
      <c r="AT556" s="167" t="s">
        <v>70</v>
      </c>
      <c r="AU556" s="167" t="s">
        <v>70</v>
      </c>
      <c r="AV556" s="167" t="s">
        <v>70</v>
      </c>
      <c r="AW556" s="167" t="s">
        <v>70</v>
      </c>
      <c r="AX556" s="167" t="s">
        <v>70</v>
      </c>
      <c r="AY556" s="167" t="s">
        <v>70</v>
      </c>
      <c r="AZ556" s="167" t="s">
        <v>70</v>
      </c>
      <c r="BA556" s="167" t="s">
        <v>70</v>
      </c>
      <c r="BB556" s="167" t="s">
        <v>70</v>
      </c>
      <c r="BC556" s="167" t="s">
        <v>70</v>
      </c>
      <c r="BD556" s="167" t="s">
        <v>70</v>
      </c>
      <c r="BE556" s="167" t="s">
        <v>70</v>
      </c>
      <c r="BF556" s="167" t="s">
        <v>70</v>
      </c>
      <c r="BG556" s="167" t="s">
        <v>70</v>
      </c>
      <c r="BH556" s="167" t="s">
        <v>70</v>
      </c>
      <c r="BI556" s="167" t="s">
        <v>70</v>
      </c>
      <c r="BJ556" s="167" t="s">
        <v>70</v>
      </c>
      <c r="BK556" s="167" t="s">
        <v>70</v>
      </c>
      <c r="BL556" s="167" t="s">
        <v>70</v>
      </c>
      <c r="BM556" s="167" t="s">
        <v>70</v>
      </c>
      <c r="BN556" s="167" t="s">
        <v>70</v>
      </c>
      <c r="BO556" s="167" t="s">
        <v>70</v>
      </c>
      <c r="BP556" s="167" t="s">
        <v>70</v>
      </c>
      <c r="BQ556" s="151" t="s">
        <v>208</v>
      </c>
    </row>
    <row r="557" spans="1:135" s="151" customFormat="1" ht="19.5" customHeight="1" x14ac:dyDescent="0.2">
      <c r="A557" s="117">
        <v>556</v>
      </c>
      <c r="B557" s="117" t="s">
        <v>707</v>
      </c>
      <c r="C557" s="117">
        <v>83117506</v>
      </c>
      <c r="D557" s="117" t="s">
        <v>212</v>
      </c>
      <c r="E557" s="117" t="s">
        <v>443</v>
      </c>
      <c r="F557" s="146" t="s">
        <v>256</v>
      </c>
      <c r="G557" s="124" t="s">
        <v>69</v>
      </c>
      <c r="H557" s="89"/>
      <c r="I557" s="89"/>
      <c r="J557" s="162"/>
      <c r="K557" s="89"/>
      <c r="L557" s="89"/>
      <c r="M557" s="163"/>
      <c r="N557" s="165"/>
      <c r="O557" s="112"/>
      <c r="P557" s="232"/>
      <c r="Q557" s="167" t="s">
        <v>70</v>
      </c>
      <c r="R557" s="167" t="s">
        <v>70</v>
      </c>
      <c r="S557" s="167" t="s">
        <v>70</v>
      </c>
      <c r="T557" s="167" t="s">
        <v>70</v>
      </c>
      <c r="U557" s="167" t="s">
        <v>70</v>
      </c>
      <c r="V557" s="167" t="s">
        <v>70</v>
      </c>
      <c r="W557" s="167" t="s">
        <v>70</v>
      </c>
      <c r="X557" s="167" t="s">
        <v>70</v>
      </c>
      <c r="Y557" s="167" t="s">
        <v>70</v>
      </c>
      <c r="Z557" s="167" t="s">
        <v>70</v>
      </c>
      <c r="AA557" s="167" t="s">
        <v>70</v>
      </c>
      <c r="AB557" s="167" t="s">
        <v>70</v>
      </c>
      <c r="AC557" s="167" t="s">
        <v>70</v>
      </c>
      <c r="AD557" s="167" t="s">
        <v>70</v>
      </c>
      <c r="AE557" s="167" t="s">
        <v>70</v>
      </c>
      <c r="AF557" s="167" t="s">
        <v>70</v>
      </c>
      <c r="AG557" s="167" t="s">
        <v>70</v>
      </c>
      <c r="AH557" s="167" t="s">
        <v>70</v>
      </c>
      <c r="AI557" s="111">
        <v>45946</v>
      </c>
      <c r="AJ557" s="166" t="s">
        <v>69</v>
      </c>
      <c r="AK557" s="167" t="s">
        <v>70</v>
      </c>
      <c r="AL557" s="167" t="s">
        <v>70</v>
      </c>
      <c r="AM557" s="167"/>
      <c r="AN557" s="167" t="s">
        <v>70</v>
      </c>
      <c r="AO557" s="167" t="s">
        <v>70</v>
      </c>
      <c r="AP557" s="167" t="s">
        <v>70</v>
      </c>
      <c r="AQ557" s="167" t="s">
        <v>70</v>
      </c>
      <c r="AR557" s="166" t="s">
        <v>69</v>
      </c>
      <c r="AS557" s="167" t="s">
        <v>70</v>
      </c>
      <c r="AT557" s="167" t="s">
        <v>70</v>
      </c>
      <c r="AU557" s="167" t="s">
        <v>70</v>
      </c>
      <c r="AV557" s="167" t="s">
        <v>70</v>
      </c>
      <c r="AW557" s="167" t="s">
        <v>70</v>
      </c>
      <c r="AX557" s="167" t="s">
        <v>70</v>
      </c>
      <c r="AY557" s="167" t="s">
        <v>70</v>
      </c>
      <c r="AZ557" s="167" t="s">
        <v>70</v>
      </c>
      <c r="BA557" s="167" t="s">
        <v>70</v>
      </c>
      <c r="BB557" s="167" t="s">
        <v>70</v>
      </c>
      <c r="BC557" s="167" t="s">
        <v>70</v>
      </c>
      <c r="BD557" s="167" t="s">
        <v>70</v>
      </c>
      <c r="BE557" s="167" t="s">
        <v>70</v>
      </c>
      <c r="BF557" s="167" t="s">
        <v>70</v>
      </c>
      <c r="BG557" s="167" t="s">
        <v>70</v>
      </c>
      <c r="BH557" s="167" t="s">
        <v>70</v>
      </c>
      <c r="BI557" s="167" t="s">
        <v>70</v>
      </c>
      <c r="BJ557" s="167" t="s">
        <v>70</v>
      </c>
      <c r="BK557" s="167" t="s">
        <v>70</v>
      </c>
      <c r="BL557" s="167" t="s">
        <v>70</v>
      </c>
      <c r="BM557" s="167" t="s">
        <v>70</v>
      </c>
      <c r="BN557" s="167" t="s">
        <v>70</v>
      </c>
      <c r="BO557" s="167" t="s">
        <v>70</v>
      </c>
      <c r="BP557" s="167" t="s">
        <v>70</v>
      </c>
      <c r="BQ557" s="151" t="s">
        <v>208</v>
      </c>
    </row>
    <row r="558" spans="1:135" s="151" customFormat="1" ht="19.5" customHeight="1" x14ac:dyDescent="0.2">
      <c r="A558" s="117">
        <v>557</v>
      </c>
      <c r="B558" s="117" t="s">
        <v>735</v>
      </c>
      <c r="C558" s="117">
        <v>83099034</v>
      </c>
      <c r="D558" s="117" t="s">
        <v>212</v>
      </c>
      <c r="E558" s="117" t="s">
        <v>443</v>
      </c>
      <c r="F558" s="146" t="s">
        <v>256</v>
      </c>
      <c r="G558" s="124">
        <v>40976</v>
      </c>
      <c r="H558" s="89">
        <v>45828</v>
      </c>
      <c r="I558" s="89">
        <v>45828</v>
      </c>
      <c r="J558" s="162">
        <f>IF(I558="", "", DATE(YEAR(I558)+3, MONTH(I558), DAY(I558)))</f>
        <v>46924</v>
      </c>
      <c r="K558" s="89">
        <v>45827</v>
      </c>
      <c r="L558" s="89">
        <v>45827</v>
      </c>
      <c r="M558" s="163">
        <f t="shared" ref="M558:M567" si="41">IF(L558="", "", DATE(YEAR(L558)+3, MONTH(L558), DAY(L558)))</f>
        <v>46923</v>
      </c>
      <c r="N558" s="111">
        <v>45825</v>
      </c>
      <c r="O558" s="111">
        <v>45824</v>
      </c>
      <c r="P558" s="111">
        <v>45826</v>
      </c>
      <c r="Q558" s="167" t="s">
        <v>70</v>
      </c>
      <c r="R558" s="167" t="s">
        <v>70</v>
      </c>
      <c r="S558" s="167" t="s">
        <v>70</v>
      </c>
      <c r="T558" s="167" t="s">
        <v>70</v>
      </c>
      <c r="U558" s="167" t="s">
        <v>70</v>
      </c>
      <c r="V558" s="167" t="s">
        <v>70</v>
      </c>
      <c r="W558" s="167" t="s">
        <v>70</v>
      </c>
      <c r="X558" s="167" t="s">
        <v>70</v>
      </c>
      <c r="Y558" s="167" t="s">
        <v>70</v>
      </c>
      <c r="Z558" s="167" t="s">
        <v>70</v>
      </c>
      <c r="AA558" s="167" t="s">
        <v>70</v>
      </c>
      <c r="AB558" s="167" t="s">
        <v>70</v>
      </c>
      <c r="AC558" s="167" t="s">
        <v>70</v>
      </c>
      <c r="AD558" s="167" t="s">
        <v>70</v>
      </c>
      <c r="AE558" s="167" t="s">
        <v>70</v>
      </c>
      <c r="AF558" s="167" t="s">
        <v>70</v>
      </c>
      <c r="AG558" s="167" t="s">
        <v>70</v>
      </c>
      <c r="AH558" s="167" t="s">
        <v>70</v>
      </c>
      <c r="AI558" s="111">
        <v>45722</v>
      </c>
      <c r="AJ558" s="166" t="s">
        <v>69</v>
      </c>
      <c r="AK558" s="167" t="s">
        <v>70</v>
      </c>
      <c r="AL558" s="167" t="s">
        <v>70</v>
      </c>
      <c r="AM558" s="167"/>
      <c r="AN558" s="167" t="s">
        <v>70</v>
      </c>
      <c r="AO558" s="167" t="s">
        <v>70</v>
      </c>
      <c r="AP558" s="167" t="s">
        <v>70</v>
      </c>
      <c r="AQ558" s="167" t="s">
        <v>70</v>
      </c>
      <c r="AR558" s="168">
        <v>46055</v>
      </c>
      <c r="AS558" s="167" t="s">
        <v>70</v>
      </c>
      <c r="AT558" s="167" t="s">
        <v>70</v>
      </c>
      <c r="AU558" s="167" t="s">
        <v>70</v>
      </c>
      <c r="AV558" s="167" t="s">
        <v>70</v>
      </c>
      <c r="AW558" s="167" t="s">
        <v>70</v>
      </c>
      <c r="AX558" s="167" t="s">
        <v>70</v>
      </c>
      <c r="AY558" s="167" t="s">
        <v>70</v>
      </c>
      <c r="AZ558" s="167" t="s">
        <v>70</v>
      </c>
      <c r="BA558" s="167" t="s">
        <v>70</v>
      </c>
      <c r="BB558" s="167" t="s">
        <v>70</v>
      </c>
      <c r="BC558" s="167" t="s">
        <v>70</v>
      </c>
      <c r="BD558" s="167" t="s">
        <v>70</v>
      </c>
      <c r="BE558" s="167" t="s">
        <v>70</v>
      </c>
      <c r="BF558" s="167" t="s">
        <v>70</v>
      </c>
      <c r="BG558" s="167" t="s">
        <v>70</v>
      </c>
      <c r="BH558" s="167" t="s">
        <v>70</v>
      </c>
      <c r="BI558" s="167" t="s">
        <v>70</v>
      </c>
      <c r="BJ558" s="167" t="s">
        <v>70</v>
      </c>
      <c r="BK558" s="167" t="s">
        <v>70</v>
      </c>
      <c r="BL558" s="167" t="s">
        <v>70</v>
      </c>
      <c r="BM558" s="167" t="s">
        <v>70</v>
      </c>
      <c r="BN558" s="167" t="s">
        <v>70</v>
      </c>
      <c r="BO558" s="167" t="s">
        <v>70</v>
      </c>
      <c r="BP558" s="167" t="s">
        <v>70</v>
      </c>
      <c r="BQ558" s="151" t="s">
        <v>208</v>
      </c>
    </row>
    <row r="559" spans="1:135" s="151" customFormat="1" ht="19.5" customHeight="1" x14ac:dyDescent="0.2">
      <c r="A559" s="117">
        <v>558</v>
      </c>
      <c r="B559" s="117" t="s">
        <v>736</v>
      </c>
      <c r="C559" s="117">
        <v>148192</v>
      </c>
      <c r="D559" s="117" t="s">
        <v>212</v>
      </c>
      <c r="E559" s="117" t="s">
        <v>443</v>
      </c>
      <c r="F559" s="146" t="s">
        <v>256</v>
      </c>
      <c r="G559" s="124" t="s">
        <v>69</v>
      </c>
      <c r="H559" s="89">
        <v>45889</v>
      </c>
      <c r="I559" s="89">
        <v>45889</v>
      </c>
      <c r="J559" s="162">
        <f>IF(I559="", "", DATE(YEAR(I559)+3, MONTH(I559), DAY(I559)))</f>
        <v>46985</v>
      </c>
      <c r="K559" s="89">
        <v>45888</v>
      </c>
      <c r="L559" s="89">
        <v>45888</v>
      </c>
      <c r="M559" s="163">
        <f t="shared" si="41"/>
        <v>46984</v>
      </c>
      <c r="N559" s="111">
        <v>45891</v>
      </c>
      <c r="O559" s="111">
        <v>45890</v>
      </c>
      <c r="P559" s="111">
        <v>45887</v>
      </c>
      <c r="Q559" s="167" t="s">
        <v>70</v>
      </c>
      <c r="R559" s="167" t="s">
        <v>70</v>
      </c>
      <c r="S559" s="167" t="s">
        <v>70</v>
      </c>
      <c r="T559" s="167" t="s">
        <v>70</v>
      </c>
      <c r="U559" s="167" t="s">
        <v>70</v>
      </c>
      <c r="V559" s="167" t="s">
        <v>70</v>
      </c>
      <c r="W559" s="167" t="s">
        <v>70</v>
      </c>
      <c r="X559" s="167" t="s">
        <v>70</v>
      </c>
      <c r="Y559" s="167" t="s">
        <v>70</v>
      </c>
      <c r="Z559" s="167" t="s">
        <v>70</v>
      </c>
      <c r="AA559" s="167" t="s">
        <v>70</v>
      </c>
      <c r="AB559" s="167" t="s">
        <v>70</v>
      </c>
      <c r="AC559" s="167" t="s">
        <v>70</v>
      </c>
      <c r="AD559" s="167" t="s">
        <v>70</v>
      </c>
      <c r="AE559" s="167" t="s">
        <v>70</v>
      </c>
      <c r="AF559" s="167" t="s">
        <v>70</v>
      </c>
      <c r="AG559" s="167" t="s">
        <v>70</v>
      </c>
      <c r="AH559" s="167" t="s">
        <v>70</v>
      </c>
      <c r="AI559" s="111">
        <v>45727</v>
      </c>
      <c r="AJ559" s="166" t="s">
        <v>69</v>
      </c>
      <c r="AK559" s="167" t="s">
        <v>70</v>
      </c>
      <c r="AL559" s="167" t="s">
        <v>70</v>
      </c>
      <c r="AM559" s="167"/>
      <c r="AN559" s="167" t="s">
        <v>70</v>
      </c>
      <c r="AO559" s="167" t="s">
        <v>70</v>
      </c>
      <c r="AP559" s="167" t="s">
        <v>70</v>
      </c>
      <c r="AQ559" s="167" t="s">
        <v>70</v>
      </c>
      <c r="AR559" s="166" t="s">
        <v>69</v>
      </c>
      <c r="AS559" s="167" t="s">
        <v>70</v>
      </c>
      <c r="AT559" s="167" t="s">
        <v>70</v>
      </c>
      <c r="AU559" s="167" t="s">
        <v>70</v>
      </c>
      <c r="AV559" s="167" t="s">
        <v>70</v>
      </c>
      <c r="AW559" s="167" t="s">
        <v>70</v>
      </c>
      <c r="AX559" s="167" t="s">
        <v>70</v>
      </c>
      <c r="AY559" s="167" t="s">
        <v>70</v>
      </c>
      <c r="AZ559" s="167" t="s">
        <v>70</v>
      </c>
      <c r="BA559" s="167" t="s">
        <v>70</v>
      </c>
      <c r="BB559" s="167" t="s">
        <v>70</v>
      </c>
      <c r="BC559" s="167" t="s">
        <v>70</v>
      </c>
      <c r="BD559" s="167" t="s">
        <v>70</v>
      </c>
      <c r="BE559" s="167" t="s">
        <v>70</v>
      </c>
      <c r="BF559" s="167" t="s">
        <v>70</v>
      </c>
      <c r="BG559" s="167" t="s">
        <v>70</v>
      </c>
      <c r="BH559" s="167" t="s">
        <v>70</v>
      </c>
      <c r="BI559" s="167" t="s">
        <v>70</v>
      </c>
      <c r="BJ559" s="167" t="s">
        <v>70</v>
      </c>
      <c r="BK559" s="167" t="s">
        <v>70</v>
      </c>
      <c r="BL559" s="167" t="s">
        <v>70</v>
      </c>
      <c r="BM559" s="167" t="s">
        <v>70</v>
      </c>
      <c r="BN559" s="167" t="s">
        <v>70</v>
      </c>
      <c r="BO559" s="167" t="s">
        <v>70</v>
      </c>
      <c r="BP559" s="167" t="s">
        <v>70</v>
      </c>
      <c r="BQ559" s="151" t="s">
        <v>208</v>
      </c>
    </row>
    <row r="560" spans="1:135" s="151" customFormat="1" ht="19.5" customHeight="1" x14ac:dyDescent="0.2">
      <c r="A560" s="117">
        <v>559</v>
      </c>
      <c r="B560" s="117" t="s">
        <v>737</v>
      </c>
      <c r="C560" s="117">
        <v>148201</v>
      </c>
      <c r="D560" s="117" t="s">
        <v>212</v>
      </c>
      <c r="E560" s="117" t="s">
        <v>443</v>
      </c>
      <c r="F560" s="146" t="s">
        <v>256</v>
      </c>
      <c r="G560" s="124" t="s">
        <v>69</v>
      </c>
      <c r="H560" s="89">
        <v>45828</v>
      </c>
      <c r="I560" s="89">
        <v>45828</v>
      </c>
      <c r="J560" s="162">
        <f>IF(I560="", "", DATE(YEAR(I560)+3, MONTH(I560), DAY(I560)))</f>
        <v>46924</v>
      </c>
      <c r="K560" s="89">
        <v>45827</v>
      </c>
      <c r="L560" s="89">
        <v>45827</v>
      </c>
      <c r="M560" s="163">
        <f t="shared" si="41"/>
        <v>46923</v>
      </c>
      <c r="N560" s="111">
        <v>45825</v>
      </c>
      <c r="O560" s="111">
        <v>45824</v>
      </c>
      <c r="P560" s="111">
        <v>45826</v>
      </c>
      <c r="Q560" s="167" t="s">
        <v>70</v>
      </c>
      <c r="R560" s="167" t="s">
        <v>70</v>
      </c>
      <c r="S560" s="167" t="s">
        <v>70</v>
      </c>
      <c r="T560" s="167" t="s">
        <v>70</v>
      </c>
      <c r="U560" s="167" t="s">
        <v>70</v>
      </c>
      <c r="V560" s="167" t="s">
        <v>70</v>
      </c>
      <c r="W560" s="167" t="s">
        <v>70</v>
      </c>
      <c r="X560" s="167" t="s">
        <v>70</v>
      </c>
      <c r="Y560" s="167" t="s">
        <v>70</v>
      </c>
      <c r="Z560" s="167" t="s">
        <v>70</v>
      </c>
      <c r="AA560" s="167" t="s">
        <v>70</v>
      </c>
      <c r="AB560" s="167" t="s">
        <v>70</v>
      </c>
      <c r="AC560" s="167" t="s">
        <v>70</v>
      </c>
      <c r="AD560" s="167" t="s">
        <v>70</v>
      </c>
      <c r="AE560" s="167" t="s">
        <v>70</v>
      </c>
      <c r="AF560" s="167" t="s">
        <v>70</v>
      </c>
      <c r="AG560" s="167" t="s">
        <v>70</v>
      </c>
      <c r="AH560" s="167" t="s">
        <v>70</v>
      </c>
      <c r="AI560" s="111">
        <v>45722</v>
      </c>
      <c r="AJ560" s="166" t="s">
        <v>69</v>
      </c>
      <c r="AK560" s="167" t="s">
        <v>70</v>
      </c>
      <c r="AL560" s="167" t="s">
        <v>70</v>
      </c>
      <c r="AM560" s="167"/>
      <c r="AN560" s="167" t="s">
        <v>70</v>
      </c>
      <c r="AO560" s="167" t="s">
        <v>70</v>
      </c>
      <c r="AP560" s="167" t="s">
        <v>70</v>
      </c>
      <c r="AQ560" s="167" t="s">
        <v>70</v>
      </c>
      <c r="AR560" s="166" t="s">
        <v>69</v>
      </c>
      <c r="AS560" s="167" t="s">
        <v>70</v>
      </c>
      <c r="AT560" s="167" t="s">
        <v>70</v>
      </c>
      <c r="AU560" s="167" t="s">
        <v>70</v>
      </c>
      <c r="AV560" s="167" t="s">
        <v>70</v>
      </c>
      <c r="AW560" s="167" t="s">
        <v>70</v>
      </c>
      <c r="AX560" s="167" t="s">
        <v>70</v>
      </c>
      <c r="AY560" s="167" t="s">
        <v>70</v>
      </c>
      <c r="AZ560" s="167" t="s">
        <v>70</v>
      </c>
      <c r="BA560" s="167" t="s">
        <v>70</v>
      </c>
      <c r="BB560" s="167" t="s">
        <v>70</v>
      </c>
      <c r="BC560" s="167" t="s">
        <v>70</v>
      </c>
      <c r="BD560" s="167" t="s">
        <v>70</v>
      </c>
      <c r="BE560" s="167" t="s">
        <v>70</v>
      </c>
      <c r="BF560" s="167" t="s">
        <v>70</v>
      </c>
      <c r="BG560" s="167" t="s">
        <v>70</v>
      </c>
      <c r="BH560" s="167" t="s">
        <v>70</v>
      </c>
      <c r="BI560" s="167" t="s">
        <v>70</v>
      </c>
      <c r="BJ560" s="167" t="s">
        <v>70</v>
      </c>
      <c r="BK560" s="167" t="s">
        <v>70</v>
      </c>
      <c r="BL560" s="167" t="s">
        <v>70</v>
      </c>
      <c r="BM560" s="167" t="s">
        <v>70</v>
      </c>
      <c r="BN560" s="167" t="s">
        <v>70</v>
      </c>
      <c r="BO560" s="167" t="s">
        <v>70</v>
      </c>
      <c r="BP560" s="167" t="s">
        <v>70</v>
      </c>
      <c r="BQ560" s="151" t="s">
        <v>208</v>
      </c>
    </row>
    <row r="561" spans="1:69" s="151" customFormat="1" ht="19.5" customHeight="1" x14ac:dyDescent="0.2">
      <c r="A561" s="117">
        <v>560</v>
      </c>
      <c r="B561" s="117" t="s">
        <v>810</v>
      </c>
      <c r="C561" s="208">
        <v>162506</v>
      </c>
      <c r="D561" s="117" t="s">
        <v>212</v>
      </c>
      <c r="E561" s="117" t="s">
        <v>443</v>
      </c>
      <c r="F561" s="146" t="s">
        <v>256</v>
      </c>
      <c r="G561" s="124"/>
      <c r="H561" s="89">
        <v>45926</v>
      </c>
      <c r="I561" s="89">
        <v>45926</v>
      </c>
      <c r="J561" s="162">
        <f>IF(I561="", "", DATE(YEAR(I561)+3, MONTH(I561), DAY(I561)))</f>
        <v>47022</v>
      </c>
      <c r="K561" s="89">
        <v>45925</v>
      </c>
      <c r="L561" s="89">
        <v>45925</v>
      </c>
      <c r="M561" s="163">
        <f t="shared" si="41"/>
        <v>47021</v>
      </c>
      <c r="N561" s="111">
        <v>45924</v>
      </c>
      <c r="O561" s="111">
        <v>45923</v>
      </c>
      <c r="P561" s="111">
        <v>45922</v>
      </c>
      <c r="Q561" s="167" t="s">
        <v>70</v>
      </c>
      <c r="R561" s="167" t="s">
        <v>70</v>
      </c>
      <c r="S561" s="167" t="s">
        <v>70</v>
      </c>
      <c r="T561" s="167" t="s">
        <v>70</v>
      </c>
      <c r="U561" s="167" t="s">
        <v>70</v>
      </c>
      <c r="V561" s="167" t="s">
        <v>70</v>
      </c>
      <c r="W561" s="167" t="s">
        <v>70</v>
      </c>
      <c r="X561" s="167" t="s">
        <v>70</v>
      </c>
      <c r="Y561" s="167" t="s">
        <v>70</v>
      </c>
      <c r="Z561" s="167" t="s">
        <v>70</v>
      </c>
      <c r="AA561" s="167" t="s">
        <v>70</v>
      </c>
      <c r="AB561" s="167" t="s">
        <v>70</v>
      </c>
      <c r="AC561" s="167" t="s">
        <v>70</v>
      </c>
      <c r="AD561" s="167" t="s">
        <v>70</v>
      </c>
      <c r="AE561" s="167" t="s">
        <v>70</v>
      </c>
      <c r="AF561" s="167" t="s">
        <v>70</v>
      </c>
      <c r="AG561" s="167" t="s">
        <v>70</v>
      </c>
      <c r="AH561" s="167" t="s">
        <v>70</v>
      </c>
      <c r="AI561" s="111">
        <v>45764</v>
      </c>
      <c r="AJ561" s="166" t="s">
        <v>69</v>
      </c>
      <c r="AK561" s="167" t="s">
        <v>70</v>
      </c>
      <c r="AL561" s="167" t="s">
        <v>70</v>
      </c>
      <c r="AM561" s="167"/>
      <c r="AN561" s="167" t="s">
        <v>70</v>
      </c>
      <c r="AO561" s="167" t="s">
        <v>70</v>
      </c>
      <c r="AP561" s="167" t="s">
        <v>70</v>
      </c>
      <c r="AQ561" s="167" t="s">
        <v>70</v>
      </c>
      <c r="AR561" s="166" t="s">
        <v>69</v>
      </c>
      <c r="AS561" s="167" t="s">
        <v>70</v>
      </c>
      <c r="AT561" s="167" t="s">
        <v>70</v>
      </c>
      <c r="AU561" s="167" t="s">
        <v>70</v>
      </c>
      <c r="AV561" s="167" t="s">
        <v>70</v>
      </c>
      <c r="AW561" s="167" t="s">
        <v>70</v>
      </c>
      <c r="AX561" s="167" t="s">
        <v>70</v>
      </c>
      <c r="AY561" s="167" t="s">
        <v>70</v>
      </c>
      <c r="AZ561" s="167" t="s">
        <v>70</v>
      </c>
      <c r="BA561" s="167" t="s">
        <v>70</v>
      </c>
      <c r="BB561" s="167" t="s">
        <v>70</v>
      </c>
      <c r="BC561" s="167" t="s">
        <v>70</v>
      </c>
      <c r="BD561" s="167" t="s">
        <v>70</v>
      </c>
      <c r="BE561" s="167" t="s">
        <v>70</v>
      </c>
      <c r="BF561" s="167" t="s">
        <v>70</v>
      </c>
      <c r="BG561" s="167" t="s">
        <v>70</v>
      </c>
      <c r="BH561" s="167" t="s">
        <v>70</v>
      </c>
      <c r="BI561" s="167" t="s">
        <v>70</v>
      </c>
      <c r="BJ561" s="167" t="s">
        <v>70</v>
      </c>
      <c r="BK561" s="167" t="s">
        <v>70</v>
      </c>
      <c r="BL561" s="167" t="s">
        <v>70</v>
      </c>
      <c r="BM561" s="167" t="s">
        <v>70</v>
      </c>
      <c r="BN561" s="167" t="s">
        <v>70</v>
      </c>
      <c r="BO561" s="167" t="s">
        <v>70</v>
      </c>
      <c r="BP561" s="167" t="s">
        <v>70</v>
      </c>
      <c r="BQ561" s="151" t="s">
        <v>208</v>
      </c>
    </row>
    <row r="562" spans="1:69" s="151" customFormat="1" ht="19.5" customHeight="1" x14ac:dyDescent="0.2">
      <c r="A562" s="117">
        <v>561</v>
      </c>
      <c r="B562" s="188" t="s">
        <v>444</v>
      </c>
      <c r="C562" s="189">
        <v>83117277</v>
      </c>
      <c r="D562" s="171" t="s">
        <v>445</v>
      </c>
      <c r="E562" s="117" t="s">
        <v>443</v>
      </c>
      <c r="F562" s="146" t="s">
        <v>256</v>
      </c>
      <c r="G562" s="124" t="s">
        <v>69</v>
      </c>
      <c r="H562" s="93"/>
      <c r="I562" s="93"/>
      <c r="J562" s="92" t="str">
        <f>IF(I562="", "", DATE(YEAR(I562)+3, MONTH(I562), DAY(L562)))</f>
        <v/>
      </c>
      <c r="K562" s="93"/>
      <c r="L562" s="93"/>
      <c r="M562" s="140" t="str">
        <f t="shared" si="41"/>
        <v/>
      </c>
      <c r="N562" s="93"/>
      <c r="O562" s="93"/>
      <c r="P562" s="93"/>
      <c r="Q562" s="167" t="s">
        <v>70</v>
      </c>
      <c r="R562" s="167" t="s">
        <v>70</v>
      </c>
      <c r="S562" s="167" t="s">
        <v>70</v>
      </c>
      <c r="T562" s="167" t="s">
        <v>70</v>
      </c>
      <c r="U562" s="167" t="s">
        <v>70</v>
      </c>
      <c r="V562" s="167" t="s">
        <v>70</v>
      </c>
      <c r="W562" s="167" t="s">
        <v>70</v>
      </c>
      <c r="X562" s="167" t="s">
        <v>70</v>
      </c>
      <c r="Y562" s="167" t="s">
        <v>70</v>
      </c>
      <c r="Z562" s="167" t="s">
        <v>70</v>
      </c>
      <c r="AA562" s="167" t="s">
        <v>70</v>
      </c>
      <c r="AB562" s="167" t="s">
        <v>70</v>
      </c>
      <c r="AC562" s="167" t="s">
        <v>70</v>
      </c>
      <c r="AD562" s="167" t="s">
        <v>70</v>
      </c>
      <c r="AE562" s="167" t="s">
        <v>70</v>
      </c>
      <c r="AF562" s="167" t="s">
        <v>70</v>
      </c>
      <c r="AG562" s="167" t="s">
        <v>70</v>
      </c>
      <c r="AH562" s="167" t="s">
        <v>70</v>
      </c>
      <c r="AI562" s="111">
        <v>45946</v>
      </c>
      <c r="AJ562" s="166" t="s">
        <v>69</v>
      </c>
      <c r="AK562" s="167" t="s">
        <v>70</v>
      </c>
      <c r="AL562" s="167" t="s">
        <v>70</v>
      </c>
      <c r="AM562" s="167"/>
      <c r="AN562" s="167" t="s">
        <v>70</v>
      </c>
      <c r="AO562" s="167" t="s">
        <v>70</v>
      </c>
      <c r="AP562" s="167" t="s">
        <v>70</v>
      </c>
      <c r="AQ562" s="167" t="s">
        <v>70</v>
      </c>
      <c r="AR562" s="166" t="s">
        <v>69</v>
      </c>
      <c r="AS562" s="167" t="s">
        <v>70</v>
      </c>
      <c r="AT562" s="167" t="s">
        <v>70</v>
      </c>
      <c r="AU562" s="167" t="s">
        <v>70</v>
      </c>
      <c r="AV562" s="167" t="s">
        <v>70</v>
      </c>
      <c r="AW562" s="167" t="s">
        <v>70</v>
      </c>
      <c r="AX562" s="167" t="s">
        <v>70</v>
      </c>
      <c r="AY562" s="167" t="s">
        <v>70</v>
      </c>
      <c r="AZ562" s="167" t="s">
        <v>70</v>
      </c>
      <c r="BA562" s="167" t="s">
        <v>70</v>
      </c>
      <c r="BB562" s="167" t="s">
        <v>70</v>
      </c>
      <c r="BC562" s="167" t="s">
        <v>70</v>
      </c>
      <c r="BD562" s="167" t="s">
        <v>70</v>
      </c>
      <c r="BE562" s="167" t="s">
        <v>70</v>
      </c>
      <c r="BF562" s="167" t="s">
        <v>70</v>
      </c>
      <c r="BG562" s="167" t="s">
        <v>70</v>
      </c>
      <c r="BH562" s="167" t="s">
        <v>70</v>
      </c>
      <c r="BI562" s="167" t="s">
        <v>70</v>
      </c>
      <c r="BJ562" s="167" t="s">
        <v>70</v>
      </c>
      <c r="BK562" s="167" t="s">
        <v>70</v>
      </c>
      <c r="BL562" s="167" t="s">
        <v>70</v>
      </c>
      <c r="BM562" s="167" t="s">
        <v>70</v>
      </c>
      <c r="BN562" s="167" t="s">
        <v>70</v>
      </c>
      <c r="BO562" s="167" t="s">
        <v>70</v>
      </c>
      <c r="BP562" s="167" t="s">
        <v>70</v>
      </c>
      <c r="BQ562" s="151" t="s">
        <v>256</v>
      </c>
    </row>
    <row r="563" spans="1:69" s="151" customFormat="1" ht="19.5" customHeight="1" x14ac:dyDescent="0.2">
      <c r="A563" s="117">
        <v>562</v>
      </c>
      <c r="B563" s="121" t="s">
        <v>446</v>
      </c>
      <c r="C563" s="122">
        <v>83117271</v>
      </c>
      <c r="D563" s="117" t="s">
        <v>212</v>
      </c>
      <c r="E563" s="117" t="s">
        <v>443</v>
      </c>
      <c r="F563" s="146" t="s">
        <v>256</v>
      </c>
      <c r="G563" s="124" t="s">
        <v>69</v>
      </c>
      <c r="H563" s="93">
        <v>46199</v>
      </c>
      <c r="I563" s="93">
        <v>46199</v>
      </c>
      <c r="J563" s="92">
        <f>IF(I563="", "", DATE(YEAR(I563)+3, MONTH(I563), DAY(I563)))</f>
        <v>47295</v>
      </c>
      <c r="K563" s="93">
        <v>46198</v>
      </c>
      <c r="L563" s="93">
        <v>46198</v>
      </c>
      <c r="M563" s="140">
        <f t="shared" si="41"/>
        <v>47294</v>
      </c>
      <c r="N563" s="190">
        <v>46195</v>
      </c>
      <c r="O563" s="93">
        <v>46196</v>
      </c>
      <c r="P563" s="93">
        <v>46197</v>
      </c>
      <c r="Q563" s="167" t="s">
        <v>70</v>
      </c>
      <c r="R563" s="167" t="s">
        <v>70</v>
      </c>
      <c r="S563" s="167" t="s">
        <v>70</v>
      </c>
      <c r="T563" s="167" t="s">
        <v>70</v>
      </c>
      <c r="U563" s="167" t="s">
        <v>70</v>
      </c>
      <c r="V563" s="167" t="s">
        <v>70</v>
      </c>
      <c r="W563" s="167" t="s">
        <v>70</v>
      </c>
      <c r="X563" s="167" t="s">
        <v>70</v>
      </c>
      <c r="Y563" s="167" t="s">
        <v>70</v>
      </c>
      <c r="Z563" s="167" t="s">
        <v>70</v>
      </c>
      <c r="AA563" s="167" t="s">
        <v>70</v>
      </c>
      <c r="AB563" s="167" t="s">
        <v>70</v>
      </c>
      <c r="AC563" s="167" t="s">
        <v>70</v>
      </c>
      <c r="AD563" s="167" t="s">
        <v>70</v>
      </c>
      <c r="AE563" s="167" t="s">
        <v>70</v>
      </c>
      <c r="AF563" s="167" t="s">
        <v>70</v>
      </c>
      <c r="AG563" s="167" t="s">
        <v>70</v>
      </c>
      <c r="AH563" s="167" t="s">
        <v>70</v>
      </c>
      <c r="AI563" s="181">
        <v>45813</v>
      </c>
      <c r="AJ563" s="166" t="s">
        <v>69</v>
      </c>
      <c r="AK563" s="167" t="s">
        <v>70</v>
      </c>
      <c r="AL563" s="167" t="s">
        <v>70</v>
      </c>
      <c r="AM563" s="167"/>
      <c r="AN563" s="167" t="s">
        <v>70</v>
      </c>
      <c r="AO563" s="167" t="s">
        <v>70</v>
      </c>
      <c r="AP563" s="167" t="s">
        <v>70</v>
      </c>
      <c r="AQ563" s="167" t="s">
        <v>70</v>
      </c>
      <c r="AR563" s="166" t="s">
        <v>69</v>
      </c>
      <c r="AS563" s="167" t="s">
        <v>70</v>
      </c>
      <c r="AT563" s="167" t="s">
        <v>70</v>
      </c>
      <c r="AU563" s="167" t="s">
        <v>70</v>
      </c>
      <c r="AV563" s="167" t="s">
        <v>70</v>
      </c>
      <c r="AW563" s="167" t="s">
        <v>70</v>
      </c>
      <c r="AX563" s="167" t="s">
        <v>70</v>
      </c>
      <c r="AY563" s="167" t="s">
        <v>70</v>
      </c>
      <c r="AZ563" s="167" t="s">
        <v>70</v>
      </c>
      <c r="BA563" s="167" t="s">
        <v>70</v>
      </c>
      <c r="BB563" s="167" t="s">
        <v>70</v>
      </c>
      <c r="BC563" s="167" t="s">
        <v>70</v>
      </c>
      <c r="BD563" s="167" t="s">
        <v>70</v>
      </c>
      <c r="BE563" s="167" t="s">
        <v>70</v>
      </c>
      <c r="BF563" s="167" t="s">
        <v>70</v>
      </c>
      <c r="BG563" s="167" t="s">
        <v>70</v>
      </c>
      <c r="BH563" s="167" t="s">
        <v>70</v>
      </c>
      <c r="BI563" s="167" t="s">
        <v>70</v>
      </c>
      <c r="BJ563" s="167" t="s">
        <v>70</v>
      </c>
      <c r="BK563" s="167" t="s">
        <v>70</v>
      </c>
      <c r="BL563" s="167" t="s">
        <v>70</v>
      </c>
      <c r="BM563" s="167" t="s">
        <v>70</v>
      </c>
      <c r="BN563" s="167" t="s">
        <v>70</v>
      </c>
      <c r="BO563" s="167" t="s">
        <v>70</v>
      </c>
      <c r="BP563" s="167" t="s">
        <v>70</v>
      </c>
      <c r="BQ563" s="151" t="s">
        <v>256</v>
      </c>
    </row>
    <row r="564" spans="1:69" s="151" customFormat="1" ht="19.5" customHeight="1" x14ac:dyDescent="0.2">
      <c r="A564" s="117">
        <v>563</v>
      </c>
      <c r="B564" s="121" t="s">
        <v>447</v>
      </c>
      <c r="C564" s="122">
        <v>83117268</v>
      </c>
      <c r="D564" s="117" t="s">
        <v>212</v>
      </c>
      <c r="E564" s="117" t="s">
        <v>443</v>
      </c>
      <c r="F564" s="146" t="s">
        <v>256</v>
      </c>
      <c r="G564" s="124" t="s">
        <v>69</v>
      </c>
      <c r="H564" s="93">
        <v>46199</v>
      </c>
      <c r="I564" s="93">
        <v>46199</v>
      </c>
      <c r="J564" s="92">
        <f>IF(I564="", "", DATE(YEAR(I564)+3, MONTH(I564), DAY(I564)))</f>
        <v>47295</v>
      </c>
      <c r="K564" s="93">
        <v>46198</v>
      </c>
      <c r="L564" s="93">
        <v>46198</v>
      </c>
      <c r="M564" s="140">
        <f t="shared" si="41"/>
        <v>47294</v>
      </c>
      <c r="N564" s="190">
        <v>46195</v>
      </c>
      <c r="O564" s="93">
        <v>46196</v>
      </c>
      <c r="P564" s="93">
        <v>46197</v>
      </c>
      <c r="Q564" s="167" t="s">
        <v>70</v>
      </c>
      <c r="R564" s="167" t="s">
        <v>70</v>
      </c>
      <c r="S564" s="167" t="s">
        <v>70</v>
      </c>
      <c r="T564" s="167" t="s">
        <v>70</v>
      </c>
      <c r="U564" s="167" t="s">
        <v>70</v>
      </c>
      <c r="V564" s="167" t="s">
        <v>70</v>
      </c>
      <c r="W564" s="167" t="s">
        <v>70</v>
      </c>
      <c r="X564" s="167" t="s">
        <v>70</v>
      </c>
      <c r="Y564" s="167" t="s">
        <v>70</v>
      </c>
      <c r="Z564" s="167" t="s">
        <v>70</v>
      </c>
      <c r="AA564" s="167" t="s">
        <v>70</v>
      </c>
      <c r="AB564" s="167" t="s">
        <v>70</v>
      </c>
      <c r="AC564" s="167" t="s">
        <v>70</v>
      </c>
      <c r="AD564" s="167" t="s">
        <v>70</v>
      </c>
      <c r="AE564" s="167" t="s">
        <v>70</v>
      </c>
      <c r="AF564" s="167" t="s">
        <v>70</v>
      </c>
      <c r="AG564" s="167" t="s">
        <v>70</v>
      </c>
      <c r="AH564" s="167" t="s">
        <v>70</v>
      </c>
      <c r="AI564" s="181">
        <v>45813</v>
      </c>
      <c r="AJ564" s="166" t="s">
        <v>69</v>
      </c>
      <c r="AK564" s="167" t="s">
        <v>70</v>
      </c>
      <c r="AL564" s="167" t="s">
        <v>70</v>
      </c>
      <c r="AM564" s="167"/>
      <c r="AN564" s="167" t="s">
        <v>70</v>
      </c>
      <c r="AO564" s="167" t="s">
        <v>70</v>
      </c>
      <c r="AP564" s="167" t="s">
        <v>70</v>
      </c>
      <c r="AQ564" s="167" t="s">
        <v>70</v>
      </c>
      <c r="AR564" s="166" t="s">
        <v>69</v>
      </c>
      <c r="AS564" s="167" t="s">
        <v>70</v>
      </c>
      <c r="AT564" s="167" t="s">
        <v>70</v>
      </c>
      <c r="AU564" s="167" t="s">
        <v>70</v>
      </c>
      <c r="AV564" s="167" t="s">
        <v>70</v>
      </c>
      <c r="AW564" s="167" t="s">
        <v>70</v>
      </c>
      <c r="AX564" s="167" t="s">
        <v>70</v>
      </c>
      <c r="AY564" s="167" t="s">
        <v>70</v>
      </c>
      <c r="AZ564" s="167" t="s">
        <v>70</v>
      </c>
      <c r="BA564" s="167" t="s">
        <v>70</v>
      </c>
      <c r="BB564" s="167" t="s">
        <v>70</v>
      </c>
      <c r="BC564" s="167" t="s">
        <v>70</v>
      </c>
      <c r="BD564" s="167" t="s">
        <v>70</v>
      </c>
      <c r="BE564" s="167" t="s">
        <v>70</v>
      </c>
      <c r="BF564" s="167" t="s">
        <v>70</v>
      </c>
      <c r="BG564" s="167" t="s">
        <v>70</v>
      </c>
      <c r="BH564" s="167" t="s">
        <v>70</v>
      </c>
      <c r="BI564" s="167" t="s">
        <v>70</v>
      </c>
      <c r="BJ564" s="167" t="s">
        <v>70</v>
      </c>
      <c r="BK564" s="167" t="s">
        <v>70</v>
      </c>
      <c r="BL564" s="167" t="s">
        <v>70</v>
      </c>
      <c r="BM564" s="167" t="s">
        <v>70</v>
      </c>
      <c r="BN564" s="167" t="s">
        <v>70</v>
      </c>
      <c r="BO564" s="167" t="s">
        <v>70</v>
      </c>
      <c r="BP564" s="167" t="s">
        <v>70</v>
      </c>
      <c r="BQ564" s="151" t="s">
        <v>256</v>
      </c>
    </row>
    <row r="565" spans="1:69" s="151" customFormat="1" ht="19.5" customHeight="1" x14ac:dyDescent="0.2">
      <c r="A565" s="117">
        <v>564</v>
      </c>
      <c r="B565" s="121" t="s">
        <v>448</v>
      </c>
      <c r="C565" s="122">
        <v>148196</v>
      </c>
      <c r="D565" s="117" t="s">
        <v>212</v>
      </c>
      <c r="E565" s="117" t="s">
        <v>443</v>
      </c>
      <c r="F565" s="146" t="s">
        <v>256</v>
      </c>
      <c r="G565" s="124" t="s">
        <v>69</v>
      </c>
      <c r="H565" s="93">
        <v>46227</v>
      </c>
      <c r="I565" s="93">
        <v>46227</v>
      </c>
      <c r="J565" s="92">
        <f>IF(I565="", "", DATE(YEAR(I565)+3, MONTH(I565), DAY(L565)))</f>
        <v>47322</v>
      </c>
      <c r="K565" s="93">
        <v>46226</v>
      </c>
      <c r="L565" s="93">
        <v>46226</v>
      </c>
      <c r="M565" s="140">
        <f t="shared" si="41"/>
        <v>47322</v>
      </c>
      <c r="N565" s="93">
        <v>46223</v>
      </c>
      <c r="O565" s="93">
        <v>46224</v>
      </c>
      <c r="P565" s="93">
        <v>46225</v>
      </c>
      <c r="Q565" s="167" t="s">
        <v>70</v>
      </c>
      <c r="R565" s="167" t="s">
        <v>70</v>
      </c>
      <c r="S565" s="167" t="s">
        <v>70</v>
      </c>
      <c r="T565" s="167" t="s">
        <v>70</v>
      </c>
      <c r="U565" s="167" t="s">
        <v>70</v>
      </c>
      <c r="V565" s="167" t="s">
        <v>70</v>
      </c>
      <c r="W565" s="167" t="s">
        <v>70</v>
      </c>
      <c r="X565" s="167" t="s">
        <v>70</v>
      </c>
      <c r="Y565" s="167" t="s">
        <v>70</v>
      </c>
      <c r="Z565" s="167" t="s">
        <v>70</v>
      </c>
      <c r="AA565" s="167" t="s">
        <v>70</v>
      </c>
      <c r="AB565" s="167" t="s">
        <v>70</v>
      </c>
      <c r="AC565" s="167" t="s">
        <v>70</v>
      </c>
      <c r="AD565" s="167" t="s">
        <v>70</v>
      </c>
      <c r="AE565" s="167" t="s">
        <v>70</v>
      </c>
      <c r="AF565" s="167" t="s">
        <v>70</v>
      </c>
      <c r="AG565" s="167" t="s">
        <v>70</v>
      </c>
      <c r="AH565" s="167" t="s">
        <v>70</v>
      </c>
      <c r="AI565" s="111">
        <v>45827</v>
      </c>
      <c r="AJ565" s="166" t="s">
        <v>69</v>
      </c>
      <c r="AK565" s="167" t="s">
        <v>70</v>
      </c>
      <c r="AL565" s="167" t="s">
        <v>70</v>
      </c>
      <c r="AM565" s="167"/>
      <c r="AN565" s="167" t="s">
        <v>70</v>
      </c>
      <c r="AO565" s="167" t="s">
        <v>70</v>
      </c>
      <c r="AP565" s="167" t="s">
        <v>70</v>
      </c>
      <c r="AQ565" s="167" t="s">
        <v>70</v>
      </c>
      <c r="AR565" s="166" t="s">
        <v>69</v>
      </c>
      <c r="AS565" s="167" t="s">
        <v>70</v>
      </c>
      <c r="AT565" s="167" t="s">
        <v>70</v>
      </c>
      <c r="AU565" s="167" t="s">
        <v>70</v>
      </c>
      <c r="AV565" s="167" t="s">
        <v>70</v>
      </c>
      <c r="AW565" s="167" t="s">
        <v>70</v>
      </c>
      <c r="AX565" s="167" t="s">
        <v>70</v>
      </c>
      <c r="AY565" s="167" t="s">
        <v>70</v>
      </c>
      <c r="AZ565" s="167" t="s">
        <v>70</v>
      </c>
      <c r="BA565" s="167" t="s">
        <v>70</v>
      </c>
      <c r="BB565" s="167" t="s">
        <v>70</v>
      </c>
      <c r="BC565" s="167" t="s">
        <v>70</v>
      </c>
      <c r="BD565" s="167" t="s">
        <v>70</v>
      </c>
      <c r="BE565" s="167" t="s">
        <v>70</v>
      </c>
      <c r="BF565" s="167" t="s">
        <v>70</v>
      </c>
      <c r="BG565" s="167" t="s">
        <v>70</v>
      </c>
      <c r="BH565" s="167" t="s">
        <v>70</v>
      </c>
      <c r="BI565" s="167" t="s">
        <v>70</v>
      </c>
      <c r="BJ565" s="167" t="s">
        <v>70</v>
      </c>
      <c r="BK565" s="167" t="s">
        <v>70</v>
      </c>
      <c r="BL565" s="167" t="s">
        <v>70</v>
      </c>
      <c r="BM565" s="167" t="s">
        <v>70</v>
      </c>
      <c r="BN565" s="167" t="s">
        <v>70</v>
      </c>
      <c r="BO565" s="167" t="s">
        <v>70</v>
      </c>
      <c r="BP565" s="167" t="s">
        <v>70</v>
      </c>
      <c r="BQ565" s="151" t="s">
        <v>256</v>
      </c>
    </row>
    <row r="566" spans="1:69" s="151" customFormat="1" ht="19.5" customHeight="1" x14ac:dyDescent="0.2">
      <c r="A566" s="117">
        <v>565</v>
      </c>
      <c r="B566" s="121" t="s">
        <v>449</v>
      </c>
      <c r="C566" s="122">
        <v>162507</v>
      </c>
      <c r="D566" s="117" t="s">
        <v>212</v>
      </c>
      <c r="E566" s="117" t="s">
        <v>443</v>
      </c>
      <c r="F566" s="146" t="s">
        <v>256</v>
      </c>
      <c r="G566" s="124" t="s">
        <v>69</v>
      </c>
      <c r="H566" s="93">
        <v>43131</v>
      </c>
      <c r="I566" s="93">
        <v>45926</v>
      </c>
      <c r="J566" s="92">
        <f>IF(I566="", "", DATE(YEAR(I566)+3, MONTH(I566), DAY(L566)))</f>
        <v>47021</v>
      </c>
      <c r="K566" s="93">
        <v>43164</v>
      </c>
      <c r="L566" s="229">
        <v>45925</v>
      </c>
      <c r="M566" s="140">
        <f t="shared" si="41"/>
        <v>47021</v>
      </c>
      <c r="N566" s="93">
        <v>45924</v>
      </c>
      <c r="O566" s="93">
        <v>45923</v>
      </c>
      <c r="P566" s="93">
        <v>45922</v>
      </c>
      <c r="Q566" s="167" t="s">
        <v>70</v>
      </c>
      <c r="R566" s="167" t="s">
        <v>70</v>
      </c>
      <c r="S566" s="167" t="s">
        <v>70</v>
      </c>
      <c r="T566" s="167" t="s">
        <v>70</v>
      </c>
      <c r="U566" s="167" t="s">
        <v>70</v>
      </c>
      <c r="V566" s="167" t="s">
        <v>70</v>
      </c>
      <c r="W566" s="167" t="s">
        <v>70</v>
      </c>
      <c r="X566" s="167" t="s">
        <v>70</v>
      </c>
      <c r="Y566" s="167" t="s">
        <v>70</v>
      </c>
      <c r="Z566" s="167" t="s">
        <v>70</v>
      </c>
      <c r="AA566" s="167" t="s">
        <v>70</v>
      </c>
      <c r="AB566" s="167" t="s">
        <v>70</v>
      </c>
      <c r="AC566" s="167" t="s">
        <v>70</v>
      </c>
      <c r="AD566" s="167" t="s">
        <v>70</v>
      </c>
      <c r="AE566" s="167" t="s">
        <v>70</v>
      </c>
      <c r="AF566" s="167" t="s">
        <v>70</v>
      </c>
      <c r="AG566" s="167" t="s">
        <v>70</v>
      </c>
      <c r="AH566" s="167" t="s">
        <v>70</v>
      </c>
      <c r="AI566" s="111">
        <v>45764</v>
      </c>
      <c r="AJ566" s="166" t="s">
        <v>69</v>
      </c>
      <c r="AK566" s="167" t="s">
        <v>70</v>
      </c>
      <c r="AL566" s="167" t="s">
        <v>70</v>
      </c>
      <c r="AM566" s="167"/>
      <c r="AN566" s="167" t="s">
        <v>70</v>
      </c>
      <c r="AO566" s="167" t="s">
        <v>70</v>
      </c>
      <c r="AP566" s="167" t="s">
        <v>70</v>
      </c>
      <c r="AQ566" s="167" t="s">
        <v>70</v>
      </c>
      <c r="AR566" s="166" t="s">
        <v>69</v>
      </c>
      <c r="AS566" s="167" t="s">
        <v>70</v>
      </c>
      <c r="AT566" s="167" t="s">
        <v>70</v>
      </c>
      <c r="AU566" s="167" t="s">
        <v>70</v>
      </c>
      <c r="AV566" s="167" t="s">
        <v>70</v>
      </c>
      <c r="AW566" s="167" t="s">
        <v>70</v>
      </c>
      <c r="AX566" s="167" t="s">
        <v>70</v>
      </c>
      <c r="AY566" s="167" t="s">
        <v>70</v>
      </c>
      <c r="AZ566" s="167" t="s">
        <v>70</v>
      </c>
      <c r="BA566" s="167" t="s">
        <v>70</v>
      </c>
      <c r="BB566" s="167" t="s">
        <v>70</v>
      </c>
      <c r="BC566" s="167" t="s">
        <v>70</v>
      </c>
      <c r="BD566" s="167" t="s">
        <v>70</v>
      </c>
      <c r="BE566" s="167" t="s">
        <v>70</v>
      </c>
      <c r="BF566" s="167" t="s">
        <v>70</v>
      </c>
      <c r="BG566" s="167" t="s">
        <v>70</v>
      </c>
      <c r="BH566" s="167" t="s">
        <v>70</v>
      </c>
      <c r="BI566" s="167" t="s">
        <v>70</v>
      </c>
      <c r="BJ566" s="167" t="s">
        <v>70</v>
      </c>
      <c r="BK566" s="167" t="s">
        <v>70</v>
      </c>
      <c r="BL566" s="167" t="s">
        <v>70</v>
      </c>
      <c r="BM566" s="167" t="s">
        <v>70</v>
      </c>
      <c r="BN566" s="167" t="s">
        <v>70</v>
      </c>
      <c r="BO566" s="167" t="s">
        <v>70</v>
      </c>
      <c r="BP566" s="167" t="s">
        <v>70</v>
      </c>
      <c r="BQ566" s="151" t="s">
        <v>256</v>
      </c>
    </row>
    <row r="567" spans="1:69" s="151" customFormat="1" ht="19.5" customHeight="1" x14ac:dyDescent="0.2">
      <c r="A567" s="117">
        <v>566</v>
      </c>
      <c r="B567" s="121" t="s">
        <v>450</v>
      </c>
      <c r="C567" s="122">
        <v>162513</v>
      </c>
      <c r="D567" s="117" t="s">
        <v>212</v>
      </c>
      <c r="E567" s="117" t="s">
        <v>443</v>
      </c>
      <c r="F567" s="146" t="s">
        <v>256</v>
      </c>
      <c r="G567" s="124" t="s">
        <v>69</v>
      </c>
      <c r="H567" s="93">
        <v>43138</v>
      </c>
      <c r="I567" s="93">
        <v>45828</v>
      </c>
      <c r="J567" s="92">
        <f>IF(I567="", "", DATE(YEAR(I567)+3, MONTH(I567), DAY(L567)))</f>
        <v>46923</v>
      </c>
      <c r="K567" s="93">
        <v>43164</v>
      </c>
      <c r="L567" s="93">
        <v>45827</v>
      </c>
      <c r="M567" s="140">
        <f t="shared" si="41"/>
        <v>46923</v>
      </c>
      <c r="N567" s="93">
        <v>45825</v>
      </c>
      <c r="O567" s="93">
        <v>45824</v>
      </c>
      <c r="P567" s="93">
        <v>45826</v>
      </c>
      <c r="Q567" s="167" t="s">
        <v>70</v>
      </c>
      <c r="R567" s="167" t="s">
        <v>70</v>
      </c>
      <c r="S567" s="167" t="s">
        <v>70</v>
      </c>
      <c r="T567" s="167" t="s">
        <v>70</v>
      </c>
      <c r="U567" s="167" t="s">
        <v>70</v>
      </c>
      <c r="V567" s="167" t="s">
        <v>70</v>
      </c>
      <c r="W567" s="167" t="s">
        <v>70</v>
      </c>
      <c r="X567" s="167" t="s">
        <v>70</v>
      </c>
      <c r="Y567" s="167" t="s">
        <v>70</v>
      </c>
      <c r="Z567" s="167" t="s">
        <v>70</v>
      </c>
      <c r="AA567" s="167" t="s">
        <v>70</v>
      </c>
      <c r="AB567" s="167" t="s">
        <v>70</v>
      </c>
      <c r="AC567" s="167" t="s">
        <v>70</v>
      </c>
      <c r="AD567" s="167" t="s">
        <v>70</v>
      </c>
      <c r="AE567" s="167" t="s">
        <v>70</v>
      </c>
      <c r="AF567" s="167" t="s">
        <v>70</v>
      </c>
      <c r="AG567" s="167" t="s">
        <v>70</v>
      </c>
      <c r="AH567" s="167" t="s">
        <v>70</v>
      </c>
      <c r="AI567" s="111">
        <v>45722</v>
      </c>
      <c r="AJ567" s="166" t="s">
        <v>69</v>
      </c>
      <c r="AK567" s="167" t="s">
        <v>70</v>
      </c>
      <c r="AL567" s="167" t="s">
        <v>70</v>
      </c>
      <c r="AM567" s="167"/>
      <c r="AN567" s="167" t="s">
        <v>70</v>
      </c>
      <c r="AO567" s="167" t="s">
        <v>70</v>
      </c>
      <c r="AP567" s="167" t="s">
        <v>70</v>
      </c>
      <c r="AQ567" s="167" t="s">
        <v>70</v>
      </c>
      <c r="AR567" s="166" t="s">
        <v>69</v>
      </c>
      <c r="AS567" s="167" t="s">
        <v>70</v>
      </c>
      <c r="AT567" s="167" t="s">
        <v>70</v>
      </c>
      <c r="AU567" s="167" t="s">
        <v>70</v>
      </c>
      <c r="AV567" s="167" t="s">
        <v>70</v>
      </c>
      <c r="AW567" s="167" t="s">
        <v>70</v>
      </c>
      <c r="AX567" s="167" t="s">
        <v>70</v>
      </c>
      <c r="AY567" s="167" t="s">
        <v>70</v>
      </c>
      <c r="AZ567" s="167" t="s">
        <v>70</v>
      </c>
      <c r="BA567" s="167" t="s">
        <v>70</v>
      </c>
      <c r="BB567" s="167" t="s">
        <v>70</v>
      </c>
      <c r="BC567" s="167" t="s">
        <v>70</v>
      </c>
      <c r="BD567" s="167" t="s">
        <v>70</v>
      </c>
      <c r="BE567" s="167" t="s">
        <v>70</v>
      </c>
      <c r="BF567" s="167" t="s">
        <v>70</v>
      </c>
      <c r="BG567" s="167" t="s">
        <v>70</v>
      </c>
      <c r="BH567" s="167" t="s">
        <v>70</v>
      </c>
      <c r="BI567" s="167" t="s">
        <v>70</v>
      </c>
      <c r="BJ567" s="167" t="s">
        <v>70</v>
      </c>
      <c r="BK567" s="167" t="s">
        <v>70</v>
      </c>
      <c r="BL567" s="167" t="s">
        <v>70</v>
      </c>
      <c r="BM567" s="167" t="s">
        <v>70</v>
      </c>
      <c r="BN567" s="167" t="s">
        <v>70</v>
      </c>
      <c r="BO567" s="167" t="s">
        <v>70</v>
      </c>
      <c r="BP567" s="167" t="s">
        <v>70</v>
      </c>
      <c r="BQ567" s="151" t="s">
        <v>256</v>
      </c>
    </row>
    <row r="568" spans="1:69" s="151" customFormat="1" ht="19.5" customHeight="1" x14ac:dyDescent="0.2">
      <c r="A568" s="117">
        <v>567</v>
      </c>
      <c r="B568" s="121" t="s">
        <v>451</v>
      </c>
      <c r="C568" s="122">
        <v>83117274</v>
      </c>
      <c r="D568" s="117" t="s">
        <v>212</v>
      </c>
      <c r="E568" s="117" t="s">
        <v>443</v>
      </c>
      <c r="F568" s="146" t="s">
        <v>256</v>
      </c>
      <c r="G568" s="124" t="s">
        <v>69</v>
      </c>
      <c r="H568" s="93"/>
      <c r="I568" s="93"/>
      <c r="J568" s="92"/>
      <c r="K568" s="93"/>
      <c r="L568" s="93"/>
      <c r="M568" s="140"/>
      <c r="N568" s="93"/>
      <c r="O568" s="93"/>
      <c r="P568" s="93"/>
      <c r="Q568" s="167" t="s">
        <v>70</v>
      </c>
      <c r="R568" s="167" t="s">
        <v>70</v>
      </c>
      <c r="S568" s="167" t="s">
        <v>70</v>
      </c>
      <c r="T568" s="167" t="s">
        <v>70</v>
      </c>
      <c r="U568" s="167" t="s">
        <v>70</v>
      </c>
      <c r="V568" s="167" t="s">
        <v>70</v>
      </c>
      <c r="W568" s="167" t="s">
        <v>70</v>
      </c>
      <c r="X568" s="167" t="s">
        <v>70</v>
      </c>
      <c r="Y568" s="167" t="s">
        <v>70</v>
      </c>
      <c r="Z568" s="167" t="s">
        <v>70</v>
      </c>
      <c r="AA568" s="167" t="s">
        <v>70</v>
      </c>
      <c r="AB568" s="167" t="s">
        <v>70</v>
      </c>
      <c r="AC568" s="167" t="s">
        <v>70</v>
      </c>
      <c r="AD568" s="167" t="s">
        <v>70</v>
      </c>
      <c r="AE568" s="167" t="s">
        <v>70</v>
      </c>
      <c r="AF568" s="167" t="s">
        <v>70</v>
      </c>
      <c r="AG568" s="167" t="s">
        <v>70</v>
      </c>
      <c r="AH568" s="167" t="s">
        <v>70</v>
      </c>
      <c r="AI568" s="181">
        <v>45855</v>
      </c>
      <c r="AJ568" s="166" t="s">
        <v>69</v>
      </c>
      <c r="AK568" s="167" t="s">
        <v>70</v>
      </c>
      <c r="AL568" s="167" t="s">
        <v>70</v>
      </c>
      <c r="AM568" s="167"/>
      <c r="AN568" s="167" t="s">
        <v>70</v>
      </c>
      <c r="AO568" s="167" t="s">
        <v>70</v>
      </c>
      <c r="AP568" s="167" t="s">
        <v>70</v>
      </c>
      <c r="AQ568" s="167" t="s">
        <v>70</v>
      </c>
      <c r="AR568" s="166" t="s">
        <v>69</v>
      </c>
      <c r="AS568" s="167" t="s">
        <v>70</v>
      </c>
      <c r="AT568" s="167" t="s">
        <v>70</v>
      </c>
      <c r="AU568" s="167" t="s">
        <v>70</v>
      </c>
      <c r="AV568" s="167" t="s">
        <v>70</v>
      </c>
      <c r="AW568" s="167" t="s">
        <v>70</v>
      </c>
      <c r="AX568" s="167" t="s">
        <v>70</v>
      </c>
      <c r="AY568" s="167" t="s">
        <v>70</v>
      </c>
      <c r="AZ568" s="167" t="s">
        <v>70</v>
      </c>
      <c r="BA568" s="167" t="s">
        <v>70</v>
      </c>
      <c r="BB568" s="167" t="s">
        <v>70</v>
      </c>
      <c r="BC568" s="167" t="s">
        <v>70</v>
      </c>
      <c r="BD568" s="167" t="s">
        <v>70</v>
      </c>
      <c r="BE568" s="167" t="s">
        <v>70</v>
      </c>
      <c r="BF568" s="167" t="s">
        <v>70</v>
      </c>
      <c r="BG568" s="167" t="s">
        <v>70</v>
      </c>
      <c r="BH568" s="167" t="s">
        <v>70</v>
      </c>
      <c r="BI568" s="167" t="s">
        <v>70</v>
      </c>
      <c r="BJ568" s="167" t="s">
        <v>70</v>
      </c>
      <c r="BK568" s="167" t="s">
        <v>70</v>
      </c>
      <c r="BL568" s="167" t="s">
        <v>70</v>
      </c>
      <c r="BM568" s="167" t="s">
        <v>70</v>
      </c>
      <c r="BN568" s="167" t="s">
        <v>70</v>
      </c>
      <c r="BO568" s="167" t="s">
        <v>70</v>
      </c>
      <c r="BP568" s="167" t="s">
        <v>70</v>
      </c>
      <c r="BQ568" s="151" t="s">
        <v>256</v>
      </c>
    </row>
    <row r="569" spans="1:69" s="151" customFormat="1" ht="19.5" customHeight="1" x14ac:dyDescent="0.2">
      <c r="A569" s="117">
        <v>568</v>
      </c>
      <c r="B569" s="121" t="s">
        <v>452</v>
      </c>
      <c r="C569" s="122">
        <v>162501</v>
      </c>
      <c r="D569" s="117" t="s">
        <v>212</v>
      </c>
      <c r="E569" s="117" t="s">
        <v>443</v>
      </c>
      <c r="F569" s="146" t="s">
        <v>256</v>
      </c>
      <c r="G569" s="124" t="s">
        <v>69</v>
      </c>
      <c r="H569" s="93">
        <v>43138</v>
      </c>
      <c r="I569" s="93">
        <v>45889</v>
      </c>
      <c r="J569" s="92">
        <f t="shared" ref="J569:J574" si="42">IF(I569="", "", DATE(YEAR(I569)+3, MONTH(I569), DAY(L569)))</f>
        <v>46984</v>
      </c>
      <c r="K569" s="93">
        <v>43164</v>
      </c>
      <c r="L569" s="93">
        <v>46253</v>
      </c>
      <c r="M569" s="140">
        <f t="shared" ref="M569:M592" si="43">IF(L569="", "", DATE(YEAR(L569)+3, MONTH(L569), DAY(L569)))</f>
        <v>47349</v>
      </c>
      <c r="N569" s="93">
        <v>45891</v>
      </c>
      <c r="O569" s="93">
        <v>45890</v>
      </c>
      <c r="P569" s="93">
        <v>45887</v>
      </c>
      <c r="Q569" s="167" t="s">
        <v>70</v>
      </c>
      <c r="R569" s="167" t="s">
        <v>70</v>
      </c>
      <c r="S569" s="167" t="s">
        <v>70</v>
      </c>
      <c r="T569" s="167" t="s">
        <v>70</v>
      </c>
      <c r="U569" s="167" t="s">
        <v>70</v>
      </c>
      <c r="V569" s="167" t="s">
        <v>70</v>
      </c>
      <c r="W569" s="167" t="s">
        <v>70</v>
      </c>
      <c r="X569" s="167" t="s">
        <v>70</v>
      </c>
      <c r="Y569" s="167" t="s">
        <v>70</v>
      </c>
      <c r="Z569" s="167" t="s">
        <v>70</v>
      </c>
      <c r="AA569" s="167" t="s">
        <v>70</v>
      </c>
      <c r="AB569" s="167" t="s">
        <v>70</v>
      </c>
      <c r="AC569" s="167" t="s">
        <v>70</v>
      </c>
      <c r="AD569" s="167" t="s">
        <v>70</v>
      </c>
      <c r="AE569" s="167" t="s">
        <v>70</v>
      </c>
      <c r="AF569" s="167" t="s">
        <v>70</v>
      </c>
      <c r="AG569" s="167" t="s">
        <v>70</v>
      </c>
      <c r="AH569" s="167" t="s">
        <v>70</v>
      </c>
      <c r="AI569" s="111">
        <v>45727</v>
      </c>
      <c r="AJ569" s="166" t="s">
        <v>69</v>
      </c>
      <c r="AK569" s="167" t="s">
        <v>70</v>
      </c>
      <c r="AL569" s="167" t="s">
        <v>70</v>
      </c>
      <c r="AM569" s="167"/>
      <c r="AN569" s="167" t="s">
        <v>70</v>
      </c>
      <c r="AO569" s="167" t="s">
        <v>70</v>
      </c>
      <c r="AP569" s="167" t="s">
        <v>70</v>
      </c>
      <c r="AQ569" s="167" t="s">
        <v>70</v>
      </c>
      <c r="AR569" s="166" t="s">
        <v>69</v>
      </c>
      <c r="AS569" s="167" t="s">
        <v>70</v>
      </c>
      <c r="AT569" s="167" t="s">
        <v>70</v>
      </c>
      <c r="AU569" s="167" t="s">
        <v>70</v>
      </c>
      <c r="AV569" s="167" t="s">
        <v>70</v>
      </c>
      <c r="AW569" s="167" t="s">
        <v>70</v>
      </c>
      <c r="AX569" s="167" t="s">
        <v>70</v>
      </c>
      <c r="AY569" s="167" t="s">
        <v>70</v>
      </c>
      <c r="AZ569" s="167" t="s">
        <v>70</v>
      </c>
      <c r="BA569" s="167" t="s">
        <v>70</v>
      </c>
      <c r="BB569" s="167" t="s">
        <v>70</v>
      </c>
      <c r="BC569" s="167" t="s">
        <v>70</v>
      </c>
      <c r="BD569" s="167" t="s">
        <v>70</v>
      </c>
      <c r="BE569" s="167" t="s">
        <v>70</v>
      </c>
      <c r="BF569" s="167" t="s">
        <v>70</v>
      </c>
      <c r="BG569" s="167" t="s">
        <v>70</v>
      </c>
      <c r="BH569" s="167" t="s">
        <v>70</v>
      </c>
      <c r="BI569" s="167" t="s">
        <v>70</v>
      </c>
      <c r="BJ569" s="167" t="s">
        <v>70</v>
      </c>
      <c r="BK569" s="167" t="s">
        <v>70</v>
      </c>
      <c r="BL569" s="167" t="s">
        <v>70</v>
      </c>
      <c r="BM569" s="167" t="s">
        <v>70</v>
      </c>
      <c r="BN569" s="167" t="s">
        <v>70</v>
      </c>
      <c r="BO569" s="167" t="s">
        <v>70</v>
      </c>
      <c r="BP569" s="167" t="s">
        <v>70</v>
      </c>
      <c r="BQ569" s="151" t="s">
        <v>256</v>
      </c>
    </row>
    <row r="570" spans="1:69" s="151" customFormat="1" ht="19.5" customHeight="1" x14ac:dyDescent="0.2">
      <c r="A570" s="117">
        <v>569</v>
      </c>
      <c r="B570" s="121" t="s">
        <v>453</v>
      </c>
      <c r="C570" s="122">
        <v>83117505</v>
      </c>
      <c r="D570" s="117" t="s">
        <v>212</v>
      </c>
      <c r="E570" s="117" t="s">
        <v>443</v>
      </c>
      <c r="F570" s="146" t="s">
        <v>256</v>
      </c>
      <c r="G570" s="124" t="s">
        <v>69</v>
      </c>
      <c r="H570" s="93">
        <v>42457</v>
      </c>
      <c r="I570" s="93">
        <v>46134</v>
      </c>
      <c r="J570" s="92">
        <f t="shared" si="42"/>
        <v>47229</v>
      </c>
      <c r="K570" s="93">
        <v>42457</v>
      </c>
      <c r="L570" s="93">
        <v>46133</v>
      </c>
      <c r="M570" s="140">
        <f t="shared" si="43"/>
        <v>47229</v>
      </c>
      <c r="N570" s="93">
        <v>46130</v>
      </c>
      <c r="O570" s="93">
        <v>46131</v>
      </c>
      <c r="P570" s="93">
        <v>46132</v>
      </c>
      <c r="Q570" s="167" t="s">
        <v>70</v>
      </c>
      <c r="R570" s="167" t="s">
        <v>70</v>
      </c>
      <c r="S570" s="167" t="s">
        <v>70</v>
      </c>
      <c r="T570" s="167" t="s">
        <v>70</v>
      </c>
      <c r="U570" s="167" t="s">
        <v>70</v>
      </c>
      <c r="V570" s="167" t="s">
        <v>70</v>
      </c>
      <c r="W570" s="167" t="s">
        <v>70</v>
      </c>
      <c r="X570" s="167" t="s">
        <v>70</v>
      </c>
      <c r="Y570" s="167" t="s">
        <v>70</v>
      </c>
      <c r="Z570" s="167" t="s">
        <v>70</v>
      </c>
      <c r="AA570" s="167" t="s">
        <v>70</v>
      </c>
      <c r="AB570" s="167" t="s">
        <v>70</v>
      </c>
      <c r="AC570" s="167" t="s">
        <v>70</v>
      </c>
      <c r="AD570" s="167" t="s">
        <v>70</v>
      </c>
      <c r="AE570" s="167" t="s">
        <v>70</v>
      </c>
      <c r="AF570" s="167" t="s">
        <v>70</v>
      </c>
      <c r="AG570" s="167" t="s">
        <v>70</v>
      </c>
      <c r="AH570" s="167" t="s">
        <v>70</v>
      </c>
      <c r="AI570" s="111">
        <v>45799</v>
      </c>
      <c r="AJ570" s="166" t="s">
        <v>69</v>
      </c>
      <c r="AK570" s="167" t="s">
        <v>70</v>
      </c>
      <c r="AL570" s="167" t="s">
        <v>70</v>
      </c>
      <c r="AM570" s="167"/>
      <c r="AN570" s="167" t="s">
        <v>70</v>
      </c>
      <c r="AO570" s="167" t="s">
        <v>70</v>
      </c>
      <c r="AP570" s="167" t="s">
        <v>70</v>
      </c>
      <c r="AQ570" s="167" t="s">
        <v>70</v>
      </c>
      <c r="AR570" s="166" t="s">
        <v>69</v>
      </c>
      <c r="AS570" s="167" t="s">
        <v>70</v>
      </c>
      <c r="AT570" s="167" t="s">
        <v>70</v>
      </c>
      <c r="AU570" s="167" t="s">
        <v>70</v>
      </c>
      <c r="AV570" s="167" t="s">
        <v>70</v>
      </c>
      <c r="AW570" s="167" t="s">
        <v>70</v>
      </c>
      <c r="AX570" s="167" t="s">
        <v>70</v>
      </c>
      <c r="AY570" s="167" t="s">
        <v>70</v>
      </c>
      <c r="AZ570" s="167" t="s">
        <v>70</v>
      </c>
      <c r="BA570" s="167" t="s">
        <v>70</v>
      </c>
      <c r="BB570" s="167" t="s">
        <v>70</v>
      </c>
      <c r="BC570" s="167" t="s">
        <v>70</v>
      </c>
      <c r="BD570" s="167" t="s">
        <v>70</v>
      </c>
      <c r="BE570" s="167" t="s">
        <v>70</v>
      </c>
      <c r="BF570" s="167" t="s">
        <v>70</v>
      </c>
      <c r="BG570" s="167" t="s">
        <v>70</v>
      </c>
      <c r="BH570" s="167" t="s">
        <v>70</v>
      </c>
      <c r="BI570" s="167" t="s">
        <v>70</v>
      </c>
      <c r="BJ570" s="167" t="s">
        <v>70</v>
      </c>
      <c r="BK570" s="167" t="s">
        <v>70</v>
      </c>
      <c r="BL570" s="167" t="s">
        <v>70</v>
      </c>
      <c r="BM570" s="167" t="s">
        <v>70</v>
      </c>
      <c r="BN570" s="167" t="s">
        <v>70</v>
      </c>
      <c r="BO570" s="167" t="s">
        <v>70</v>
      </c>
      <c r="BP570" s="167" t="s">
        <v>70</v>
      </c>
      <c r="BQ570" s="151" t="s">
        <v>256</v>
      </c>
    </row>
    <row r="571" spans="1:69" s="151" customFormat="1" ht="19.5" customHeight="1" x14ac:dyDescent="0.2">
      <c r="A571" s="117">
        <v>570</v>
      </c>
      <c r="B571" s="121" t="s">
        <v>454</v>
      </c>
      <c r="C571" s="122">
        <v>162489</v>
      </c>
      <c r="D571" s="117" t="s">
        <v>212</v>
      </c>
      <c r="E571" s="117" t="s">
        <v>443</v>
      </c>
      <c r="F571" s="146" t="s">
        <v>256</v>
      </c>
      <c r="G571" s="124" t="s">
        <v>69</v>
      </c>
      <c r="H571" s="93">
        <v>44906</v>
      </c>
      <c r="I571" s="93">
        <v>45926</v>
      </c>
      <c r="J571" s="92">
        <f t="shared" si="42"/>
        <v>47021</v>
      </c>
      <c r="K571" s="93">
        <v>43164</v>
      </c>
      <c r="L571" s="93">
        <v>45925</v>
      </c>
      <c r="M571" s="140">
        <f t="shared" si="43"/>
        <v>47021</v>
      </c>
      <c r="N571" s="93">
        <v>45924</v>
      </c>
      <c r="O571" s="93">
        <v>45923</v>
      </c>
      <c r="P571" s="93">
        <v>45922</v>
      </c>
      <c r="Q571" s="167" t="s">
        <v>70</v>
      </c>
      <c r="R571" s="167" t="s">
        <v>70</v>
      </c>
      <c r="S571" s="167" t="s">
        <v>70</v>
      </c>
      <c r="T571" s="167" t="s">
        <v>70</v>
      </c>
      <c r="U571" s="167" t="s">
        <v>70</v>
      </c>
      <c r="V571" s="167" t="s">
        <v>70</v>
      </c>
      <c r="W571" s="167" t="s">
        <v>70</v>
      </c>
      <c r="X571" s="167" t="s">
        <v>70</v>
      </c>
      <c r="Y571" s="167" t="s">
        <v>70</v>
      </c>
      <c r="Z571" s="167" t="s">
        <v>70</v>
      </c>
      <c r="AA571" s="167" t="s">
        <v>70</v>
      </c>
      <c r="AB571" s="167" t="s">
        <v>70</v>
      </c>
      <c r="AC571" s="167" t="s">
        <v>70</v>
      </c>
      <c r="AD571" s="167" t="s">
        <v>70</v>
      </c>
      <c r="AE571" s="167" t="s">
        <v>70</v>
      </c>
      <c r="AF571" s="167" t="s">
        <v>70</v>
      </c>
      <c r="AG571" s="167" t="s">
        <v>70</v>
      </c>
      <c r="AH571" s="167" t="s">
        <v>70</v>
      </c>
      <c r="AI571" s="111">
        <v>45764</v>
      </c>
      <c r="AJ571" s="166" t="s">
        <v>69</v>
      </c>
      <c r="AK571" s="167" t="s">
        <v>70</v>
      </c>
      <c r="AL571" s="167" t="s">
        <v>70</v>
      </c>
      <c r="AM571" s="167"/>
      <c r="AN571" s="167" t="s">
        <v>70</v>
      </c>
      <c r="AO571" s="167" t="s">
        <v>70</v>
      </c>
      <c r="AP571" s="167" t="s">
        <v>70</v>
      </c>
      <c r="AQ571" s="167" t="s">
        <v>70</v>
      </c>
      <c r="AR571" s="166" t="s">
        <v>69</v>
      </c>
      <c r="AS571" s="167" t="s">
        <v>70</v>
      </c>
      <c r="AT571" s="167" t="s">
        <v>70</v>
      </c>
      <c r="AU571" s="167" t="s">
        <v>70</v>
      </c>
      <c r="AV571" s="167" t="s">
        <v>70</v>
      </c>
      <c r="AW571" s="167" t="s">
        <v>70</v>
      </c>
      <c r="AX571" s="167" t="s">
        <v>70</v>
      </c>
      <c r="AY571" s="167" t="s">
        <v>70</v>
      </c>
      <c r="AZ571" s="167" t="s">
        <v>70</v>
      </c>
      <c r="BA571" s="167" t="s">
        <v>70</v>
      </c>
      <c r="BB571" s="167" t="s">
        <v>70</v>
      </c>
      <c r="BC571" s="167" t="s">
        <v>70</v>
      </c>
      <c r="BD571" s="167" t="s">
        <v>70</v>
      </c>
      <c r="BE571" s="167" t="s">
        <v>70</v>
      </c>
      <c r="BF571" s="167" t="s">
        <v>70</v>
      </c>
      <c r="BG571" s="167" t="s">
        <v>70</v>
      </c>
      <c r="BH571" s="167" t="s">
        <v>70</v>
      </c>
      <c r="BI571" s="167" t="s">
        <v>70</v>
      </c>
      <c r="BJ571" s="167" t="s">
        <v>70</v>
      </c>
      <c r="BK571" s="167" t="s">
        <v>70</v>
      </c>
      <c r="BL571" s="167" t="s">
        <v>70</v>
      </c>
      <c r="BM571" s="167" t="s">
        <v>70</v>
      </c>
      <c r="BN571" s="167" t="s">
        <v>70</v>
      </c>
      <c r="BO571" s="167" t="s">
        <v>70</v>
      </c>
      <c r="BP571" s="167" t="s">
        <v>70</v>
      </c>
      <c r="BQ571" s="151" t="s">
        <v>256</v>
      </c>
    </row>
    <row r="572" spans="1:69" s="151" customFormat="1" ht="19.5" customHeight="1" x14ac:dyDescent="0.2">
      <c r="A572" s="117">
        <v>571</v>
      </c>
      <c r="B572" s="121" t="s">
        <v>455</v>
      </c>
      <c r="C572" s="122">
        <v>148204</v>
      </c>
      <c r="D572" s="117" t="s">
        <v>212</v>
      </c>
      <c r="E572" s="117" t="s">
        <v>443</v>
      </c>
      <c r="F572" s="146" t="s">
        <v>256</v>
      </c>
      <c r="G572" s="124" t="s">
        <v>69</v>
      </c>
      <c r="H572" s="93">
        <v>42219</v>
      </c>
      <c r="I572" s="93">
        <v>46051</v>
      </c>
      <c r="J572" s="92">
        <f t="shared" si="42"/>
        <v>47148</v>
      </c>
      <c r="K572" s="93">
        <v>42219</v>
      </c>
      <c r="L572" s="93">
        <v>46052</v>
      </c>
      <c r="M572" s="140">
        <f t="shared" si="43"/>
        <v>47148</v>
      </c>
      <c r="N572" s="93">
        <v>46048</v>
      </c>
      <c r="O572" s="93">
        <v>46049</v>
      </c>
      <c r="P572" s="93">
        <v>46050</v>
      </c>
      <c r="Q572" s="167" t="s">
        <v>70</v>
      </c>
      <c r="R572" s="167" t="s">
        <v>70</v>
      </c>
      <c r="S572" s="167" t="s">
        <v>70</v>
      </c>
      <c r="T572" s="167" t="s">
        <v>70</v>
      </c>
      <c r="U572" s="167" t="s">
        <v>70</v>
      </c>
      <c r="V572" s="167" t="s">
        <v>70</v>
      </c>
      <c r="W572" s="167" t="s">
        <v>70</v>
      </c>
      <c r="X572" s="167" t="s">
        <v>70</v>
      </c>
      <c r="Y572" s="167" t="s">
        <v>70</v>
      </c>
      <c r="Z572" s="167" t="s">
        <v>70</v>
      </c>
      <c r="AA572" s="167" t="s">
        <v>70</v>
      </c>
      <c r="AB572" s="167" t="s">
        <v>70</v>
      </c>
      <c r="AC572" s="167" t="s">
        <v>70</v>
      </c>
      <c r="AD572" s="167" t="s">
        <v>70</v>
      </c>
      <c r="AE572" s="167" t="s">
        <v>70</v>
      </c>
      <c r="AF572" s="167" t="s">
        <v>70</v>
      </c>
      <c r="AG572" s="167" t="s">
        <v>70</v>
      </c>
      <c r="AH572" s="167" t="s">
        <v>70</v>
      </c>
      <c r="AI572" s="111">
        <v>45785</v>
      </c>
      <c r="AJ572" s="166" t="s">
        <v>69</v>
      </c>
      <c r="AK572" s="167" t="s">
        <v>70</v>
      </c>
      <c r="AL572" s="167" t="s">
        <v>70</v>
      </c>
      <c r="AM572" s="167"/>
      <c r="AN572" s="167" t="s">
        <v>70</v>
      </c>
      <c r="AO572" s="167" t="s">
        <v>70</v>
      </c>
      <c r="AP572" s="167" t="s">
        <v>70</v>
      </c>
      <c r="AQ572" s="167" t="s">
        <v>70</v>
      </c>
      <c r="AR572" s="166" t="s">
        <v>69</v>
      </c>
      <c r="AS572" s="167" t="s">
        <v>70</v>
      </c>
      <c r="AT572" s="167" t="s">
        <v>70</v>
      </c>
      <c r="AU572" s="167" t="s">
        <v>70</v>
      </c>
      <c r="AV572" s="167" t="s">
        <v>70</v>
      </c>
      <c r="AW572" s="167" t="s">
        <v>70</v>
      </c>
      <c r="AX572" s="167" t="s">
        <v>70</v>
      </c>
      <c r="AY572" s="167" t="s">
        <v>70</v>
      </c>
      <c r="AZ572" s="167" t="s">
        <v>70</v>
      </c>
      <c r="BA572" s="167" t="s">
        <v>70</v>
      </c>
      <c r="BB572" s="167" t="s">
        <v>70</v>
      </c>
      <c r="BC572" s="167" t="s">
        <v>70</v>
      </c>
      <c r="BD572" s="167" t="s">
        <v>70</v>
      </c>
      <c r="BE572" s="167" t="s">
        <v>70</v>
      </c>
      <c r="BF572" s="167" t="s">
        <v>70</v>
      </c>
      <c r="BG572" s="167" t="s">
        <v>70</v>
      </c>
      <c r="BH572" s="167" t="s">
        <v>70</v>
      </c>
      <c r="BI572" s="167" t="s">
        <v>70</v>
      </c>
      <c r="BJ572" s="167" t="s">
        <v>70</v>
      </c>
      <c r="BK572" s="167" t="s">
        <v>70</v>
      </c>
      <c r="BL572" s="167" t="s">
        <v>70</v>
      </c>
      <c r="BM572" s="167" t="s">
        <v>70</v>
      </c>
      <c r="BN572" s="167" t="s">
        <v>70</v>
      </c>
      <c r="BO572" s="167" t="s">
        <v>70</v>
      </c>
      <c r="BP572" s="167" t="s">
        <v>70</v>
      </c>
      <c r="BQ572" s="151" t="s">
        <v>256</v>
      </c>
    </row>
    <row r="573" spans="1:69" s="151" customFormat="1" ht="19.5" customHeight="1" x14ac:dyDescent="0.2">
      <c r="A573" s="117">
        <v>572</v>
      </c>
      <c r="B573" s="121" t="s">
        <v>456</v>
      </c>
      <c r="C573" s="122">
        <v>83121091</v>
      </c>
      <c r="D573" s="117" t="s">
        <v>212</v>
      </c>
      <c r="E573" s="117" t="s">
        <v>443</v>
      </c>
      <c r="F573" s="146" t="s">
        <v>256</v>
      </c>
      <c r="G573" s="124" t="s">
        <v>69</v>
      </c>
      <c r="H573" s="93">
        <v>46227</v>
      </c>
      <c r="I573" s="93">
        <v>46227</v>
      </c>
      <c r="J573" s="92">
        <f t="shared" si="42"/>
        <v>47322</v>
      </c>
      <c r="K573" s="93">
        <v>46226</v>
      </c>
      <c r="L573" s="93">
        <v>46226</v>
      </c>
      <c r="M573" s="140">
        <f t="shared" si="43"/>
        <v>47322</v>
      </c>
      <c r="N573" s="93">
        <v>46223</v>
      </c>
      <c r="O573" s="93">
        <v>46224</v>
      </c>
      <c r="P573" s="93">
        <v>46225</v>
      </c>
      <c r="Q573" s="167" t="s">
        <v>70</v>
      </c>
      <c r="R573" s="167" t="s">
        <v>70</v>
      </c>
      <c r="S573" s="167" t="s">
        <v>70</v>
      </c>
      <c r="T573" s="167" t="s">
        <v>70</v>
      </c>
      <c r="U573" s="167" t="s">
        <v>70</v>
      </c>
      <c r="V573" s="167" t="s">
        <v>70</v>
      </c>
      <c r="W573" s="167" t="s">
        <v>70</v>
      </c>
      <c r="X573" s="167" t="s">
        <v>70</v>
      </c>
      <c r="Y573" s="167" t="s">
        <v>70</v>
      </c>
      <c r="Z573" s="167" t="s">
        <v>70</v>
      </c>
      <c r="AA573" s="167" t="s">
        <v>70</v>
      </c>
      <c r="AB573" s="167" t="s">
        <v>70</v>
      </c>
      <c r="AC573" s="167" t="s">
        <v>70</v>
      </c>
      <c r="AD573" s="167" t="s">
        <v>70</v>
      </c>
      <c r="AE573" s="167" t="s">
        <v>70</v>
      </c>
      <c r="AF573" s="167" t="s">
        <v>70</v>
      </c>
      <c r="AG573" s="167" t="s">
        <v>70</v>
      </c>
      <c r="AH573" s="167" t="s">
        <v>70</v>
      </c>
      <c r="AI573" s="111">
        <v>45946</v>
      </c>
      <c r="AJ573" s="166" t="s">
        <v>69</v>
      </c>
      <c r="AK573" s="167" t="s">
        <v>70</v>
      </c>
      <c r="AL573" s="167" t="s">
        <v>70</v>
      </c>
      <c r="AM573" s="167"/>
      <c r="AN573" s="167" t="s">
        <v>70</v>
      </c>
      <c r="AO573" s="167" t="s">
        <v>70</v>
      </c>
      <c r="AP573" s="167" t="s">
        <v>70</v>
      </c>
      <c r="AQ573" s="167" t="s">
        <v>70</v>
      </c>
      <c r="AR573" s="166" t="s">
        <v>69</v>
      </c>
      <c r="AS573" s="167" t="s">
        <v>70</v>
      </c>
      <c r="AT573" s="167" t="s">
        <v>70</v>
      </c>
      <c r="AU573" s="167" t="s">
        <v>70</v>
      </c>
      <c r="AV573" s="167" t="s">
        <v>70</v>
      </c>
      <c r="AW573" s="167" t="s">
        <v>70</v>
      </c>
      <c r="AX573" s="167" t="s">
        <v>70</v>
      </c>
      <c r="AY573" s="167" t="s">
        <v>70</v>
      </c>
      <c r="AZ573" s="167" t="s">
        <v>70</v>
      </c>
      <c r="BA573" s="167" t="s">
        <v>70</v>
      </c>
      <c r="BB573" s="167" t="s">
        <v>70</v>
      </c>
      <c r="BC573" s="167" t="s">
        <v>70</v>
      </c>
      <c r="BD573" s="167" t="s">
        <v>70</v>
      </c>
      <c r="BE573" s="167" t="s">
        <v>70</v>
      </c>
      <c r="BF573" s="167" t="s">
        <v>70</v>
      </c>
      <c r="BG573" s="167" t="s">
        <v>70</v>
      </c>
      <c r="BH573" s="167" t="s">
        <v>70</v>
      </c>
      <c r="BI573" s="167" t="s">
        <v>70</v>
      </c>
      <c r="BJ573" s="167" t="s">
        <v>70</v>
      </c>
      <c r="BK573" s="167" t="s">
        <v>70</v>
      </c>
      <c r="BL573" s="167" t="s">
        <v>70</v>
      </c>
      <c r="BM573" s="167" t="s">
        <v>70</v>
      </c>
      <c r="BN573" s="167" t="s">
        <v>70</v>
      </c>
      <c r="BO573" s="167" t="s">
        <v>70</v>
      </c>
      <c r="BP573" s="167" t="s">
        <v>70</v>
      </c>
      <c r="BQ573" s="151" t="s">
        <v>256</v>
      </c>
    </row>
    <row r="574" spans="1:69" s="151" customFormat="1" ht="19.5" customHeight="1" x14ac:dyDescent="0.2">
      <c r="A574" s="117">
        <v>573</v>
      </c>
      <c r="B574" s="121" t="s">
        <v>457</v>
      </c>
      <c r="C574" s="122">
        <v>83117504</v>
      </c>
      <c r="D574" s="117" t="s">
        <v>212</v>
      </c>
      <c r="E574" s="117" t="s">
        <v>443</v>
      </c>
      <c r="F574" s="146" t="s">
        <v>256</v>
      </c>
      <c r="G574" s="124" t="s">
        <v>69</v>
      </c>
      <c r="H574" s="93">
        <v>42471</v>
      </c>
      <c r="I574" s="93">
        <v>45989</v>
      </c>
      <c r="J574" s="92">
        <f t="shared" si="42"/>
        <v>47084</v>
      </c>
      <c r="K574" s="93">
        <v>42471</v>
      </c>
      <c r="L574" s="93">
        <v>45988</v>
      </c>
      <c r="M574" s="140">
        <f t="shared" si="43"/>
        <v>47084</v>
      </c>
      <c r="N574" s="93">
        <v>45985</v>
      </c>
      <c r="O574" s="93">
        <v>45987</v>
      </c>
      <c r="P574" s="190">
        <v>46006</v>
      </c>
      <c r="Q574" s="167" t="s">
        <v>70</v>
      </c>
      <c r="R574" s="167" t="s">
        <v>70</v>
      </c>
      <c r="S574" s="167" t="s">
        <v>70</v>
      </c>
      <c r="T574" s="167" t="s">
        <v>70</v>
      </c>
      <c r="U574" s="167" t="s">
        <v>70</v>
      </c>
      <c r="V574" s="167" t="s">
        <v>70</v>
      </c>
      <c r="W574" s="167" t="s">
        <v>70</v>
      </c>
      <c r="X574" s="167" t="s">
        <v>70</v>
      </c>
      <c r="Y574" s="167" t="s">
        <v>70</v>
      </c>
      <c r="Z574" s="167" t="s">
        <v>70</v>
      </c>
      <c r="AA574" s="167" t="s">
        <v>70</v>
      </c>
      <c r="AB574" s="167" t="s">
        <v>70</v>
      </c>
      <c r="AC574" s="167" t="s">
        <v>70</v>
      </c>
      <c r="AD574" s="167" t="s">
        <v>70</v>
      </c>
      <c r="AE574" s="167" t="s">
        <v>70</v>
      </c>
      <c r="AF574" s="167" t="s">
        <v>70</v>
      </c>
      <c r="AG574" s="167" t="s">
        <v>70</v>
      </c>
      <c r="AH574" s="167" t="s">
        <v>70</v>
      </c>
      <c r="AI574" s="186">
        <v>45769</v>
      </c>
      <c r="AJ574" s="166" t="s">
        <v>69</v>
      </c>
      <c r="AK574" s="167" t="s">
        <v>70</v>
      </c>
      <c r="AL574" s="167" t="s">
        <v>70</v>
      </c>
      <c r="AM574" s="167"/>
      <c r="AN574" s="167" t="s">
        <v>70</v>
      </c>
      <c r="AO574" s="167" t="s">
        <v>70</v>
      </c>
      <c r="AP574" s="167" t="s">
        <v>70</v>
      </c>
      <c r="AQ574" s="167" t="s">
        <v>70</v>
      </c>
      <c r="AR574" s="166" t="s">
        <v>69</v>
      </c>
      <c r="AS574" s="167" t="s">
        <v>70</v>
      </c>
      <c r="AT574" s="167" t="s">
        <v>70</v>
      </c>
      <c r="AU574" s="167" t="s">
        <v>70</v>
      </c>
      <c r="AV574" s="167" t="s">
        <v>70</v>
      </c>
      <c r="AW574" s="167" t="s">
        <v>70</v>
      </c>
      <c r="AX574" s="167" t="s">
        <v>70</v>
      </c>
      <c r="AY574" s="167" t="s">
        <v>70</v>
      </c>
      <c r="AZ574" s="167" t="s">
        <v>70</v>
      </c>
      <c r="BA574" s="167" t="s">
        <v>70</v>
      </c>
      <c r="BB574" s="167" t="s">
        <v>70</v>
      </c>
      <c r="BC574" s="167" t="s">
        <v>70</v>
      </c>
      <c r="BD574" s="167" t="s">
        <v>70</v>
      </c>
      <c r="BE574" s="167" t="s">
        <v>70</v>
      </c>
      <c r="BF574" s="167" t="s">
        <v>70</v>
      </c>
      <c r="BG574" s="167" t="s">
        <v>70</v>
      </c>
      <c r="BH574" s="167" t="s">
        <v>70</v>
      </c>
      <c r="BI574" s="167" t="s">
        <v>70</v>
      </c>
      <c r="BJ574" s="167" t="s">
        <v>70</v>
      </c>
      <c r="BK574" s="167" t="s">
        <v>70</v>
      </c>
      <c r="BL574" s="167" t="s">
        <v>70</v>
      </c>
      <c r="BM574" s="167" t="s">
        <v>70</v>
      </c>
      <c r="BN574" s="167" t="s">
        <v>70</v>
      </c>
      <c r="BO574" s="167" t="s">
        <v>70</v>
      </c>
      <c r="BP574" s="167" t="s">
        <v>70</v>
      </c>
      <c r="BQ574" s="151" t="s">
        <v>256</v>
      </c>
    </row>
    <row r="575" spans="1:69" s="151" customFormat="1" ht="19.5" customHeight="1" x14ac:dyDescent="0.2">
      <c r="A575" s="117">
        <v>574</v>
      </c>
      <c r="B575" s="121" t="s">
        <v>458</v>
      </c>
      <c r="C575" s="122">
        <v>83117808</v>
      </c>
      <c r="D575" s="117" t="s">
        <v>212</v>
      </c>
      <c r="E575" s="117" t="s">
        <v>443</v>
      </c>
      <c r="F575" s="146" t="s">
        <v>256</v>
      </c>
      <c r="G575" s="124" t="s">
        <v>69</v>
      </c>
      <c r="H575" s="93">
        <v>46199</v>
      </c>
      <c r="I575" s="93">
        <v>46199</v>
      </c>
      <c r="J575" s="92">
        <f>IF(I575="", "", DATE(YEAR(I575)+3, MONTH(I575), DAY(I575)))</f>
        <v>47295</v>
      </c>
      <c r="K575" s="93">
        <v>46198</v>
      </c>
      <c r="L575" s="93">
        <v>46198</v>
      </c>
      <c r="M575" s="140">
        <f t="shared" si="43"/>
        <v>47294</v>
      </c>
      <c r="N575" s="190">
        <v>46195</v>
      </c>
      <c r="O575" s="93">
        <v>46196</v>
      </c>
      <c r="P575" s="93">
        <v>46197</v>
      </c>
      <c r="Q575" s="167" t="s">
        <v>70</v>
      </c>
      <c r="R575" s="167" t="s">
        <v>70</v>
      </c>
      <c r="S575" s="167" t="s">
        <v>70</v>
      </c>
      <c r="T575" s="167" t="s">
        <v>70</v>
      </c>
      <c r="U575" s="167" t="s">
        <v>70</v>
      </c>
      <c r="V575" s="167" t="s">
        <v>70</v>
      </c>
      <c r="W575" s="167" t="s">
        <v>70</v>
      </c>
      <c r="X575" s="167" t="s">
        <v>70</v>
      </c>
      <c r="Y575" s="167" t="s">
        <v>70</v>
      </c>
      <c r="Z575" s="167" t="s">
        <v>70</v>
      </c>
      <c r="AA575" s="167" t="s">
        <v>70</v>
      </c>
      <c r="AB575" s="167" t="s">
        <v>70</v>
      </c>
      <c r="AC575" s="167" t="s">
        <v>70</v>
      </c>
      <c r="AD575" s="167" t="s">
        <v>70</v>
      </c>
      <c r="AE575" s="167" t="s">
        <v>70</v>
      </c>
      <c r="AF575" s="167" t="s">
        <v>70</v>
      </c>
      <c r="AG575" s="167" t="s">
        <v>70</v>
      </c>
      <c r="AH575" s="167" t="s">
        <v>70</v>
      </c>
      <c r="AI575" s="186">
        <v>45869</v>
      </c>
      <c r="AJ575" s="166" t="s">
        <v>69</v>
      </c>
      <c r="AK575" s="167" t="s">
        <v>70</v>
      </c>
      <c r="AL575" s="167" t="s">
        <v>70</v>
      </c>
      <c r="AM575" s="167"/>
      <c r="AN575" s="167" t="s">
        <v>70</v>
      </c>
      <c r="AO575" s="167" t="s">
        <v>70</v>
      </c>
      <c r="AP575" s="167" t="s">
        <v>70</v>
      </c>
      <c r="AQ575" s="167" t="s">
        <v>70</v>
      </c>
      <c r="AR575" s="166" t="s">
        <v>69</v>
      </c>
      <c r="AS575" s="167" t="s">
        <v>70</v>
      </c>
      <c r="AT575" s="167" t="s">
        <v>70</v>
      </c>
      <c r="AU575" s="167" t="s">
        <v>70</v>
      </c>
      <c r="AV575" s="167" t="s">
        <v>70</v>
      </c>
      <c r="AW575" s="167" t="s">
        <v>70</v>
      </c>
      <c r="AX575" s="167" t="s">
        <v>70</v>
      </c>
      <c r="AY575" s="167" t="s">
        <v>70</v>
      </c>
      <c r="AZ575" s="167" t="s">
        <v>70</v>
      </c>
      <c r="BA575" s="167" t="s">
        <v>70</v>
      </c>
      <c r="BB575" s="167" t="s">
        <v>70</v>
      </c>
      <c r="BC575" s="167" t="s">
        <v>70</v>
      </c>
      <c r="BD575" s="167" t="s">
        <v>70</v>
      </c>
      <c r="BE575" s="167" t="s">
        <v>70</v>
      </c>
      <c r="BF575" s="167" t="s">
        <v>70</v>
      </c>
      <c r="BG575" s="167" t="s">
        <v>70</v>
      </c>
      <c r="BH575" s="167" t="s">
        <v>70</v>
      </c>
      <c r="BI575" s="167" t="s">
        <v>70</v>
      </c>
      <c r="BJ575" s="167" t="s">
        <v>70</v>
      </c>
      <c r="BK575" s="167" t="s">
        <v>70</v>
      </c>
      <c r="BL575" s="167" t="s">
        <v>70</v>
      </c>
      <c r="BM575" s="167" t="s">
        <v>70</v>
      </c>
      <c r="BN575" s="167" t="s">
        <v>70</v>
      </c>
      <c r="BO575" s="167" t="s">
        <v>70</v>
      </c>
      <c r="BP575" s="167" t="s">
        <v>70</v>
      </c>
      <c r="BQ575" s="151" t="s">
        <v>256</v>
      </c>
    </row>
    <row r="576" spans="1:69" s="151" customFormat="1" ht="19.5" customHeight="1" x14ac:dyDescent="0.2">
      <c r="A576" s="117">
        <v>575</v>
      </c>
      <c r="B576" s="121" t="s">
        <v>459</v>
      </c>
      <c r="C576" s="122">
        <v>162505</v>
      </c>
      <c r="D576" s="117" t="s">
        <v>212</v>
      </c>
      <c r="E576" s="117" t="s">
        <v>443</v>
      </c>
      <c r="F576" s="146" t="s">
        <v>256</v>
      </c>
      <c r="G576" s="124" t="s">
        <v>69</v>
      </c>
      <c r="H576" s="93">
        <v>46199</v>
      </c>
      <c r="I576" s="93">
        <v>46199</v>
      </c>
      <c r="J576" s="92">
        <f>IF(I576="", "", DATE(YEAR(I576)+3, MONTH(I576), DAY(I576)))</f>
        <v>47295</v>
      </c>
      <c r="K576" s="93">
        <v>46198</v>
      </c>
      <c r="L576" s="93">
        <v>46198</v>
      </c>
      <c r="M576" s="140">
        <f t="shared" si="43"/>
        <v>47294</v>
      </c>
      <c r="N576" s="190">
        <v>46195</v>
      </c>
      <c r="O576" s="93">
        <v>46196</v>
      </c>
      <c r="P576" s="93">
        <v>46197</v>
      </c>
      <c r="Q576" s="167" t="s">
        <v>70</v>
      </c>
      <c r="R576" s="167" t="s">
        <v>70</v>
      </c>
      <c r="S576" s="167" t="s">
        <v>70</v>
      </c>
      <c r="T576" s="167" t="s">
        <v>70</v>
      </c>
      <c r="U576" s="167" t="s">
        <v>70</v>
      </c>
      <c r="V576" s="167" t="s">
        <v>70</v>
      </c>
      <c r="W576" s="167" t="s">
        <v>70</v>
      </c>
      <c r="X576" s="167" t="s">
        <v>70</v>
      </c>
      <c r="Y576" s="167" t="s">
        <v>70</v>
      </c>
      <c r="Z576" s="167" t="s">
        <v>70</v>
      </c>
      <c r="AA576" s="167" t="s">
        <v>70</v>
      </c>
      <c r="AB576" s="167" t="s">
        <v>70</v>
      </c>
      <c r="AC576" s="167" t="s">
        <v>70</v>
      </c>
      <c r="AD576" s="167" t="s">
        <v>70</v>
      </c>
      <c r="AE576" s="167" t="s">
        <v>70</v>
      </c>
      <c r="AF576" s="167" t="s">
        <v>70</v>
      </c>
      <c r="AG576" s="167" t="s">
        <v>70</v>
      </c>
      <c r="AH576" s="167" t="s">
        <v>70</v>
      </c>
      <c r="AI576" s="111">
        <v>45919</v>
      </c>
      <c r="AJ576" s="166" t="s">
        <v>69</v>
      </c>
      <c r="AK576" s="167" t="s">
        <v>70</v>
      </c>
      <c r="AL576" s="167" t="s">
        <v>70</v>
      </c>
      <c r="AM576" s="167"/>
      <c r="AN576" s="167" t="s">
        <v>70</v>
      </c>
      <c r="AO576" s="167" t="s">
        <v>70</v>
      </c>
      <c r="AP576" s="167" t="s">
        <v>70</v>
      </c>
      <c r="AQ576" s="167" t="s">
        <v>70</v>
      </c>
      <c r="AR576" s="166" t="s">
        <v>69</v>
      </c>
      <c r="AS576" s="167" t="s">
        <v>70</v>
      </c>
      <c r="AT576" s="167" t="s">
        <v>70</v>
      </c>
      <c r="AU576" s="167" t="s">
        <v>70</v>
      </c>
      <c r="AV576" s="167" t="s">
        <v>70</v>
      </c>
      <c r="AW576" s="167" t="s">
        <v>70</v>
      </c>
      <c r="AX576" s="167" t="s">
        <v>70</v>
      </c>
      <c r="AY576" s="167" t="s">
        <v>70</v>
      </c>
      <c r="AZ576" s="167" t="s">
        <v>70</v>
      </c>
      <c r="BA576" s="167" t="s">
        <v>70</v>
      </c>
      <c r="BB576" s="167" t="s">
        <v>70</v>
      </c>
      <c r="BC576" s="167" t="s">
        <v>70</v>
      </c>
      <c r="BD576" s="167" t="s">
        <v>70</v>
      </c>
      <c r="BE576" s="167" t="s">
        <v>70</v>
      </c>
      <c r="BF576" s="167" t="s">
        <v>70</v>
      </c>
      <c r="BG576" s="167" t="s">
        <v>70</v>
      </c>
      <c r="BH576" s="167" t="s">
        <v>70</v>
      </c>
      <c r="BI576" s="167" t="s">
        <v>70</v>
      </c>
      <c r="BJ576" s="167" t="s">
        <v>70</v>
      </c>
      <c r="BK576" s="167" t="s">
        <v>70</v>
      </c>
      <c r="BL576" s="167" t="s">
        <v>70</v>
      </c>
      <c r="BM576" s="167" t="s">
        <v>70</v>
      </c>
      <c r="BN576" s="167" t="s">
        <v>70</v>
      </c>
      <c r="BO576" s="167" t="s">
        <v>70</v>
      </c>
      <c r="BP576" s="167" t="s">
        <v>70</v>
      </c>
      <c r="BQ576" s="151" t="s">
        <v>256</v>
      </c>
    </row>
    <row r="577" spans="1:134" s="151" customFormat="1" ht="19.5" customHeight="1" x14ac:dyDescent="0.2">
      <c r="A577" s="117">
        <v>576</v>
      </c>
      <c r="B577" s="121" t="s">
        <v>460</v>
      </c>
      <c r="C577" s="122">
        <v>162499</v>
      </c>
      <c r="D577" s="117" t="s">
        <v>212</v>
      </c>
      <c r="E577" s="117" t="s">
        <v>443</v>
      </c>
      <c r="F577" s="146" t="s">
        <v>256</v>
      </c>
      <c r="G577" s="124" t="s">
        <v>69</v>
      </c>
      <c r="H577" s="93">
        <v>46164</v>
      </c>
      <c r="I577" s="93">
        <v>46164</v>
      </c>
      <c r="J577" s="92">
        <f t="shared" ref="J577:J584" si="44">IF(I577="", "", DATE(YEAR(I577)+3, MONTH(I577), DAY(L577)))</f>
        <v>47259</v>
      </c>
      <c r="K577" s="93">
        <v>46163</v>
      </c>
      <c r="L577" s="93">
        <v>46163</v>
      </c>
      <c r="M577" s="140">
        <f t="shared" si="43"/>
        <v>47259</v>
      </c>
      <c r="N577" s="93">
        <v>46167</v>
      </c>
      <c r="O577" s="93">
        <v>46161</v>
      </c>
      <c r="P577" s="93">
        <v>46162</v>
      </c>
      <c r="Q577" s="167" t="s">
        <v>70</v>
      </c>
      <c r="R577" s="167" t="s">
        <v>70</v>
      </c>
      <c r="S577" s="167" t="s">
        <v>70</v>
      </c>
      <c r="T577" s="167" t="s">
        <v>70</v>
      </c>
      <c r="U577" s="167" t="s">
        <v>70</v>
      </c>
      <c r="V577" s="167" t="s">
        <v>70</v>
      </c>
      <c r="W577" s="167" t="s">
        <v>70</v>
      </c>
      <c r="X577" s="167" t="s">
        <v>70</v>
      </c>
      <c r="Y577" s="167" t="s">
        <v>70</v>
      </c>
      <c r="Z577" s="167" t="s">
        <v>70</v>
      </c>
      <c r="AA577" s="167" t="s">
        <v>70</v>
      </c>
      <c r="AB577" s="167" t="s">
        <v>70</v>
      </c>
      <c r="AC577" s="167" t="s">
        <v>70</v>
      </c>
      <c r="AD577" s="167" t="s">
        <v>70</v>
      </c>
      <c r="AE577" s="167" t="s">
        <v>70</v>
      </c>
      <c r="AF577" s="167" t="s">
        <v>70</v>
      </c>
      <c r="AG577" s="167" t="s">
        <v>70</v>
      </c>
      <c r="AH577" s="167" t="s">
        <v>70</v>
      </c>
      <c r="AI577" s="111">
        <v>45897</v>
      </c>
      <c r="AJ577" s="166" t="s">
        <v>69</v>
      </c>
      <c r="AK577" s="167" t="s">
        <v>70</v>
      </c>
      <c r="AL577" s="167" t="s">
        <v>70</v>
      </c>
      <c r="AM577" s="167"/>
      <c r="AN577" s="167" t="s">
        <v>70</v>
      </c>
      <c r="AO577" s="167" t="s">
        <v>70</v>
      </c>
      <c r="AP577" s="167" t="s">
        <v>70</v>
      </c>
      <c r="AQ577" s="167" t="s">
        <v>70</v>
      </c>
      <c r="AR577" s="166" t="s">
        <v>69</v>
      </c>
      <c r="AS577" s="167" t="s">
        <v>70</v>
      </c>
      <c r="AT577" s="167" t="s">
        <v>70</v>
      </c>
      <c r="AU577" s="167" t="s">
        <v>70</v>
      </c>
      <c r="AV577" s="167" t="s">
        <v>70</v>
      </c>
      <c r="AW577" s="167" t="s">
        <v>70</v>
      </c>
      <c r="AX577" s="167" t="s">
        <v>70</v>
      </c>
      <c r="AY577" s="167" t="s">
        <v>70</v>
      </c>
      <c r="AZ577" s="167" t="s">
        <v>70</v>
      </c>
      <c r="BA577" s="167" t="s">
        <v>70</v>
      </c>
      <c r="BB577" s="167" t="s">
        <v>70</v>
      </c>
      <c r="BC577" s="167" t="s">
        <v>70</v>
      </c>
      <c r="BD577" s="167" t="s">
        <v>70</v>
      </c>
      <c r="BE577" s="167" t="s">
        <v>70</v>
      </c>
      <c r="BF577" s="167" t="s">
        <v>70</v>
      </c>
      <c r="BG577" s="167" t="s">
        <v>70</v>
      </c>
      <c r="BH577" s="167" t="s">
        <v>70</v>
      </c>
      <c r="BI577" s="167" t="s">
        <v>70</v>
      </c>
      <c r="BJ577" s="167" t="s">
        <v>70</v>
      </c>
      <c r="BK577" s="167" t="s">
        <v>70</v>
      </c>
      <c r="BL577" s="167" t="s">
        <v>70</v>
      </c>
      <c r="BM577" s="167" t="s">
        <v>70</v>
      </c>
      <c r="BN577" s="167" t="s">
        <v>70</v>
      </c>
      <c r="BO577" s="167" t="s">
        <v>70</v>
      </c>
      <c r="BP577" s="167" t="s">
        <v>70</v>
      </c>
      <c r="BQ577" s="151" t="s">
        <v>256</v>
      </c>
    </row>
    <row r="578" spans="1:134" s="151" customFormat="1" ht="19.5" customHeight="1" x14ac:dyDescent="0.2">
      <c r="A578" s="117">
        <v>577</v>
      </c>
      <c r="B578" s="121" t="s">
        <v>461</v>
      </c>
      <c r="C578" s="122">
        <v>83117278</v>
      </c>
      <c r="D578" s="117" t="s">
        <v>212</v>
      </c>
      <c r="E578" s="117" t="s">
        <v>443</v>
      </c>
      <c r="F578" s="146" t="s">
        <v>256</v>
      </c>
      <c r="G578" s="124" t="s">
        <v>69</v>
      </c>
      <c r="H578" s="93">
        <v>42471</v>
      </c>
      <c r="I578" s="93">
        <v>45709</v>
      </c>
      <c r="J578" s="92">
        <f t="shared" si="44"/>
        <v>46801</v>
      </c>
      <c r="K578" s="93">
        <v>42471</v>
      </c>
      <c r="L578" s="93">
        <v>45706</v>
      </c>
      <c r="M578" s="140">
        <f t="shared" si="43"/>
        <v>46801</v>
      </c>
      <c r="N578" s="93">
        <v>45707</v>
      </c>
      <c r="O578" s="93">
        <v>45708</v>
      </c>
      <c r="P578" s="93">
        <v>45705</v>
      </c>
      <c r="Q578" s="167" t="s">
        <v>70</v>
      </c>
      <c r="R578" s="167" t="s">
        <v>70</v>
      </c>
      <c r="S578" s="167" t="s">
        <v>70</v>
      </c>
      <c r="T578" s="167" t="s">
        <v>70</v>
      </c>
      <c r="U578" s="167" t="s">
        <v>70</v>
      </c>
      <c r="V578" s="167" t="s">
        <v>70</v>
      </c>
      <c r="W578" s="167" t="s">
        <v>70</v>
      </c>
      <c r="X578" s="167" t="s">
        <v>70</v>
      </c>
      <c r="Y578" s="167" t="s">
        <v>70</v>
      </c>
      <c r="Z578" s="167" t="s">
        <v>70</v>
      </c>
      <c r="AA578" s="167" t="s">
        <v>70</v>
      </c>
      <c r="AB578" s="167" t="s">
        <v>70</v>
      </c>
      <c r="AC578" s="167" t="s">
        <v>70</v>
      </c>
      <c r="AD578" s="167" t="s">
        <v>70</v>
      </c>
      <c r="AE578" s="167" t="s">
        <v>70</v>
      </c>
      <c r="AF578" s="167" t="s">
        <v>70</v>
      </c>
      <c r="AG578" s="167" t="s">
        <v>70</v>
      </c>
      <c r="AH578" s="167" t="s">
        <v>70</v>
      </c>
      <c r="AI578" s="111">
        <v>45912</v>
      </c>
      <c r="AJ578" s="166" t="s">
        <v>69</v>
      </c>
      <c r="AK578" s="167" t="s">
        <v>70</v>
      </c>
      <c r="AL578" s="167" t="s">
        <v>70</v>
      </c>
      <c r="AM578" s="167"/>
      <c r="AN578" s="167" t="s">
        <v>70</v>
      </c>
      <c r="AO578" s="167" t="s">
        <v>70</v>
      </c>
      <c r="AP578" s="167" t="s">
        <v>70</v>
      </c>
      <c r="AQ578" s="167" t="s">
        <v>70</v>
      </c>
      <c r="AR578" s="166" t="s">
        <v>69</v>
      </c>
      <c r="AS578" s="167" t="s">
        <v>70</v>
      </c>
      <c r="AT578" s="167" t="s">
        <v>70</v>
      </c>
      <c r="AU578" s="167" t="s">
        <v>70</v>
      </c>
      <c r="AV578" s="167" t="s">
        <v>70</v>
      </c>
      <c r="AW578" s="167" t="s">
        <v>70</v>
      </c>
      <c r="AX578" s="167" t="s">
        <v>70</v>
      </c>
      <c r="AY578" s="167" t="s">
        <v>70</v>
      </c>
      <c r="AZ578" s="167" t="s">
        <v>70</v>
      </c>
      <c r="BA578" s="167" t="s">
        <v>70</v>
      </c>
      <c r="BB578" s="167" t="s">
        <v>70</v>
      </c>
      <c r="BC578" s="167" t="s">
        <v>70</v>
      </c>
      <c r="BD578" s="167" t="s">
        <v>70</v>
      </c>
      <c r="BE578" s="167" t="s">
        <v>70</v>
      </c>
      <c r="BF578" s="167" t="s">
        <v>70</v>
      </c>
      <c r="BG578" s="167" t="s">
        <v>70</v>
      </c>
      <c r="BH578" s="167" t="s">
        <v>70</v>
      </c>
      <c r="BI578" s="167" t="s">
        <v>70</v>
      </c>
      <c r="BJ578" s="167" t="s">
        <v>70</v>
      </c>
      <c r="BK578" s="167" t="s">
        <v>70</v>
      </c>
      <c r="BL578" s="167" t="s">
        <v>70</v>
      </c>
      <c r="BM578" s="167" t="s">
        <v>70</v>
      </c>
      <c r="BN578" s="167" t="s">
        <v>70</v>
      </c>
      <c r="BO578" s="167" t="s">
        <v>70</v>
      </c>
      <c r="BP578" s="167" t="s">
        <v>70</v>
      </c>
      <c r="BQ578" s="151" t="s">
        <v>256</v>
      </c>
    </row>
    <row r="579" spans="1:134" s="151" customFormat="1" ht="19.5" customHeight="1" x14ac:dyDescent="0.2">
      <c r="A579" s="117">
        <v>578</v>
      </c>
      <c r="B579" s="121" t="s">
        <v>462</v>
      </c>
      <c r="C579" s="122">
        <v>148212</v>
      </c>
      <c r="D579" s="117" t="s">
        <v>212</v>
      </c>
      <c r="E579" s="117" t="s">
        <v>443</v>
      </c>
      <c r="F579" s="146" t="s">
        <v>256</v>
      </c>
      <c r="G579" s="124" t="s">
        <v>69</v>
      </c>
      <c r="H579" s="93">
        <v>46282</v>
      </c>
      <c r="I579" s="93">
        <v>46282</v>
      </c>
      <c r="J579" s="140">
        <f>IF(I579="", "", DATE(YEAR(I579)+3, MONTH(I579), DAY(I579)))</f>
        <v>47378</v>
      </c>
      <c r="K579" s="93">
        <v>46281</v>
      </c>
      <c r="L579" s="93">
        <v>46281</v>
      </c>
      <c r="M579" s="140">
        <f>IF(L579="", "", DATE(YEAR(L579)+3, MONTH(L579), DAY(L579)))</f>
        <v>47377</v>
      </c>
      <c r="N579" s="93">
        <v>46279</v>
      </c>
      <c r="O579" s="93">
        <v>46286</v>
      </c>
      <c r="P579" s="93">
        <v>46280</v>
      </c>
      <c r="Q579" s="167" t="s">
        <v>70</v>
      </c>
      <c r="R579" s="167" t="s">
        <v>70</v>
      </c>
      <c r="S579" s="167" t="s">
        <v>70</v>
      </c>
      <c r="T579" s="167" t="s">
        <v>70</v>
      </c>
      <c r="U579" s="167" t="s">
        <v>70</v>
      </c>
      <c r="V579" s="167" t="s">
        <v>70</v>
      </c>
      <c r="W579" s="167" t="s">
        <v>70</v>
      </c>
      <c r="X579" s="167" t="s">
        <v>70</v>
      </c>
      <c r="Y579" s="167" t="s">
        <v>70</v>
      </c>
      <c r="Z579" s="167" t="s">
        <v>70</v>
      </c>
      <c r="AA579" s="167" t="s">
        <v>70</v>
      </c>
      <c r="AB579" s="167" t="s">
        <v>70</v>
      </c>
      <c r="AC579" s="167" t="s">
        <v>70</v>
      </c>
      <c r="AD579" s="167" t="s">
        <v>70</v>
      </c>
      <c r="AE579" s="167" t="s">
        <v>70</v>
      </c>
      <c r="AF579" s="167" t="s">
        <v>70</v>
      </c>
      <c r="AG579" s="167" t="s">
        <v>70</v>
      </c>
      <c r="AH579" s="167" t="s">
        <v>70</v>
      </c>
      <c r="AI579" s="186">
        <v>45869</v>
      </c>
      <c r="AJ579" s="166" t="s">
        <v>69</v>
      </c>
      <c r="AK579" s="167" t="s">
        <v>70</v>
      </c>
      <c r="AL579" s="167" t="s">
        <v>70</v>
      </c>
      <c r="AM579" s="167"/>
      <c r="AN579" s="167" t="s">
        <v>70</v>
      </c>
      <c r="AO579" s="167" t="s">
        <v>70</v>
      </c>
      <c r="AP579" s="167" t="s">
        <v>70</v>
      </c>
      <c r="AQ579" s="167" t="s">
        <v>70</v>
      </c>
      <c r="AR579" s="166" t="s">
        <v>69</v>
      </c>
      <c r="AS579" s="167" t="s">
        <v>70</v>
      </c>
      <c r="AT579" s="167" t="s">
        <v>70</v>
      </c>
      <c r="AU579" s="167" t="s">
        <v>70</v>
      </c>
      <c r="AV579" s="167" t="s">
        <v>70</v>
      </c>
      <c r="AW579" s="167" t="s">
        <v>70</v>
      </c>
      <c r="AX579" s="167" t="s">
        <v>70</v>
      </c>
      <c r="AY579" s="167" t="s">
        <v>70</v>
      </c>
      <c r="AZ579" s="167" t="s">
        <v>70</v>
      </c>
      <c r="BA579" s="167" t="s">
        <v>70</v>
      </c>
      <c r="BB579" s="167" t="s">
        <v>70</v>
      </c>
      <c r="BC579" s="167" t="s">
        <v>70</v>
      </c>
      <c r="BD579" s="167" t="s">
        <v>70</v>
      </c>
      <c r="BE579" s="167" t="s">
        <v>70</v>
      </c>
      <c r="BF579" s="167" t="s">
        <v>70</v>
      </c>
      <c r="BG579" s="167" t="s">
        <v>70</v>
      </c>
      <c r="BH579" s="167" t="s">
        <v>70</v>
      </c>
      <c r="BI579" s="167" t="s">
        <v>70</v>
      </c>
      <c r="BJ579" s="167" t="s">
        <v>70</v>
      </c>
      <c r="BK579" s="167" t="s">
        <v>70</v>
      </c>
      <c r="BL579" s="167" t="s">
        <v>70</v>
      </c>
      <c r="BM579" s="167" t="s">
        <v>70</v>
      </c>
      <c r="BN579" s="167" t="s">
        <v>70</v>
      </c>
      <c r="BO579" s="167" t="s">
        <v>70</v>
      </c>
      <c r="BP579" s="167" t="s">
        <v>70</v>
      </c>
      <c r="BQ579" s="151" t="s">
        <v>256</v>
      </c>
    </row>
    <row r="580" spans="1:134" s="151" customFormat="1" ht="19.5" customHeight="1" x14ac:dyDescent="0.2">
      <c r="A580" s="117">
        <v>579</v>
      </c>
      <c r="B580" s="121" t="s">
        <v>463</v>
      </c>
      <c r="C580" s="122">
        <v>148207</v>
      </c>
      <c r="D580" s="117" t="s">
        <v>212</v>
      </c>
      <c r="E580" s="117" t="s">
        <v>443</v>
      </c>
      <c r="F580" s="146" t="s">
        <v>256</v>
      </c>
      <c r="G580" s="124" t="s">
        <v>69</v>
      </c>
      <c r="H580" s="93">
        <v>42226</v>
      </c>
      <c r="I580" s="93">
        <v>45798</v>
      </c>
      <c r="J580" s="92">
        <f t="shared" si="44"/>
        <v>46893</v>
      </c>
      <c r="K580" s="93">
        <v>42220</v>
      </c>
      <c r="L580" s="93">
        <v>45797</v>
      </c>
      <c r="M580" s="140">
        <f t="shared" si="43"/>
        <v>46893</v>
      </c>
      <c r="N580" s="93">
        <v>45800</v>
      </c>
      <c r="O580" s="93">
        <v>45799</v>
      </c>
      <c r="P580" s="93">
        <v>45796</v>
      </c>
      <c r="Q580" s="167" t="s">
        <v>70</v>
      </c>
      <c r="R580" s="167" t="s">
        <v>70</v>
      </c>
      <c r="S580" s="167" t="s">
        <v>70</v>
      </c>
      <c r="T580" s="167" t="s">
        <v>70</v>
      </c>
      <c r="U580" s="167" t="s">
        <v>70</v>
      </c>
      <c r="V580" s="167" t="s">
        <v>70</v>
      </c>
      <c r="W580" s="167" t="s">
        <v>70</v>
      </c>
      <c r="X580" s="167" t="s">
        <v>70</v>
      </c>
      <c r="Y580" s="167" t="s">
        <v>70</v>
      </c>
      <c r="Z580" s="167" t="s">
        <v>70</v>
      </c>
      <c r="AA580" s="167" t="s">
        <v>70</v>
      </c>
      <c r="AB580" s="167" t="s">
        <v>70</v>
      </c>
      <c r="AC580" s="167" t="s">
        <v>70</v>
      </c>
      <c r="AD580" s="167" t="s">
        <v>70</v>
      </c>
      <c r="AE580" s="167" t="s">
        <v>70</v>
      </c>
      <c r="AF580" s="167" t="s">
        <v>70</v>
      </c>
      <c r="AG580" s="167" t="s">
        <v>70</v>
      </c>
      <c r="AH580" s="167" t="s">
        <v>70</v>
      </c>
      <c r="AI580" s="111">
        <v>45897</v>
      </c>
      <c r="AJ580" s="166" t="s">
        <v>69</v>
      </c>
      <c r="AK580" s="167" t="s">
        <v>70</v>
      </c>
      <c r="AL580" s="167" t="s">
        <v>70</v>
      </c>
      <c r="AM580" s="167"/>
      <c r="AN580" s="167" t="s">
        <v>70</v>
      </c>
      <c r="AO580" s="167" t="s">
        <v>70</v>
      </c>
      <c r="AP580" s="167" t="s">
        <v>70</v>
      </c>
      <c r="AQ580" s="167" t="s">
        <v>70</v>
      </c>
      <c r="AR580" s="166" t="s">
        <v>69</v>
      </c>
      <c r="AS580" s="167" t="s">
        <v>70</v>
      </c>
      <c r="AT580" s="167" t="s">
        <v>70</v>
      </c>
      <c r="AU580" s="167" t="s">
        <v>70</v>
      </c>
      <c r="AV580" s="167" t="s">
        <v>70</v>
      </c>
      <c r="AW580" s="167" t="s">
        <v>70</v>
      </c>
      <c r="AX580" s="167" t="s">
        <v>70</v>
      </c>
      <c r="AY580" s="167" t="s">
        <v>70</v>
      </c>
      <c r="AZ580" s="167" t="s">
        <v>70</v>
      </c>
      <c r="BA580" s="167" t="s">
        <v>70</v>
      </c>
      <c r="BB580" s="167" t="s">
        <v>70</v>
      </c>
      <c r="BC580" s="167" t="s">
        <v>70</v>
      </c>
      <c r="BD580" s="167" t="s">
        <v>70</v>
      </c>
      <c r="BE580" s="167" t="s">
        <v>70</v>
      </c>
      <c r="BF580" s="167" t="s">
        <v>70</v>
      </c>
      <c r="BG580" s="167" t="s">
        <v>70</v>
      </c>
      <c r="BH580" s="167" t="s">
        <v>70</v>
      </c>
      <c r="BI580" s="167" t="s">
        <v>70</v>
      </c>
      <c r="BJ580" s="167" t="s">
        <v>70</v>
      </c>
      <c r="BK580" s="167" t="s">
        <v>70</v>
      </c>
      <c r="BL580" s="167" t="s">
        <v>70</v>
      </c>
      <c r="BM580" s="167" t="s">
        <v>70</v>
      </c>
      <c r="BN580" s="167" t="s">
        <v>70</v>
      </c>
      <c r="BO580" s="167" t="s">
        <v>70</v>
      </c>
      <c r="BP580" s="167" t="s">
        <v>70</v>
      </c>
      <c r="BQ580" s="151" t="s">
        <v>256</v>
      </c>
    </row>
    <row r="581" spans="1:134" s="151" customFormat="1" ht="19.5" customHeight="1" x14ac:dyDescent="0.2">
      <c r="A581" s="117">
        <v>580</v>
      </c>
      <c r="B581" s="121" t="s">
        <v>464</v>
      </c>
      <c r="C581" s="122">
        <v>162508</v>
      </c>
      <c r="D581" s="117" t="s">
        <v>212</v>
      </c>
      <c r="E581" s="117" t="s">
        <v>443</v>
      </c>
      <c r="F581" s="146" t="s">
        <v>256</v>
      </c>
      <c r="G581" s="124" t="s">
        <v>69</v>
      </c>
      <c r="H581" s="93">
        <v>46164</v>
      </c>
      <c r="I581" s="93">
        <v>46164</v>
      </c>
      <c r="J581" s="92">
        <f t="shared" si="44"/>
        <v>47259</v>
      </c>
      <c r="K581" s="93">
        <v>46163</v>
      </c>
      <c r="L581" s="93">
        <v>46163</v>
      </c>
      <c r="M581" s="140">
        <f t="shared" si="43"/>
        <v>47259</v>
      </c>
      <c r="N581" s="93">
        <v>46167</v>
      </c>
      <c r="O581" s="93">
        <v>46161</v>
      </c>
      <c r="P581" s="93">
        <v>46162</v>
      </c>
      <c r="Q581" s="167" t="s">
        <v>70</v>
      </c>
      <c r="R581" s="167" t="s">
        <v>70</v>
      </c>
      <c r="S581" s="167" t="s">
        <v>70</v>
      </c>
      <c r="T581" s="167" t="s">
        <v>70</v>
      </c>
      <c r="U581" s="167" t="s">
        <v>70</v>
      </c>
      <c r="V581" s="167" t="s">
        <v>70</v>
      </c>
      <c r="W581" s="167" t="s">
        <v>70</v>
      </c>
      <c r="X581" s="167" t="s">
        <v>70</v>
      </c>
      <c r="Y581" s="167" t="s">
        <v>70</v>
      </c>
      <c r="Z581" s="167" t="s">
        <v>70</v>
      </c>
      <c r="AA581" s="167" t="s">
        <v>70</v>
      </c>
      <c r="AB581" s="167" t="s">
        <v>70</v>
      </c>
      <c r="AC581" s="167" t="s">
        <v>70</v>
      </c>
      <c r="AD581" s="167" t="s">
        <v>70</v>
      </c>
      <c r="AE581" s="167" t="s">
        <v>70</v>
      </c>
      <c r="AF581" s="167" t="s">
        <v>70</v>
      </c>
      <c r="AG581" s="167" t="s">
        <v>70</v>
      </c>
      <c r="AH581" s="167" t="s">
        <v>70</v>
      </c>
      <c r="AI581" s="181">
        <v>45883</v>
      </c>
      <c r="AJ581" s="166" t="s">
        <v>69</v>
      </c>
      <c r="AK581" s="167" t="s">
        <v>70</v>
      </c>
      <c r="AL581" s="167" t="s">
        <v>70</v>
      </c>
      <c r="AM581" s="167"/>
      <c r="AN581" s="167" t="s">
        <v>70</v>
      </c>
      <c r="AO581" s="167" t="s">
        <v>70</v>
      </c>
      <c r="AP581" s="167" t="s">
        <v>70</v>
      </c>
      <c r="AQ581" s="167" t="s">
        <v>70</v>
      </c>
      <c r="AR581" s="166" t="s">
        <v>69</v>
      </c>
      <c r="AS581" s="167" t="s">
        <v>70</v>
      </c>
      <c r="AT581" s="167" t="s">
        <v>70</v>
      </c>
      <c r="AU581" s="167" t="s">
        <v>70</v>
      </c>
      <c r="AV581" s="167" t="s">
        <v>70</v>
      </c>
      <c r="AW581" s="167" t="s">
        <v>70</v>
      </c>
      <c r="AX581" s="167" t="s">
        <v>70</v>
      </c>
      <c r="AY581" s="167" t="s">
        <v>70</v>
      </c>
      <c r="AZ581" s="167" t="s">
        <v>70</v>
      </c>
      <c r="BA581" s="167" t="s">
        <v>70</v>
      </c>
      <c r="BB581" s="167" t="s">
        <v>70</v>
      </c>
      <c r="BC581" s="167" t="s">
        <v>70</v>
      </c>
      <c r="BD581" s="167" t="s">
        <v>70</v>
      </c>
      <c r="BE581" s="167" t="s">
        <v>70</v>
      </c>
      <c r="BF581" s="167" t="s">
        <v>70</v>
      </c>
      <c r="BG581" s="167" t="s">
        <v>70</v>
      </c>
      <c r="BH581" s="167" t="s">
        <v>70</v>
      </c>
      <c r="BI581" s="167" t="s">
        <v>70</v>
      </c>
      <c r="BJ581" s="167" t="s">
        <v>70</v>
      </c>
      <c r="BK581" s="167" t="s">
        <v>70</v>
      </c>
      <c r="BL581" s="167" t="s">
        <v>70</v>
      </c>
      <c r="BM581" s="167" t="s">
        <v>70</v>
      </c>
      <c r="BN581" s="167" t="s">
        <v>70</v>
      </c>
      <c r="BO581" s="167" t="s">
        <v>70</v>
      </c>
      <c r="BP581" s="167" t="s">
        <v>70</v>
      </c>
      <c r="BQ581" s="151" t="s">
        <v>256</v>
      </c>
    </row>
    <row r="582" spans="1:134" s="151" customFormat="1" ht="19.5" customHeight="1" x14ac:dyDescent="0.2">
      <c r="A582" s="117">
        <v>581</v>
      </c>
      <c r="B582" s="121" t="s">
        <v>465</v>
      </c>
      <c r="C582" s="122">
        <v>162500</v>
      </c>
      <c r="D582" s="117" t="s">
        <v>212</v>
      </c>
      <c r="E582" s="117" t="s">
        <v>443</v>
      </c>
      <c r="F582" s="146" t="s">
        <v>256</v>
      </c>
      <c r="G582" s="124" t="s">
        <v>69</v>
      </c>
      <c r="H582" s="93"/>
      <c r="I582" s="93"/>
      <c r="J582" s="92" t="str">
        <f t="shared" si="44"/>
        <v/>
      </c>
      <c r="K582" s="93"/>
      <c r="L582" s="229"/>
      <c r="M582" s="140" t="str">
        <f t="shared" si="43"/>
        <v/>
      </c>
      <c r="N582" s="93"/>
      <c r="O582" s="93"/>
      <c r="P582" s="93"/>
      <c r="Q582" s="167" t="s">
        <v>70</v>
      </c>
      <c r="R582" s="167" t="s">
        <v>70</v>
      </c>
      <c r="S582" s="167" t="s">
        <v>70</v>
      </c>
      <c r="T582" s="167" t="s">
        <v>70</v>
      </c>
      <c r="U582" s="167" t="s">
        <v>70</v>
      </c>
      <c r="V582" s="167" t="s">
        <v>70</v>
      </c>
      <c r="W582" s="167" t="s">
        <v>70</v>
      </c>
      <c r="X582" s="167" t="s">
        <v>70</v>
      </c>
      <c r="Y582" s="167" t="s">
        <v>70</v>
      </c>
      <c r="Z582" s="167" t="s">
        <v>70</v>
      </c>
      <c r="AA582" s="167" t="s">
        <v>70</v>
      </c>
      <c r="AB582" s="167" t="s">
        <v>70</v>
      </c>
      <c r="AC582" s="167" t="s">
        <v>70</v>
      </c>
      <c r="AD582" s="167" t="s">
        <v>70</v>
      </c>
      <c r="AE582" s="167" t="s">
        <v>70</v>
      </c>
      <c r="AF582" s="167" t="s">
        <v>70</v>
      </c>
      <c r="AG582" s="167" t="s">
        <v>70</v>
      </c>
      <c r="AH582" s="167" t="s">
        <v>70</v>
      </c>
      <c r="AI582" s="111">
        <v>45912</v>
      </c>
      <c r="AJ582" s="166" t="s">
        <v>69</v>
      </c>
      <c r="AK582" s="167" t="s">
        <v>70</v>
      </c>
      <c r="AL582" s="167" t="s">
        <v>70</v>
      </c>
      <c r="AM582" s="167"/>
      <c r="AN582" s="167" t="s">
        <v>70</v>
      </c>
      <c r="AO582" s="167" t="s">
        <v>70</v>
      </c>
      <c r="AP582" s="167" t="s">
        <v>70</v>
      </c>
      <c r="AQ582" s="167" t="s">
        <v>70</v>
      </c>
      <c r="AR582" s="166" t="s">
        <v>69</v>
      </c>
      <c r="AS582" s="168">
        <v>46279</v>
      </c>
      <c r="AT582" s="167" t="s">
        <v>70</v>
      </c>
      <c r="AU582" s="167" t="s">
        <v>70</v>
      </c>
      <c r="AV582" s="167" t="s">
        <v>70</v>
      </c>
      <c r="AW582" s="167" t="s">
        <v>70</v>
      </c>
      <c r="AX582" s="167" t="s">
        <v>70</v>
      </c>
      <c r="AY582" s="167" t="s">
        <v>70</v>
      </c>
      <c r="AZ582" s="167" t="s">
        <v>70</v>
      </c>
      <c r="BA582" s="167" t="s">
        <v>70</v>
      </c>
      <c r="BB582" s="167" t="s">
        <v>70</v>
      </c>
      <c r="BC582" s="167" t="s">
        <v>70</v>
      </c>
      <c r="BD582" s="167" t="s">
        <v>70</v>
      </c>
      <c r="BE582" s="167" t="s">
        <v>70</v>
      </c>
      <c r="BF582" s="167" t="s">
        <v>70</v>
      </c>
      <c r="BG582" s="167" t="s">
        <v>70</v>
      </c>
      <c r="BH582" s="167" t="s">
        <v>70</v>
      </c>
      <c r="BI582" s="167" t="s">
        <v>70</v>
      </c>
      <c r="BJ582" s="167" t="s">
        <v>70</v>
      </c>
      <c r="BK582" s="167" t="s">
        <v>70</v>
      </c>
      <c r="BL582" s="167" t="s">
        <v>70</v>
      </c>
      <c r="BM582" s="167" t="s">
        <v>70</v>
      </c>
      <c r="BN582" s="167" t="s">
        <v>70</v>
      </c>
      <c r="BO582" s="167" t="s">
        <v>70</v>
      </c>
      <c r="BP582" s="167" t="s">
        <v>70</v>
      </c>
      <c r="BQ582" s="151" t="s">
        <v>256</v>
      </c>
    </row>
    <row r="583" spans="1:134" s="151" customFormat="1" ht="19.5" customHeight="1" x14ac:dyDescent="0.2">
      <c r="A583" s="117">
        <v>582</v>
      </c>
      <c r="B583" s="121" t="s">
        <v>466</v>
      </c>
      <c r="C583" s="122">
        <v>148198</v>
      </c>
      <c r="D583" s="117" t="s">
        <v>212</v>
      </c>
      <c r="E583" s="117" t="s">
        <v>443</v>
      </c>
      <c r="F583" s="146" t="s">
        <v>256</v>
      </c>
      <c r="G583" s="124" t="s">
        <v>69</v>
      </c>
      <c r="H583" s="93"/>
      <c r="I583" s="93"/>
      <c r="J583" s="92" t="str">
        <f t="shared" si="44"/>
        <v/>
      </c>
      <c r="K583" s="93"/>
      <c r="L583" s="93"/>
      <c r="M583" s="140" t="str">
        <f t="shared" si="43"/>
        <v/>
      </c>
      <c r="N583" s="93"/>
      <c r="O583" s="93"/>
      <c r="P583" s="93"/>
      <c r="Q583" s="167" t="s">
        <v>70</v>
      </c>
      <c r="R583" s="167" t="s">
        <v>70</v>
      </c>
      <c r="S583" s="167" t="s">
        <v>70</v>
      </c>
      <c r="T583" s="167" t="s">
        <v>70</v>
      </c>
      <c r="U583" s="167" t="s">
        <v>70</v>
      </c>
      <c r="V583" s="167" t="s">
        <v>70</v>
      </c>
      <c r="W583" s="167" t="s">
        <v>70</v>
      </c>
      <c r="X583" s="167" t="s">
        <v>70</v>
      </c>
      <c r="Y583" s="167" t="s">
        <v>70</v>
      </c>
      <c r="Z583" s="167" t="s">
        <v>70</v>
      </c>
      <c r="AA583" s="167" t="s">
        <v>70</v>
      </c>
      <c r="AB583" s="167" t="s">
        <v>70</v>
      </c>
      <c r="AC583" s="167" t="s">
        <v>70</v>
      </c>
      <c r="AD583" s="167" t="s">
        <v>70</v>
      </c>
      <c r="AE583" s="167" t="s">
        <v>70</v>
      </c>
      <c r="AF583" s="167" t="s">
        <v>70</v>
      </c>
      <c r="AG583" s="167" t="s">
        <v>70</v>
      </c>
      <c r="AH583" s="167" t="s">
        <v>70</v>
      </c>
      <c r="AI583" s="181">
        <v>45883</v>
      </c>
      <c r="AJ583" s="166" t="s">
        <v>69</v>
      </c>
      <c r="AK583" s="167" t="s">
        <v>70</v>
      </c>
      <c r="AL583" s="167" t="s">
        <v>70</v>
      </c>
      <c r="AM583" s="167"/>
      <c r="AN583" s="167" t="s">
        <v>70</v>
      </c>
      <c r="AO583" s="167" t="s">
        <v>70</v>
      </c>
      <c r="AP583" s="167" t="s">
        <v>70</v>
      </c>
      <c r="AQ583" s="167" t="s">
        <v>70</v>
      </c>
      <c r="AR583" s="166" t="s">
        <v>69</v>
      </c>
      <c r="AS583" s="167" t="s">
        <v>70</v>
      </c>
      <c r="AT583" s="167" t="s">
        <v>70</v>
      </c>
      <c r="AU583" s="167" t="s">
        <v>70</v>
      </c>
      <c r="AV583" s="167" t="s">
        <v>70</v>
      </c>
      <c r="AW583" s="167" t="s">
        <v>70</v>
      </c>
      <c r="AX583" s="167" t="s">
        <v>70</v>
      </c>
      <c r="AY583" s="167" t="s">
        <v>70</v>
      </c>
      <c r="AZ583" s="167" t="s">
        <v>70</v>
      </c>
      <c r="BA583" s="167" t="s">
        <v>70</v>
      </c>
      <c r="BB583" s="167" t="s">
        <v>70</v>
      </c>
      <c r="BC583" s="167" t="s">
        <v>70</v>
      </c>
      <c r="BD583" s="167" t="s">
        <v>70</v>
      </c>
      <c r="BE583" s="167" t="s">
        <v>70</v>
      </c>
      <c r="BF583" s="167" t="s">
        <v>70</v>
      </c>
      <c r="BG583" s="167" t="s">
        <v>70</v>
      </c>
      <c r="BH583" s="167" t="s">
        <v>70</v>
      </c>
      <c r="BI583" s="167" t="s">
        <v>70</v>
      </c>
      <c r="BJ583" s="167" t="s">
        <v>70</v>
      </c>
      <c r="BK583" s="167" t="s">
        <v>70</v>
      </c>
      <c r="BL583" s="167" t="s">
        <v>70</v>
      </c>
      <c r="BM583" s="167" t="s">
        <v>70</v>
      </c>
      <c r="BN583" s="167" t="s">
        <v>70</v>
      </c>
      <c r="BO583" s="167" t="s">
        <v>70</v>
      </c>
      <c r="BP583" s="167" t="s">
        <v>70</v>
      </c>
      <c r="BQ583" s="151" t="s">
        <v>256</v>
      </c>
    </row>
    <row r="584" spans="1:134" s="151" customFormat="1" ht="19.5" customHeight="1" x14ac:dyDescent="0.2">
      <c r="A584" s="117">
        <v>583</v>
      </c>
      <c r="B584" s="121" t="s">
        <v>467</v>
      </c>
      <c r="C584" s="122">
        <v>162496</v>
      </c>
      <c r="D584" s="117" t="s">
        <v>212</v>
      </c>
      <c r="E584" s="117" t="s">
        <v>443</v>
      </c>
      <c r="F584" s="146" t="s">
        <v>256</v>
      </c>
      <c r="G584" s="124" t="s">
        <v>69</v>
      </c>
      <c r="H584" s="93"/>
      <c r="I584" s="93"/>
      <c r="J584" s="92" t="str">
        <f t="shared" si="44"/>
        <v/>
      </c>
      <c r="K584" s="93"/>
      <c r="L584" s="229"/>
      <c r="M584" s="140" t="str">
        <f t="shared" si="43"/>
        <v/>
      </c>
      <c r="N584" s="93"/>
      <c r="O584" s="93"/>
      <c r="P584" s="93"/>
      <c r="Q584" s="167" t="s">
        <v>70</v>
      </c>
      <c r="R584" s="167" t="s">
        <v>70</v>
      </c>
      <c r="S584" s="167" t="s">
        <v>70</v>
      </c>
      <c r="T584" s="167" t="s">
        <v>70</v>
      </c>
      <c r="U584" s="167" t="s">
        <v>70</v>
      </c>
      <c r="V584" s="167" t="s">
        <v>70</v>
      </c>
      <c r="W584" s="167" t="s">
        <v>70</v>
      </c>
      <c r="X584" s="167" t="s">
        <v>70</v>
      </c>
      <c r="Y584" s="167" t="s">
        <v>70</v>
      </c>
      <c r="Z584" s="167" t="s">
        <v>70</v>
      </c>
      <c r="AA584" s="167" t="s">
        <v>70</v>
      </c>
      <c r="AB584" s="167" t="s">
        <v>70</v>
      </c>
      <c r="AC584" s="167" t="s">
        <v>70</v>
      </c>
      <c r="AD584" s="167" t="s">
        <v>70</v>
      </c>
      <c r="AE584" s="167" t="s">
        <v>70</v>
      </c>
      <c r="AF584" s="167" t="s">
        <v>70</v>
      </c>
      <c r="AG584" s="167" t="s">
        <v>70</v>
      </c>
      <c r="AH584" s="167" t="s">
        <v>70</v>
      </c>
      <c r="AI584" s="111">
        <v>45919</v>
      </c>
      <c r="AJ584" s="166" t="s">
        <v>69</v>
      </c>
      <c r="AK584" s="167" t="s">
        <v>70</v>
      </c>
      <c r="AL584" s="167" t="s">
        <v>70</v>
      </c>
      <c r="AM584" s="167"/>
      <c r="AN584" s="167" t="s">
        <v>70</v>
      </c>
      <c r="AO584" s="167" t="s">
        <v>70</v>
      </c>
      <c r="AP584" s="167" t="s">
        <v>70</v>
      </c>
      <c r="AQ584" s="167" t="s">
        <v>70</v>
      </c>
      <c r="AR584" s="166" t="s">
        <v>69</v>
      </c>
      <c r="AS584" s="167" t="s">
        <v>70</v>
      </c>
      <c r="AT584" s="167" t="s">
        <v>70</v>
      </c>
      <c r="AU584" s="167" t="s">
        <v>70</v>
      </c>
      <c r="AV584" s="167" t="s">
        <v>70</v>
      </c>
      <c r="AW584" s="167" t="s">
        <v>70</v>
      </c>
      <c r="AX584" s="167" t="s">
        <v>70</v>
      </c>
      <c r="AY584" s="167" t="s">
        <v>70</v>
      </c>
      <c r="AZ584" s="167" t="s">
        <v>70</v>
      </c>
      <c r="BA584" s="167" t="s">
        <v>70</v>
      </c>
      <c r="BB584" s="167" t="s">
        <v>70</v>
      </c>
      <c r="BC584" s="167" t="s">
        <v>70</v>
      </c>
      <c r="BD584" s="167" t="s">
        <v>70</v>
      </c>
      <c r="BE584" s="167" t="s">
        <v>70</v>
      </c>
      <c r="BF584" s="167" t="s">
        <v>70</v>
      </c>
      <c r="BG584" s="167" t="s">
        <v>70</v>
      </c>
      <c r="BH584" s="167" t="s">
        <v>70</v>
      </c>
      <c r="BI584" s="167" t="s">
        <v>70</v>
      </c>
      <c r="BJ584" s="167" t="s">
        <v>70</v>
      </c>
      <c r="BK584" s="167" t="s">
        <v>70</v>
      </c>
      <c r="BL584" s="167" t="s">
        <v>70</v>
      </c>
      <c r="BM584" s="167" t="s">
        <v>70</v>
      </c>
      <c r="BN584" s="167" t="s">
        <v>70</v>
      </c>
      <c r="BO584" s="167" t="s">
        <v>70</v>
      </c>
      <c r="BP584" s="167" t="s">
        <v>70</v>
      </c>
      <c r="BQ584" s="151" t="s">
        <v>256</v>
      </c>
    </row>
    <row r="585" spans="1:134" s="151" customFormat="1" ht="19.5" customHeight="1" x14ac:dyDescent="0.2">
      <c r="A585" s="117">
        <v>584</v>
      </c>
      <c r="B585" s="121" t="s">
        <v>468</v>
      </c>
      <c r="C585" s="122">
        <v>162509</v>
      </c>
      <c r="D585" s="117" t="s">
        <v>212</v>
      </c>
      <c r="E585" s="117" t="s">
        <v>443</v>
      </c>
      <c r="F585" s="146" t="s">
        <v>256</v>
      </c>
      <c r="G585" s="124" t="s">
        <v>69</v>
      </c>
      <c r="H585" s="93">
        <v>46248</v>
      </c>
      <c r="I585" s="93">
        <v>46248</v>
      </c>
      <c r="J585" s="92">
        <f>IF(I585="", "", DATE(YEAR(I585)+3, MONTH(I585), DAY(I585)))</f>
        <v>47344</v>
      </c>
      <c r="K585" s="93">
        <v>46247</v>
      </c>
      <c r="L585" s="93">
        <v>46247</v>
      </c>
      <c r="M585" s="140">
        <f t="shared" si="43"/>
        <v>47343</v>
      </c>
      <c r="N585" s="93">
        <v>46245</v>
      </c>
      <c r="O585" s="93">
        <v>46258</v>
      </c>
      <c r="P585" s="93">
        <v>46246</v>
      </c>
      <c r="Q585" s="167" t="s">
        <v>70</v>
      </c>
      <c r="R585" s="167" t="s">
        <v>70</v>
      </c>
      <c r="S585" s="167" t="s">
        <v>70</v>
      </c>
      <c r="T585" s="167" t="s">
        <v>70</v>
      </c>
      <c r="U585" s="167" t="s">
        <v>70</v>
      </c>
      <c r="V585" s="167" t="s">
        <v>70</v>
      </c>
      <c r="W585" s="167" t="s">
        <v>70</v>
      </c>
      <c r="X585" s="167" t="s">
        <v>70</v>
      </c>
      <c r="Y585" s="167" t="s">
        <v>70</v>
      </c>
      <c r="Z585" s="167" t="s">
        <v>70</v>
      </c>
      <c r="AA585" s="167" t="s">
        <v>70</v>
      </c>
      <c r="AB585" s="167" t="s">
        <v>70</v>
      </c>
      <c r="AC585" s="167" t="s">
        <v>70</v>
      </c>
      <c r="AD585" s="167" t="s">
        <v>70</v>
      </c>
      <c r="AE585" s="167" t="s">
        <v>70</v>
      </c>
      <c r="AF585" s="167" t="s">
        <v>70</v>
      </c>
      <c r="AG585" s="167" t="s">
        <v>70</v>
      </c>
      <c r="AH585" s="167" t="s">
        <v>70</v>
      </c>
      <c r="AI585" s="111">
        <v>45785</v>
      </c>
      <c r="AJ585" s="166" t="s">
        <v>69</v>
      </c>
      <c r="AK585" s="167" t="s">
        <v>70</v>
      </c>
      <c r="AL585" s="167" t="s">
        <v>70</v>
      </c>
      <c r="AM585" s="167"/>
      <c r="AN585" s="167" t="s">
        <v>70</v>
      </c>
      <c r="AO585" s="167" t="s">
        <v>70</v>
      </c>
      <c r="AP585" s="167" t="s">
        <v>70</v>
      </c>
      <c r="AQ585" s="167" t="s">
        <v>70</v>
      </c>
      <c r="AR585" s="166" t="s">
        <v>69</v>
      </c>
      <c r="AS585" s="167" t="s">
        <v>70</v>
      </c>
      <c r="AT585" s="167" t="s">
        <v>70</v>
      </c>
      <c r="AU585" s="167" t="s">
        <v>70</v>
      </c>
      <c r="AV585" s="167" t="s">
        <v>70</v>
      </c>
      <c r="AW585" s="167" t="s">
        <v>70</v>
      </c>
      <c r="AX585" s="167" t="s">
        <v>70</v>
      </c>
      <c r="AY585" s="167" t="s">
        <v>70</v>
      </c>
      <c r="AZ585" s="167" t="s">
        <v>70</v>
      </c>
      <c r="BA585" s="167" t="s">
        <v>70</v>
      </c>
      <c r="BB585" s="167" t="s">
        <v>70</v>
      </c>
      <c r="BC585" s="167" t="s">
        <v>70</v>
      </c>
      <c r="BD585" s="167" t="s">
        <v>70</v>
      </c>
      <c r="BE585" s="167" t="s">
        <v>70</v>
      </c>
      <c r="BF585" s="167" t="s">
        <v>70</v>
      </c>
      <c r="BG585" s="167" t="s">
        <v>70</v>
      </c>
      <c r="BH585" s="167" t="s">
        <v>70</v>
      </c>
      <c r="BI585" s="167" t="s">
        <v>70</v>
      </c>
      <c r="BJ585" s="167" t="s">
        <v>70</v>
      </c>
      <c r="BK585" s="167" t="s">
        <v>70</v>
      </c>
      <c r="BL585" s="167" t="s">
        <v>70</v>
      </c>
      <c r="BM585" s="167" t="s">
        <v>70</v>
      </c>
      <c r="BN585" s="167" t="s">
        <v>70</v>
      </c>
      <c r="BO585" s="167" t="s">
        <v>70</v>
      </c>
      <c r="BP585" s="167" t="s">
        <v>70</v>
      </c>
      <c r="BQ585" s="151" t="s">
        <v>256</v>
      </c>
    </row>
    <row r="586" spans="1:134" s="151" customFormat="1" ht="19.5" customHeight="1" x14ac:dyDescent="0.2">
      <c r="A586" s="117">
        <v>585</v>
      </c>
      <c r="B586" s="121" t="s">
        <v>469</v>
      </c>
      <c r="C586" s="122">
        <v>148193</v>
      </c>
      <c r="D586" s="117" t="s">
        <v>212</v>
      </c>
      <c r="E586" s="117" t="s">
        <v>443</v>
      </c>
      <c r="F586" s="146" t="s">
        <v>256</v>
      </c>
      <c r="G586" s="124" t="s">
        <v>69</v>
      </c>
      <c r="H586" s="93"/>
      <c r="I586" s="93"/>
      <c r="J586" s="92" t="str">
        <f t="shared" ref="J586:J592" si="45">IF(I586="", "", DATE(YEAR(I586)+3, MONTH(I586), DAY(L586)))</f>
        <v/>
      </c>
      <c r="K586" s="93"/>
      <c r="L586" s="93"/>
      <c r="M586" s="140" t="str">
        <f t="shared" si="43"/>
        <v/>
      </c>
      <c r="N586" s="93"/>
      <c r="O586" s="93"/>
      <c r="P586" s="93"/>
      <c r="Q586" s="167" t="s">
        <v>70</v>
      </c>
      <c r="R586" s="167" t="s">
        <v>70</v>
      </c>
      <c r="S586" s="167" t="s">
        <v>70</v>
      </c>
      <c r="T586" s="167" t="s">
        <v>70</v>
      </c>
      <c r="U586" s="167" t="s">
        <v>70</v>
      </c>
      <c r="V586" s="167" t="s">
        <v>70</v>
      </c>
      <c r="W586" s="167" t="s">
        <v>70</v>
      </c>
      <c r="X586" s="167" t="s">
        <v>70</v>
      </c>
      <c r="Y586" s="167" t="s">
        <v>70</v>
      </c>
      <c r="Z586" s="167" t="s">
        <v>70</v>
      </c>
      <c r="AA586" s="167" t="s">
        <v>70</v>
      </c>
      <c r="AB586" s="167" t="s">
        <v>70</v>
      </c>
      <c r="AC586" s="167" t="s">
        <v>70</v>
      </c>
      <c r="AD586" s="167" t="s">
        <v>70</v>
      </c>
      <c r="AE586" s="167" t="s">
        <v>70</v>
      </c>
      <c r="AF586" s="167" t="s">
        <v>70</v>
      </c>
      <c r="AG586" s="167" t="s">
        <v>70</v>
      </c>
      <c r="AH586" s="167" t="s">
        <v>70</v>
      </c>
      <c r="AI586" s="111">
        <v>45827</v>
      </c>
      <c r="AJ586" s="166" t="s">
        <v>69</v>
      </c>
      <c r="AK586" s="167" t="s">
        <v>70</v>
      </c>
      <c r="AL586" s="167" t="s">
        <v>70</v>
      </c>
      <c r="AM586" s="167"/>
      <c r="AN586" s="167" t="s">
        <v>70</v>
      </c>
      <c r="AO586" s="167" t="s">
        <v>70</v>
      </c>
      <c r="AP586" s="167" t="s">
        <v>70</v>
      </c>
      <c r="AQ586" s="167" t="s">
        <v>70</v>
      </c>
      <c r="AR586" s="166" t="s">
        <v>69</v>
      </c>
      <c r="AS586" s="167" t="s">
        <v>70</v>
      </c>
      <c r="AT586" s="167" t="s">
        <v>70</v>
      </c>
      <c r="AU586" s="167" t="s">
        <v>70</v>
      </c>
      <c r="AV586" s="167" t="s">
        <v>70</v>
      </c>
      <c r="AW586" s="167" t="s">
        <v>70</v>
      </c>
      <c r="AX586" s="167" t="s">
        <v>70</v>
      </c>
      <c r="AY586" s="167" t="s">
        <v>70</v>
      </c>
      <c r="AZ586" s="167" t="s">
        <v>70</v>
      </c>
      <c r="BA586" s="167" t="s">
        <v>70</v>
      </c>
      <c r="BB586" s="167" t="s">
        <v>70</v>
      </c>
      <c r="BC586" s="167" t="s">
        <v>70</v>
      </c>
      <c r="BD586" s="167" t="s">
        <v>70</v>
      </c>
      <c r="BE586" s="167" t="s">
        <v>70</v>
      </c>
      <c r="BF586" s="167" t="s">
        <v>70</v>
      </c>
      <c r="BG586" s="167" t="s">
        <v>70</v>
      </c>
      <c r="BH586" s="167" t="s">
        <v>70</v>
      </c>
      <c r="BI586" s="167" t="s">
        <v>70</v>
      </c>
      <c r="BJ586" s="167" t="s">
        <v>70</v>
      </c>
      <c r="BK586" s="167" t="s">
        <v>70</v>
      </c>
      <c r="BL586" s="167" t="s">
        <v>70</v>
      </c>
      <c r="BM586" s="167" t="s">
        <v>70</v>
      </c>
      <c r="BN586" s="167" t="s">
        <v>70</v>
      </c>
      <c r="BO586" s="167" t="s">
        <v>70</v>
      </c>
      <c r="BP586" s="167" t="s">
        <v>70</v>
      </c>
      <c r="BQ586" s="151" t="s">
        <v>256</v>
      </c>
    </row>
    <row r="587" spans="1:134" s="151" customFormat="1" ht="19.5" customHeight="1" x14ac:dyDescent="0.2">
      <c r="A587" s="117">
        <v>586</v>
      </c>
      <c r="B587" s="121" t="s">
        <v>470</v>
      </c>
      <c r="C587" s="122">
        <v>162498</v>
      </c>
      <c r="D587" s="117" t="s">
        <v>212</v>
      </c>
      <c r="E587" s="117" t="s">
        <v>443</v>
      </c>
      <c r="F587" s="146" t="s">
        <v>256</v>
      </c>
      <c r="G587" s="124" t="s">
        <v>69</v>
      </c>
      <c r="H587" s="93">
        <v>43138</v>
      </c>
      <c r="I587" s="93">
        <v>45798</v>
      </c>
      <c r="J587" s="92">
        <f t="shared" si="45"/>
        <v>46893</v>
      </c>
      <c r="K587" s="93">
        <v>43164</v>
      </c>
      <c r="L587" s="93">
        <v>45797</v>
      </c>
      <c r="M587" s="140">
        <f t="shared" si="43"/>
        <v>46893</v>
      </c>
      <c r="N587" s="93">
        <v>45800</v>
      </c>
      <c r="O587" s="93">
        <v>45799</v>
      </c>
      <c r="P587" s="93">
        <v>45796</v>
      </c>
      <c r="Q587" s="167" t="s">
        <v>70</v>
      </c>
      <c r="R587" s="167" t="s">
        <v>70</v>
      </c>
      <c r="S587" s="167" t="s">
        <v>70</v>
      </c>
      <c r="T587" s="167" t="s">
        <v>70</v>
      </c>
      <c r="U587" s="167" t="s">
        <v>70</v>
      </c>
      <c r="V587" s="167" t="s">
        <v>70</v>
      </c>
      <c r="W587" s="167" t="s">
        <v>70</v>
      </c>
      <c r="X587" s="167" t="s">
        <v>70</v>
      </c>
      <c r="Y587" s="167" t="s">
        <v>70</v>
      </c>
      <c r="Z587" s="167" t="s">
        <v>70</v>
      </c>
      <c r="AA587" s="167" t="s">
        <v>70</v>
      </c>
      <c r="AB587" s="167" t="s">
        <v>70</v>
      </c>
      <c r="AC587" s="167" t="s">
        <v>70</v>
      </c>
      <c r="AD587" s="167" t="s">
        <v>70</v>
      </c>
      <c r="AE587" s="167" t="s">
        <v>70</v>
      </c>
      <c r="AF587" s="167" t="s">
        <v>70</v>
      </c>
      <c r="AG587" s="167" t="s">
        <v>70</v>
      </c>
      <c r="AH587" s="167" t="s">
        <v>70</v>
      </c>
      <c r="AI587" s="111">
        <v>45939</v>
      </c>
      <c r="AJ587" s="166" t="s">
        <v>69</v>
      </c>
      <c r="AK587" s="167" t="s">
        <v>70</v>
      </c>
      <c r="AL587" s="167" t="s">
        <v>70</v>
      </c>
      <c r="AM587" s="167"/>
      <c r="AN587" s="167" t="s">
        <v>70</v>
      </c>
      <c r="AO587" s="167" t="s">
        <v>70</v>
      </c>
      <c r="AP587" s="167" t="s">
        <v>70</v>
      </c>
      <c r="AQ587" s="167" t="s">
        <v>70</v>
      </c>
      <c r="AR587" s="166" t="s">
        <v>69</v>
      </c>
      <c r="AS587" s="167" t="s">
        <v>70</v>
      </c>
      <c r="AT587" s="167" t="s">
        <v>70</v>
      </c>
      <c r="AU587" s="167" t="s">
        <v>70</v>
      </c>
      <c r="AV587" s="167" t="s">
        <v>70</v>
      </c>
      <c r="AW587" s="167" t="s">
        <v>70</v>
      </c>
      <c r="AX587" s="167" t="s">
        <v>70</v>
      </c>
      <c r="AY587" s="167" t="s">
        <v>70</v>
      </c>
      <c r="AZ587" s="167" t="s">
        <v>70</v>
      </c>
      <c r="BA587" s="167" t="s">
        <v>70</v>
      </c>
      <c r="BB587" s="167" t="s">
        <v>70</v>
      </c>
      <c r="BC587" s="167" t="s">
        <v>70</v>
      </c>
      <c r="BD587" s="167" t="s">
        <v>70</v>
      </c>
      <c r="BE587" s="167" t="s">
        <v>70</v>
      </c>
      <c r="BF587" s="167" t="s">
        <v>70</v>
      </c>
      <c r="BG587" s="167" t="s">
        <v>70</v>
      </c>
      <c r="BH587" s="167" t="s">
        <v>70</v>
      </c>
      <c r="BI587" s="167" t="s">
        <v>70</v>
      </c>
      <c r="BJ587" s="167" t="s">
        <v>70</v>
      </c>
      <c r="BK587" s="167" t="s">
        <v>70</v>
      </c>
      <c r="BL587" s="167" t="s">
        <v>70</v>
      </c>
      <c r="BM587" s="167" t="s">
        <v>70</v>
      </c>
      <c r="BN587" s="167" t="s">
        <v>70</v>
      </c>
      <c r="BO587" s="167" t="s">
        <v>70</v>
      </c>
      <c r="BP587" s="167" t="s">
        <v>70</v>
      </c>
      <c r="BQ587" s="151" t="s">
        <v>256</v>
      </c>
    </row>
    <row r="588" spans="1:134" s="151" customFormat="1" ht="19.5" customHeight="1" x14ac:dyDescent="0.2">
      <c r="A588" s="117">
        <v>587</v>
      </c>
      <c r="B588" s="121" t="s">
        <v>471</v>
      </c>
      <c r="C588" s="122">
        <v>148199</v>
      </c>
      <c r="D588" s="117" t="s">
        <v>212</v>
      </c>
      <c r="E588" s="117" t="s">
        <v>443</v>
      </c>
      <c r="F588" s="146" t="s">
        <v>256</v>
      </c>
      <c r="G588" s="124" t="s">
        <v>69</v>
      </c>
      <c r="H588" s="93">
        <v>42219</v>
      </c>
      <c r="I588" s="93">
        <v>45889</v>
      </c>
      <c r="J588" s="92">
        <f t="shared" si="45"/>
        <v>46984</v>
      </c>
      <c r="K588" s="93">
        <v>42219</v>
      </c>
      <c r="L588" s="93">
        <v>45888</v>
      </c>
      <c r="M588" s="140">
        <f t="shared" si="43"/>
        <v>46984</v>
      </c>
      <c r="N588" s="93">
        <v>45891</v>
      </c>
      <c r="O588" s="93">
        <v>45890</v>
      </c>
      <c r="P588" s="93">
        <v>45887</v>
      </c>
      <c r="Q588" s="167" t="s">
        <v>70</v>
      </c>
      <c r="R588" s="167" t="s">
        <v>70</v>
      </c>
      <c r="S588" s="167" t="s">
        <v>70</v>
      </c>
      <c r="T588" s="167" t="s">
        <v>70</v>
      </c>
      <c r="U588" s="167" t="s">
        <v>70</v>
      </c>
      <c r="V588" s="167" t="s">
        <v>70</v>
      </c>
      <c r="W588" s="167" t="s">
        <v>70</v>
      </c>
      <c r="X588" s="167" t="s">
        <v>70</v>
      </c>
      <c r="Y588" s="167" t="s">
        <v>70</v>
      </c>
      <c r="Z588" s="167" t="s">
        <v>70</v>
      </c>
      <c r="AA588" s="167" t="s">
        <v>70</v>
      </c>
      <c r="AB588" s="167" t="s">
        <v>70</v>
      </c>
      <c r="AC588" s="167" t="s">
        <v>70</v>
      </c>
      <c r="AD588" s="167" t="s">
        <v>70</v>
      </c>
      <c r="AE588" s="167" t="s">
        <v>70</v>
      </c>
      <c r="AF588" s="167" t="s">
        <v>70</v>
      </c>
      <c r="AG588" s="167" t="s">
        <v>70</v>
      </c>
      <c r="AH588" s="167" t="s">
        <v>70</v>
      </c>
      <c r="AI588" s="111">
        <v>45727</v>
      </c>
      <c r="AJ588" s="166" t="s">
        <v>69</v>
      </c>
      <c r="AK588" s="167" t="s">
        <v>70</v>
      </c>
      <c r="AL588" s="167" t="s">
        <v>70</v>
      </c>
      <c r="AM588" s="167"/>
      <c r="AN588" s="167" t="s">
        <v>70</v>
      </c>
      <c r="AO588" s="167" t="s">
        <v>70</v>
      </c>
      <c r="AP588" s="167" t="s">
        <v>70</v>
      </c>
      <c r="AQ588" s="167" t="s">
        <v>70</v>
      </c>
      <c r="AR588" s="166" t="s">
        <v>69</v>
      </c>
      <c r="AS588" s="167" t="s">
        <v>70</v>
      </c>
      <c r="AT588" s="167" t="s">
        <v>70</v>
      </c>
      <c r="AU588" s="167" t="s">
        <v>70</v>
      </c>
      <c r="AV588" s="167" t="s">
        <v>70</v>
      </c>
      <c r="AW588" s="167" t="s">
        <v>70</v>
      </c>
      <c r="AX588" s="167" t="s">
        <v>70</v>
      </c>
      <c r="AY588" s="167" t="s">
        <v>70</v>
      </c>
      <c r="AZ588" s="167" t="s">
        <v>70</v>
      </c>
      <c r="BA588" s="167" t="s">
        <v>70</v>
      </c>
      <c r="BB588" s="167" t="s">
        <v>70</v>
      </c>
      <c r="BC588" s="167" t="s">
        <v>70</v>
      </c>
      <c r="BD588" s="167" t="s">
        <v>70</v>
      </c>
      <c r="BE588" s="167" t="s">
        <v>70</v>
      </c>
      <c r="BF588" s="167" t="s">
        <v>70</v>
      </c>
      <c r="BG588" s="167" t="s">
        <v>70</v>
      </c>
      <c r="BH588" s="167" t="s">
        <v>70</v>
      </c>
      <c r="BI588" s="167" t="s">
        <v>70</v>
      </c>
      <c r="BJ588" s="167" t="s">
        <v>70</v>
      </c>
      <c r="BK588" s="167" t="s">
        <v>70</v>
      </c>
      <c r="BL588" s="167" t="s">
        <v>70</v>
      </c>
      <c r="BM588" s="167" t="s">
        <v>70</v>
      </c>
      <c r="BN588" s="167" t="s">
        <v>70</v>
      </c>
      <c r="BO588" s="167" t="s">
        <v>70</v>
      </c>
      <c r="BP588" s="167" t="s">
        <v>70</v>
      </c>
      <c r="BQ588" s="151" t="s">
        <v>256</v>
      </c>
    </row>
    <row r="589" spans="1:134" s="151" customFormat="1" ht="19.5" customHeight="1" x14ac:dyDescent="0.2">
      <c r="A589" s="117">
        <v>588</v>
      </c>
      <c r="B589" s="121" t="s">
        <v>472</v>
      </c>
      <c r="C589" s="122">
        <v>162504</v>
      </c>
      <c r="D589" s="117" t="s">
        <v>212</v>
      </c>
      <c r="E589" s="117" t="s">
        <v>443</v>
      </c>
      <c r="F589" s="146" t="s">
        <v>256</v>
      </c>
      <c r="G589" s="124" t="s">
        <v>69</v>
      </c>
      <c r="H589" s="93">
        <v>43131</v>
      </c>
      <c r="I589" s="93">
        <v>45828</v>
      </c>
      <c r="J589" s="92">
        <f t="shared" si="45"/>
        <v>46923</v>
      </c>
      <c r="K589" s="93">
        <v>43164</v>
      </c>
      <c r="L589" s="93">
        <v>45827</v>
      </c>
      <c r="M589" s="140">
        <f t="shared" si="43"/>
        <v>46923</v>
      </c>
      <c r="N589" s="93">
        <v>45825</v>
      </c>
      <c r="O589" s="93">
        <v>45824</v>
      </c>
      <c r="P589" s="93">
        <v>45826</v>
      </c>
      <c r="Q589" s="167" t="s">
        <v>70</v>
      </c>
      <c r="R589" s="167" t="s">
        <v>70</v>
      </c>
      <c r="S589" s="167" t="s">
        <v>70</v>
      </c>
      <c r="T589" s="167" t="s">
        <v>70</v>
      </c>
      <c r="U589" s="167" t="s">
        <v>70</v>
      </c>
      <c r="V589" s="167" t="s">
        <v>70</v>
      </c>
      <c r="W589" s="167" t="s">
        <v>70</v>
      </c>
      <c r="X589" s="167" t="s">
        <v>70</v>
      </c>
      <c r="Y589" s="167" t="s">
        <v>70</v>
      </c>
      <c r="Z589" s="167" t="s">
        <v>70</v>
      </c>
      <c r="AA589" s="167" t="s">
        <v>70</v>
      </c>
      <c r="AB589" s="167" t="s">
        <v>70</v>
      </c>
      <c r="AC589" s="167" t="s">
        <v>70</v>
      </c>
      <c r="AD589" s="167" t="s">
        <v>70</v>
      </c>
      <c r="AE589" s="167" t="s">
        <v>70</v>
      </c>
      <c r="AF589" s="167" t="s">
        <v>70</v>
      </c>
      <c r="AG589" s="167" t="s">
        <v>70</v>
      </c>
      <c r="AH589" s="167" t="s">
        <v>70</v>
      </c>
      <c r="AI589" s="111">
        <v>45722</v>
      </c>
      <c r="AJ589" s="166" t="s">
        <v>69</v>
      </c>
      <c r="AK589" s="167" t="s">
        <v>70</v>
      </c>
      <c r="AL589" s="167" t="s">
        <v>70</v>
      </c>
      <c r="AM589" s="167"/>
      <c r="AN589" s="167" t="s">
        <v>70</v>
      </c>
      <c r="AO589" s="167" t="s">
        <v>70</v>
      </c>
      <c r="AP589" s="167" t="s">
        <v>70</v>
      </c>
      <c r="AQ589" s="167" t="s">
        <v>70</v>
      </c>
      <c r="AR589" s="166" t="s">
        <v>69</v>
      </c>
      <c r="AS589" s="167" t="s">
        <v>70</v>
      </c>
      <c r="AT589" s="167" t="s">
        <v>70</v>
      </c>
      <c r="AU589" s="167" t="s">
        <v>70</v>
      </c>
      <c r="AV589" s="167" t="s">
        <v>70</v>
      </c>
      <c r="AW589" s="167" t="s">
        <v>70</v>
      </c>
      <c r="AX589" s="167" t="s">
        <v>70</v>
      </c>
      <c r="AY589" s="167" t="s">
        <v>70</v>
      </c>
      <c r="AZ589" s="167" t="s">
        <v>70</v>
      </c>
      <c r="BA589" s="167" t="s">
        <v>70</v>
      </c>
      <c r="BB589" s="167" t="s">
        <v>70</v>
      </c>
      <c r="BC589" s="167" t="s">
        <v>70</v>
      </c>
      <c r="BD589" s="167" t="s">
        <v>70</v>
      </c>
      <c r="BE589" s="167" t="s">
        <v>70</v>
      </c>
      <c r="BF589" s="167" t="s">
        <v>70</v>
      </c>
      <c r="BG589" s="167" t="s">
        <v>70</v>
      </c>
      <c r="BH589" s="167" t="s">
        <v>70</v>
      </c>
      <c r="BI589" s="167" t="s">
        <v>70</v>
      </c>
      <c r="BJ589" s="167" t="s">
        <v>70</v>
      </c>
      <c r="BK589" s="167" t="s">
        <v>70</v>
      </c>
      <c r="BL589" s="167" t="s">
        <v>70</v>
      </c>
      <c r="BM589" s="167" t="s">
        <v>70</v>
      </c>
      <c r="BN589" s="167" t="s">
        <v>70</v>
      </c>
      <c r="BO589" s="167" t="s">
        <v>70</v>
      </c>
      <c r="BP589" s="167" t="s">
        <v>70</v>
      </c>
      <c r="BQ589" s="151" t="s">
        <v>256</v>
      </c>
    </row>
    <row r="590" spans="1:134" s="151" customFormat="1" ht="19.5" customHeight="1" x14ac:dyDescent="0.2">
      <c r="A590" s="117">
        <v>589</v>
      </c>
      <c r="B590" s="121" t="s">
        <v>473</v>
      </c>
      <c r="C590" s="122">
        <v>83121092</v>
      </c>
      <c r="D590" s="117" t="s">
        <v>212</v>
      </c>
      <c r="E590" s="117" t="s">
        <v>443</v>
      </c>
      <c r="F590" s="146" t="s">
        <v>256</v>
      </c>
      <c r="G590" s="124" t="s">
        <v>69</v>
      </c>
      <c r="H590" s="93"/>
      <c r="I590" s="93"/>
      <c r="J590" s="92" t="str">
        <f t="shared" si="45"/>
        <v/>
      </c>
      <c r="K590" s="93"/>
      <c r="L590" s="93"/>
      <c r="M590" s="140" t="str">
        <f t="shared" si="43"/>
        <v/>
      </c>
      <c r="N590" s="93"/>
      <c r="O590" s="93"/>
      <c r="P590" s="93"/>
      <c r="Q590" s="167" t="s">
        <v>70</v>
      </c>
      <c r="R590" s="167" t="s">
        <v>70</v>
      </c>
      <c r="S590" s="167" t="s">
        <v>70</v>
      </c>
      <c r="T590" s="167" t="s">
        <v>70</v>
      </c>
      <c r="U590" s="167" t="s">
        <v>70</v>
      </c>
      <c r="V590" s="167" t="s">
        <v>70</v>
      </c>
      <c r="W590" s="167" t="s">
        <v>70</v>
      </c>
      <c r="X590" s="167" t="s">
        <v>70</v>
      </c>
      <c r="Y590" s="167" t="s">
        <v>70</v>
      </c>
      <c r="Z590" s="167" t="s">
        <v>70</v>
      </c>
      <c r="AA590" s="167" t="s">
        <v>70</v>
      </c>
      <c r="AB590" s="167" t="s">
        <v>70</v>
      </c>
      <c r="AC590" s="167" t="s">
        <v>70</v>
      </c>
      <c r="AD590" s="167" t="s">
        <v>70</v>
      </c>
      <c r="AE590" s="167" t="s">
        <v>70</v>
      </c>
      <c r="AF590" s="167" t="s">
        <v>70</v>
      </c>
      <c r="AG590" s="167" t="s">
        <v>70</v>
      </c>
      <c r="AH590" s="167" t="s">
        <v>70</v>
      </c>
      <c r="AI590" s="111">
        <v>45799</v>
      </c>
      <c r="AJ590" s="166" t="s">
        <v>69</v>
      </c>
      <c r="AK590" s="167" t="s">
        <v>70</v>
      </c>
      <c r="AL590" s="167" t="s">
        <v>70</v>
      </c>
      <c r="AM590" s="167"/>
      <c r="AN590" s="167" t="s">
        <v>70</v>
      </c>
      <c r="AO590" s="167" t="s">
        <v>70</v>
      </c>
      <c r="AP590" s="167" t="s">
        <v>70</v>
      </c>
      <c r="AQ590" s="167" t="s">
        <v>70</v>
      </c>
      <c r="AR590" s="166" t="s">
        <v>69</v>
      </c>
      <c r="AS590" s="167" t="s">
        <v>70</v>
      </c>
      <c r="AT590" s="167" t="s">
        <v>70</v>
      </c>
      <c r="AU590" s="167" t="s">
        <v>70</v>
      </c>
      <c r="AV590" s="167" t="s">
        <v>70</v>
      </c>
      <c r="AW590" s="167" t="s">
        <v>70</v>
      </c>
      <c r="AX590" s="167" t="s">
        <v>70</v>
      </c>
      <c r="AY590" s="167" t="s">
        <v>70</v>
      </c>
      <c r="AZ590" s="167" t="s">
        <v>70</v>
      </c>
      <c r="BA590" s="167" t="s">
        <v>70</v>
      </c>
      <c r="BB590" s="167" t="s">
        <v>70</v>
      </c>
      <c r="BC590" s="167" t="s">
        <v>70</v>
      </c>
      <c r="BD590" s="167" t="s">
        <v>70</v>
      </c>
      <c r="BE590" s="167" t="s">
        <v>70</v>
      </c>
      <c r="BF590" s="167" t="s">
        <v>70</v>
      </c>
      <c r="BG590" s="167" t="s">
        <v>70</v>
      </c>
      <c r="BH590" s="167" t="s">
        <v>70</v>
      </c>
      <c r="BI590" s="167" t="s">
        <v>70</v>
      </c>
      <c r="BJ590" s="167" t="s">
        <v>70</v>
      </c>
      <c r="BK590" s="167" t="s">
        <v>70</v>
      </c>
      <c r="BL590" s="167" t="s">
        <v>70</v>
      </c>
      <c r="BM590" s="167" t="s">
        <v>70</v>
      </c>
      <c r="BN590" s="167" t="s">
        <v>70</v>
      </c>
      <c r="BO590" s="167" t="s">
        <v>70</v>
      </c>
      <c r="BP590" s="167" t="s">
        <v>70</v>
      </c>
      <c r="BQ590" s="151" t="s">
        <v>256</v>
      </c>
    </row>
    <row r="591" spans="1:134" s="151" customFormat="1" ht="19.5" customHeight="1" x14ac:dyDescent="0.2">
      <c r="A591" s="117">
        <v>590</v>
      </c>
      <c r="B591" s="121" t="s">
        <v>474</v>
      </c>
      <c r="C591" s="122">
        <v>148205</v>
      </c>
      <c r="D591" s="117" t="s">
        <v>212</v>
      </c>
      <c r="E591" s="117" t="s">
        <v>443</v>
      </c>
      <c r="F591" s="146" t="s">
        <v>256</v>
      </c>
      <c r="G591" s="124" t="s">
        <v>69</v>
      </c>
      <c r="H591" s="93">
        <v>42226</v>
      </c>
      <c r="I591" s="93">
        <v>46134</v>
      </c>
      <c r="J591" s="92">
        <f t="shared" si="45"/>
        <v>47229</v>
      </c>
      <c r="K591" s="93">
        <v>42220</v>
      </c>
      <c r="L591" s="93">
        <v>46133</v>
      </c>
      <c r="M591" s="140">
        <f t="shared" si="43"/>
        <v>47229</v>
      </c>
      <c r="N591" s="93">
        <v>46130</v>
      </c>
      <c r="O591" s="93">
        <v>46131</v>
      </c>
      <c r="P591" s="93">
        <v>46132</v>
      </c>
      <c r="Q591" s="167" t="s">
        <v>70</v>
      </c>
      <c r="R591" s="167" t="s">
        <v>70</v>
      </c>
      <c r="S591" s="167" t="s">
        <v>70</v>
      </c>
      <c r="T591" s="167" t="s">
        <v>70</v>
      </c>
      <c r="U591" s="167" t="s">
        <v>70</v>
      </c>
      <c r="V591" s="167" t="s">
        <v>70</v>
      </c>
      <c r="W591" s="167" t="s">
        <v>70</v>
      </c>
      <c r="X591" s="167" t="s">
        <v>70</v>
      </c>
      <c r="Y591" s="167" t="s">
        <v>70</v>
      </c>
      <c r="Z591" s="167" t="s">
        <v>70</v>
      </c>
      <c r="AA591" s="167" t="s">
        <v>70</v>
      </c>
      <c r="AB591" s="167" t="s">
        <v>70</v>
      </c>
      <c r="AC591" s="167" t="s">
        <v>70</v>
      </c>
      <c r="AD591" s="167" t="s">
        <v>70</v>
      </c>
      <c r="AE591" s="167" t="s">
        <v>70</v>
      </c>
      <c r="AF591" s="167" t="s">
        <v>70</v>
      </c>
      <c r="AG591" s="167" t="s">
        <v>70</v>
      </c>
      <c r="AH591" s="167" t="s">
        <v>70</v>
      </c>
      <c r="AI591" s="181">
        <v>45855</v>
      </c>
      <c r="AJ591" s="166" t="s">
        <v>69</v>
      </c>
      <c r="AK591" s="167" t="s">
        <v>70</v>
      </c>
      <c r="AL591" s="167" t="s">
        <v>70</v>
      </c>
      <c r="AM591" s="167"/>
      <c r="AN591" s="167" t="s">
        <v>70</v>
      </c>
      <c r="AO591" s="167" t="s">
        <v>70</v>
      </c>
      <c r="AP591" s="167" t="s">
        <v>70</v>
      </c>
      <c r="AQ591" s="167" t="s">
        <v>70</v>
      </c>
      <c r="AR591" s="166" t="s">
        <v>69</v>
      </c>
      <c r="AS591" s="167" t="s">
        <v>70</v>
      </c>
      <c r="AT591" s="167" t="s">
        <v>70</v>
      </c>
      <c r="AU591" s="167" t="s">
        <v>70</v>
      </c>
      <c r="AV591" s="167" t="s">
        <v>70</v>
      </c>
      <c r="AW591" s="167" t="s">
        <v>70</v>
      </c>
      <c r="AX591" s="167" t="s">
        <v>70</v>
      </c>
      <c r="AY591" s="167" t="s">
        <v>70</v>
      </c>
      <c r="AZ591" s="167" t="s">
        <v>70</v>
      </c>
      <c r="BA591" s="167" t="s">
        <v>70</v>
      </c>
      <c r="BB591" s="167" t="s">
        <v>70</v>
      </c>
      <c r="BC591" s="167" t="s">
        <v>70</v>
      </c>
      <c r="BD591" s="167" t="s">
        <v>70</v>
      </c>
      <c r="BE591" s="167" t="s">
        <v>70</v>
      </c>
      <c r="BF591" s="167" t="s">
        <v>70</v>
      </c>
      <c r="BG591" s="167" t="s">
        <v>70</v>
      </c>
      <c r="BH591" s="167" t="s">
        <v>70</v>
      </c>
      <c r="BI591" s="167" t="s">
        <v>70</v>
      </c>
      <c r="BJ591" s="167" t="s">
        <v>70</v>
      </c>
      <c r="BK591" s="167" t="s">
        <v>70</v>
      </c>
      <c r="BL591" s="167" t="s">
        <v>70</v>
      </c>
      <c r="BM591" s="167" t="s">
        <v>70</v>
      </c>
      <c r="BN591" s="167" t="s">
        <v>70</v>
      </c>
      <c r="BO591" s="167" t="s">
        <v>70</v>
      </c>
      <c r="BP591" s="167" t="s">
        <v>70</v>
      </c>
      <c r="BQ591" s="151" t="s">
        <v>256</v>
      </c>
    </row>
    <row r="592" spans="1:134" s="151" customFormat="1" ht="19.5" customHeight="1" x14ac:dyDescent="0.2">
      <c r="A592" s="117">
        <v>591</v>
      </c>
      <c r="B592" s="121" t="s">
        <v>475</v>
      </c>
      <c r="C592" s="122">
        <v>148191</v>
      </c>
      <c r="D592" s="117" t="s">
        <v>212</v>
      </c>
      <c r="E592" s="117" t="s">
        <v>443</v>
      </c>
      <c r="F592" s="146" t="s">
        <v>256</v>
      </c>
      <c r="G592" s="124" t="s">
        <v>69</v>
      </c>
      <c r="H592" s="93">
        <v>42219</v>
      </c>
      <c r="I592" s="93">
        <v>45989</v>
      </c>
      <c r="J592" s="92">
        <f t="shared" si="45"/>
        <v>47084</v>
      </c>
      <c r="K592" s="93">
        <v>42219</v>
      </c>
      <c r="L592" s="93">
        <v>45988</v>
      </c>
      <c r="M592" s="140">
        <f t="shared" si="43"/>
        <v>47084</v>
      </c>
      <c r="N592" s="93">
        <v>45985</v>
      </c>
      <c r="O592" s="93">
        <v>45987</v>
      </c>
      <c r="P592" s="190">
        <v>46006</v>
      </c>
      <c r="Q592" s="167" t="s">
        <v>70</v>
      </c>
      <c r="R592" s="167" t="s">
        <v>70</v>
      </c>
      <c r="S592" s="167" t="s">
        <v>70</v>
      </c>
      <c r="T592" s="167" t="s">
        <v>70</v>
      </c>
      <c r="U592" s="167" t="s">
        <v>70</v>
      </c>
      <c r="V592" s="167" t="s">
        <v>70</v>
      </c>
      <c r="W592" s="167" t="s">
        <v>70</v>
      </c>
      <c r="X592" s="167" t="s">
        <v>70</v>
      </c>
      <c r="Y592" s="167" t="s">
        <v>70</v>
      </c>
      <c r="Z592" s="167" t="s">
        <v>70</v>
      </c>
      <c r="AA592" s="167" t="s">
        <v>70</v>
      </c>
      <c r="AB592" s="167" t="s">
        <v>70</v>
      </c>
      <c r="AC592" s="167" t="s">
        <v>70</v>
      </c>
      <c r="AD592" s="167" t="s">
        <v>70</v>
      </c>
      <c r="AE592" s="167" t="s">
        <v>70</v>
      </c>
      <c r="AF592" s="167" t="s">
        <v>70</v>
      </c>
      <c r="AG592" s="167" t="s">
        <v>70</v>
      </c>
      <c r="AH592" s="167" t="s">
        <v>70</v>
      </c>
      <c r="AI592" s="186">
        <v>45769</v>
      </c>
      <c r="AJ592" s="166" t="s">
        <v>69</v>
      </c>
      <c r="AK592" s="167" t="s">
        <v>70</v>
      </c>
      <c r="AL592" s="167" t="s">
        <v>70</v>
      </c>
      <c r="AM592" s="167"/>
      <c r="AN592" s="167" t="s">
        <v>70</v>
      </c>
      <c r="AO592" s="167" t="s">
        <v>70</v>
      </c>
      <c r="AP592" s="167" t="s">
        <v>70</v>
      </c>
      <c r="AQ592" s="167" t="s">
        <v>70</v>
      </c>
      <c r="AR592" s="166" t="s">
        <v>69</v>
      </c>
      <c r="AS592" s="167" t="s">
        <v>70</v>
      </c>
      <c r="AT592" s="167" t="s">
        <v>70</v>
      </c>
      <c r="AU592" s="167" t="s">
        <v>70</v>
      </c>
      <c r="AV592" s="167" t="s">
        <v>70</v>
      </c>
      <c r="AW592" s="167" t="s">
        <v>70</v>
      </c>
      <c r="AX592" s="167" t="s">
        <v>70</v>
      </c>
      <c r="AY592" s="167" t="s">
        <v>70</v>
      </c>
      <c r="AZ592" s="167" t="s">
        <v>70</v>
      </c>
      <c r="BA592" s="167" t="s">
        <v>70</v>
      </c>
      <c r="BB592" s="167" t="s">
        <v>70</v>
      </c>
      <c r="BC592" s="167" t="s">
        <v>70</v>
      </c>
      <c r="BD592" s="167" t="s">
        <v>70</v>
      </c>
      <c r="BE592" s="167" t="s">
        <v>70</v>
      </c>
      <c r="BF592" s="167" t="s">
        <v>70</v>
      </c>
      <c r="BG592" s="167" t="s">
        <v>70</v>
      </c>
      <c r="BH592" s="167" t="s">
        <v>70</v>
      </c>
      <c r="BI592" s="167" t="s">
        <v>70</v>
      </c>
      <c r="BJ592" s="167" t="s">
        <v>70</v>
      </c>
      <c r="BK592" s="167" t="s">
        <v>70</v>
      </c>
      <c r="BL592" s="167" t="s">
        <v>70</v>
      </c>
      <c r="BM592" s="167" t="s">
        <v>70</v>
      </c>
      <c r="BN592" s="167" t="s">
        <v>70</v>
      </c>
      <c r="BO592" s="167" t="s">
        <v>70</v>
      </c>
      <c r="BP592" s="167" t="s">
        <v>70</v>
      </c>
      <c r="BQ592" s="151" t="s">
        <v>256</v>
      </c>
      <c r="BR592" s="142"/>
      <c r="BS592" s="142"/>
      <c r="BT592" s="142"/>
      <c r="BU592" s="142"/>
      <c r="BV592" s="142"/>
      <c r="BW592" s="142"/>
      <c r="BX592" s="142"/>
      <c r="BY592" s="142"/>
      <c r="BZ592" s="142"/>
      <c r="CA592" s="142"/>
      <c r="CB592" s="142"/>
      <c r="CC592" s="142"/>
      <c r="CD592" s="142"/>
      <c r="CE592" s="142"/>
      <c r="CF592" s="142"/>
      <c r="CG592" s="142"/>
      <c r="CH592" s="142"/>
      <c r="CI592" s="142"/>
      <c r="CJ592" s="142"/>
      <c r="CK592" s="142"/>
      <c r="CL592" s="142"/>
      <c r="CM592" s="142"/>
      <c r="CN592" s="142"/>
      <c r="CO592" s="142"/>
      <c r="CP592" s="142"/>
      <c r="CQ592" s="142"/>
      <c r="CR592" s="142"/>
      <c r="CS592" s="142"/>
      <c r="CT592" s="142"/>
      <c r="CU592" s="142"/>
      <c r="CV592" s="142"/>
      <c r="CW592" s="142"/>
      <c r="CX592" s="142"/>
      <c r="CY592" s="142"/>
      <c r="CZ592" s="142"/>
      <c r="DA592" s="142"/>
      <c r="DB592" s="142"/>
      <c r="DC592" s="142"/>
      <c r="DD592" s="142"/>
      <c r="DE592" s="142"/>
      <c r="DF592" s="142"/>
      <c r="DG592" s="142"/>
      <c r="DH592" s="142"/>
      <c r="DI592" s="142"/>
      <c r="DJ592" s="142"/>
      <c r="DK592" s="142"/>
      <c r="DL592" s="142"/>
      <c r="DM592" s="142"/>
      <c r="DN592" s="142"/>
      <c r="DO592" s="142"/>
      <c r="DP592" s="142"/>
      <c r="DQ592" s="142"/>
      <c r="DR592" s="142"/>
      <c r="DS592" s="142"/>
      <c r="DT592" s="142"/>
      <c r="DU592" s="142"/>
      <c r="DV592" s="142"/>
      <c r="DW592" s="142"/>
      <c r="DX592" s="142"/>
      <c r="DY592" s="142"/>
      <c r="DZ592" s="142"/>
      <c r="EA592" s="142"/>
      <c r="EB592" s="142"/>
      <c r="EC592" s="142"/>
      <c r="ED592" s="142"/>
    </row>
    <row r="593" spans="1:135" s="151" customFormat="1" ht="19.5" customHeight="1" x14ac:dyDescent="0.2">
      <c r="A593" s="117">
        <v>592</v>
      </c>
      <c r="B593" s="161" t="s">
        <v>614</v>
      </c>
      <c r="C593" s="161">
        <v>83123693</v>
      </c>
      <c r="D593" s="171" t="s">
        <v>615</v>
      </c>
      <c r="E593" s="144" t="s">
        <v>480</v>
      </c>
      <c r="F593" s="146" t="s">
        <v>208</v>
      </c>
      <c r="G593" s="89">
        <v>42499</v>
      </c>
      <c r="H593" s="89">
        <v>44545</v>
      </c>
      <c r="I593" s="89">
        <v>46107</v>
      </c>
      <c r="J593" s="162">
        <f t="shared" ref="J593:J599" si="46">IF(I593="", "", DATE(YEAR(I593)+2, MONTH(I593), DAY(I593)))</f>
        <v>46838</v>
      </c>
      <c r="K593" s="89">
        <v>42324</v>
      </c>
      <c r="L593" s="89">
        <v>46083</v>
      </c>
      <c r="M593" s="163">
        <f t="shared" ref="M593:M599" si="47">IF(L593="", "", DATE(YEAR(L593)+2, MONTH(L593), DAY(L593)))</f>
        <v>46814</v>
      </c>
      <c r="N593" s="175">
        <v>40707</v>
      </c>
      <c r="O593" s="175">
        <v>40708</v>
      </c>
      <c r="P593" s="175">
        <v>83123693</v>
      </c>
      <c r="Q593" s="165" t="s">
        <v>69</v>
      </c>
      <c r="R593" s="165" t="s">
        <v>69</v>
      </c>
      <c r="S593" s="165" t="s">
        <v>69</v>
      </c>
      <c r="T593" s="112">
        <v>43095</v>
      </c>
      <c r="U593" s="165" t="s">
        <v>69</v>
      </c>
      <c r="V593" s="181">
        <v>43896</v>
      </c>
      <c r="W593" s="165" t="s">
        <v>69</v>
      </c>
      <c r="X593" s="181">
        <v>43665</v>
      </c>
      <c r="Y593" s="181">
        <v>42143</v>
      </c>
      <c r="Z593" s="181">
        <v>44386</v>
      </c>
      <c r="AA593" s="94">
        <v>45772</v>
      </c>
      <c r="AB593" s="166" t="s">
        <v>69</v>
      </c>
      <c r="AC593" s="166" t="s">
        <v>69</v>
      </c>
      <c r="AD593" s="167" t="s">
        <v>71</v>
      </c>
      <c r="AE593" s="167" t="s">
        <v>70</v>
      </c>
      <c r="AF593" s="94">
        <v>45665</v>
      </c>
      <c r="AG593" s="181">
        <v>44785</v>
      </c>
      <c r="AH593" s="167" t="s">
        <v>71</v>
      </c>
      <c r="AI593" s="167" t="s">
        <v>70</v>
      </c>
      <c r="AJ593" s="167" t="s">
        <v>70</v>
      </c>
      <c r="AK593" s="167" t="s">
        <v>70</v>
      </c>
      <c r="AL593" s="166" t="s">
        <v>69</v>
      </c>
      <c r="AM593" s="166"/>
      <c r="AN593" s="168" t="s">
        <v>69</v>
      </c>
      <c r="AO593" s="167" t="s">
        <v>70</v>
      </c>
      <c r="AP593" s="166" t="s">
        <v>69</v>
      </c>
      <c r="AQ593" s="166" t="s">
        <v>69</v>
      </c>
      <c r="AR593" s="166" t="s">
        <v>69</v>
      </c>
      <c r="AS593" s="166" t="s">
        <v>69</v>
      </c>
      <c r="AT593" s="166" t="s">
        <v>69</v>
      </c>
      <c r="AU593" s="166" t="s">
        <v>69</v>
      </c>
      <c r="AV593" s="166" t="s">
        <v>69</v>
      </c>
      <c r="AW593" s="167" t="s">
        <v>70</v>
      </c>
      <c r="AX593" s="167" t="s">
        <v>70</v>
      </c>
      <c r="AY593" s="166" t="s">
        <v>69</v>
      </c>
      <c r="AZ593" s="166" t="s">
        <v>69</v>
      </c>
      <c r="BA593" s="166" t="s">
        <v>69</v>
      </c>
      <c r="BB593" s="167" t="s">
        <v>70</v>
      </c>
      <c r="BC593" s="167" t="s">
        <v>70</v>
      </c>
      <c r="BD593" s="167" t="s">
        <v>70</v>
      </c>
      <c r="BE593" s="167" t="s">
        <v>70</v>
      </c>
      <c r="BF593" s="167" t="s">
        <v>70</v>
      </c>
      <c r="BG593" s="169" t="s">
        <v>70</v>
      </c>
      <c r="BH593" s="169" t="s">
        <v>70</v>
      </c>
      <c r="BI593" s="169" t="s">
        <v>70</v>
      </c>
      <c r="BJ593" s="167" t="s">
        <v>70</v>
      </c>
      <c r="BK593" s="167" t="s">
        <v>70</v>
      </c>
      <c r="BL593" s="167" t="s">
        <v>70</v>
      </c>
      <c r="BM593" s="167" t="s">
        <v>70</v>
      </c>
      <c r="BN593" s="167" t="s">
        <v>70</v>
      </c>
      <c r="BO593" s="167" t="s">
        <v>70</v>
      </c>
      <c r="BP593" s="167" t="s">
        <v>70</v>
      </c>
      <c r="BQ593" s="151">
        <v>0</v>
      </c>
      <c r="BR593" s="142"/>
      <c r="BS593" s="142"/>
      <c r="BT593" s="142"/>
      <c r="BU593" s="142"/>
      <c r="BV593" s="142"/>
      <c r="BW593" s="142"/>
      <c r="BX593" s="142"/>
      <c r="BY593" s="142"/>
      <c r="BZ593" s="142"/>
      <c r="CA593" s="142"/>
      <c r="CB593" s="142"/>
      <c r="CC593" s="142"/>
      <c r="CD593" s="142"/>
      <c r="CE593" s="142"/>
      <c r="CF593" s="142"/>
      <c r="CG593" s="142"/>
      <c r="CH593" s="142"/>
      <c r="CI593" s="142"/>
      <c r="CJ593" s="142"/>
      <c r="CK593" s="142"/>
      <c r="CL593" s="142"/>
      <c r="CM593" s="142"/>
      <c r="CN593" s="142"/>
      <c r="CO593" s="142"/>
      <c r="CP593" s="142"/>
      <c r="CQ593" s="142"/>
      <c r="CR593" s="142"/>
      <c r="CS593" s="142"/>
      <c r="CT593" s="142"/>
      <c r="CU593" s="142"/>
      <c r="CV593" s="142"/>
      <c r="CW593" s="142"/>
      <c r="CX593" s="142"/>
      <c r="CY593" s="142"/>
      <c r="CZ593" s="142"/>
      <c r="DA593" s="142"/>
      <c r="DB593" s="142"/>
      <c r="DC593" s="142"/>
      <c r="DD593" s="142"/>
      <c r="DE593" s="142"/>
      <c r="DF593" s="142"/>
      <c r="DG593" s="142"/>
      <c r="DH593" s="142"/>
      <c r="DI593" s="142"/>
      <c r="DJ593" s="142"/>
      <c r="DK593" s="142"/>
      <c r="DL593" s="142"/>
      <c r="DM593" s="142"/>
      <c r="DN593" s="142"/>
      <c r="DO593" s="142"/>
      <c r="DP593" s="142"/>
      <c r="DQ593" s="142"/>
      <c r="DR593" s="142"/>
      <c r="DS593" s="142"/>
      <c r="DT593" s="142"/>
      <c r="DU593" s="142"/>
      <c r="DV593" s="142"/>
      <c r="DW593" s="142"/>
      <c r="DX593" s="142"/>
      <c r="DY593" s="142"/>
      <c r="DZ593" s="142"/>
      <c r="EA593" s="142"/>
      <c r="EB593" s="142"/>
      <c r="EC593" s="142"/>
      <c r="ED593" s="142"/>
      <c r="EE593" s="142"/>
    </row>
    <row r="594" spans="1:135" s="151" customFormat="1" ht="19.5" customHeight="1" x14ac:dyDescent="0.2">
      <c r="A594" s="117">
        <v>593</v>
      </c>
      <c r="B594" s="161" t="s">
        <v>618</v>
      </c>
      <c r="C594" s="161">
        <v>83123695</v>
      </c>
      <c r="D594" s="171" t="s">
        <v>619</v>
      </c>
      <c r="E594" s="144" t="s">
        <v>480</v>
      </c>
      <c r="F594" s="146" t="s">
        <v>208</v>
      </c>
      <c r="G594" s="89">
        <v>42601</v>
      </c>
      <c r="H594" s="89">
        <v>41402</v>
      </c>
      <c r="I594" s="89">
        <v>46065</v>
      </c>
      <c r="J594" s="162">
        <f t="shared" si="46"/>
        <v>46795</v>
      </c>
      <c r="K594" s="89">
        <v>45350</v>
      </c>
      <c r="L594" s="89">
        <v>46113</v>
      </c>
      <c r="M594" s="163">
        <f t="shared" si="47"/>
        <v>46844</v>
      </c>
      <c r="N594" s="89">
        <v>42500</v>
      </c>
      <c r="O594" s="89">
        <v>42501</v>
      </c>
      <c r="P594" s="89">
        <v>42502</v>
      </c>
      <c r="Q594" s="165" t="s">
        <v>69</v>
      </c>
      <c r="R594" s="165" t="s">
        <v>69</v>
      </c>
      <c r="S594" s="165" t="s">
        <v>69</v>
      </c>
      <c r="T594" s="112">
        <v>46059</v>
      </c>
      <c r="U594" s="165" t="s">
        <v>69</v>
      </c>
      <c r="V594" s="181">
        <v>44512</v>
      </c>
      <c r="W594" s="165" t="s">
        <v>69</v>
      </c>
      <c r="X594" s="181">
        <v>42409</v>
      </c>
      <c r="Y594" s="181">
        <v>42338</v>
      </c>
      <c r="Z594" s="181">
        <v>44414</v>
      </c>
      <c r="AA594" s="112">
        <v>46146</v>
      </c>
      <c r="AB594" s="166" t="s">
        <v>69</v>
      </c>
      <c r="AC594" s="166" t="s">
        <v>69</v>
      </c>
      <c r="AD594" s="167" t="s">
        <v>71</v>
      </c>
      <c r="AE594" s="167" t="s">
        <v>70</v>
      </c>
      <c r="AF594" s="94">
        <v>46133</v>
      </c>
      <c r="AG594" s="181">
        <v>44876</v>
      </c>
      <c r="AH594" s="167" t="s">
        <v>71</v>
      </c>
      <c r="AI594" s="167" t="s">
        <v>70</v>
      </c>
      <c r="AJ594" s="167" t="s">
        <v>70</v>
      </c>
      <c r="AK594" s="167" t="s">
        <v>70</v>
      </c>
      <c r="AL594" s="166" t="s">
        <v>69</v>
      </c>
      <c r="AM594" s="166"/>
      <c r="AN594" s="166" t="s">
        <v>69</v>
      </c>
      <c r="AO594" s="167" t="s">
        <v>70</v>
      </c>
      <c r="AP594" s="168">
        <v>46127</v>
      </c>
      <c r="AQ594" s="166" t="s">
        <v>69</v>
      </c>
      <c r="AR594" s="168">
        <v>46090</v>
      </c>
      <c r="AS594" s="166" t="s">
        <v>69</v>
      </c>
      <c r="AT594" s="166" t="s">
        <v>69</v>
      </c>
      <c r="AU594" s="166" t="s">
        <v>69</v>
      </c>
      <c r="AV594" s="166" t="s">
        <v>69</v>
      </c>
      <c r="AW594" s="167" t="s">
        <v>70</v>
      </c>
      <c r="AX594" s="167" t="s">
        <v>70</v>
      </c>
      <c r="AY594" s="166" t="s">
        <v>69</v>
      </c>
      <c r="AZ594" s="166" t="s">
        <v>69</v>
      </c>
      <c r="BA594" s="166" t="s">
        <v>69</v>
      </c>
      <c r="BB594" s="167" t="s">
        <v>70</v>
      </c>
      <c r="BC594" s="167" t="s">
        <v>70</v>
      </c>
      <c r="BD594" s="167" t="s">
        <v>70</v>
      </c>
      <c r="BE594" s="167" t="s">
        <v>70</v>
      </c>
      <c r="BF594" s="167" t="s">
        <v>70</v>
      </c>
      <c r="BG594" s="169" t="s">
        <v>70</v>
      </c>
      <c r="BH594" s="169" t="s">
        <v>70</v>
      </c>
      <c r="BI594" s="169" t="s">
        <v>70</v>
      </c>
      <c r="BJ594" s="167" t="s">
        <v>70</v>
      </c>
      <c r="BK594" s="167" t="s">
        <v>70</v>
      </c>
      <c r="BL594" s="167" t="s">
        <v>70</v>
      </c>
      <c r="BM594" s="167" t="s">
        <v>70</v>
      </c>
      <c r="BN594" s="167" t="s">
        <v>70</v>
      </c>
      <c r="BO594" s="167" t="s">
        <v>70</v>
      </c>
      <c r="BP594" s="167" t="s">
        <v>70</v>
      </c>
      <c r="BQ594" s="151">
        <v>0</v>
      </c>
      <c r="BR594" s="142"/>
      <c r="BS594" s="142"/>
      <c r="BT594" s="142"/>
      <c r="BU594" s="142"/>
      <c r="BV594" s="142"/>
      <c r="BW594" s="142"/>
      <c r="BX594" s="142"/>
      <c r="BY594" s="142"/>
      <c r="BZ594" s="142"/>
      <c r="CA594" s="142"/>
      <c r="CB594" s="142"/>
      <c r="CC594" s="142"/>
      <c r="CD594" s="142"/>
      <c r="CE594" s="142"/>
      <c r="CF594" s="142"/>
      <c r="CG594" s="142"/>
      <c r="CH594" s="142"/>
      <c r="CI594" s="142"/>
      <c r="CJ594" s="142"/>
      <c r="CK594" s="142"/>
      <c r="CL594" s="142"/>
      <c r="CM594" s="142"/>
      <c r="CN594" s="142"/>
      <c r="CO594" s="142"/>
      <c r="CP594" s="142"/>
      <c r="CQ594" s="142"/>
      <c r="CR594" s="142"/>
      <c r="CS594" s="142"/>
      <c r="CT594" s="142"/>
      <c r="CU594" s="142"/>
      <c r="CV594" s="142"/>
      <c r="CW594" s="142"/>
      <c r="CX594" s="142"/>
      <c r="CY594" s="142"/>
      <c r="CZ594" s="142"/>
      <c r="DA594" s="142"/>
      <c r="DB594" s="142"/>
      <c r="DC594" s="142"/>
      <c r="DD594" s="142"/>
      <c r="DE594" s="142"/>
      <c r="DF594" s="142"/>
      <c r="DG594" s="142"/>
      <c r="DH594" s="142"/>
      <c r="DI594" s="142"/>
      <c r="DJ594" s="142"/>
      <c r="DK594" s="142"/>
      <c r="DL594" s="142"/>
      <c r="DM594" s="142"/>
      <c r="DN594" s="142"/>
      <c r="DO594" s="142"/>
      <c r="DP594" s="142"/>
      <c r="DQ594" s="142"/>
      <c r="DR594" s="142"/>
      <c r="DS594" s="142"/>
      <c r="DT594" s="142"/>
      <c r="DU594" s="142"/>
      <c r="DV594" s="142"/>
      <c r="DW594" s="142"/>
      <c r="DX594" s="142"/>
      <c r="DY594" s="142"/>
      <c r="DZ594" s="142"/>
      <c r="EA594" s="142"/>
      <c r="EB594" s="142"/>
      <c r="EC594" s="142"/>
      <c r="ED594" s="142"/>
      <c r="EE594" s="142"/>
    </row>
    <row r="595" spans="1:135" s="151" customFormat="1" ht="19.5" customHeight="1" x14ac:dyDescent="0.2">
      <c r="A595" s="117">
        <v>594</v>
      </c>
      <c r="B595" s="161" t="s">
        <v>627</v>
      </c>
      <c r="C595" s="161">
        <v>84087817</v>
      </c>
      <c r="D595" s="161" t="s">
        <v>628</v>
      </c>
      <c r="E595" s="144" t="s">
        <v>480</v>
      </c>
      <c r="F595" s="146" t="s">
        <v>208</v>
      </c>
      <c r="G595" s="124" t="s">
        <v>69</v>
      </c>
      <c r="H595" s="89">
        <v>45348</v>
      </c>
      <c r="I595" s="89">
        <v>46105</v>
      </c>
      <c r="J595" s="162">
        <f t="shared" si="46"/>
        <v>46836</v>
      </c>
      <c r="K595" s="89">
        <v>44620</v>
      </c>
      <c r="L595" s="89">
        <v>46090</v>
      </c>
      <c r="M595" s="163">
        <f t="shared" si="47"/>
        <v>46821</v>
      </c>
      <c r="N595" s="175">
        <v>40707</v>
      </c>
      <c r="O595" s="175">
        <v>40708</v>
      </c>
      <c r="P595" s="175">
        <v>40708</v>
      </c>
      <c r="Q595" s="181">
        <v>42661</v>
      </c>
      <c r="R595" s="165" t="s">
        <v>69</v>
      </c>
      <c r="S595" s="165" t="s">
        <v>69</v>
      </c>
      <c r="T595" s="181">
        <v>43553</v>
      </c>
      <c r="U595" s="112">
        <v>46300</v>
      </c>
      <c r="V595" s="112">
        <v>43495</v>
      </c>
      <c r="W595" s="165" t="s">
        <v>69</v>
      </c>
      <c r="X595" s="181">
        <v>42409</v>
      </c>
      <c r="Y595" s="181">
        <v>42258</v>
      </c>
      <c r="Z595" s="181">
        <v>43721</v>
      </c>
      <c r="AA595" s="94">
        <v>45772</v>
      </c>
      <c r="AB595" s="166" t="s">
        <v>69</v>
      </c>
      <c r="AC595" s="166" t="s">
        <v>69</v>
      </c>
      <c r="AD595" s="167" t="s">
        <v>71</v>
      </c>
      <c r="AE595" s="167" t="s">
        <v>70</v>
      </c>
      <c r="AF595" s="112">
        <v>45965</v>
      </c>
      <c r="AG595" s="166" t="s">
        <v>69</v>
      </c>
      <c r="AH595" s="167" t="s">
        <v>71</v>
      </c>
      <c r="AI595" s="167" t="s">
        <v>70</v>
      </c>
      <c r="AJ595" s="167" t="s">
        <v>70</v>
      </c>
      <c r="AK595" s="167" t="s">
        <v>70</v>
      </c>
      <c r="AL595" s="166" t="s">
        <v>69</v>
      </c>
      <c r="AM595" s="166"/>
      <c r="AN595" s="166" t="s">
        <v>69</v>
      </c>
      <c r="AO595" s="167" t="s">
        <v>70</v>
      </c>
      <c r="AP595" s="168">
        <v>46127</v>
      </c>
      <c r="AQ595" s="166" t="s">
        <v>69</v>
      </c>
      <c r="AR595" s="168">
        <v>46119</v>
      </c>
      <c r="AS595" s="166" t="s">
        <v>69</v>
      </c>
      <c r="AT595" s="166" t="s">
        <v>69</v>
      </c>
      <c r="AU595" s="166" t="s">
        <v>69</v>
      </c>
      <c r="AV595" s="166" t="s">
        <v>69</v>
      </c>
      <c r="AW595" s="167" t="s">
        <v>70</v>
      </c>
      <c r="AX595" s="167" t="s">
        <v>70</v>
      </c>
      <c r="AY595" s="166" t="s">
        <v>69</v>
      </c>
      <c r="AZ595" s="166" t="s">
        <v>69</v>
      </c>
      <c r="BA595" s="166" t="s">
        <v>69</v>
      </c>
      <c r="BB595" s="167" t="s">
        <v>70</v>
      </c>
      <c r="BC595" s="167" t="s">
        <v>70</v>
      </c>
      <c r="BD595" s="167" t="s">
        <v>70</v>
      </c>
      <c r="BE595" s="167" t="s">
        <v>70</v>
      </c>
      <c r="BF595" s="167" t="s">
        <v>70</v>
      </c>
      <c r="BG595" s="169" t="s">
        <v>70</v>
      </c>
      <c r="BH595" s="169" t="s">
        <v>70</v>
      </c>
      <c r="BI595" s="169" t="s">
        <v>70</v>
      </c>
      <c r="BJ595" s="167" t="s">
        <v>70</v>
      </c>
      <c r="BK595" s="167" t="s">
        <v>70</v>
      </c>
      <c r="BL595" s="167" t="s">
        <v>70</v>
      </c>
      <c r="BM595" s="167" t="s">
        <v>70</v>
      </c>
      <c r="BN595" s="167" t="s">
        <v>70</v>
      </c>
      <c r="BO595" s="167" t="s">
        <v>70</v>
      </c>
      <c r="BP595" s="167" t="s">
        <v>70</v>
      </c>
      <c r="BQ595" s="151">
        <v>0</v>
      </c>
      <c r="BR595" s="142"/>
      <c r="BS595" s="142"/>
      <c r="BT595" s="142"/>
      <c r="BU595" s="142"/>
      <c r="BV595" s="142"/>
      <c r="BW595" s="142"/>
      <c r="BX595" s="142"/>
      <c r="BY595" s="142"/>
      <c r="BZ595" s="142"/>
      <c r="CA595" s="142"/>
      <c r="CB595" s="142"/>
      <c r="CC595" s="142"/>
      <c r="CD595" s="142"/>
      <c r="CE595" s="142"/>
      <c r="CF595" s="142"/>
      <c r="CG595" s="142"/>
      <c r="CH595" s="142"/>
      <c r="CI595" s="142"/>
      <c r="CJ595" s="142"/>
      <c r="CK595" s="142"/>
      <c r="CL595" s="142"/>
      <c r="CM595" s="142"/>
      <c r="CN595" s="142"/>
      <c r="CO595" s="142"/>
      <c r="CP595" s="142"/>
      <c r="CQ595" s="142"/>
      <c r="CR595" s="142"/>
      <c r="CS595" s="142"/>
      <c r="CT595" s="142"/>
      <c r="CU595" s="142"/>
      <c r="CV595" s="142"/>
      <c r="CW595" s="142"/>
      <c r="CX595" s="142"/>
      <c r="CY595" s="142"/>
      <c r="CZ595" s="142"/>
      <c r="DA595" s="142"/>
      <c r="DB595" s="142"/>
      <c r="DC595" s="142"/>
      <c r="DD595" s="142"/>
      <c r="DE595" s="142"/>
      <c r="DF595" s="142"/>
      <c r="DG595" s="142"/>
      <c r="DH595" s="142"/>
      <c r="DI595" s="142"/>
      <c r="DJ595" s="142"/>
      <c r="DK595" s="142"/>
      <c r="DL595" s="142"/>
      <c r="DM595" s="142"/>
      <c r="DN595" s="142"/>
      <c r="DO595" s="142"/>
      <c r="DP595" s="142"/>
      <c r="DQ595" s="142"/>
      <c r="DR595" s="142"/>
      <c r="DS595" s="142"/>
      <c r="DT595" s="142"/>
      <c r="DU595" s="142"/>
      <c r="DV595" s="142"/>
      <c r="DW595" s="142"/>
      <c r="DX595" s="142"/>
      <c r="DY595" s="142"/>
      <c r="DZ595" s="142"/>
      <c r="EA595" s="142"/>
      <c r="EB595" s="142"/>
      <c r="EC595" s="142"/>
      <c r="ED595" s="142"/>
      <c r="EE595" s="142"/>
    </row>
    <row r="596" spans="1:135" s="151" customFormat="1" ht="19.5" customHeight="1" x14ac:dyDescent="0.2">
      <c r="A596" s="117">
        <v>595</v>
      </c>
      <c r="B596" s="161" t="s">
        <v>659</v>
      </c>
      <c r="C596" s="161">
        <v>84087806</v>
      </c>
      <c r="D596" s="159" t="s">
        <v>660</v>
      </c>
      <c r="E596" s="117" t="s">
        <v>480</v>
      </c>
      <c r="F596" s="146" t="s">
        <v>208</v>
      </c>
      <c r="G596" s="172">
        <v>40980</v>
      </c>
      <c r="H596" s="172">
        <v>40980</v>
      </c>
      <c r="I596" s="172">
        <v>46081</v>
      </c>
      <c r="J596" s="162">
        <f t="shared" si="46"/>
        <v>46811</v>
      </c>
      <c r="K596" s="111">
        <v>40949</v>
      </c>
      <c r="L596" s="111">
        <v>46090</v>
      </c>
      <c r="M596" s="163">
        <f t="shared" si="47"/>
        <v>46821</v>
      </c>
      <c r="N596" s="111">
        <v>40702</v>
      </c>
      <c r="O596" s="111">
        <v>40702</v>
      </c>
      <c r="P596" s="111">
        <v>40702</v>
      </c>
      <c r="Q596" s="165" t="s">
        <v>69</v>
      </c>
      <c r="R596" s="165" t="s">
        <v>69</v>
      </c>
      <c r="S596" s="165" t="s">
        <v>69</v>
      </c>
      <c r="T596" s="165" t="s">
        <v>69</v>
      </c>
      <c r="U596" s="112">
        <v>43602</v>
      </c>
      <c r="V596" s="165" t="s">
        <v>69</v>
      </c>
      <c r="W596" s="94">
        <v>44498</v>
      </c>
      <c r="X596" s="94">
        <v>42076</v>
      </c>
      <c r="Y596" s="94">
        <v>41088</v>
      </c>
      <c r="Z596" s="94">
        <v>43434</v>
      </c>
      <c r="AA596" s="112">
        <v>45965</v>
      </c>
      <c r="AB596" s="94">
        <v>41092</v>
      </c>
      <c r="AC596" s="166" t="s">
        <v>69</v>
      </c>
      <c r="AD596" s="167" t="s">
        <v>70</v>
      </c>
      <c r="AE596" s="167" t="s">
        <v>70</v>
      </c>
      <c r="AF596" s="94">
        <v>45965</v>
      </c>
      <c r="AG596" s="293">
        <v>44785</v>
      </c>
      <c r="AH596" s="167" t="s">
        <v>71</v>
      </c>
      <c r="AI596" s="167" t="s">
        <v>70</v>
      </c>
      <c r="AJ596" s="167" t="s">
        <v>70</v>
      </c>
      <c r="AK596" s="167" t="s">
        <v>70</v>
      </c>
      <c r="AL596" s="166" t="s">
        <v>69</v>
      </c>
      <c r="AM596" s="166"/>
      <c r="AN596" s="168" t="s">
        <v>69</v>
      </c>
      <c r="AO596" s="167" t="s">
        <v>70</v>
      </c>
      <c r="AP596" s="166" t="s">
        <v>69</v>
      </c>
      <c r="AQ596" s="166" t="s">
        <v>69</v>
      </c>
      <c r="AR596" s="168">
        <v>46184</v>
      </c>
      <c r="AS596" s="166" t="s">
        <v>69</v>
      </c>
      <c r="AT596" s="111">
        <v>43593</v>
      </c>
      <c r="AU596" s="166" t="s">
        <v>69</v>
      </c>
      <c r="AV596" s="166" t="s">
        <v>69</v>
      </c>
      <c r="AW596" s="167" t="s">
        <v>70</v>
      </c>
      <c r="AX596" s="167" t="s">
        <v>70</v>
      </c>
      <c r="AY596" s="166" t="s">
        <v>69</v>
      </c>
      <c r="AZ596" s="166" t="s">
        <v>69</v>
      </c>
      <c r="BA596" s="166" t="s">
        <v>69</v>
      </c>
      <c r="BB596" s="167" t="s">
        <v>70</v>
      </c>
      <c r="BC596" s="167" t="s">
        <v>70</v>
      </c>
      <c r="BD596" s="167" t="s">
        <v>70</v>
      </c>
      <c r="BE596" s="167" t="s">
        <v>70</v>
      </c>
      <c r="BF596" s="167" t="s">
        <v>70</v>
      </c>
      <c r="BG596" s="169" t="s">
        <v>70</v>
      </c>
      <c r="BH596" s="169" t="s">
        <v>70</v>
      </c>
      <c r="BI596" s="169" t="s">
        <v>70</v>
      </c>
      <c r="BJ596" s="167" t="s">
        <v>70</v>
      </c>
      <c r="BK596" s="167" t="s">
        <v>70</v>
      </c>
      <c r="BL596" s="167" t="s">
        <v>70</v>
      </c>
      <c r="BM596" s="167" t="s">
        <v>70</v>
      </c>
      <c r="BN596" s="167" t="s">
        <v>70</v>
      </c>
      <c r="BO596" s="167" t="s">
        <v>70</v>
      </c>
      <c r="BP596" s="167" t="s">
        <v>70</v>
      </c>
      <c r="BQ596" s="151">
        <v>0</v>
      </c>
      <c r="BR596" s="142"/>
      <c r="BS596" s="142"/>
      <c r="BT596" s="142"/>
      <c r="BU596" s="142"/>
      <c r="BV596" s="142"/>
      <c r="BW596" s="142"/>
      <c r="BX596" s="142"/>
      <c r="BY596" s="142"/>
      <c r="BZ596" s="142"/>
      <c r="CA596" s="142"/>
      <c r="CB596" s="142"/>
      <c r="CC596" s="142"/>
      <c r="CD596" s="142"/>
      <c r="CE596" s="142"/>
      <c r="CF596" s="142"/>
      <c r="CG596" s="142"/>
      <c r="CH596" s="142"/>
      <c r="CI596" s="142"/>
      <c r="CJ596" s="142"/>
      <c r="CK596" s="142"/>
      <c r="CL596" s="142"/>
      <c r="CM596" s="142"/>
      <c r="CN596" s="142"/>
      <c r="CO596" s="142"/>
      <c r="CP596" s="142"/>
      <c r="CQ596" s="142"/>
      <c r="CR596" s="142"/>
      <c r="CS596" s="142"/>
      <c r="CT596" s="142"/>
      <c r="CU596" s="142"/>
      <c r="CV596" s="142"/>
      <c r="CW596" s="142"/>
      <c r="CX596" s="142"/>
      <c r="CY596" s="142"/>
      <c r="CZ596" s="142"/>
      <c r="DA596" s="142"/>
      <c r="DB596" s="142"/>
      <c r="DC596" s="142"/>
      <c r="DD596" s="142"/>
      <c r="DE596" s="142"/>
      <c r="DF596" s="142"/>
      <c r="DG596" s="142"/>
      <c r="DH596" s="142"/>
      <c r="DI596" s="142"/>
      <c r="DJ596" s="142"/>
      <c r="DK596" s="142"/>
      <c r="DL596" s="142"/>
      <c r="DM596" s="142"/>
      <c r="DN596" s="142"/>
      <c r="DO596" s="142"/>
      <c r="DP596" s="142"/>
      <c r="DQ596" s="142"/>
      <c r="DR596" s="142"/>
      <c r="DS596" s="142"/>
      <c r="DT596" s="142"/>
      <c r="DU596" s="142"/>
      <c r="DV596" s="142"/>
      <c r="DW596" s="142"/>
      <c r="DX596" s="142"/>
      <c r="DY596" s="142"/>
      <c r="DZ596" s="142"/>
      <c r="EA596" s="142"/>
      <c r="EB596" s="142"/>
      <c r="EC596" s="142"/>
      <c r="ED596" s="142"/>
      <c r="EE596" s="142"/>
    </row>
    <row r="597" spans="1:135" s="151" customFormat="1" ht="19.5" customHeight="1" x14ac:dyDescent="0.2">
      <c r="A597" s="117">
        <v>596</v>
      </c>
      <c r="B597" s="117" t="s">
        <v>611</v>
      </c>
      <c r="C597" s="117">
        <v>143398</v>
      </c>
      <c r="D597" s="117" t="s">
        <v>73</v>
      </c>
      <c r="E597" s="144" t="s">
        <v>480</v>
      </c>
      <c r="F597" s="146" t="s">
        <v>208</v>
      </c>
      <c r="G597" s="89">
        <v>42657</v>
      </c>
      <c r="H597" s="89">
        <v>42520</v>
      </c>
      <c r="I597" s="89">
        <v>46079</v>
      </c>
      <c r="J597" s="162">
        <f t="shared" si="46"/>
        <v>46809</v>
      </c>
      <c r="K597" s="89">
        <v>42501</v>
      </c>
      <c r="L597" s="89">
        <v>46113</v>
      </c>
      <c r="M597" s="163">
        <f t="shared" si="47"/>
        <v>46844</v>
      </c>
      <c r="N597" s="89">
        <v>42423</v>
      </c>
      <c r="O597" s="89">
        <v>42424</v>
      </c>
      <c r="P597" s="89">
        <v>42424</v>
      </c>
      <c r="Q597" s="166" t="s">
        <v>69</v>
      </c>
      <c r="R597" s="89">
        <v>42628</v>
      </c>
      <c r="S597" s="89">
        <v>43358</v>
      </c>
      <c r="T597" s="166" t="s">
        <v>69</v>
      </c>
      <c r="U597" s="166" t="s">
        <v>69</v>
      </c>
      <c r="V597" s="166" t="s">
        <v>69</v>
      </c>
      <c r="W597" s="166" t="s">
        <v>69</v>
      </c>
      <c r="X597" s="181">
        <v>42541</v>
      </c>
      <c r="Y597" s="181">
        <v>42458</v>
      </c>
      <c r="Z597" s="181">
        <v>44456</v>
      </c>
      <c r="AA597" s="94">
        <v>45695</v>
      </c>
      <c r="AB597" s="166" t="s">
        <v>69</v>
      </c>
      <c r="AC597" s="166" t="s">
        <v>69</v>
      </c>
      <c r="AD597" s="167" t="s">
        <v>71</v>
      </c>
      <c r="AE597" s="167" t="s">
        <v>70</v>
      </c>
      <c r="AF597" s="112">
        <v>45672</v>
      </c>
      <c r="AG597" s="112" t="s">
        <v>69</v>
      </c>
      <c r="AH597" s="167" t="s">
        <v>71</v>
      </c>
      <c r="AI597" s="167" t="s">
        <v>70</v>
      </c>
      <c r="AJ597" s="167" t="s">
        <v>70</v>
      </c>
      <c r="AK597" s="167" t="s">
        <v>70</v>
      </c>
      <c r="AL597" s="166" t="s">
        <v>69</v>
      </c>
      <c r="AM597" s="166"/>
      <c r="AN597" s="166" t="s">
        <v>69</v>
      </c>
      <c r="AO597" s="167" t="s">
        <v>70</v>
      </c>
      <c r="AP597" s="166" t="s">
        <v>69</v>
      </c>
      <c r="AQ597" s="166" t="s">
        <v>69</v>
      </c>
      <c r="AR597" s="166" t="s">
        <v>69</v>
      </c>
      <c r="AS597" s="166" t="s">
        <v>69</v>
      </c>
      <c r="AT597" s="166" t="s">
        <v>69</v>
      </c>
      <c r="AU597" s="166" t="s">
        <v>69</v>
      </c>
      <c r="AV597" s="166" t="s">
        <v>69</v>
      </c>
      <c r="AW597" s="166" t="s">
        <v>69</v>
      </c>
      <c r="AX597" s="166" t="s">
        <v>69</v>
      </c>
      <c r="AY597" s="166" t="s">
        <v>69</v>
      </c>
      <c r="AZ597" s="166" t="s">
        <v>69</v>
      </c>
      <c r="BA597" s="166" t="s">
        <v>69</v>
      </c>
      <c r="BB597" s="166" t="s">
        <v>69</v>
      </c>
      <c r="BC597" s="166" t="s">
        <v>69</v>
      </c>
      <c r="BD597" s="166" t="s">
        <v>69</v>
      </c>
      <c r="BE597" s="166" t="s">
        <v>69</v>
      </c>
      <c r="BF597" s="166" t="s">
        <v>69</v>
      </c>
      <c r="BG597" s="167" t="s">
        <v>70</v>
      </c>
      <c r="BH597" s="166" t="s">
        <v>69</v>
      </c>
      <c r="BI597" s="166" t="s">
        <v>69</v>
      </c>
      <c r="BJ597" s="167" t="s">
        <v>70</v>
      </c>
      <c r="BK597" s="166" t="s">
        <v>69</v>
      </c>
      <c r="BL597" s="167" t="s">
        <v>70</v>
      </c>
      <c r="BM597" s="167" t="s">
        <v>70</v>
      </c>
      <c r="BN597" s="167" t="s">
        <v>70</v>
      </c>
      <c r="BO597" s="167" t="s">
        <v>70</v>
      </c>
      <c r="BP597" s="167" t="s">
        <v>70</v>
      </c>
      <c r="BQ597" s="151">
        <v>0</v>
      </c>
      <c r="BR597" s="142"/>
      <c r="BS597" s="142"/>
      <c r="BT597" s="142"/>
      <c r="BU597" s="142"/>
      <c r="BV597" s="142"/>
      <c r="BW597" s="142"/>
      <c r="BX597" s="142"/>
      <c r="BY597" s="142"/>
      <c r="BZ597" s="142"/>
      <c r="CA597" s="142"/>
      <c r="CB597" s="142"/>
      <c r="CC597" s="142"/>
      <c r="CD597" s="142"/>
      <c r="CE597" s="142"/>
      <c r="CF597" s="142"/>
      <c r="CG597" s="142"/>
      <c r="CH597" s="142"/>
      <c r="CI597" s="142"/>
      <c r="CJ597" s="142"/>
      <c r="CK597" s="142"/>
      <c r="CL597" s="142"/>
      <c r="CM597" s="142"/>
      <c r="CN597" s="142"/>
      <c r="CO597" s="142"/>
      <c r="CP597" s="142"/>
      <c r="CQ597" s="142"/>
      <c r="CR597" s="142"/>
      <c r="CS597" s="142"/>
      <c r="CT597" s="142"/>
      <c r="CU597" s="142"/>
      <c r="CV597" s="142"/>
      <c r="CW597" s="142"/>
      <c r="CX597" s="142"/>
      <c r="CY597" s="142"/>
      <c r="CZ597" s="142"/>
      <c r="DA597" s="142"/>
      <c r="DB597" s="142"/>
      <c r="DC597" s="142"/>
      <c r="DD597" s="142"/>
      <c r="DE597" s="142"/>
      <c r="DF597" s="142"/>
      <c r="DG597" s="142"/>
      <c r="DH597" s="142"/>
      <c r="DI597" s="142"/>
      <c r="DJ597" s="142"/>
      <c r="DK597" s="142"/>
      <c r="DL597" s="142"/>
      <c r="DM597" s="142"/>
      <c r="DN597" s="142"/>
      <c r="DO597" s="142"/>
      <c r="DP597" s="142"/>
      <c r="DQ597" s="142"/>
      <c r="DR597" s="142"/>
      <c r="DS597" s="142"/>
      <c r="DT597" s="142"/>
      <c r="DU597" s="142"/>
      <c r="DV597" s="142"/>
      <c r="DW597" s="142"/>
      <c r="DX597" s="142"/>
      <c r="DY597" s="142"/>
      <c r="DZ597" s="142"/>
      <c r="EA597" s="142"/>
      <c r="EB597" s="142"/>
      <c r="EC597" s="142"/>
      <c r="ED597" s="142"/>
      <c r="EE597" s="142"/>
    </row>
    <row r="598" spans="1:135" s="151" customFormat="1" ht="19.5" customHeight="1" x14ac:dyDescent="0.2">
      <c r="A598" s="117">
        <v>597</v>
      </c>
      <c r="B598" s="117" t="s">
        <v>612</v>
      </c>
      <c r="C598" s="117">
        <v>143402</v>
      </c>
      <c r="D598" s="117" t="s">
        <v>73</v>
      </c>
      <c r="E598" s="144" t="s">
        <v>480</v>
      </c>
      <c r="F598" s="146" t="s">
        <v>208</v>
      </c>
      <c r="G598" s="124" t="s">
        <v>69</v>
      </c>
      <c r="H598" s="89">
        <v>43321</v>
      </c>
      <c r="I598" s="89">
        <v>45954</v>
      </c>
      <c r="J598" s="162">
        <f t="shared" si="46"/>
        <v>46684</v>
      </c>
      <c r="K598" s="89">
        <v>43185</v>
      </c>
      <c r="L598" s="89">
        <v>46083</v>
      </c>
      <c r="M598" s="163">
        <f t="shared" si="47"/>
        <v>46814</v>
      </c>
      <c r="N598" s="89">
        <v>42479</v>
      </c>
      <c r="O598" s="89">
        <v>42480</v>
      </c>
      <c r="P598" s="89">
        <v>42480</v>
      </c>
      <c r="Q598" s="166" t="s">
        <v>69</v>
      </c>
      <c r="R598" s="166" t="s">
        <v>69</v>
      </c>
      <c r="S598" s="166" t="s">
        <v>69</v>
      </c>
      <c r="T598" s="166" t="s">
        <v>69</v>
      </c>
      <c r="U598" s="166" t="s">
        <v>69</v>
      </c>
      <c r="V598" s="166" t="s">
        <v>69</v>
      </c>
      <c r="W598" s="166" t="s">
        <v>69</v>
      </c>
      <c r="X598" s="181">
        <v>43770</v>
      </c>
      <c r="Y598" s="166" t="s">
        <v>69</v>
      </c>
      <c r="Z598" s="166" t="s">
        <v>69</v>
      </c>
      <c r="AA598" s="94">
        <v>45695</v>
      </c>
      <c r="AB598" s="166" t="s">
        <v>69</v>
      </c>
      <c r="AC598" s="166" t="s">
        <v>69</v>
      </c>
      <c r="AD598" s="167" t="s">
        <v>71</v>
      </c>
      <c r="AE598" s="167" t="s">
        <v>70</v>
      </c>
      <c r="AF598" s="112">
        <v>46287</v>
      </c>
      <c r="AG598" s="112" t="s">
        <v>69</v>
      </c>
      <c r="AH598" s="167" t="s">
        <v>71</v>
      </c>
      <c r="AI598" s="167" t="s">
        <v>70</v>
      </c>
      <c r="AJ598" s="167" t="s">
        <v>70</v>
      </c>
      <c r="AK598" s="167" t="s">
        <v>70</v>
      </c>
      <c r="AL598" s="166" t="s">
        <v>69</v>
      </c>
      <c r="AM598" s="166"/>
      <c r="AN598" s="166" t="s">
        <v>69</v>
      </c>
      <c r="AO598" s="167" t="s">
        <v>70</v>
      </c>
      <c r="AP598" s="168">
        <v>46078</v>
      </c>
      <c r="AQ598" s="166" t="s">
        <v>69</v>
      </c>
      <c r="AR598" s="168">
        <v>46153</v>
      </c>
      <c r="AS598" s="166" t="s">
        <v>69</v>
      </c>
      <c r="AT598" s="166" t="s">
        <v>69</v>
      </c>
      <c r="AU598" s="166" t="s">
        <v>69</v>
      </c>
      <c r="AV598" s="166" t="s">
        <v>69</v>
      </c>
      <c r="AW598" s="166" t="s">
        <v>69</v>
      </c>
      <c r="AX598" s="166" t="s">
        <v>69</v>
      </c>
      <c r="AY598" s="166" t="s">
        <v>69</v>
      </c>
      <c r="AZ598" s="166" t="s">
        <v>69</v>
      </c>
      <c r="BA598" s="166" t="s">
        <v>69</v>
      </c>
      <c r="BB598" s="166" t="s">
        <v>69</v>
      </c>
      <c r="BC598" s="166" t="s">
        <v>69</v>
      </c>
      <c r="BD598" s="166" t="s">
        <v>69</v>
      </c>
      <c r="BE598" s="166" t="s">
        <v>69</v>
      </c>
      <c r="BF598" s="166" t="s">
        <v>69</v>
      </c>
      <c r="BG598" s="167" t="s">
        <v>70</v>
      </c>
      <c r="BH598" s="166" t="s">
        <v>69</v>
      </c>
      <c r="BI598" s="166" t="s">
        <v>69</v>
      </c>
      <c r="BJ598" s="167" t="s">
        <v>70</v>
      </c>
      <c r="BK598" s="166" t="s">
        <v>69</v>
      </c>
      <c r="BL598" s="167" t="s">
        <v>70</v>
      </c>
      <c r="BM598" s="167" t="s">
        <v>70</v>
      </c>
      <c r="BN598" s="167" t="s">
        <v>70</v>
      </c>
      <c r="BO598" s="167" t="s">
        <v>70</v>
      </c>
      <c r="BP598" s="167" t="s">
        <v>70</v>
      </c>
      <c r="BQ598" s="151">
        <v>0</v>
      </c>
      <c r="BR598" s="142"/>
      <c r="BS598" s="142"/>
      <c r="BT598" s="142"/>
      <c r="BU598" s="142"/>
      <c r="BV598" s="142"/>
      <c r="BW598" s="142"/>
      <c r="BX598" s="142"/>
      <c r="BY598" s="142"/>
      <c r="BZ598" s="142"/>
      <c r="CA598" s="142"/>
      <c r="CB598" s="142"/>
      <c r="CC598" s="142"/>
      <c r="CD598" s="142"/>
      <c r="CE598" s="142"/>
      <c r="CF598" s="142"/>
      <c r="CG598" s="142"/>
      <c r="CH598" s="142"/>
      <c r="CI598" s="142"/>
      <c r="CJ598" s="142"/>
      <c r="CK598" s="142"/>
      <c r="CL598" s="142"/>
      <c r="CM598" s="142"/>
      <c r="CN598" s="142"/>
      <c r="CO598" s="142"/>
      <c r="CP598" s="142"/>
      <c r="CQ598" s="142"/>
      <c r="CR598" s="142"/>
      <c r="CS598" s="142"/>
      <c r="CT598" s="142"/>
      <c r="CU598" s="142"/>
      <c r="CV598" s="142"/>
      <c r="CW598" s="142"/>
      <c r="CX598" s="142"/>
      <c r="CY598" s="142"/>
      <c r="CZ598" s="142"/>
      <c r="DA598" s="142"/>
      <c r="DB598" s="142"/>
      <c r="DC598" s="142"/>
      <c r="DD598" s="142"/>
      <c r="DE598" s="142"/>
      <c r="DF598" s="142"/>
      <c r="DG598" s="142"/>
      <c r="DH598" s="142"/>
      <c r="DI598" s="142"/>
      <c r="DJ598" s="142"/>
      <c r="DK598" s="142"/>
      <c r="DL598" s="142"/>
      <c r="DM598" s="142"/>
      <c r="DN598" s="142"/>
      <c r="DO598" s="142"/>
      <c r="DP598" s="142"/>
      <c r="DQ598" s="142"/>
      <c r="DR598" s="142"/>
      <c r="DS598" s="142"/>
      <c r="DT598" s="142"/>
      <c r="DU598" s="142"/>
      <c r="DV598" s="142"/>
      <c r="DW598" s="142"/>
      <c r="DX598" s="142"/>
      <c r="DY598" s="142"/>
      <c r="DZ598" s="142"/>
      <c r="EA598" s="142"/>
      <c r="EB598" s="142"/>
      <c r="EC598" s="142"/>
      <c r="ED598" s="142"/>
      <c r="EE598" s="142"/>
    </row>
    <row r="599" spans="1:135" s="151" customFormat="1" ht="19.5" customHeight="1" x14ac:dyDescent="0.2">
      <c r="A599" s="117">
        <v>598</v>
      </c>
      <c r="B599" s="117" t="s">
        <v>613</v>
      </c>
      <c r="C599" s="117">
        <v>143409</v>
      </c>
      <c r="D599" s="117" t="s">
        <v>73</v>
      </c>
      <c r="E599" s="144" t="s">
        <v>480</v>
      </c>
      <c r="F599" s="146" t="s">
        <v>208</v>
      </c>
      <c r="G599" s="89">
        <v>42808</v>
      </c>
      <c r="H599" s="89">
        <v>43154</v>
      </c>
      <c r="I599" s="89">
        <v>46056</v>
      </c>
      <c r="J599" s="162">
        <f t="shared" si="46"/>
        <v>46786</v>
      </c>
      <c r="K599" s="89">
        <v>44547</v>
      </c>
      <c r="L599" s="89">
        <v>46083</v>
      </c>
      <c r="M599" s="163">
        <f t="shared" si="47"/>
        <v>46814</v>
      </c>
      <c r="N599" s="89">
        <v>42479</v>
      </c>
      <c r="O599" s="89">
        <v>42480</v>
      </c>
      <c r="P599" s="89">
        <v>42480</v>
      </c>
      <c r="Q599" s="166" t="s">
        <v>69</v>
      </c>
      <c r="R599" s="166" t="s">
        <v>69</v>
      </c>
      <c r="S599" s="166" t="s">
        <v>69</v>
      </c>
      <c r="T599" s="168">
        <v>46164</v>
      </c>
      <c r="U599" s="166" t="s">
        <v>69</v>
      </c>
      <c r="V599" s="166" t="s">
        <v>69</v>
      </c>
      <c r="W599" s="166" t="s">
        <v>69</v>
      </c>
      <c r="X599" s="166" t="s">
        <v>69</v>
      </c>
      <c r="Y599" s="181">
        <v>43910</v>
      </c>
      <c r="Z599" s="166" t="s">
        <v>69</v>
      </c>
      <c r="AA599" s="168">
        <v>46293</v>
      </c>
      <c r="AB599" s="166" t="s">
        <v>69</v>
      </c>
      <c r="AC599" s="166" t="s">
        <v>69</v>
      </c>
      <c r="AD599" s="167" t="s">
        <v>71</v>
      </c>
      <c r="AE599" s="167" t="s">
        <v>70</v>
      </c>
      <c r="AF599" s="112">
        <v>45639</v>
      </c>
      <c r="AG599" s="112" t="s">
        <v>69</v>
      </c>
      <c r="AH599" s="167" t="s">
        <v>71</v>
      </c>
      <c r="AI599" s="167" t="s">
        <v>70</v>
      </c>
      <c r="AJ599" s="167" t="s">
        <v>70</v>
      </c>
      <c r="AK599" s="167" t="s">
        <v>70</v>
      </c>
      <c r="AL599" s="166" t="s">
        <v>69</v>
      </c>
      <c r="AM599" s="166"/>
      <c r="AN599" s="166" t="s">
        <v>69</v>
      </c>
      <c r="AO599" s="167" t="s">
        <v>70</v>
      </c>
      <c r="AP599" s="166" t="s">
        <v>69</v>
      </c>
      <c r="AQ599" s="166" t="s">
        <v>69</v>
      </c>
      <c r="AR599" s="166" t="s">
        <v>69</v>
      </c>
      <c r="AS599" s="166" t="s">
        <v>69</v>
      </c>
      <c r="AT599" s="166" t="s">
        <v>69</v>
      </c>
      <c r="AU599" s="166" t="s">
        <v>69</v>
      </c>
      <c r="AV599" s="166" t="s">
        <v>69</v>
      </c>
      <c r="AW599" s="166" t="s">
        <v>69</v>
      </c>
      <c r="AX599" s="166" t="s">
        <v>69</v>
      </c>
      <c r="AY599" s="166" t="s">
        <v>69</v>
      </c>
      <c r="AZ599" s="166" t="s">
        <v>69</v>
      </c>
      <c r="BA599" s="166" t="s">
        <v>69</v>
      </c>
      <c r="BB599" s="166" t="s">
        <v>69</v>
      </c>
      <c r="BC599" s="166" t="s">
        <v>69</v>
      </c>
      <c r="BD599" s="166" t="s">
        <v>69</v>
      </c>
      <c r="BE599" s="166" t="s">
        <v>69</v>
      </c>
      <c r="BF599" s="166" t="s">
        <v>69</v>
      </c>
      <c r="BG599" s="167" t="s">
        <v>70</v>
      </c>
      <c r="BH599" s="166" t="s">
        <v>69</v>
      </c>
      <c r="BI599" s="166" t="s">
        <v>69</v>
      </c>
      <c r="BJ599" s="167" t="s">
        <v>70</v>
      </c>
      <c r="BK599" s="166" t="s">
        <v>69</v>
      </c>
      <c r="BL599" s="167" t="s">
        <v>70</v>
      </c>
      <c r="BM599" s="167" t="s">
        <v>70</v>
      </c>
      <c r="BN599" s="167" t="s">
        <v>70</v>
      </c>
      <c r="BO599" s="167" t="s">
        <v>70</v>
      </c>
      <c r="BP599" s="167" t="s">
        <v>70</v>
      </c>
      <c r="BQ599" s="151">
        <v>0</v>
      </c>
      <c r="BR599" s="142"/>
      <c r="BS599" s="142"/>
      <c r="BT599" s="142"/>
      <c r="BU599" s="142"/>
      <c r="BV599" s="142"/>
      <c r="BW599" s="142"/>
      <c r="BX599" s="142"/>
      <c r="BY599" s="142"/>
      <c r="BZ599" s="142"/>
      <c r="CA599" s="142"/>
      <c r="CB599" s="142"/>
      <c r="CC599" s="142"/>
      <c r="CD599" s="142"/>
      <c r="CE599" s="142"/>
      <c r="CF599" s="142"/>
      <c r="CG599" s="142"/>
      <c r="CH599" s="142"/>
      <c r="CI599" s="142"/>
      <c r="CJ599" s="142"/>
      <c r="CK599" s="142"/>
      <c r="CL599" s="142"/>
      <c r="CM599" s="142"/>
      <c r="CN599" s="142"/>
      <c r="CO599" s="142"/>
      <c r="CP599" s="142"/>
      <c r="CQ599" s="142"/>
      <c r="CR599" s="142"/>
      <c r="CS599" s="142"/>
      <c r="CT599" s="142"/>
      <c r="CU599" s="142"/>
      <c r="CV599" s="142"/>
      <c r="CW599" s="142"/>
      <c r="CX599" s="142"/>
      <c r="CY599" s="142"/>
      <c r="CZ599" s="142"/>
      <c r="DA599" s="142"/>
      <c r="DB599" s="142"/>
      <c r="DC599" s="142"/>
      <c r="DD599" s="142"/>
      <c r="DE599" s="142"/>
      <c r="DF599" s="142"/>
      <c r="DG599" s="142"/>
      <c r="DH599" s="142"/>
      <c r="DI599" s="142"/>
      <c r="DJ599" s="142"/>
      <c r="DK599" s="142"/>
      <c r="DL599" s="142"/>
      <c r="DM599" s="142"/>
      <c r="DN599" s="142"/>
      <c r="DO599" s="142"/>
      <c r="DP599" s="142"/>
      <c r="DQ599" s="142"/>
      <c r="DR599" s="142"/>
      <c r="DS599" s="142"/>
      <c r="DT599" s="142"/>
      <c r="DU599" s="142"/>
      <c r="DV599" s="142"/>
      <c r="DW599" s="142"/>
      <c r="DX599" s="142"/>
      <c r="DY599" s="142"/>
      <c r="DZ599" s="142"/>
      <c r="EA599" s="142"/>
      <c r="EB599" s="142"/>
      <c r="EC599" s="142"/>
      <c r="ED599" s="142"/>
      <c r="EE599" s="142"/>
    </row>
    <row r="600" spans="1:135" s="151" customFormat="1" ht="18" customHeight="1" x14ac:dyDescent="0.2">
      <c r="A600" s="117">
        <v>599</v>
      </c>
      <c r="B600" s="174" t="s">
        <v>616</v>
      </c>
      <c r="C600" s="144">
        <v>84124080</v>
      </c>
      <c r="D600" s="117" t="s">
        <v>73</v>
      </c>
      <c r="E600" s="146" t="s">
        <v>480</v>
      </c>
      <c r="F600" s="146" t="s">
        <v>256</v>
      </c>
      <c r="G600" s="124" t="s">
        <v>69</v>
      </c>
      <c r="H600" s="111">
        <v>45588</v>
      </c>
      <c r="I600" s="162">
        <v>45588</v>
      </c>
      <c r="J600" s="118">
        <v>46318</v>
      </c>
      <c r="K600" s="111">
        <v>45590</v>
      </c>
      <c r="L600" s="111">
        <v>45590</v>
      </c>
      <c r="M600" s="301">
        <v>46320</v>
      </c>
      <c r="N600" s="111">
        <v>45629</v>
      </c>
      <c r="O600" s="111">
        <v>46300</v>
      </c>
      <c r="P600" s="111">
        <v>45677</v>
      </c>
      <c r="Q600" s="166" t="s">
        <v>69</v>
      </c>
      <c r="R600" s="166" t="s">
        <v>69</v>
      </c>
      <c r="S600" s="166" t="s">
        <v>69</v>
      </c>
      <c r="T600" s="166" t="s">
        <v>69</v>
      </c>
      <c r="U600" s="168">
        <v>46146</v>
      </c>
      <c r="V600" s="166" t="s">
        <v>69</v>
      </c>
      <c r="W600" s="166" t="s">
        <v>69</v>
      </c>
      <c r="X600" s="166" t="s">
        <v>69</v>
      </c>
      <c r="Y600" s="166" t="s">
        <v>69</v>
      </c>
      <c r="Z600" s="166" t="s">
        <v>69</v>
      </c>
      <c r="AA600" s="166" t="s">
        <v>69</v>
      </c>
      <c r="AB600" s="166" t="s">
        <v>69</v>
      </c>
      <c r="AC600" s="166" t="s">
        <v>69</v>
      </c>
      <c r="AD600" s="167" t="s">
        <v>71</v>
      </c>
      <c r="AE600" s="167" t="s">
        <v>70</v>
      </c>
      <c r="AF600" s="112" t="s">
        <v>69</v>
      </c>
      <c r="AG600" s="112" t="s">
        <v>69</v>
      </c>
      <c r="AH600" s="167" t="s">
        <v>71</v>
      </c>
      <c r="AI600" s="167" t="s">
        <v>70</v>
      </c>
      <c r="AJ600" s="167" t="s">
        <v>70</v>
      </c>
      <c r="AK600" s="167" t="s">
        <v>70</v>
      </c>
      <c r="AL600" s="166" t="s">
        <v>69</v>
      </c>
      <c r="AM600" s="166"/>
      <c r="AN600" s="166" t="s">
        <v>69</v>
      </c>
      <c r="AO600" s="167" t="s">
        <v>70</v>
      </c>
      <c r="AP600" s="166" t="s">
        <v>69</v>
      </c>
      <c r="AQ600" s="166" t="s">
        <v>69</v>
      </c>
      <c r="AR600" s="166" t="s">
        <v>69</v>
      </c>
      <c r="AS600" s="166" t="s">
        <v>69</v>
      </c>
      <c r="AT600" s="166" t="s">
        <v>69</v>
      </c>
      <c r="AU600" s="166" t="s">
        <v>69</v>
      </c>
      <c r="AV600" s="166" t="s">
        <v>69</v>
      </c>
      <c r="AW600" s="166" t="s">
        <v>69</v>
      </c>
      <c r="AX600" s="166" t="s">
        <v>69</v>
      </c>
      <c r="AY600" s="166" t="s">
        <v>69</v>
      </c>
      <c r="AZ600" s="166" t="s">
        <v>69</v>
      </c>
      <c r="BA600" s="166" t="s">
        <v>69</v>
      </c>
      <c r="BB600" s="166" t="s">
        <v>69</v>
      </c>
      <c r="BC600" s="166" t="s">
        <v>69</v>
      </c>
      <c r="BD600" s="166" t="s">
        <v>69</v>
      </c>
      <c r="BE600" s="166" t="s">
        <v>69</v>
      </c>
      <c r="BF600" s="166" t="s">
        <v>69</v>
      </c>
      <c r="BG600" s="167" t="s">
        <v>70</v>
      </c>
      <c r="BH600" s="166" t="s">
        <v>69</v>
      </c>
      <c r="BI600" s="166" t="s">
        <v>69</v>
      </c>
      <c r="BJ600" s="167" t="s">
        <v>70</v>
      </c>
      <c r="BK600" s="166" t="s">
        <v>69</v>
      </c>
      <c r="BL600" s="167" t="s">
        <v>70</v>
      </c>
      <c r="BM600" s="167" t="s">
        <v>70</v>
      </c>
      <c r="BN600" s="167" t="s">
        <v>70</v>
      </c>
      <c r="BO600" s="167" t="s">
        <v>70</v>
      </c>
      <c r="BP600" s="167" t="s">
        <v>70</v>
      </c>
      <c r="BQ600" s="151">
        <v>0</v>
      </c>
      <c r="BR600" s="142"/>
      <c r="BS600" s="142"/>
      <c r="BT600" s="142"/>
      <c r="BU600" s="142"/>
      <c r="BV600" s="142"/>
      <c r="BW600" s="142"/>
      <c r="BX600" s="142"/>
      <c r="BY600" s="142"/>
      <c r="BZ600" s="142"/>
      <c r="CA600" s="142"/>
      <c r="CB600" s="142"/>
      <c r="CC600" s="142"/>
      <c r="CD600" s="142"/>
      <c r="CE600" s="142"/>
      <c r="CF600" s="142"/>
      <c r="CG600" s="142"/>
      <c r="CH600" s="142"/>
      <c r="CI600" s="142"/>
      <c r="CJ600" s="142"/>
      <c r="CK600" s="142"/>
      <c r="CL600" s="142"/>
      <c r="CM600" s="142"/>
      <c r="CN600" s="142"/>
      <c r="CO600" s="142"/>
      <c r="CP600" s="142"/>
      <c r="CQ600" s="142"/>
      <c r="CR600" s="142"/>
      <c r="CS600" s="142"/>
      <c r="CT600" s="142"/>
      <c r="CU600" s="142"/>
      <c r="CV600" s="142"/>
      <c r="CW600" s="142"/>
      <c r="CX600" s="142"/>
      <c r="CY600" s="142"/>
      <c r="CZ600" s="142"/>
      <c r="DA600" s="142"/>
      <c r="DB600" s="142"/>
      <c r="DC600" s="142"/>
      <c r="DD600" s="142"/>
      <c r="DE600" s="142"/>
      <c r="DF600" s="142"/>
      <c r="DG600" s="142"/>
      <c r="DH600" s="142"/>
      <c r="DI600" s="142"/>
      <c r="DJ600" s="142"/>
      <c r="DK600" s="142"/>
      <c r="DL600" s="142"/>
      <c r="DM600" s="142"/>
      <c r="DN600" s="142"/>
      <c r="DO600" s="142"/>
      <c r="DP600" s="142"/>
      <c r="DQ600" s="142"/>
      <c r="DR600" s="142"/>
      <c r="DS600" s="142"/>
      <c r="DT600" s="142"/>
      <c r="DU600" s="142"/>
      <c r="DV600" s="142"/>
      <c r="DW600" s="142"/>
      <c r="DX600" s="142"/>
      <c r="DY600" s="142"/>
      <c r="DZ600" s="142"/>
      <c r="EA600" s="142"/>
      <c r="EB600" s="142"/>
      <c r="EC600" s="142"/>
      <c r="ED600" s="142"/>
      <c r="EE600" s="142"/>
    </row>
    <row r="601" spans="1:135" s="151" customFormat="1" ht="19.5" customHeight="1" x14ac:dyDescent="0.2">
      <c r="A601" s="117">
        <v>600</v>
      </c>
      <c r="B601" s="117" t="s">
        <v>617</v>
      </c>
      <c r="C601" s="117">
        <v>83123694</v>
      </c>
      <c r="D601" s="117" t="s">
        <v>73</v>
      </c>
      <c r="E601" s="144" t="s">
        <v>480</v>
      </c>
      <c r="F601" s="146" t="s">
        <v>208</v>
      </c>
      <c r="G601" s="89">
        <v>42258</v>
      </c>
      <c r="H601" s="89">
        <v>41402</v>
      </c>
      <c r="I601" s="89">
        <v>46065</v>
      </c>
      <c r="J601" s="162">
        <f t="shared" ref="J601:J611" si="48">IF(I601="", "", DATE(YEAR(I601)+2, MONTH(I601), DAY(I601)))</f>
        <v>46795</v>
      </c>
      <c r="K601" s="112">
        <v>46168</v>
      </c>
      <c r="L601" s="163">
        <v>46168</v>
      </c>
      <c r="M601" s="163">
        <f t="shared" ref="M601:M611" si="49">IF(L601="", "", DATE(YEAR(L601)+2, MONTH(L601), DAY(L601)))</f>
        <v>46899</v>
      </c>
      <c r="N601" s="89">
        <v>42612</v>
      </c>
      <c r="O601" s="89">
        <v>42613</v>
      </c>
      <c r="P601" s="89">
        <v>42613</v>
      </c>
      <c r="Q601" s="166" t="s">
        <v>69</v>
      </c>
      <c r="R601" s="166" t="s">
        <v>69</v>
      </c>
      <c r="S601" s="166" t="s">
        <v>69</v>
      </c>
      <c r="T601" s="168">
        <v>46286</v>
      </c>
      <c r="U601" s="168">
        <v>46220</v>
      </c>
      <c r="V601" s="166" t="s">
        <v>69</v>
      </c>
      <c r="W601" s="166" t="s">
        <v>69</v>
      </c>
      <c r="X601" s="181">
        <v>42409</v>
      </c>
      <c r="Y601" s="166" t="s">
        <v>69</v>
      </c>
      <c r="Z601" s="166" t="s">
        <v>69</v>
      </c>
      <c r="AA601" s="168">
        <v>46146</v>
      </c>
      <c r="AB601" s="166" t="s">
        <v>69</v>
      </c>
      <c r="AC601" s="166" t="s">
        <v>69</v>
      </c>
      <c r="AD601" s="167" t="s">
        <v>71</v>
      </c>
      <c r="AE601" s="167" t="s">
        <v>70</v>
      </c>
      <c r="AF601" s="112" t="s">
        <v>69</v>
      </c>
      <c r="AG601" s="112" t="s">
        <v>69</v>
      </c>
      <c r="AH601" s="167" t="s">
        <v>71</v>
      </c>
      <c r="AI601" s="167" t="s">
        <v>70</v>
      </c>
      <c r="AJ601" s="167" t="s">
        <v>70</v>
      </c>
      <c r="AK601" s="167" t="s">
        <v>70</v>
      </c>
      <c r="AL601" s="166" t="s">
        <v>69</v>
      </c>
      <c r="AM601" s="166"/>
      <c r="AN601" s="166" t="s">
        <v>69</v>
      </c>
      <c r="AO601" s="167" t="s">
        <v>70</v>
      </c>
      <c r="AP601" s="166" t="s">
        <v>69</v>
      </c>
      <c r="AQ601" s="166" t="s">
        <v>69</v>
      </c>
      <c r="AR601" s="166" t="s">
        <v>69</v>
      </c>
      <c r="AS601" s="166" t="s">
        <v>69</v>
      </c>
      <c r="AT601" s="166" t="s">
        <v>69</v>
      </c>
      <c r="AU601" s="166" t="s">
        <v>69</v>
      </c>
      <c r="AV601" s="166" t="s">
        <v>69</v>
      </c>
      <c r="AW601" s="166" t="s">
        <v>69</v>
      </c>
      <c r="AX601" s="166" t="s">
        <v>69</v>
      </c>
      <c r="AY601" s="166" t="s">
        <v>69</v>
      </c>
      <c r="AZ601" s="166" t="s">
        <v>69</v>
      </c>
      <c r="BA601" s="166" t="s">
        <v>69</v>
      </c>
      <c r="BB601" s="166" t="s">
        <v>69</v>
      </c>
      <c r="BC601" s="166" t="s">
        <v>69</v>
      </c>
      <c r="BD601" s="166" t="s">
        <v>69</v>
      </c>
      <c r="BE601" s="166" t="s">
        <v>69</v>
      </c>
      <c r="BF601" s="166" t="s">
        <v>69</v>
      </c>
      <c r="BG601" s="167" t="s">
        <v>70</v>
      </c>
      <c r="BH601" s="166" t="s">
        <v>69</v>
      </c>
      <c r="BI601" s="166" t="s">
        <v>69</v>
      </c>
      <c r="BJ601" s="167" t="s">
        <v>70</v>
      </c>
      <c r="BK601" s="166" t="s">
        <v>69</v>
      </c>
      <c r="BL601" s="167" t="s">
        <v>70</v>
      </c>
      <c r="BM601" s="167" t="s">
        <v>70</v>
      </c>
      <c r="BN601" s="167" t="s">
        <v>70</v>
      </c>
      <c r="BO601" s="167" t="s">
        <v>70</v>
      </c>
      <c r="BP601" s="167" t="s">
        <v>70</v>
      </c>
      <c r="BQ601" s="151">
        <v>0</v>
      </c>
      <c r="BR601" s="142"/>
      <c r="BS601" s="142"/>
      <c r="BT601" s="142"/>
      <c r="BU601" s="142"/>
      <c r="BV601" s="142"/>
      <c r="BW601" s="142"/>
      <c r="BX601" s="142"/>
      <c r="BY601" s="142"/>
      <c r="BZ601" s="142"/>
      <c r="CA601" s="142"/>
      <c r="CB601" s="142"/>
      <c r="CC601" s="142"/>
      <c r="CD601" s="142"/>
      <c r="CE601" s="142"/>
      <c r="CF601" s="142"/>
      <c r="CG601" s="142"/>
      <c r="CH601" s="142"/>
      <c r="CI601" s="142"/>
      <c r="CJ601" s="142"/>
      <c r="CK601" s="142"/>
      <c r="CL601" s="142"/>
      <c r="CM601" s="142"/>
      <c r="CN601" s="142"/>
      <c r="CO601" s="142"/>
      <c r="CP601" s="142"/>
      <c r="CQ601" s="142"/>
      <c r="CR601" s="142"/>
      <c r="CS601" s="142"/>
      <c r="CT601" s="142"/>
      <c r="CU601" s="142"/>
      <c r="CV601" s="142"/>
      <c r="CW601" s="142"/>
      <c r="CX601" s="142"/>
      <c r="CY601" s="142"/>
      <c r="CZ601" s="142"/>
      <c r="DA601" s="142"/>
      <c r="DB601" s="142"/>
      <c r="DC601" s="142"/>
      <c r="DD601" s="142"/>
      <c r="DE601" s="142"/>
      <c r="DF601" s="142"/>
      <c r="DG601" s="142"/>
      <c r="DH601" s="142"/>
      <c r="DI601" s="142"/>
      <c r="DJ601" s="142"/>
      <c r="DK601" s="142"/>
      <c r="DL601" s="142"/>
      <c r="DM601" s="142"/>
      <c r="DN601" s="142"/>
      <c r="DO601" s="142"/>
      <c r="DP601" s="142"/>
      <c r="DQ601" s="142"/>
      <c r="DR601" s="142"/>
      <c r="DS601" s="142"/>
      <c r="DT601" s="142"/>
      <c r="DU601" s="142"/>
      <c r="DV601" s="142"/>
      <c r="DW601" s="142"/>
      <c r="DX601" s="142"/>
      <c r="DY601" s="142"/>
      <c r="DZ601" s="142"/>
      <c r="EA601" s="142"/>
      <c r="EB601" s="142"/>
      <c r="EC601" s="142"/>
      <c r="ED601" s="142"/>
      <c r="EE601" s="142"/>
    </row>
    <row r="602" spans="1:135" s="151" customFormat="1" ht="19.5" customHeight="1" x14ac:dyDescent="0.2">
      <c r="A602" s="117">
        <v>601</v>
      </c>
      <c r="B602" s="117" t="s">
        <v>620</v>
      </c>
      <c r="C602" s="117">
        <v>83123697</v>
      </c>
      <c r="D602" s="117" t="s">
        <v>73</v>
      </c>
      <c r="E602" s="144" t="s">
        <v>480</v>
      </c>
      <c r="F602" s="146" t="s">
        <v>208</v>
      </c>
      <c r="G602" s="89">
        <v>42270</v>
      </c>
      <c r="H602" s="89">
        <v>41586</v>
      </c>
      <c r="I602" s="89">
        <v>46077</v>
      </c>
      <c r="J602" s="162">
        <f t="shared" si="48"/>
        <v>46807</v>
      </c>
      <c r="K602" s="89">
        <v>41439</v>
      </c>
      <c r="L602" s="89">
        <v>46083</v>
      </c>
      <c r="M602" s="163">
        <f t="shared" si="49"/>
        <v>46814</v>
      </c>
      <c r="N602" s="175" t="s">
        <v>69</v>
      </c>
      <c r="O602" s="175" t="s">
        <v>69</v>
      </c>
      <c r="P602" s="175" t="s">
        <v>69</v>
      </c>
      <c r="Q602" s="166" t="s">
        <v>69</v>
      </c>
      <c r="R602" s="166" t="s">
        <v>69</v>
      </c>
      <c r="S602" s="166" t="s">
        <v>69</v>
      </c>
      <c r="T602" s="166" t="s">
        <v>69</v>
      </c>
      <c r="U602" s="166" t="s">
        <v>69</v>
      </c>
      <c r="V602" s="166" t="s">
        <v>69</v>
      </c>
      <c r="W602" s="166" t="s">
        <v>69</v>
      </c>
      <c r="X602" s="181">
        <v>42409</v>
      </c>
      <c r="Y602" s="181">
        <v>42338</v>
      </c>
      <c r="Z602" s="166" t="s">
        <v>69</v>
      </c>
      <c r="AA602" s="168">
        <v>45674</v>
      </c>
      <c r="AB602" s="166" t="s">
        <v>69</v>
      </c>
      <c r="AC602" s="166" t="s">
        <v>69</v>
      </c>
      <c r="AD602" s="167" t="s">
        <v>71</v>
      </c>
      <c r="AE602" s="167" t="s">
        <v>70</v>
      </c>
      <c r="AF602" s="112">
        <v>46253</v>
      </c>
      <c r="AG602" s="112" t="s">
        <v>69</v>
      </c>
      <c r="AH602" s="167" t="s">
        <v>71</v>
      </c>
      <c r="AI602" s="167" t="s">
        <v>70</v>
      </c>
      <c r="AJ602" s="167" t="s">
        <v>70</v>
      </c>
      <c r="AK602" s="167" t="s">
        <v>70</v>
      </c>
      <c r="AL602" s="166" t="s">
        <v>69</v>
      </c>
      <c r="AM602" s="166"/>
      <c r="AN602" s="166" t="s">
        <v>69</v>
      </c>
      <c r="AO602" s="167" t="s">
        <v>70</v>
      </c>
      <c r="AP602" s="166" t="s">
        <v>69</v>
      </c>
      <c r="AQ602" s="166" t="s">
        <v>69</v>
      </c>
      <c r="AR602" s="166" t="s">
        <v>69</v>
      </c>
      <c r="AS602" s="166" t="s">
        <v>69</v>
      </c>
      <c r="AT602" s="166" t="s">
        <v>69</v>
      </c>
      <c r="AU602" s="166" t="s">
        <v>69</v>
      </c>
      <c r="AV602" s="166" t="s">
        <v>69</v>
      </c>
      <c r="AW602" s="166" t="s">
        <v>69</v>
      </c>
      <c r="AX602" s="166" t="s">
        <v>69</v>
      </c>
      <c r="AY602" s="166" t="s">
        <v>69</v>
      </c>
      <c r="AZ602" s="166" t="s">
        <v>69</v>
      </c>
      <c r="BA602" s="166" t="s">
        <v>69</v>
      </c>
      <c r="BB602" s="166" t="s">
        <v>69</v>
      </c>
      <c r="BC602" s="166" t="s">
        <v>69</v>
      </c>
      <c r="BD602" s="166" t="s">
        <v>69</v>
      </c>
      <c r="BE602" s="166" t="s">
        <v>69</v>
      </c>
      <c r="BF602" s="166" t="s">
        <v>69</v>
      </c>
      <c r="BG602" s="167" t="s">
        <v>70</v>
      </c>
      <c r="BH602" s="166" t="s">
        <v>69</v>
      </c>
      <c r="BI602" s="166" t="s">
        <v>69</v>
      </c>
      <c r="BJ602" s="167" t="s">
        <v>70</v>
      </c>
      <c r="BK602" s="166" t="s">
        <v>69</v>
      </c>
      <c r="BL602" s="167" t="s">
        <v>70</v>
      </c>
      <c r="BM602" s="167" t="s">
        <v>70</v>
      </c>
      <c r="BN602" s="167" t="s">
        <v>70</v>
      </c>
      <c r="BO602" s="167" t="s">
        <v>70</v>
      </c>
      <c r="BP602" s="167" t="s">
        <v>70</v>
      </c>
      <c r="BQ602" s="151">
        <v>0</v>
      </c>
      <c r="BR602" s="142"/>
      <c r="BS602" s="142"/>
      <c r="BT602" s="142"/>
      <c r="BU602" s="142"/>
      <c r="BV602" s="142"/>
      <c r="BW602" s="142"/>
      <c r="BX602" s="142"/>
      <c r="BY602" s="142"/>
      <c r="BZ602" s="142"/>
      <c r="CA602" s="142"/>
      <c r="CB602" s="142"/>
      <c r="CC602" s="142"/>
      <c r="CD602" s="142"/>
      <c r="CE602" s="142"/>
      <c r="CF602" s="142"/>
      <c r="CG602" s="142"/>
      <c r="CH602" s="142"/>
      <c r="CI602" s="142"/>
      <c r="CJ602" s="142"/>
      <c r="CK602" s="142"/>
      <c r="CL602" s="142"/>
      <c r="CM602" s="142"/>
      <c r="CN602" s="142"/>
      <c r="CO602" s="142"/>
      <c r="CP602" s="142"/>
      <c r="CQ602" s="142"/>
      <c r="CR602" s="142"/>
      <c r="CS602" s="142"/>
      <c r="CT602" s="142"/>
      <c r="CU602" s="142"/>
      <c r="CV602" s="142"/>
      <c r="CW602" s="142"/>
      <c r="CX602" s="142"/>
      <c r="CY602" s="142"/>
      <c r="CZ602" s="142"/>
      <c r="DA602" s="142"/>
      <c r="DB602" s="142"/>
      <c r="DC602" s="142"/>
      <c r="DD602" s="142"/>
      <c r="DE602" s="142"/>
      <c r="DF602" s="142"/>
      <c r="DG602" s="142"/>
      <c r="DH602" s="142"/>
      <c r="DI602" s="142"/>
      <c r="DJ602" s="142"/>
      <c r="DK602" s="142"/>
      <c r="DL602" s="142"/>
      <c r="DM602" s="142"/>
      <c r="DN602" s="142"/>
      <c r="DO602" s="142"/>
      <c r="DP602" s="142"/>
      <c r="DQ602" s="142"/>
      <c r="DR602" s="142"/>
      <c r="DS602" s="142"/>
      <c r="DT602" s="142"/>
      <c r="DU602" s="142"/>
      <c r="DV602" s="142"/>
      <c r="DW602" s="142"/>
      <c r="DX602" s="142"/>
      <c r="DY602" s="142"/>
      <c r="DZ602" s="142"/>
      <c r="EA602" s="142"/>
      <c r="EB602" s="142"/>
      <c r="EC602" s="142"/>
      <c r="ED602" s="142"/>
      <c r="EE602" s="142"/>
    </row>
    <row r="603" spans="1:135" s="151" customFormat="1" ht="19.5" customHeight="1" x14ac:dyDescent="0.2">
      <c r="A603" s="117">
        <v>602</v>
      </c>
      <c r="B603" s="117" t="s">
        <v>621</v>
      </c>
      <c r="C603" s="117">
        <v>83123698</v>
      </c>
      <c r="D603" s="117" t="s">
        <v>73</v>
      </c>
      <c r="E603" s="144" t="s">
        <v>480</v>
      </c>
      <c r="F603" s="146" t="s">
        <v>208</v>
      </c>
      <c r="G603" s="124">
        <v>42795</v>
      </c>
      <c r="H603" s="89">
        <v>42264</v>
      </c>
      <c r="I603" s="89">
        <v>46126</v>
      </c>
      <c r="J603" s="162">
        <f t="shared" si="48"/>
        <v>46857</v>
      </c>
      <c r="K603" s="163">
        <v>45433</v>
      </c>
      <c r="L603" s="163">
        <v>46148</v>
      </c>
      <c r="M603" s="163">
        <f t="shared" si="49"/>
        <v>46879</v>
      </c>
      <c r="N603" s="89">
        <v>42795</v>
      </c>
      <c r="O603" s="89">
        <v>42739</v>
      </c>
      <c r="P603" s="89">
        <v>42739</v>
      </c>
      <c r="Q603" s="181">
        <v>42530</v>
      </c>
      <c r="R603" s="89">
        <v>42684</v>
      </c>
      <c r="S603" s="89">
        <v>43414</v>
      </c>
      <c r="T603" s="166" t="s">
        <v>69</v>
      </c>
      <c r="U603" s="181">
        <v>43546</v>
      </c>
      <c r="V603" s="168">
        <v>42674</v>
      </c>
      <c r="W603" s="166" t="s">
        <v>69</v>
      </c>
      <c r="X603" s="181">
        <v>44442</v>
      </c>
      <c r="Y603" s="181">
        <v>42258</v>
      </c>
      <c r="Z603" s="166" t="s">
        <v>69</v>
      </c>
      <c r="AA603" s="166" t="s">
        <v>69</v>
      </c>
      <c r="AB603" s="166" t="s">
        <v>69</v>
      </c>
      <c r="AC603" s="166" t="s">
        <v>69</v>
      </c>
      <c r="AD603" s="167" t="s">
        <v>71</v>
      </c>
      <c r="AE603" s="167" t="s">
        <v>70</v>
      </c>
      <c r="AF603" s="112">
        <v>45646</v>
      </c>
      <c r="AG603" s="112" t="s">
        <v>69</v>
      </c>
      <c r="AH603" s="167" t="s">
        <v>71</v>
      </c>
      <c r="AI603" s="167" t="s">
        <v>70</v>
      </c>
      <c r="AJ603" s="167" t="s">
        <v>70</v>
      </c>
      <c r="AK603" s="167" t="s">
        <v>70</v>
      </c>
      <c r="AL603" s="166" t="s">
        <v>69</v>
      </c>
      <c r="AM603" s="166"/>
      <c r="AN603" s="166" t="s">
        <v>69</v>
      </c>
      <c r="AO603" s="167" t="s">
        <v>70</v>
      </c>
      <c r="AP603" s="166" t="s">
        <v>69</v>
      </c>
      <c r="AQ603" s="166" t="s">
        <v>69</v>
      </c>
      <c r="AR603" s="166" t="s">
        <v>69</v>
      </c>
      <c r="AS603" s="166" t="s">
        <v>69</v>
      </c>
      <c r="AT603" s="166" t="s">
        <v>69</v>
      </c>
      <c r="AU603" s="166" t="s">
        <v>69</v>
      </c>
      <c r="AV603" s="166" t="s">
        <v>69</v>
      </c>
      <c r="AW603" s="166" t="s">
        <v>69</v>
      </c>
      <c r="AX603" s="166" t="s">
        <v>69</v>
      </c>
      <c r="AY603" s="166" t="s">
        <v>69</v>
      </c>
      <c r="AZ603" s="166" t="s">
        <v>69</v>
      </c>
      <c r="BA603" s="166" t="s">
        <v>69</v>
      </c>
      <c r="BB603" s="166" t="s">
        <v>69</v>
      </c>
      <c r="BC603" s="166" t="s">
        <v>69</v>
      </c>
      <c r="BD603" s="166" t="s">
        <v>69</v>
      </c>
      <c r="BE603" s="166" t="s">
        <v>69</v>
      </c>
      <c r="BF603" s="166" t="s">
        <v>69</v>
      </c>
      <c r="BG603" s="167" t="s">
        <v>70</v>
      </c>
      <c r="BH603" s="166" t="s">
        <v>69</v>
      </c>
      <c r="BI603" s="166" t="s">
        <v>69</v>
      </c>
      <c r="BJ603" s="167" t="s">
        <v>70</v>
      </c>
      <c r="BK603" s="166" t="s">
        <v>69</v>
      </c>
      <c r="BL603" s="167" t="s">
        <v>70</v>
      </c>
      <c r="BM603" s="167" t="s">
        <v>70</v>
      </c>
      <c r="BN603" s="167" t="s">
        <v>70</v>
      </c>
      <c r="BO603" s="167" t="s">
        <v>70</v>
      </c>
      <c r="BP603" s="167" t="s">
        <v>70</v>
      </c>
      <c r="BQ603" s="151">
        <v>0</v>
      </c>
      <c r="BR603" s="142"/>
      <c r="BS603" s="142"/>
      <c r="BT603" s="142"/>
      <c r="BU603" s="142"/>
      <c r="BV603" s="142"/>
      <c r="BW603" s="142"/>
      <c r="BX603" s="142"/>
      <c r="BY603" s="142"/>
      <c r="BZ603" s="142"/>
      <c r="CA603" s="142"/>
      <c r="CB603" s="142"/>
      <c r="CC603" s="142"/>
      <c r="CD603" s="142"/>
      <c r="CE603" s="142"/>
      <c r="CF603" s="142"/>
      <c r="CG603" s="142"/>
      <c r="CH603" s="142"/>
      <c r="CI603" s="142"/>
      <c r="CJ603" s="142"/>
      <c r="CK603" s="142"/>
      <c r="CL603" s="142"/>
      <c r="CM603" s="142"/>
      <c r="CN603" s="142"/>
      <c r="CO603" s="142"/>
      <c r="CP603" s="142"/>
      <c r="CQ603" s="142"/>
      <c r="CR603" s="142"/>
      <c r="CS603" s="142"/>
      <c r="CT603" s="142"/>
      <c r="CU603" s="142"/>
      <c r="CV603" s="142"/>
      <c r="CW603" s="142"/>
      <c r="CX603" s="142"/>
      <c r="CY603" s="142"/>
      <c r="CZ603" s="142"/>
      <c r="DA603" s="142"/>
      <c r="DB603" s="142"/>
      <c r="DC603" s="142"/>
      <c r="DD603" s="142"/>
      <c r="DE603" s="142"/>
      <c r="DF603" s="142"/>
      <c r="DG603" s="142"/>
      <c r="DH603" s="142"/>
      <c r="DI603" s="142"/>
      <c r="DJ603" s="142"/>
      <c r="DK603" s="142"/>
      <c r="DL603" s="142"/>
      <c r="DM603" s="142"/>
      <c r="DN603" s="142"/>
      <c r="DO603" s="142"/>
      <c r="DP603" s="142"/>
      <c r="DQ603" s="142"/>
      <c r="DR603" s="142"/>
      <c r="DS603" s="142"/>
      <c r="DT603" s="142"/>
      <c r="DU603" s="142"/>
      <c r="DV603" s="142"/>
      <c r="DW603" s="142"/>
      <c r="DX603" s="142"/>
      <c r="DY603" s="142"/>
      <c r="DZ603" s="142"/>
      <c r="EA603" s="142"/>
      <c r="EB603" s="142"/>
      <c r="EC603" s="142"/>
      <c r="ED603" s="142"/>
      <c r="EE603" s="142"/>
    </row>
    <row r="604" spans="1:135" s="151" customFormat="1" ht="19.5" customHeight="1" x14ac:dyDescent="0.2">
      <c r="A604" s="117">
        <v>603</v>
      </c>
      <c r="B604" s="117" t="s">
        <v>622</v>
      </c>
      <c r="C604" s="117">
        <v>83123699</v>
      </c>
      <c r="D604" s="117" t="s">
        <v>73</v>
      </c>
      <c r="E604" s="144" t="s">
        <v>480</v>
      </c>
      <c r="F604" s="146" t="s">
        <v>208</v>
      </c>
      <c r="G604" s="89">
        <v>42270</v>
      </c>
      <c r="H604" s="124">
        <v>46148</v>
      </c>
      <c r="I604" s="175">
        <v>46148</v>
      </c>
      <c r="J604" s="162">
        <f t="shared" si="48"/>
        <v>46879</v>
      </c>
      <c r="K604" s="89">
        <v>45350</v>
      </c>
      <c r="L604" s="89">
        <v>46113</v>
      </c>
      <c r="M604" s="163">
        <f t="shared" si="49"/>
        <v>46844</v>
      </c>
      <c r="N604" s="89">
        <v>42612</v>
      </c>
      <c r="O604" s="89">
        <v>42613</v>
      </c>
      <c r="P604" s="89">
        <v>42613</v>
      </c>
      <c r="Q604" s="166" t="s">
        <v>69</v>
      </c>
      <c r="R604" s="227">
        <v>42628</v>
      </c>
      <c r="S604" s="227">
        <v>43358</v>
      </c>
      <c r="T604" s="166" t="s">
        <v>69</v>
      </c>
      <c r="U604" s="166" t="s">
        <v>69</v>
      </c>
      <c r="V604" s="168">
        <v>46080</v>
      </c>
      <c r="W604" s="166" t="s">
        <v>69</v>
      </c>
      <c r="X604" s="181">
        <v>42360</v>
      </c>
      <c r="Y604" s="181">
        <v>42143</v>
      </c>
      <c r="Z604" s="166" t="s">
        <v>69</v>
      </c>
      <c r="AA604" s="166" t="s">
        <v>69</v>
      </c>
      <c r="AB604" s="166" t="s">
        <v>69</v>
      </c>
      <c r="AC604" s="166" t="s">
        <v>69</v>
      </c>
      <c r="AD604" s="167" t="s">
        <v>71</v>
      </c>
      <c r="AE604" s="167" t="s">
        <v>70</v>
      </c>
      <c r="AF604" s="112" t="s">
        <v>69</v>
      </c>
      <c r="AG604" s="112" t="s">
        <v>69</v>
      </c>
      <c r="AH604" s="167" t="s">
        <v>71</v>
      </c>
      <c r="AI604" s="167" t="s">
        <v>70</v>
      </c>
      <c r="AJ604" s="167" t="s">
        <v>70</v>
      </c>
      <c r="AK604" s="167" t="s">
        <v>70</v>
      </c>
      <c r="AL604" s="166" t="s">
        <v>69</v>
      </c>
      <c r="AM604" s="166"/>
      <c r="AN604" s="166" t="s">
        <v>69</v>
      </c>
      <c r="AO604" s="167" t="s">
        <v>70</v>
      </c>
      <c r="AP604" s="166" t="s">
        <v>69</v>
      </c>
      <c r="AQ604" s="166" t="s">
        <v>69</v>
      </c>
      <c r="AR604" s="166" t="s">
        <v>69</v>
      </c>
      <c r="AS604" s="166" t="s">
        <v>69</v>
      </c>
      <c r="AT604" s="166" t="s">
        <v>69</v>
      </c>
      <c r="AU604" s="166" t="s">
        <v>69</v>
      </c>
      <c r="AV604" s="166" t="s">
        <v>69</v>
      </c>
      <c r="AW604" s="166" t="s">
        <v>69</v>
      </c>
      <c r="AX604" s="166" t="s">
        <v>69</v>
      </c>
      <c r="AY604" s="166" t="s">
        <v>69</v>
      </c>
      <c r="AZ604" s="166" t="s">
        <v>69</v>
      </c>
      <c r="BA604" s="166" t="s">
        <v>69</v>
      </c>
      <c r="BB604" s="166" t="s">
        <v>69</v>
      </c>
      <c r="BC604" s="166" t="s">
        <v>69</v>
      </c>
      <c r="BD604" s="166" t="s">
        <v>69</v>
      </c>
      <c r="BE604" s="166" t="s">
        <v>69</v>
      </c>
      <c r="BF604" s="166" t="s">
        <v>69</v>
      </c>
      <c r="BG604" s="167" t="s">
        <v>70</v>
      </c>
      <c r="BH604" s="166" t="s">
        <v>69</v>
      </c>
      <c r="BI604" s="166" t="s">
        <v>69</v>
      </c>
      <c r="BJ604" s="167" t="s">
        <v>70</v>
      </c>
      <c r="BK604" s="166" t="s">
        <v>69</v>
      </c>
      <c r="BL604" s="167" t="s">
        <v>70</v>
      </c>
      <c r="BM604" s="167" t="s">
        <v>70</v>
      </c>
      <c r="BN604" s="167" t="s">
        <v>70</v>
      </c>
      <c r="BO604" s="167" t="s">
        <v>70</v>
      </c>
      <c r="BP604" s="167" t="s">
        <v>70</v>
      </c>
      <c r="BQ604" s="151">
        <v>0</v>
      </c>
      <c r="BR604" s="142"/>
      <c r="BS604" s="142"/>
      <c r="BT604" s="142"/>
      <c r="BU604" s="142"/>
      <c r="BV604" s="142"/>
      <c r="BW604" s="142"/>
      <c r="BX604" s="142"/>
      <c r="BY604" s="142"/>
      <c r="BZ604" s="142"/>
      <c r="CA604" s="142"/>
      <c r="CB604" s="142"/>
      <c r="CC604" s="142"/>
      <c r="CD604" s="142"/>
      <c r="CE604" s="142"/>
      <c r="CF604" s="142"/>
      <c r="CG604" s="142"/>
      <c r="CH604" s="142"/>
      <c r="CI604" s="142"/>
      <c r="CJ604" s="142"/>
      <c r="CK604" s="142"/>
      <c r="CL604" s="142"/>
      <c r="CM604" s="142"/>
      <c r="CN604" s="142"/>
      <c r="CO604" s="142"/>
      <c r="CP604" s="142"/>
      <c r="CQ604" s="142"/>
      <c r="CR604" s="142"/>
      <c r="CS604" s="142"/>
      <c r="CT604" s="142"/>
      <c r="CU604" s="142"/>
      <c r="CV604" s="142"/>
      <c r="CW604" s="142"/>
      <c r="CX604" s="142"/>
      <c r="CY604" s="142"/>
      <c r="CZ604" s="142"/>
      <c r="DA604" s="142"/>
      <c r="DB604" s="142"/>
      <c r="DC604" s="142"/>
      <c r="DD604" s="142"/>
      <c r="DE604" s="142"/>
      <c r="DF604" s="142"/>
      <c r="DG604" s="142"/>
      <c r="DH604" s="142"/>
      <c r="DI604" s="142"/>
      <c r="DJ604" s="142"/>
      <c r="DK604" s="142"/>
      <c r="DL604" s="142"/>
      <c r="DM604" s="142"/>
      <c r="DN604" s="142"/>
      <c r="DO604" s="142"/>
      <c r="DP604" s="142"/>
      <c r="DQ604" s="142"/>
      <c r="DR604" s="142"/>
      <c r="DS604" s="142"/>
      <c r="DT604" s="142"/>
      <c r="DU604" s="142"/>
      <c r="DV604" s="142"/>
      <c r="DW604" s="142"/>
      <c r="DX604" s="142"/>
      <c r="DY604" s="142"/>
      <c r="DZ604" s="142"/>
      <c r="EA604" s="142"/>
      <c r="EB604" s="142"/>
      <c r="EC604" s="142"/>
      <c r="ED604" s="142"/>
      <c r="EE604" s="142"/>
    </row>
    <row r="605" spans="1:135" s="151" customFormat="1" ht="19.5" customHeight="1" x14ac:dyDescent="0.2">
      <c r="A605" s="117">
        <v>604</v>
      </c>
      <c r="B605" s="117" t="s">
        <v>623</v>
      </c>
      <c r="C605" s="117">
        <v>83123700</v>
      </c>
      <c r="D605" s="117" t="s">
        <v>73</v>
      </c>
      <c r="E605" s="144" t="s">
        <v>480</v>
      </c>
      <c r="F605" s="146" t="s">
        <v>208</v>
      </c>
      <c r="G605" s="89">
        <v>42258</v>
      </c>
      <c r="H605" s="89">
        <v>44503</v>
      </c>
      <c r="I605" s="89">
        <v>46107</v>
      </c>
      <c r="J605" s="162">
        <f t="shared" si="48"/>
        <v>46838</v>
      </c>
      <c r="K605" s="89">
        <v>42297</v>
      </c>
      <c r="L605" s="163">
        <v>46148</v>
      </c>
      <c r="M605" s="163">
        <f t="shared" si="49"/>
        <v>46879</v>
      </c>
      <c r="N605" s="175">
        <v>40690</v>
      </c>
      <c r="O605" s="175">
        <v>40690</v>
      </c>
      <c r="P605" s="175">
        <v>40690</v>
      </c>
      <c r="Q605" s="166" t="s">
        <v>69</v>
      </c>
      <c r="R605" s="166" t="s">
        <v>69</v>
      </c>
      <c r="S605" s="166" t="s">
        <v>69</v>
      </c>
      <c r="T605" s="166" t="s">
        <v>69</v>
      </c>
      <c r="U605" s="166" t="s">
        <v>69</v>
      </c>
      <c r="V605" s="181">
        <v>43868</v>
      </c>
      <c r="W605" s="166" t="s">
        <v>69</v>
      </c>
      <c r="X605" s="181">
        <v>43798</v>
      </c>
      <c r="Y605" s="181">
        <v>42234</v>
      </c>
      <c r="Z605" s="166" t="s">
        <v>69</v>
      </c>
      <c r="AA605" s="94">
        <v>45723</v>
      </c>
      <c r="AB605" s="166" t="s">
        <v>69</v>
      </c>
      <c r="AC605" s="166" t="s">
        <v>69</v>
      </c>
      <c r="AD605" s="167" t="s">
        <v>71</v>
      </c>
      <c r="AE605" s="167" t="s">
        <v>70</v>
      </c>
      <c r="AF605" s="112">
        <v>45646</v>
      </c>
      <c r="AG605" s="112" t="s">
        <v>69</v>
      </c>
      <c r="AH605" s="167" t="s">
        <v>71</v>
      </c>
      <c r="AI605" s="167" t="s">
        <v>70</v>
      </c>
      <c r="AJ605" s="167" t="s">
        <v>70</v>
      </c>
      <c r="AK605" s="167" t="s">
        <v>70</v>
      </c>
      <c r="AL605" s="166" t="s">
        <v>69</v>
      </c>
      <c r="AM605" s="166"/>
      <c r="AN605" s="166" t="s">
        <v>69</v>
      </c>
      <c r="AO605" s="167" t="s">
        <v>70</v>
      </c>
      <c r="AP605" s="166" t="s">
        <v>69</v>
      </c>
      <c r="AQ605" s="166" t="s">
        <v>69</v>
      </c>
      <c r="AR605" s="168">
        <v>46276</v>
      </c>
      <c r="AS605" s="166" t="s">
        <v>69</v>
      </c>
      <c r="AT605" s="166" t="s">
        <v>69</v>
      </c>
      <c r="AU605" s="166" t="s">
        <v>69</v>
      </c>
      <c r="AV605" s="166" t="s">
        <v>69</v>
      </c>
      <c r="AW605" s="166" t="s">
        <v>69</v>
      </c>
      <c r="AX605" s="166" t="s">
        <v>69</v>
      </c>
      <c r="AY605" s="166" t="s">
        <v>69</v>
      </c>
      <c r="AZ605" s="166" t="s">
        <v>69</v>
      </c>
      <c r="BA605" s="166" t="s">
        <v>69</v>
      </c>
      <c r="BB605" s="166" t="s">
        <v>69</v>
      </c>
      <c r="BC605" s="166" t="s">
        <v>69</v>
      </c>
      <c r="BD605" s="166" t="s">
        <v>69</v>
      </c>
      <c r="BE605" s="166" t="s">
        <v>69</v>
      </c>
      <c r="BF605" s="166" t="s">
        <v>69</v>
      </c>
      <c r="BG605" s="167" t="s">
        <v>70</v>
      </c>
      <c r="BH605" s="166" t="s">
        <v>69</v>
      </c>
      <c r="BI605" s="166" t="s">
        <v>69</v>
      </c>
      <c r="BJ605" s="167" t="s">
        <v>70</v>
      </c>
      <c r="BK605" s="166" t="s">
        <v>69</v>
      </c>
      <c r="BL605" s="167" t="s">
        <v>70</v>
      </c>
      <c r="BM605" s="167" t="s">
        <v>70</v>
      </c>
      <c r="BN605" s="167" t="s">
        <v>70</v>
      </c>
      <c r="BO605" s="167" t="s">
        <v>70</v>
      </c>
      <c r="BP605" s="167" t="s">
        <v>70</v>
      </c>
      <c r="BQ605" s="151">
        <v>0</v>
      </c>
      <c r="BR605" s="142"/>
      <c r="BS605" s="142"/>
      <c r="BT605" s="142"/>
      <c r="BU605" s="142"/>
      <c r="BV605" s="142"/>
      <c r="BW605" s="142"/>
      <c r="BX605" s="142"/>
      <c r="BY605" s="142"/>
      <c r="BZ605" s="142"/>
      <c r="CA605" s="142"/>
      <c r="CB605" s="142"/>
      <c r="CC605" s="142"/>
      <c r="CD605" s="142"/>
      <c r="CE605" s="142"/>
      <c r="CF605" s="142"/>
      <c r="CG605" s="142"/>
      <c r="CH605" s="142"/>
      <c r="CI605" s="142"/>
      <c r="CJ605" s="142"/>
      <c r="CK605" s="142"/>
      <c r="CL605" s="142"/>
      <c r="CM605" s="142"/>
      <c r="CN605" s="142"/>
      <c r="CO605" s="142"/>
      <c r="CP605" s="142"/>
      <c r="CQ605" s="142"/>
      <c r="CR605" s="142"/>
      <c r="CS605" s="142"/>
      <c r="CT605" s="142"/>
      <c r="CU605" s="142"/>
      <c r="CV605" s="142"/>
      <c r="CW605" s="142"/>
      <c r="CX605" s="142"/>
      <c r="CY605" s="142"/>
      <c r="CZ605" s="142"/>
      <c r="DA605" s="142"/>
      <c r="DB605" s="142"/>
      <c r="DC605" s="142"/>
      <c r="DD605" s="142"/>
      <c r="DE605" s="142"/>
      <c r="DF605" s="142"/>
      <c r="DG605" s="142"/>
      <c r="DH605" s="142"/>
      <c r="DI605" s="142"/>
      <c r="DJ605" s="142"/>
      <c r="DK605" s="142"/>
      <c r="DL605" s="142"/>
      <c r="DM605" s="142"/>
      <c r="DN605" s="142"/>
      <c r="DO605" s="142"/>
      <c r="DP605" s="142"/>
      <c r="DQ605" s="142"/>
      <c r="DR605" s="142"/>
      <c r="DS605" s="142"/>
      <c r="DT605" s="142"/>
      <c r="DU605" s="142"/>
      <c r="DV605" s="142"/>
      <c r="DW605" s="142"/>
      <c r="DX605" s="142"/>
      <c r="DY605" s="142"/>
      <c r="DZ605" s="142"/>
      <c r="EA605" s="142"/>
      <c r="EB605" s="142"/>
      <c r="EC605" s="142"/>
      <c r="ED605" s="142"/>
      <c r="EE605" s="142"/>
    </row>
    <row r="606" spans="1:135" s="151" customFormat="1" ht="19.5" customHeight="1" x14ac:dyDescent="0.2">
      <c r="A606" s="117">
        <v>605</v>
      </c>
      <c r="B606" s="117" t="s">
        <v>624</v>
      </c>
      <c r="C606" s="117">
        <v>83123701</v>
      </c>
      <c r="D606" s="117" t="s">
        <v>73</v>
      </c>
      <c r="E606" s="144" t="s">
        <v>480</v>
      </c>
      <c r="F606" s="146" t="s">
        <v>208</v>
      </c>
      <c r="G606" s="124" t="s">
        <v>69</v>
      </c>
      <c r="H606" s="89">
        <v>44888</v>
      </c>
      <c r="I606" s="89">
        <v>45936</v>
      </c>
      <c r="J606" s="162">
        <f t="shared" si="48"/>
        <v>46666</v>
      </c>
      <c r="K606" s="165" t="s">
        <v>69</v>
      </c>
      <c r="L606" s="89">
        <v>46120</v>
      </c>
      <c r="M606" s="163">
        <f t="shared" si="49"/>
        <v>46851</v>
      </c>
      <c r="N606" s="175">
        <v>40727</v>
      </c>
      <c r="O606" s="175">
        <v>40697</v>
      </c>
      <c r="P606" s="175">
        <v>40697</v>
      </c>
      <c r="Q606" s="166" t="s">
        <v>69</v>
      </c>
      <c r="R606" s="166" t="s">
        <v>69</v>
      </c>
      <c r="S606" s="166" t="s">
        <v>69</v>
      </c>
      <c r="T606" s="181">
        <v>43791</v>
      </c>
      <c r="U606" s="166" t="s">
        <v>69</v>
      </c>
      <c r="V606" s="166" t="s">
        <v>69</v>
      </c>
      <c r="W606" s="166" t="s">
        <v>69</v>
      </c>
      <c r="X606" s="166" t="s">
        <v>69</v>
      </c>
      <c r="Y606" s="181">
        <v>42234</v>
      </c>
      <c r="Z606" s="181">
        <v>43910</v>
      </c>
      <c r="AA606" s="168">
        <v>45674</v>
      </c>
      <c r="AB606" s="166" t="s">
        <v>69</v>
      </c>
      <c r="AC606" s="166" t="s">
        <v>69</v>
      </c>
      <c r="AD606" s="167" t="s">
        <v>71</v>
      </c>
      <c r="AE606" s="167" t="s">
        <v>70</v>
      </c>
      <c r="AF606" s="94">
        <v>45639</v>
      </c>
      <c r="AG606" s="112" t="s">
        <v>69</v>
      </c>
      <c r="AH606" s="167" t="s">
        <v>71</v>
      </c>
      <c r="AI606" s="167" t="s">
        <v>70</v>
      </c>
      <c r="AJ606" s="167" t="s">
        <v>70</v>
      </c>
      <c r="AK606" s="167" t="s">
        <v>70</v>
      </c>
      <c r="AL606" s="166" t="s">
        <v>69</v>
      </c>
      <c r="AM606" s="166"/>
      <c r="AN606" s="166" t="s">
        <v>69</v>
      </c>
      <c r="AO606" s="167" t="s">
        <v>70</v>
      </c>
      <c r="AP606" s="168">
        <v>46260</v>
      </c>
      <c r="AQ606" s="166" t="s">
        <v>69</v>
      </c>
      <c r="AR606" s="166" t="s">
        <v>69</v>
      </c>
      <c r="AS606" s="166" t="s">
        <v>69</v>
      </c>
      <c r="AT606" s="166" t="s">
        <v>69</v>
      </c>
      <c r="AU606" s="166" t="s">
        <v>69</v>
      </c>
      <c r="AV606" s="166" t="s">
        <v>69</v>
      </c>
      <c r="AW606" s="166" t="s">
        <v>69</v>
      </c>
      <c r="AX606" s="166" t="s">
        <v>69</v>
      </c>
      <c r="AY606" s="166" t="s">
        <v>69</v>
      </c>
      <c r="AZ606" s="166" t="s">
        <v>69</v>
      </c>
      <c r="BA606" s="166" t="s">
        <v>69</v>
      </c>
      <c r="BB606" s="166" t="s">
        <v>69</v>
      </c>
      <c r="BC606" s="166" t="s">
        <v>69</v>
      </c>
      <c r="BD606" s="166" t="s">
        <v>69</v>
      </c>
      <c r="BE606" s="166" t="s">
        <v>69</v>
      </c>
      <c r="BF606" s="166" t="s">
        <v>69</v>
      </c>
      <c r="BG606" s="167" t="s">
        <v>70</v>
      </c>
      <c r="BH606" s="166" t="s">
        <v>69</v>
      </c>
      <c r="BI606" s="166" t="s">
        <v>69</v>
      </c>
      <c r="BJ606" s="167" t="s">
        <v>70</v>
      </c>
      <c r="BK606" s="166" t="s">
        <v>69</v>
      </c>
      <c r="BL606" s="167" t="s">
        <v>70</v>
      </c>
      <c r="BM606" s="167" t="s">
        <v>70</v>
      </c>
      <c r="BN606" s="167" t="s">
        <v>70</v>
      </c>
      <c r="BO606" s="167" t="s">
        <v>70</v>
      </c>
      <c r="BP606" s="167" t="s">
        <v>70</v>
      </c>
      <c r="BQ606" s="151">
        <v>0</v>
      </c>
      <c r="BR606" s="142"/>
      <c r="BS606" s="142"/>
      <c r="BT606" s="142"/>
      <c r="BU606" s="142"/>
      <c r="BV606" s="142"/>
      <c r="BW606" s="142"/>
      <c r="BX606" s="142"/>
      <c r="BY606" s="142"/>
      <c r="BZ606" s="142"/>
      <c r="CA606" s="142"/>
      <c r="CB606" s="142"/>
      <c r="CC606" s="142"/>
      <c r="CD606" s="142"/>
      <c r="CE606" s="142"/>
      <c r="CF606" s="142"/>
      <c r="CG606" s="142"/>
      <c r="CH606" s="142"/>
      <c r="CI606" s="142"/>
      <c r="CJ606" s="142"/>
      <c r="CK606" s="142"/>
      <c r="CL606" s="142"/>
      <c r="CM606" s="142"/>
      <c r="CN606" s="142"/>
      <c r="CO606" s="142"/>
      <c r="CP606" s="142"/>
      <c r="CQ606" s="142"/>
      <c r="CR606" s="142"/>
      <c r="CS606" s="142"/>
      <c r="CT606" s="142"/>
      <c r="CU606" s="142"/>
      <c r="CV606" s="142"/>
      <c r="CW606" s="142"/>
      <c r="CX606" s="142"/>
      <c r="CY606" s="142"/>
      <c r="CZ606" s="142"/>
      <c r="DA606" s="142"/>
      <c r="DB606" s="142"/>
      <c r="DC606" s="142"/>
      <c r="DD606" s="142"/>
      <c r="DE606" s="142"/>
      <c r="DF606" s="142"/>
      <c r="DG606" s="142"/>
      <c r="DH606" s="142"/>
      <c r="DI606" s="142"/>
      <c r="DJ606" s="142"/>
      <c r="DK606" s="142"/>
      <c r="DL606" s="142"/>
      <c r="DM606" s="142"/>
      <c r="DN606" s="142"/>
      <c r="DO606" s="142"/>
      <c r="DP606" s="142"/>
      <c r="DQ606" s="142"/>
      <c r="DR606" s="142"/>
      <c r="DS606" s="142"/>
      <c r="DT606" s="142"/>
      <c r="DU606" s="142"/>
      <c r="DV606" s="142"/>
      <c r="DW606" s="142"/>
      <c r="DX606" s="142"/>
      <c r="DY606" s="142"/>
      <c r="DZ606" s="142"/>
      <c r="EA606" s="142"/>
      <c r="EB606" s="142"/>
      <c r="EC606" s="142"/>
      <c r="ED606" s="142"/>
      <c r="EE606" s="142"/>
    </row>
    <row r="607" spans="1:135" s="151" customFormat="1" ht="19.5" customHeight="1" x14ac:dyDescent="0.2">
      <c r="A607" s="117">
        <v>606</v>
      </c>
      <c r="B607" s="117" t="s">
        <v>625</v>
      </c>
      <c r="C607" s="117">
        <v>83123703</v>
      </c>
      <c r="D607" s="117" t="s">
        <v>73</v>
      </c>
      <c r="E607" s="144" t="s">
        <v>480</v>
      </c>
      <c r="F607" s="146" t="s">
        <v>208</v>
      </c>
      <c r="G607" s="89">
        <v>42670</v>
      </c>
      <c r="H607" s="89">
        <v>42593</v>
      </c>
      <c r="I607" s="89">
        <v>45954</v>
      </c>
      <c r="J607" s="162">
        <f t="shared" si="48"/>
        <v>46684</v>
      </c>
      <c r="K607" s="89">
        <v>43157</v>
      </c>
      <c r="L607" s="89">
        <v>46120</v>
      </c>
      <c r="M607" s="163">
        <f t="shared" si="49"/>
        <v>46851</v>
      </c>
      <c r="N607" s="175">
        <v>40669</v>
      </c>
      <c r="O607" s="175">
        <v>40670</v>
      </c>
      <c r="P607" s="175">
        <v>40670</v>
      </c>
      <c r="Q607" s="166" t="s">
        <v>69</v>
      </c>
      <c r="R607" s="166" t="s">
        <v>69</v>
      </c>
      <c r="S607" s="166" t="s">
        <v>69</v>
      </c>
      <c r="T607" s="166" t="s">
        <v>69</v>
      </c>
      <c r="U607" s="166" t="s">
        <v>69</v>
      </c>
      <c r="V607" s="181">
        <v>43731</v>
      </c>
      <c r="W607" s="166" t="s">
        <v>69</v>
      </c>
      <c r="X607" s="181">
        <v>42360</v>
      </c>
      <c r="Y607" s="181">
        <v>42034</v>
      </c>
      <c r="Z607" s="181">
        <v>44519</v>
      </c>
      <c r="AA607" s="94">
        <v>45695</v>
      </c>
      <c r="AB607" s="166" t="s">
        <v>69</v>
      </c>
      <c r="AC607" s="166" t="s">
        <v>69</v>
      </c>
      <c r="AD607" s="167" t="s">
        <v>71</v>
      </c>
      <c r="AE607" s="167" t="s">
        <v>70</v>
      </c>
      <c r="AF607" s="112">
        <v>45672</v>
      </c>
      <c r="AG607" s="112" t="s">
        <v>69</v>
      </c>
      <c r="AH607" s="167" t="s">
        <v>71</v>
      </c>
      <c r="AI607" s="167" t="s">
        <v>70</v>
      </c>
      <c r="AJ607" s="167" t="s">
        <v>70</v>
      </c>
      <c r="AK607" s="167" t="s">
        <v>70</v>
      </c>
      <c r="AL607" s="166" t="s">
        <v>69</v>
      </c>
      <c r="AM607" s="166"/>
      <c r="AN607" s="166" t="s">
        <v>69</v>
      </c>
      <c r="AO607" s="167" t="s">
        <v>70</v>
      </c>
      <c r="AP607" s="166" t="s">
        <v>69</v>
      </c>
      <c r="AQ607" s="166" t="s">
        <v>69</v>
      </c>
      <c r="AR607" s="166" t="s">
        <v>69</v>
      </c>
      <c r="AS607" s="166" t="s">
        <v>69</v>
      </c>
      <c r="AT607" s="166" t="s">
        <v>69</v>
      </c>
      <c r="AU607" s="166" t="s">
        <v>69</v>
      </c>
      <c r="AV607" s="166" t="s">
        <v>69</v>
      </c>
      <c r="AW607" s="166" t="s">
        <v>69</v>
      </c>
      <c r="AX607" s="166" t="s">
        <v>69</v>
      </c>
      <c r="AY607" s="166" t="s">
        <v>69</v>
      </c>
      <c r="AZ607" s="166" t="s">
        <v>69</v>
      </c>
      <c r="BA607" s="166" t="s">
        <v>69</v>
      </c>
      <c r="BB607" s="166" t="s">
        <v>69</v>
      </c>
      <c r="BC607" s="166" t="s">
        <v>69</v>
      </c>
      <c r="BD607" s="166" t="s">
        <v>69</v>
      </c>
      <c r="BE607" s="166" t="s">
        <v>69</v>
      </c>
      <c r="BF607" s="166" t="s">
        <v>69</v>
      </c>
      <c r="BG607" s="167" t="s">
        <v>70</v>
      </c>
      <c r="BH607" s="166" t="s">
        <v>69</v>
      </c>
      <c r="BI607" s="166" t="s">
        <v>69</v>
      </c>
      <c r="BJ607" s="167" t="s">
        <v>70</v>
      </c>
      <c r="BK607" s="166" t="s">
        <v>69</v>
      </c>
      <c r="BL607" s="167" t="s">
        <v>70</v>
      </c>
      <c r="BM607" s="167" t="s">
        <v>70</v>
      </c>
      <c r="BN607" s="167" t="s">
        <v>70</v>
      </c>
      <c r="BO607" s="167" t="s">
        <v>70</v>
      </c>
      <c r="BP607" s="167" t="s">
        <v>70</v>
      </c>
      <c r="BQ607" s="151">
        <v>0</v>
      </c>
      <c r="BR607" s="142"/>
      <c r="BS607" s="142"/>
      <c r="BT607" s="142"/>
      <c r="BU607" s="142"/>
      <c r="BV607" s="142"/>
      <c r="BW607" s="142"/>
      <c r="BX607" s="142"/>
      <c r="BY607" s="142"/>
      <c r="BZ607" s="142"/>
      <c r="CA607" s="142"/>
      <c r="CB607" s="142"/>
      <c r="CC607" s="142"/>
      <c r="CD607" s="142"/>
      <c r="CE607" s="142"/>
      <c r="CF607" s="142"/>
      <c r="CG607" s="142"/>
      <c r="CH607" s="142"/>
      <c r="CI607" s="142"/>
      <c r="CJ607" s="142"/>
      <c r="CK607" s="142"/>
      <c r="CL607" s="142"/>
      <c r="CM607" s="142"/>
      <c r="CN607" s="142"/>
      <c r="CO607" s="142"/>
      <c r="CP607" s="142"/>
      <c r="CQ607" s="142"/>
      <c r="CR607" s="142"/>
      <c r="CS607" s="142"/>
      <c r="CT607" s="142"/>
      <c r="CU607" s="142"/>
      <c r="CV607" s="142"/>
      <c r="CW607" s="142"/>
      <c r="CX607" s="142"/>
      <c r="CY607" s="142"/>
      <c r="CZ607" s="142"/>
      <c r="DA607" s="142"/>
      <c r="DB607" s="142"/>
      <c r="DC607" s="142"/>
      <c r="DD607" s="142"/>
      <c r="DE607" s="142"/>
      <c r="DF607" s="142"/>
      <c r="DG607" s="142"/>
      <c r="DH607" s="142"/>
      <c r="DI607" s="142"/>
      <c r="DJ607" s="142"/>
      <c r="DK607" s="142"/>
      <c r="DL607" s="142"/>
      <c r="DM607" s="142"/>
      <c r="DN607" s="142"/>
      <c r="DO607" s="142"/>
      <c r="DP607" s="142"/>
      <c r="DQ607" s="142"/>
      <c r="DR607" s="142"/>
      <c r="DS607" s="142"/>
      <c r="DT607" s="142"/>
      <c r="DU607" s="142"/>
      <c r="DV607" s="142"/>
      <c r="DW607" s="142"/>
      <c r="DX607" s="142"/>
      <c r="DY607" s="142"/>
      <c r="DZ607" s="142"/>
      <c r="EA607" s="142"/>
      <c r="EB607" s="142"/>
      <c r="EC607" s="142"/>
      <c r="ED607" s="142"/>
      <c r="EE607" s="142"/>
    </row>
    <row r="608" spans="1:135" s="151" customFormat="1" ht="19.5" customHeight="1" x14ac:dyDescent="0.2">
      <c r="A608" s="117">
        <v>607</v>
      </c>
      <c r="B608" s="117" t="s">
        <v>626</v>
      </c>
      <c r="C608" s="117">
        <v>83123706</v>
      </c>
      <c r="D608" s="117" t="s">
        <v>73</v>
      </c>
      <c r="E608" s="144" t="s">
        <v>480</v>
      </c>
      <c r="F608" s="146" t="s">
        <v>208</v>
      </c>
      <c r="G608" s="89">
        <v>42499</v>
      </c>
      <c r="H608" s="89">
        <v>41586</v>
      </c>
      <c r="I608" s="89">
        <v>46105</v>
      </c>
      <c r="J608" s="162">
        <f t="shared" si="48"/>
        <v>46836</v>
      </c>
      <c r="K608" s="89">
        <v>41443</v>
      </c>
      <c r="L608" s="89">
        <v>46140</v>
      </c>
      <c r="M608" s="163">
        <f t="shared" si="49"/>
        <v>46871</v>
      </c>
      <c r="N608" s="175">
        <v>40704</v>
      </c>
      <c r="O608" s="175">
        <v>40705</v>
      </c>
      <c r="P608" s="175">
        <v>40705</v>
      </c>
      <c r="Q608" s="166" t="s">
        <v>69</v>
      </c>
      <c r="R608" s="166" t="s">
        <v>69</v>
      </c>
      <c r="S608" s="166" t="s">
        <v>69</v>
      </c>
      <c r="T608" s="168">
        <v>42800</v>
      </c>
      <c r="U608" s="166" t="s">
        <v>69</v>
      </c>
      <c r="V608" s="168">
        <v>42695</v>
      </c>
      <c r="W608" s="166" t="s">
        <v>69</v>
      </c>
      <c r="X608" s="166" t="s">
        <v>69</v>
      </c>
      <c r="Y608" s="181">
        <v>42143</v>
      </c>
      <c r="Z608" s="166" t="s">
        <v>69</v>
      </c>
      <c r="AA608" s="168">
        <v>45674</v>
      </c>
      <c r="AB608" s="166" t="s">
        <v>69</v>
      </c>
      <c r="AC608" s="166" t="s">
        <v>69</v>
      </c>
      <c r="AD608" s="167" t="s">
        <v>71</v>
      </c>
      <c r="AE608" s="167" t="s">
        <v>70</v>
      </c>
      <c r="AF608" s="112">
        <v>46182</v>
      </c>
      <c r="AG608" s="112" t="s">
        <v>69</v>
      </c>
      <c r="AH608" s="167" t="s">
        <v>71</v>
      </c>
      <c r="AI608" s="167" t="s">
        <v>70</v>
      </c>
      <c r="AJ608" s="167" t="s">
        <v>70</v>
      </c>
      <c r="AK608" s="167" t="s">
        <v>70</v>
      </c>
      <c r="AL608" s="166" t="s">
        <v>69</v>
      </c>
      <c r="AM608" s="166"/>
      <c r="AN608" s="166" t="s">
        <v>69</v>
      </c>
      <c r="AO608" s="167" t="s">
        <v>70</v>
      </c>
      <c r="AP608" s="166" t="s">
        <v>69</v>
      </c>
      <c r="AQ608" s="166" t="s">
        <v>69</v>
      </c>
      <c r="AR608" s="168">
        <v>46244</v>
      </c>
      <c r="AS608" s="166" t="s">
        <v>69</v>
      </c>
      <c r="AT608" s="94">
        <v>42443</v>
      </c>
      <c r="AU608" s="166" t="s">
        <v>69</v>
      </c>
      <c r="AV608" s="166" t="s">
        <v>69</v>
      </c>
      <c r="AW608" s="166" t="s">
        <v>69</v>
      </c>
      <c r="AX608" s="166" t="s">
        <v>69</v>
      </c>
      <c r="AY608" s="166" t="s">
        <v>69</v>
      </c>
      <c r="AZ608" s="166" t="s">
        <v>69</v>
      </c>
      <c r="BA608" s="166" t="s">
        <v>69</v>
      </c>
      <c r="BB608" s="166" t="s">
        <v>69</v>
      </c>
      <c r="BC608" s="166" t="s">
        <v>69</v>
      </c>
      <c r="BD608" s="166" t="s">
        <v>69</v>
      </c>
      <c r="BE608" s="166" t="s">
        <v>69</v>
      </c>
      <c r="BF608" s="166" t="s">
        <v>69</v>
      </c>
      <c r="BG608" s="167" t="s">
        <v>70</v>
      </c>
      <c r="BH608" s="166" t="s">
        <v>69</v>
      </c>
      <c r="BI608" s="166" t="s">
        <v>69</v>
      </c>
      <c r="BJ608" s="167" t="s">
        <v>70</v>
      </c>
      <c r="BK608" s="166" t="s">
        <v>69</v>
      </c>
      <c r="BL608" s="167" t="s">
        <v>70</v>
      </c>
      <c r="BM608" s="167" t="s">
        <v>70</v>
      </c>
      <c r="BN608" s="167" t="s">
        <v>70</v>
      </c>
      <c r="BO608" s="167" t="s">
        <v>70</v>
      </c>
      <c r="BP608" s="167" t="s">
        <v>70</v>
      </c>
      <c r="BQ608" s="151">
        <v>0</v>
      </c>
      <c r="BR608" s="142"/>
      <c r="BS608" s="142"/>
      <c r="BT608" s="142"/>
      <c r="BU608" s="142"/>
      <c r="BV608" s="142"/>
      <c r="BW608" s="142"/>
      <c r="BX608" s="142"/>
      <c r="BY608" s="142"/>
      <c r="BZ608" s="142"/>
      <c r="CA608" s="142"/>
      <c r="CB608" s="142"/>
      <c r="CC608" s="142"/>
      <c r="CD608" s="142"/>
      <c r="CE608" s="142"/>
      <c r="CF608" s="142"/>
      <c r="CG608" s="142"/>
      <c r="CH608" s="142"/>
      <c r="CI608" s="142"/>
      <c r="CJ608" s="142"/>
      <c r="CK608" s="142"/>
      <c r="CL608" s="142"/>
      <c r="CM608" s="142"/>
      <c r="CN608" s="142"/>
      <c r="CO608" s="142"/>
      <c r="CP608" s="142"/>
      <c r="CQ608" s="142"/>
      <c r="CR608" s="142"/>
      <c r="CS608" s="142"/>
      <c r="CT608" s="142"/>
      <c r="CU608" s="142"/>
      <c r="CV608" s="142"/>
      <c r="CW608" s="142"/>
      <c r="CX608" s="142"/>
      <c r="CY608" s="142"/>
      <c r="CZ608" s="142"/>
      <c r="DA608" s="142"/>
      <c r="DB608" s="142"/>
      <c r="DC608" s="142"/>
      <c r="DD608" s="142"/>
      <c r="DE608" s="142"/>
      <c r="DF608" s="142"/>
      <c r="DG608" s="142"/>
      <c r="DH608" s="142"/>
      <c r="DI608" s="142"/>
      <c r="DJ608" s="142"/>
      <c r="DK608" s="142"/>
      <c r="DL608" s="142"/>
      <c r="DM608" s="142"/>
      <c r="DN608" s="142"/>
      <c r="DO608" s="142"/>
      <c r="DP608" s="142"/>
      <c r="DQ608" s="142"/>
      <c r="DR608" s="142"/>
      <c r="DS608" s="142"/>
      <c r="DT608" s="142"/>
      <c r="DU608" s="142"/>
      <c r="DV608" s="142"/>
      <c r="DW608" s="142"/>
      <c r="DX608" s="142"/>
      <c r="DY608" s="142"/>
      <c r="DZ608" s="142"/>
      <c r="EA608" s="142"/>
      <c r="EB608" s="142"/>
      <c r="EC608" s="142"/>
      <c r="ED608" s="142"/>
      <c r="EE608" s="142"/>
    </row>
    <row r="609" spans="1:135" s="151" customFormat="1" ht="19.5" customHeight="1" x14ac:dyDescent="0.2">
      <c r="A609" s="117">
        <v>608</v>
      </c>
      <c r="B609" s="174" t="s">
        <v>629</v>
      </c>
      <c r="C609" s="144">
        <v>143659</v>
      </c>
      <c r="D609" s="117" t="s">
        <v>73</v>
      </c>
      <c r="E609" s="146" t="s">
        <v>480</v>
      </c>
      <c r="F609" s="146" t="s">
        <v>208</v>
      </c>
      <c r="G609" s="162">
        <v>42094</v>
      </c>
      <c r="H609" s="162">
        <v>42151</v>
      </c>
      <c r="I609" s="162">
        <v>46086</v>
      </c>
      <c r="J609" s="162">
        <f t="shared" si="48"/>
        <v>46817</v>
      </c>
      <c r="K609" s="111">
        <v>42045</v>
      </c>
      <c r="L609" s="163">
        <v>46148</v>
      </c>
      <c r="M609" s="163">
        <f t="shared" si="49"/>
        <v>46879</v>
      </c>
      <c r="N609" s="111">
        <v>42500</v>
      </c>
      <c r="O609" s="111">
        <v>46300</v>
      </c>
      <c r="P609" s="111">
        <v>44126</v>
      </c>
      <c r="Q609" s="111">
        <v>42619</v>
      </c>
      <c r="R609" s="166" t="s">
        <v>69</v>
      </c>
      <c r="S609" s="166" t="s">
        <v>69</v>
      </c>
      <c r="T609" s="168">
        <v>46265</v>
      </c>
      <c r="U609" s="168">
        <v>46080</v>
      </c>
      <c r="V609" s="166" t="s">
        <v>69</v>
      </c>
      <c r="W609" s="166" t="s">
        <v>69</v>
      </c>
      <c r="X609" s="166" t="s">
        <v>69</v>
      </c>
      <c r="Y609" s="166" t="s">
        <v>69</v>
      </c>
      <c r="Z609" s="166" t="s">
        <v>69</v>
      </c>
      <c r="AA609" s="166" t="s">
        <v>69</v>
      </c>
      <c r="AB609" s="166" t="s">
        <v>69</v>
      </c>
      <c r="AC609" s="166" t="s">
        <v>69</v>
      </c>
      <c r="AD609" s="167" t="s">
        <v>71</v>
      </c>
      <c r="AE609" s="167"/>
      <c r="AF609" s="112">
        <v>46034</v>
      </c>
      <c r="AG609" s="112" t="s">
        <v>69</v>
      </c>
      <c r="AH609" s="167" t="s">
        <v>71</v>
      </c>
      <c r="AI609" s="167" t="s">
        <v>70</v>
      </c>
      <c r="AJ609" s="167" t="s">
        <v>70</v>
      </c>
      <c r="AK609" s="167" t="s">
        <v>70</v>
      </c>
      <c r="AL609" s="166" t="s">
        <v>69</v>
      </c>
      <c r="AM609" s="166"/>
      <c r="AN609" s="166" t="s">
        <v>69</v>
      </c>
      <c r="AO609" s="167" t="s">
        <v>70</v>
      </c>
      <c r="AP609" s="166" t="s">
        <v>69</v>
      </c>
      <c r="AQ609" s="166" t="s">
        <v>69</v>
      </c>
      <c r="AR609" s="166" t="s">
        <v>69</v>
      </c>
      <c r="AS609" s="166" t="s">
        <v>69</v>
      </c>
      <c r="AT609" s="166" t="s">
        <v>69</v>
      </c>
      <c r="AU609" s="166" t="s">
        <v>69</v>
      </c>
      <c r="AV609" s="166" t="s">
        <v>69</v>
      </c>
      <c r="AW609" s="166" t="s">
        <v>69</v>
      </c>
      <c r="AX609" s="166" t="s">
        <v>69</v>
      </c>
      <c r="AY609" s="166" t="s">
        <v>69</v>
      </c>
      <c r="AZ609" s="166" t="s">
        <v>69</v>
      </c>
      <c r="BA609" s="166" t="s">
        <v>69</v>
      </c>
      <c r="BB609" s="166" t="s">
        <v>69</v>
      </c>
      <c r="BC609" s="166" t="s">
        <v>69</v>
      </c>
      <c r="BD609" s="166" t="s">
        <v>69</v>
      </c>
      <c r="BE609" s="166" t="s">
        <v>69</v>
      </c>
      <c r="BF609" s="166" t="s">
        <v>69</v>
      </c>
      <c r="BG609" s="167" t="s">
        <v>70</v>
      </c>
      <c r="BH609" s="166" t="s">
        <v>69</v>
      </c>
      <c r="BI609" s="166" t="s">
        <v>69</v>
      </c>
      <c r="BJ609" s="167" t="s">
        <v>70</v>
      </c>
      <c r="BK609" s="166" t="s">
        <v>69</v>
      </c>
      <c r="BL609" s="167" t="s">
        <v>70</v>
      </c>
      <c r="BM609" s="167" t="s">
        <v>70</v>
      </c>
      <c r="BN609" s="167" t="s">
        <v>70</v>
      </c>
      <c r="BO609" s="167" t="s">
        <v>70</v>
      </c>
      <c r="BP609" s="167" t="s">
        <v>70</v>
      </c>
      <c r="BQ609" s="151">
        <v>0</v>
      </c>
      <c r="BR609" s="142"/>
      <c r="BS609" s="142"/>
      <c r="BT609" s="142"/>
      <c r="BU609" s="142"/>
      <c r="BV609" s="142"/>
      <c r="BW609" s="142"/>
      <c r="BX609" s="142"/>
      <c r="BY609" s="142"/>
      <c r="BZ609" s="142"/>
      <c r="CA609" s="142"/>
      <c r="CB609" s="142"/>
      <c r="CC609" s="142"/>
      <c r="CD609" s="142"/>
      <c r="CE609" s="142"/>
      <c r="CF609" s="142"/>
      <c r="CG609" s="142"/>
      <c r="CH609" s="142"/>
      <c r="CI609" s="142"/>
      <c r="CJ609" s="142"/>
      <c r="CK609" s="142"/>
      <c r="CL609" s="142"/>
      <c r="CM609" s="142"/>
      <c r="CN609" s="142"/>
      <c r="CO609" s="142"/>
      <c r="CP609" s="142"/>
      <c r="CQ609" s="142"/>
      <c r="CR609" s="142"/>
      <c r="CS609" s="142"/>
      <c r="CT609" s="142"/>
      <c r="CU609" s="142"/>
      <c r="CV609" s="142"/>
      <c r="CW609" s="142"/>
      <c r="CX609" s="142"/>
      <c r="CY609" s="142"/>
      <c r="CZ609" s="142"/>
      <c r="DA609" s="142"/>
      <c r="DB609" s="142"/>
      <c r="DC609" s="142"/>
      <c r="DD609" s="142"/>
      <c r="DE609" s="142"/>
      <c r="DF609" s="142"/>
      <c r="DG609" s="142"/>
      <c r="DH609" s="142"/>
      <c r="DI609" s="142"/>
      <c r="DJ609" s="142"/>
      <c r="DK609" s="142"/>
      <c r="DL609" s="142"/>
      <c r="DM609" s="142"/>
      <c r="DN609" s="142"/>
      <c r="DO609" s="142"/>
      <c r="DP609" s="142"/>
      <c r="DQ609" s="142"/>
      <c r="DR609" s="142"/>
      <c r="DS609" s="142"/>
      <c r="DT609" s="142"/>
      <c r="DU609" s="142"/>
      <c r="DV609" s="142"/>
      <c r="DW609" s="142"/>
      <c r="DX609" s="142"/>
      <c r="DY609" s="142"/>
      <c r="DZ609" s="142"/>
      <c r="EA609" s="142"/>
      <c r="EB609" s="142"/>
      <c r="EC609" s="142"/>
      <c r="ED609" s="142"/>
      <c r="EE609" s="142"/>
    </row>
    <row r="610" spans="1:135" s="151" customFormat="1" ht="19.5" customHeight="1" x14ac:dyDescent="0.2">
      <c r="A610" s="117">
        <v>609</v>
      </c>
      <c r="B610" s="117" t="s">
        <v>630</v>
      </c>
      <c r="C610" s="117">
        <v>84087843</v>
      </c>
      <c r="D610" s="117" t="s">
        <v>73</v>
      </c>
      <c r="E610" s="144" t="s">
        <v>480</v>
      </c>
      <c r="F610" s="146" t="s">
        <v>208</v>
      </c>
      <c r="G610" s="89">
        <v>40976</v>
      </c>
      <c r="H610" s="89">
        <v>40989</v>
      </c>
      <c r="I610" s="89">
        <v>46086</v>
      </c>
      <c r="J610" s="162">
        <f t="shared" si="48"/>
        <v>46817</v>
      </c>
      <c r="K610" s="89">
        <v>40981</v>
      </c>
      <c r="L610" s="89">
        <v>46140</v>
      </c>
      <c r="M610" s="163">
        <f t="shared" si="49"/>
        <v>46871</v>
      </c>
      <c r="N610" s="89">
        <v>40737</v>
      </c>
      <c r="O610" s="89">
        <v>40738</v>
      </c>
      <c r="P610" s="89">
        <v>40738</v>
      </c>
      <c r="Q610" s="181">
        <v>42661</v>
      </c>
      <c r="R610" s="166" t="s">
        <v>69</v>
      </c>
      <c r="S610" s="166" t="s">
        <v>69</v>
      </c>
      <c r="T610" s="166" t="s">
        <v>69</v>
      </c>
      <c r="U610" s="181">
        <v>43602</v>
      </c>
      <c r="V610" s="166" t="s">
        <v>69</v>
      </c>
      <c r="W610" s="166" t="s">
        <v>69</v>
      </c>
      <c r="X610" s="181">
        <v>42345</v>
      </c>
      <c r="Y610" s="181">
        <v>42234</v>
      </c>
      <c r="Z610" s="166" t="s">
        <v>69</v>
      </c>
      <c r="AA610" s="94">
        <v>45723</v>
      </c>
      <c r="AB610" s="166" t="s">
        <v>69</v>
      </c>
      <c r="AC610" s="166" t="s">
        <v>69</v>
      </c>
      <c r="AD610" s="167" t="s">
        <v>71</v>
      </c>
      <c r="AE610" s="167" t="s">
        <v>70</v>
      </c>
      <c r="AF610" s="112">
        <v>46133</v>
      </c>
      <c r="AG610" s="112" t="s">
        <v>69</v>
      </c>
      <c r="AH610" s="167" t="s">
        <v>71</v>
      </c>
      <c r="AI610" s="167" t="s">
        <v>70</v>
      </c>
      <c r="AJ610" s="167" t="s">
        <v>70</v>
      </c>
      <c r="AK610" s="167" t="s">
        <v>70</v>
      </c>
      <c r="AL610" s="166" t="s">
        <v>69</v>
      </c>
      <c r="AM610" s="166"/>
      <c r="AN610" s="166" t="s">
        <v>69</v>
      </c>
      <c r="AO610" s="167" t="s">
        <v>70</v>
      </c>
      <c r="AP610" s="166" t="s">
        <v>69</v>
      </c>
      <c r="AQ610" s="166" t="s">
        <v>69</v>
      </c>
      <c r="AR610" s="166" t="s">
        <v>69</v>
      </c>
      <c r="AS610" s="166" t="s">
        <v>69</v>
      </c>
      <c r="AT610" s="166" t="s">
        <v>69</v>
      </c>
      <c r="AU610" s="166" t="s">
        <v>69</v>
      </c>
      <c r="AV610" s="166" t="s">
        <v>69</v>
      </c>
      <c r="AW610" s="166" t="s">
        <v>69</v>
      </c>
      <c r="AX610" s="166" t="s">
        <v>69</v>
      </c>
      <c r="AY610" s="166" t="s">
        <v>69</v>
      </c>
      <c r="AZ610" s="166" t="s">
        <v>69</v>
      </c>
      <c r="BA610" s="166" t="s">
        <v>69</v>
      </c>
      <c r="BB610" s="166" t="s">
        <v>69</v>
      </c>
      <c r="BC610" s="166" t="s">
        <v>69</v>
      </c>
      <c r="BD610" s="166" t="s">
        <v>69</v>
      </c>
      <c r="BE610" s="166" t="s">
        <v>69</v>
      </c>
      <c r="BF610" s="166" t="s">
        <v>69</v>
      </c>
      <c r="BG610" s="167" t="s">
        <v>70</v>
      </c>
      <c r="BH610" s="166" t="s">
        <v>69</v>
      </c>
      <c r="BI610" s="166" t="s">
        <v>69</v>
      </c>
      <c r="BJ610" s="167" t="s">
        <v>70</v>
      </c>
      <c r="BK610" s="166" t="s">
        <v>69</v>
      </c>
      <c r="BL610" s="167" t="s">
        <v>70</v>
      </c>
      <c r="BM610" s="167" t="s">
        <v>70</v>
      </c>
      <c r="BN610" s="167" t="s">
        <v>70</v>
      </c>
      <c r="BO610" s="167" t="s">
        <v>70</v>
      </c>
      <c r="BP610" s="167" t="s">
        <v>70</v>
      </c>
      <c r="BQ610" s="151">
        <v>0</v>
      </c>
      <c r="BR610" s="142"/>
      <c r="BS610" s="142"/>
      <c r="BT610" s="142"/>
      <c r="BU610" s="142"/>
      <c r="BV610" s="142"/>
      <c r="BW610" s="142"/>
      <c r="BX610" s="142"/>
      <c r="BY610" s="142"/>
      <c r="BZ610" s="142"/>
      <c r="CA610" s="142"/>
      <c r="CB610" s="142"/>
      <c r="CC610" s="142"/>
      <c r="CD610" s="142"/>
      <c r="CE610" s="142"/>
      <c r="CF610" s="142"/>
      <c r="CG610" s="142"/>
      <c r="CH610" s="142"/>
      <c r="CI610" s="142"/>
      <c r="CJ610" s="142"/>
      <c r="CK610" s="142"/>
      <c r="CL610" s="142"/>
      <c r="CM610" s="142"/>
      <c r="CN610" s="142"/>
      <c r="CO610" s="142"/>
      <c r="CP610" s="142"/>
      <c r="CQ610" s="142"/>
      <c r="CR610" s="142"/>
      <c r="CS610" s="142"/>
      <c r="CT610" s="142"/>
      <c r="CU610" s="142"/>
      <c r="CV610" s="142"/>
      <c r="CW610" s="142"/>
      <c r="CX610" s="142"/>
      <c r="CY610" s="142"/>
      <c r="CZ610" s="142"/>
      <c r="DA610" s="142"/>
      <c r="DB610" s="142"/>
      <c r="DC610" s="142"/>
      <c r="DD610" s="142"/>
      <c r="DE610" s="142"/>
      <c r="DF610" s="142"/>
      <c r="DG610" s="142"/>
      <c r="DH610" s="142"/>
      <c r="DI610" s="142"/>
      <c r="DJ610" s="142"/>
      <c r="DK610" s="142"/>
      <c r="DL610" s="142"/>
      <c r="DM610" s="142"/>
      <c r="DN610" s="142"/>
      <c r="DO610" s="142"/>
      <c r="DP610" s="142"/>
      <c r="DQ610" s="142"/>
      <c r="DR610" s="142"/>
      <c r="DS610" s="142"/>
      <c r="DT610" s="142"/>
      <c r="DU610" s="142"/>
      <c r="DV610" s="142"/>
      <c r="DW610" s="142"/>
      <c r="DX610" s="142"/>
      <c r="DY610" s="142"/>
      <c r="DZ610" s="142"/>
      <c r="EA610" s="142"/>
      <c r="EB610" s="142"/>
      <c r="EC610" s="142"/>
      <c r="ED610" s="142"/>
      <c r="EE610" s="142"/>
    </row>
    <row r="611" spans="1:135" s="151" customFormat="1" ht="19.5" customHeight="1" x14ac:dyDescent="0.2">
      <c r="A611" s="117">
        <v>610</v>
      </c>
      <c r="B611" s="174" t="s">
        <v>661</v>
      </c>
      <c r="C611" s="144">
        <v>83090515</v>
      </c>
      <c r="D611" s="117" t="s">
        <v>73</v>
      </c>
      <c r="E611" s="146" t="s">
        <v>480</v>
      </c>
      <c r="F611" s="146" t="s">
        <v>208</v>
      </c>
      <c r="G611" s="162">
        <v>40938</v>
      </c>
      <c r="H611" s="162">
        <v>41019</v>
      </c>
      <c r="I611" s="162">
        <v>46258</v>
      </c>
      <c r="J611" s="162">
        <f t="shared" si="48"/>
        <v>46989</v>
      </c>
      <c r="K611" s="111">
        <v>40994</v>
      </c>
      <c r="L611" s="163">
        <v>46154</v>
      </c>
      <c r="M611" s="163">
        <f t="shared" si="49"/>
        <v>46885</v>
      </c>
      <c r="N611" s="111">
        <v>40711</v>
      </c>
      <c r="O611" s="111">
        <v>46255</v>
      </c>
      <c r="P611" s="111">
        <v>40712</v>
      </c>
      <c r="Q611" s="111">
        <v>42289</v>
      </c>
      <c r="R611" s="166" t="s">
        <v>69</v>
      </c>
      <c r="S611" s="166" t="s">
        <v>69</v>
      </c>
      <c r="T611" s="166" t="s">
        <v>69</v>
      </c>
      <c r="U611" s="168">
        <v>46094</v>
      </c>
      <c r="V611" s="166" t="s">
        <v>69</v>
      </c>
      <c r="W611" s="166" t="s">
        <v>69</v>
      </c>
      <c r="X611" s="166" t="s">
        <v>69</v>
      </c>
      <c r="Y611" s="166" t="s">
        <v>69</v>
      </c>
      <c r="Z611" s="166" t="s">
        <v>69</v>
      </c>
      <c r="AA611" s="166" t="s">
        <v>69</v>
      </c>
      <c r="AB611" s="166" t="s">
        <v>69</v>
      </c>
      <c r="AC611" s="166" t="s">
        <v>69</v>
      </c>
      <c r="AD611" s="167" t="s">
        <v>71</v>
      </c>
      <c r="AE611" s="167" t="s">
        <v>70</v>
      </c>
      <c r="AF611" s="112" t="s">
        <v>69</v>
      </c>
      <c r="AG611" s="112" t="s">
        <v>69</v>
      </c>
      <c r="AH611" s="167" t="s">
        <v>71</v>
      </c>
      <c r="AI611" s="167" t="s">
        <v>70</v>
      </c>
      <c r="AJ611" s="167" t="s">
        <v>70</v>
      </c>
      <c r="AK611" s="167" t="s">
        <v>70</v>
      </c>
      <c r="AL611" s="166" t="s">
        <v>69</v>
      </c>
      <c r="AM611" s="166"/>
      <c r="AN611" s="166" t="s">
        <v>69</v>
      </c>
      <c r="AO611" s="167" t="s">
        <v>70</v>
      </c>
      <c r="AP611" s="166" t="s">
        <v>69</v>
      </c>
      <c r="AQ611" s="166" t="s">
        <v>69</v>
      </c>
      <c r="AR611" s="166" t="s">
        <v>69</v>
      </c>
      <c r="AS611" s="166" t="s">
        <v>69</v>
      </c>
      <c r="AT611" s="94">
        <v>43752</v>
      </c>
      <c r="AU611" s="166" t="s">
        <v>69</v>
      </c>
      <c r="AV611" s="166" t="s">
        <v>69</v>
      </c>
      <c r="AW611" s="166" t="s">
        <v>69</v>
      </c>
      <c r="AX611" s="166" t="s">
        <v>69</v>
      </c>
      <c r="AY611" s="166" t="s">
        <v>69</v>
      </c>
      <c r="AZ611" s="166" t="s">
        <v>69</v>
      </c>
      <c r="BA611" s="166" t="s">
        <v>69</v>
      </c>
      <c r="BB611" s="166" t="s">
        <v>69</v>
      </c>
      <c r="BC611" s="166" t="s">
        <v>69</v>
      </c>
      <c r="BD611" s="166" t="s">
        <v>69</v>
      </c>
      <c r="BE611" s="166" t="s">
        <v>69</v>
      </c>
      <c r="BF611" s="166" t="s">
        <v>69</v>
      </c>
      <c r="BG611" s="167" t="s">
        <v>70</v>
      </c>
      <c r="BH611" s="166" t="s">
        <v>69</v>
      </c>
      <c r="BI611" s="166" t="s">
        <v>69</v>
      </c>
      <c r="BJ611" s="167" t="s">
        <v>70</v>
      </c>
      <c r="BK611" s="166" t="s">
        <v>69</v>
      </c>
      <c r="BL611" s="167" t="s">
        <v>70</v>
      </c>
      <c r="BM611" s="167" t="s">
        <v>70</v>
      </c>
      <c r="BN611" s="167" t="s">
        <v>70</v>
      </c>
      <c r="BO611" s="167" t="s">
        <v>70</v>
      </c>
      <c r="BP611" s="167" t="s">
        <v>70</v>
      </c>
      <c r="BQ611" s="151">
        <v>0</v>
      </c>
      <c r="BR611" s="142"/>
      <c r="BS611" s="142"/>
      <c r="BT611" s="142"/>
      <c r="BU611" s="142"/>
      <c r="BV611" s="142"/>
      <c r="BW611" s="142"/>
      <c r="BX611" s="142"/>
      <c r="BY611" s="142"/>
      <c r="BZ611" s="142"/>
      <c r="CA611" s="142"/>
      <c r="CB611" s="142"/>
      <c r="CC611" s="142"/>
      <c r="CD611" s="142"/>
      <c r="CE611" s="142"/>
      <c r="CF611" s="142"/>
      <c r="CG611" s="142"/>
      <c r="CH611" s="142"/>
      <c r="CI611" s="142"/>
      <c r="CJ611" s="142"/>
      <c r="CK611" s="142"/>
      <c r="CL611" s="142"/>
      <c r="CM611" s="142"/>
      <c r="CN611" s="142"/>
      <c r="CO611" s="142"/>
      <c r="CP611" s="142"/>
      <c r="CQ611" s="142"/>
      <c r="CR611" s="142"/>
      <c r="CS611" s="142"/>
      <c r="CT611" s="142"/>
      <c r="CU611" s="142"/>
      <c r="CV611" s="142"/>
      <c r="CW611" s="142"/>
      <c r="CX611" s="142"/>
      <c r="CY611" s="142"/>
      <c r="CZ611" s="142"/>
      <c r="DA611" s="142"/>
      <c r="DB611" s="142"/>
      <c r="DC611" s="142"/>
      <c r="DD611" s="142"/>
      <c r="DE611" s="142"/>
      <c r="DF611" s="142"/>
      <c r="DG611" s="142"/>
      <c r="DH611" s="142"/>
      <c r="DI611" s="142"/>
      <c r="DJ611" s="142"/>
      <c r="DK611" s="142"/>
      <c r="DL611" s="142"/>
      <c r="DM611" s="142"/>
      <c r="DN611" s="142"/>
      <c r="DO611" s="142"/>
      <c r="DP611" s="142"/>
      <c r="DQ611" s="142"/>
      <c r="DR611" s="142"/>
      <c r="DS611" s="142"/>
      <c r="DT611" s="142"/>
      <c r="DU611" s="142"/>
      <c r="DV611" s="142"/>
      <c r="DW611" s="142"/>
      <c r="DX611" s="142"/>
      <c r="DY611" s="142"/>
      <c r="DZ611" s="142"/>
      <c r="EA611" s="142"/>
      <c r="EB611" s="142"/>
      <c r="EC611" s="142"/>
      <c r="ED611" s="142"/>
      <c r="EE611" s="142"/>
    </row>
    <row r="612" spans="1:135" s="151" customFormat="1" ht="19.5" customHeight="1" x14ac:dyDescent="0.2">
      <c r="A612" s="117">
        <v>611</v>
      </c>
      <c r="B612" s="161" t="s">
        <v>726</v>
      </c>
      <c r="C612" s="161">
        <v>83117892</v>
      </c>
      <c r="D612" s="177" t="s">
        <v>727</v>
      </c>
      <c r="E612" s="117" t="s">
        <v>480</v>
      </c>
      <c r="F612" s="146" t="s">
        <v>256</v>
      </c>
      <c r="G612" s="124" t="s">
        <v>69</v>
      </c>
      <c r="H612" s="124">
        <v>40744</v>
      </c>
      <c r="I612" s="112">
        <v>46136</v>
      </c>
      <c r="J612" s="162">
        <f>IF(I612="", "", DATE(YEAR(I612)+3, MONTH(I612), DAY(I612)))</f>
        <v>47232</v>
      </c>
      <c r="K612" s="175" t="s">
        <v>728</v>
      </c>
      <c r="L612" s="112">
        <v>46135</v>
      </c>
      <c r="M612" s="163">
        <f t="shared" ref="M612:M629" si="50">IF(L612="", "", DATE(YEAR(L612)+3, MONTH(L612), DAY(L612)))</f>
        <v>47231</v>
      </c>
      <c r="N612" s="112">
        <v>46279</v>
      </c>
      <c r="O612" s="112">
        <v>46131</v>
      </c>
      <c r="P612" s="112">
        <v>46132</v>
      </c>
      <c r="Q612" s="167" t="s">
        <v>70</v>
      </c>
      <c r="R612" s="167" t="s">
        <v>70</v>
      </c>
      <c r="S612" s="167" t="s">
        <v>70</v>
      </c>
      <c r="T612" s="167" t="s">
        <v>70</v>
      </c>
      <c r="U612" s="167" t="s">
        <v>70</v>
      </c>
      <c r="V612" s="167" t="s">
        <v>70</v>
      </c>
      <c r="W612" s="167" t="s">
        <v>70</v>
      </c>
      <c r="X612" s="167" t="s">
        <v>70</v>
      </c>
      <c r="Y612" s="167" t="s">
        <v>70</v>
      </c>
      <c r="Z612" s="167" t="s">
        <v>70</v>
      </c>
      <c r="AA612" s="167" t="s">
        <v>70</v>
      </c>
      <c r="AB612" s="167" t="s">
        <v>70</v>
      </c>
      <c r="AC612" s="167" t="s">
        <v>70</v>
      </c>
      <c r="AD612" s="167" t="s">
        <v>70</v>
      </c>
      <c r="AE612" s="167" t="s">
        <v>70</v>
      </c>
      <c r="AF612" s="167" t="s">
        <v>70</v>
      </c>
      <c r="AG612" s="167" t="s">
        <v>70</v>
      </c>
      <c r="AH612" s="167" t="s">
        <v>70</v>
      </c>
      <c r="AI612" s="111">
        <v>45694</v>
      </c>
      <c r="AJ612" s="166" t="s">
        <v>69</v>
      </c>
      <c r="AK612" s="167" t="s">
        <v>70</v>
      </c>
      <c r="AL612" s="167" t="s">
        <v>70</v>
      </c>
      <c r="AM612" s="167"/>
      <c r="AN612" s="167" t="s">
        <v>70</v>
      </c>
      <c r="AO612" s="167" t="s">
        <v>70</v>
      </c>
      <c r="AP612" s="167" t="s">
        <v>70</v>
      </c>
      <c r="AQ612" s="167" t="s">
        <v>70</v>
      </c>
      <c r="AR612" s="166" t="s">
        <v>69</v>
      </c>
      <c r="AS612" s="167" t="s">
        <v>70</v>
      </c>
      <c r="AT612" s="167" t="s">
        <v>70</v>
      </c>
      <c r="AU612" s="167" t="s">
        <v>70</v>
      </c>
      <c r="AV612" s="167" t="s">
        <v>70</v>
      </c>
      <c r="AW612" s="167" t="s">
        <v>70</v>
      </c>
      <c r="AX612" s="167" t="s">
        <v>70</v>
      </c>
      <c r="AY612" s="167" t="s">
        <v>70</v>
      </c>
      <c r="AZ612" s="167" t="s">
        <v>70</v>
      </c>
      <c r="BA612" s="167" t="s">
        <v>70</v>
      </c>
      <c r="BB612" s="167" t="s">
        <v>70</v>
      </c>
      <c r="BC612" s="167" t="s">
        <v>70</v>
      </c>
      <c r="BD612" s="167" t="s">
        <v>70</v>
      </c>
      <c r="BE612" s="167" t="s">
        <v>70</v>
      </c>
      <c r="BF612" s="167" t="s">
        <v>70</v>
      </c>
      <c r="BG612" s="167" t="s">
        <v>70</v>
      </c>
      <c r="BH612" s="167" t="s">
        <v>70</v>
      </c>
      <c r="BI612" s="167" t="s">
        <v>70</v>
      </c>
      <c r="BJ612" s="167" t="s">
        <v>70</v>
      </c>
      <c r="BK612" s="167" t="s">
        <v>70</v>
      </c>
      <c r="BL612" s="167" t="s">
        <v>70</v>
      </c>
      <c r="BM612" s="167" t="s">
        <v>70</v>
      </c>
      <c r="BN612" s="167" t="s">
        <v>70</v>
      </c>
      <c r="BO612" s="167" t="s">
        <v>70</v>
      </c>
      <c r="BP612" s="167" t="s">
        <v>70</v>
      </c>
      <c r="BQ612" s="151" t="s">
        <v>208</v>
      </c>
    </row>
    <row r="613" spans="1:135" s="151" customFormat="1" ht="19.5" customHeight="1" x14ac:dyDescent="0.2">
      <c r="A613" s="117">
        <v>612</v>
      </c>
      <c r="B613" s="188" t="s">
        <v>478</v>
      </c>
      <c r="C613" s="189">
        <v>83117886</v>
      </c>
      <c r="D613" s="171" t="s">
        <v>479</v>
      </c>
      <c r="E613" s="117" t="s">
        <v>480</v>
      </c>
      <c r="F613" s="146" t="s">
        <v>256</v>
      </c>
      <c r="G613" s="124" t="s">
        <v>69</v>
      </c>
      <c r="H613" s="93">
        <v>46164</v>
      </c>
      <c r="I613" s="93">
        <v>46164</v>
      </c>
      <c r="J613" s="92">
        <f>IF(I613="", "", DATE(YEAR(I613)+3, MONTH(I613), DAY(L613)))</f>
        <v>47259</v>
      </c>
      <c r="K613" s="93">
        <v>46163</v>
      </c>
      <c r="L613" s="93">
        <v>46163</v>
      </c>
      <c r="M613" s="140">
        <f t="shared" si="50"/>
        <v>47259</v>
      </c>
      <c r="N613" s="93">
        <v>46167</v>
      </c>
      <c r="O613" s="93">
        <v>46161</v>
      </c>
      <c r="P613" s="93">
        <v>46162</v>
      </c>
      <c r="Q613" s="167" t="s">
        <v>70</v>
      </c>
      <c r="R613" s="167" t="s">
        <v>70</v>
      </c>
      <c r="S613" s="167" t="s">
        <v>70</v>
      </c>
      <c r="T613" s="167" t="s">
        <v>70</v>
      </c>
      <c r="U613" s="167" t="s">
        <v>70</v>
      </c>
      <c r="V613" s="167" t="s">
        <v>70</v>
      </c>
      <c r="W613" s="167" t="s">
        <v>70</v>
      </c>
      <c r="X613" s="167" t="s">
        <v>70</v>
      </c>
      <c r="Y613" s="167" t="s">
        <v>70</v>
      </c>
      <c r="Z613" s="167" t="s">
        <v>70</v>
      </c>
      <c r="AA613" s="167" t="s">
        <v>70</v>
      </c>
      <c r="AB613" s="167" t="s">
        <v>70</v>
      </c>
      <c r="AC613" s="167" t="s">
        <v>70</v>
      </c>
      <c r="AD613" s="167" t="s">
        <v>70</v>
      </c>
      <c r="AE613" s="167" t="s">
        <v>70</v>
      </c>
      <c r="AF613" s="167" t="s">
        <v>70</v>
      </c>
      <c r="AG613" s="167" t="s">
        <v>70</v>
      </c>
      <c r="AH613" s="167" t="s">
        <v>70</v>
      </c>
      <c r="AI613" s="181">
        <v>45855</v>
      </c>
      <c r="AJ613" s="166" t="s">
        <v>69</v>
      </c>
      <c r="AK613" s="167" t="s">
        <v>70</v>
      </c>
      <c r="AL613" s="167" t="s">
        <v>70</v>
      </c>
      <c r="AM613" s="167"/>
      <c r="AN613" s="167" t="s">
        <v>70</v>
      </c>
      <c r="AO613" s="167" t="s">
        <v>70</v>
      </c>
      <c r="AP613" s="167" t="s">
        <v>70</v>
      </c>
      <c r="AQ613" s="167" t="s">
        <v>70</v>
      </c>
      <c r="AR613" s="166" t="s">
        <v>69</v>
      </c>
      <c r="AS613" s="167" t="s">
        <v>70</v>
      </c>
      <c r="AT613" s="167" t="s">
        <v>70</v>
      </c>
      <c r="AU613" s="167" t="s">
        <v>70</v>
      </c>
      <c r="AV613" s="167" t="s">
        <v>70</v>
      </c>
      <c r="AW613" s="167" t="s">
        <v>70</v>
      </c>
      <c r="AX613" s="167" t="s">
        <v>70</v>
      </c>
      <c r="AY613" s="167" t="s">
        <v>70</v>
      </c>
      <c r="AZ613" s="167" t="s">
        <v>70</v>
      </c>
      <c r="BA613" s="167" t="s">
        <v>70</v>
      </c>
      <c r="BB613" s="167" t="s">
        <v>70</v>
      </c>
      <c r="BC613" s="167" t="s">
        <v>70</v>
      </c>
      <c r="BD613" s="167" t="s">
        <v>70</v>
      </c>
      <c r="BE613" s="167" t="s">
        <v>70</v>
      </c>
      <c r="BF613" s="167" t="s">
        <v>70</v>
      </c>
      <c r="BG613" s="167" t="s">
        <v>70</v>
      </c>
      <c r="BH613" s="167" t="s">
        <v>70</v>
      </c>
      <c r="BI613" s="167" t="s">
        <v>70</v>
      </c>
      <c r="BJ613" s="167" t="s">
        <v>70</v>
      </c>
      <c r="BK613" s="167" t="s">
        <v>70</v>
      </c>
      <c r="BL613" s="167" t="s">
        <v>70</v>
      </c>
      <c r="BM613" s="167" t="s">
        <v>70</v>
      </c>
      <c r="BN613" s="167" t="s">
        <v>70</v>
      </c>
      <c r="BO613" s="167" t="s">
        <v>70</v>
      </c>
      <c r="BP613" s="167" t="s">
        <v>70</v>
      </c>
      <c r="BQ613" s="151" t="s">
        <v>256</v>
      </c>
      <c r="BR613" s="142"/>
      <c r="BS613" s="142"/>
      <c r="BT613" s="142"/>
      <c r="BU613" s="142"/>
      <c r="BV613" s="142"/>
      <c r="BW613" s="142"/>
      <c r="BX613" s="142"/>
      <c r="BY613" s="142"/>
      <c r="BZ613" s="142"/>
      <c r="CA613" s="142"/>
      <c r="CB613" s="142"/>
      <c r="CC613" s="142"/>
      <c r="CD613" s="142"/>
      <c r="CE613" s="142"/>
      <c r="CF613" s="142"/>
      <c r="CG613" s="142"/>
      <c r="CH613" s="142"/>
      <c r="CI613" s="142"/>
      <c r="CJ613" s="142"/>
      <c r="CK613" s="142"/>
      <c r="CL613" s="142"/>
      <c r="CM613" s="142"/>
      <c r="CN613" s="142"/>
      <c r="CO613" s="142"/>
      <c r="CP613" s="142"/>
      <c r="CQ613" s="142"/>
      <c r="CR613" s="142"/>
      <c r="CS613" s="142"/>
      <c r="CT613" s="142"/>
      <c r="CU613" s="142"/>
      <c r="CV613" s="142"/>
      <c r="CW613" s="142"/>
      <c r="CX613" s="142"/>
      <c r="CY613" s="142"/>
      <c r="CZ613" s="142"/>
      <c r="DA613" s="142"/>
      <c r="DB613" s="142"/>
      <c r="DC613" s="142"/>
      <c r="DD613" s="142"/>
      <c r="DE613" s="142"/>
      <c r="DF613" s="142"/>
      <c r="DG613" s="142"/>
      <c r="DH613" s="142"/>
      <c r="DI613" s="142"/>
      <c r="DJ613" s="142"/>
      <c r="DK613" s="142"/>
      <c r="DL613" s="142"/>
      <c r="DM613" s="142"/>
      <c r="DN613" s="142"/>
      <c r="DO613" s="142"/>
      <c r="DP613" s="142"/>
      <c r="DQ613" s="142"/>
      <c r="DR613" s="142"/>
      <c r="DS613" s="142"/>
      <c r="DT613" s="142"/>
      <c r="DU613" s="142"/>
      <c r="DV613" s="142"/>
      <c r="DW613" s="142"/>
      <c r="DX613" s="142"/>
      <c r="DY613" s="142"/>
      <c r="DZ613" s="142"/>
      <c r="EA613" s="142"/>
      <c r="EB613" s="142"/>
      <c r="EC613" s="142"/>
      <c r="ED613" s="142"/>
    </row>
    <row r="614" spans="1:135" s="151" customFormat="1" ht="19.5" customHeight="1" x14ac:dyDescent="0.2">
      <c r="A614" s="117">
        <v>613</v>
      </c>
      <c r="B614" s="188" t="s">
        <v>481</v>
      </c>
      <c r="C614" s="189">
        <v>83117915</v>
      </c>
      <c r="D614" s="171" t="s">
        <v>482</v>
      </c>
      <c r="E614" s="117" t="s">
        <v>480</v>
      </c>
      <c r="F614" s="146" t="s">
        <v>256</v>
      </c>
      <c r="G614" s="124" t="s">
        <v>69</v>
      </c>
      <c r="H614" s="93">
        <v>42555</v>
      </c>
      <c r="I614" s="93">
        <v>46080</v>
      </c>
      <c r="J614" s="92">
        <f>IF(I614="", "", DATE(YEAR(I614)+3, MONTH(I614), DAY(L614)))</f>
        <v>47175</v>
      </c>
      <c r="K614" s="93">
        <v>42555</v>
      </c>
      <c r="L614" s="93">
        <v>46079</v>
      </c>
      <c r="M614" s="140">
        <f t="shared" si="50"/>
        <v>47175</v>
      </c>
      <c r="N614" s="93">
        <v>46076</v>
      </c>
      <c r="O614" s="93">
        <v>46077</v>
      </c>
      <c r="P614" s="93">
        <v>46078</v>
      </c>
      <c r="Q614" s="167" t="s">
        <v>70</v>
      </c>
      <c r="R614" s="167" t="s">
        <v>70</v>
      </c>
      <c r="S614" s="167" t="s">
        <v>70</v>
      </c>
      <c r="T614" s="167" t="s">
        <v>70</v>
      </c>
      <c r="U614" s="167" t="s">
        <v>70</v>
      </c>
      <c r="V614" s="167" t="s">
        <v>70</v>
      </c>
      <c r="W614" s="167" t="s">
        <v>70</v>
      </c>
      <c r="X614" s="167" t="s">
        <v>70</v>
      </c>
      <c r="Y614" s="167" t="s">
        <v>70</v>
      </c>
      <c r="Z614" s="167" t="s">
        <v>70</v>
      </c>
      <c r="AA614" s="167" t="s">
        <v>70</v>
      </c>
      <c r="AB614" s="167" t="s">
        <v>70</v>
      </c>
      <c r="AC614" s="167" t="s">
        <v>70</v>
      </c>
      <c r="AD614" s="167" t="s">
        <v>70</v>
      </c>
      <c r="AE614" s="167" t="s">
        <v>70</v>
      </c>
      <c r="AF614" s="167" t="s">
        <v>70</v>
      </c>
      <c r="AG614" s="167" t="s">
        <v>70</v>
      </c>
      <c r="AH614" s="167" t="s">
        <v>70</v>
      </c>
      <c r="AI614" s="111">
        <v>45919</v>
      </c>
      <c r="AJ614" s="166" t="s">
        <v>69</v>
      </c>
      <c r="AK614" s="167" t="s">
        <v>70</v>
      </c>
      <c r="AL614" s="167" t="s">
        <v>70</v>
      </c>
      <c r="AM614" s="167"/>
      <c r="AN614" s="167" t="s">
        <v>70</v>
      </c>
      <c r="AO614" s="167" t="s">
        <v>70</v>
      </c>
      <c r="AP614" s="167" t="s">
        <v>70</v>
      </c>
      <c r="AQ614" s="167" t="s">
        <v>70</v>
      </c>
      <c r="AR614" s="166" t="s">
        <v>69</v>
      </c>
      <c r="AS614" s="167" t="s">
        <v>70</v>
      </c>
      <c r="AT614" s="167" t="s">
        <v>70</v>
      </c>
      <c r="AU614" s="167" t="s">
        <v>70</v>
      </c>
      <c r="AV614" s="167" t="s">
        <v>70</v>
      </c>
      <c r="AW614" s="167" t="s">
        <v>70</v>
      </c>
      <c r="AX614" s="167" t="s">
        <v>70</v>
      </c>
      <c r="AY614" s="167" t="s">
        <v>70</v>
      </c>
      <c r="AZ614" s="167" t="s">
        <v>70</v>
      </c>
      <c r="BA614" s="167" t="s">
        <v>70</v>
      </c>
      <c r="BB614" s="167" t="s">
        <v>70</v>
      </c>
      <c r="BC614" s="167" t="s">
        <v>70</v>
      </c>
      <c r="BD614" s="167" t="s">
        <v>70</v>
      </c>
      <c r="BE614" s="167" t="s">
        <v>70</v>
      </c>
      <c r="BF614" s="167" t="s">
        <v>70</v>
      </c>
      <c r="BG614" s="167" t="s">
        <v>70</v>
      </c>
      <c r="BH614" s="167" t="s">
        <v>70</v>
      </c>
      <c r="BI614" s="167" t="s">
        <v>70</v>
      </c>
      <c r="BJ614" s="167" t="s">
        <v>70</v>
      </c>
      <c r="BK614" s="167" t="s">
        <v>70</v>
      </c>
      <c r="BL614" s="167" t="s">
        <v>70</v>
      </c>
      <c r="BM614" s="167" t="s">
        <v>70</v>
      </c>
      <c r="BN614" s="167" t="s">
        <v>70</v>
      </c>
      <c r="BO614" s="167" t="s">
        <v>70</v>
      </c>
      <c r="BP614" s="167" t="s">
        <v>70</v>
      </c>
      <c r="BQ614" s="151" t="s">
        <v>256</v>
      </c>
      <c r="BR614" s="142"/>
      <c r="BS614" s="142"/>
      <c r="BT614" s="142"/>
      <c r="BU614" s="142"/>
      <c r="BV614" s="142"/>
      <c r="BW614" s="142"/>
      <c r="BX614" s="142"/>
      <c r="BY614" s="142"/>
      <c r="BZ614" s="142"/>
      <c r="CA614" s="142"/>
      <c r="CB614" s="142"/>
      <c r="CC614" s="142"/>
      <c r="CD614" s="142"/>
      <c r="CE614" s="142"/>
      <c r="CF614" s="142"/>
      <c r="CG614" s="142"/>
      <c r="CH614" s="142"/>
      <c r="CI614" s="142"/>
      <c r="CJ614" s="142"/>
      <c r="CK614" s="142"/>
      <c r="CL614" s="142"/>
      <c r="CM614" s="142"/>
      <c r="CN614" s="142"/>
      <c r="CO614" s="142"/>
      <c r="CP614" s="142"/>
      <c r="CQ614" s="142"/>
      <c r="CR614" s="142"/>
      <c r="CS614" s="142"/>
      <c r="CT614" s="142"/>
      <c r="CU614" s="142"/>
      <c r="CV614" s="142"/>
      <c r="CW614" s="142"/>
      <c r="CX614" s="142"/>
      <c r="CY614" s="142"/>
      <c r="CZ614" s="142"/>
      <c r="DA614" s="142"/>
      <c r="DB614" s="142"/>
      <c r="DC614" s="142"/>
      <c r="DD614" s="142"/>
      <c r="DE614" s="142"/>
      <c r="DF614" s="142"/>
      <c r="DG614" s="142"/>
      <c r="DH614" s="142"/>
      <c r="DI614" s="142"/>
      <c r="DJ614" s="142"/>
      <c r="DK614" s="142"/>
      <c r="DL614" s="142"/>
      <c r="DM614" s="142"/>
      <c r="DN614" s="142"/>
      <c r="DO614" s="142"/>
      <c r="DP614" s="142"/>
      <c r="DQ614" s="142"/>
      <c r="DR614" s="142"/>
      <c r="DS614" s="142"/>
      <c r="DT614" s="142"/>
      <c r="DU614" s="142"/>
      <c r="DV614" s="142"/>
      <c r="DW614" s="142"/>
      <c r="DX614" s="142"/>
      <c r="DY614" s="142"/>
      <c r="DZ614" s="142"/>
      <c r="EA614" s="142"/>
      <c r="EB614" s="142"/>
      <c r="EC614" s="142"/>
      <c r="ED614" s="142"/>
    </row>
    <row r="615" spans="1:135" s="151" customFormat="1" ht="19.5" customHeight="1" x14ac:dyDescent="0.2">
      <c r="A615" s="117">
        <v>614</v>
      </c>
      <c r="B615" s="188" t="s">
        <v>483</v>
      </c>
      <c r="C615" s="189">
        <v>83117941</v>
      </c>
      <c r="D615" s="171" t="s">
        <v>484</v>
      </c>
      <c r="E615" s="117" t="s">
        <v>480</v>
      </c>
      <c r="F615" s="146" t="s">
        <v>256</v>
      </c>
      <c r="G615" s="124" t="s">
        <v>69</v>
      </c>
      <c r="H615" s="93">
        <v>46248</v>
      </c>
      <c r="I615" s="93">
        <v>46248</v>
      </c>
      <c r="J615" s="92">
        <f>IF(I615="", "", DATE(YEAR(I615)+3, MONTH(I615), DAY(I615)))</f>
        <v>47344</v>
      </c>
      <c r="K615" s="93">
        <v>46247</v>
      </c>
      <c r="L615" s="93">
        <v>46247</v>
      </c>
      <c r="M615" s="140">
        <f t="shared" si="50"/>
        <v>47343</v>
      </c>
      <c r="N615" s="93">
        <v>46245</v>
      </c>
      <c r="O615" s="93">
        <v>46258</v>
      </c>
      <c r="P615" s="93">
        <v>46246</v>
      </c>
      <c r="Q615" s="167" t="s">
        <v>70</v>
      </c>
      <c r="R615" s="167" t="s">
        <v>70</v>
      </c>
      <c r="S615" s="167" t="s">
        <v>70</v>
      </c>
      <c r="T615" s="167" t="s">
        <v>70</v>
      </c>
      <c r="U615" s="167" t="s">
        <v>70</v>
      </c>
      <c r="V615" s="167" t="s">
        <v>70</v>
      </c>
      <c r="W615" s="167" t="s">
        <v>70</v>
      </c>
      <c r="X615" s="167" t="s">
        <v>70</v>
      </c>
      <c r="Y615" s="167" t="s">
        <v>70</v>
      </c>
      <c r="Z615" s="167" t="s">
        <v>70</v>
      </c>
      <c r="AA615" s="167" t="s">
        <v>70</v>
      </c>
      <c r="AB615" s="167" t="s">
        <v>70</v>
      </c>
      <c r="AC615" s="167" t="s">
        <v>70</v>
      </c>
      <c r="AD615" s="167" t="s">
        <v>70</v>
      </c>
      <c r="AE615" s="167" t="s">
        <v>70</v>
      </c>
      <c r="AF615" s="167" t="s">
        <v>70</v>
      </c>
      <c r="AG615" s="167" t="s">
        <v>70</v>
      </c>
      <c r="AH615" s="167" t="s">
        <v>70</v>
      </c>
      <c r="AI615" s="181">
        <v>45967</v>
      </c>
      <c r="AJ615" s="166" t="s">
        <v>69</v>
      </c>
      <c r="AK615" s="167" t="s">
        <v>70</v>
      </c>
      <c r="AL615" s="167" t="s">
        <v>70</v>
      </c>
      <c r="AM615" s="167"/>
      <c r="AN615" s="167" t="s">
        <v>70</v>
      </c>
      <c r="AO615" s="167" t="s">
        <v>70</v>
      </c>
      <c r="AP615" s="167" t="s">
        <v>70</v>
      </c>
      <c r="AQ615" s="167" t="s">
        <v>70</v>
      </c>
      <c r="AR615" s="166" t="s">
        <v>69</v>
      </c>
      <c r="AS615" s="167" t="s">
        <v>70</v>
      </c>
      <c r="AT615" s="167" t="s">
        <v>70</v>
      </c>
      <c r="AU615" s="167" t="s">
        <v>70</v>
      </c>
      <c r="AV615" s="167" t="s">
        <v>70</v>
      </c>
      <c r="AW615" s="167" t="s">
        <v>70</v>
      </c>
      <c r="AX615" s="167" t="s">
        <v>70</v>
      </c>
      <c r="AY615" s="167" t="s">
        <v>70</v>
      </c>
      <c r="AZ615" s="167" t="s">
        <v>70</v>
      </c>
      <c r="BA615" s="167" t="s">
        <v>70</v>
      </c>
      <c r="BB615" s="167" t="s">
        <v>70</v>
      </c>
      <c r="BC615" s="167" t="s">
        <v>70</v>
      </c>
      <c r="BD615" s="167" t="s">
        <v>70</v>
      </c>
      <c r="BE615" s="167" t="s">
        <v>70</v>
      </c>
      <c r="BF615" s="167" t="s">
        <v>70</v>
      </c>
      <c r="BG615" s="167" t="s">
        <v>70</v>
      </c>
      <c r="BH615" s="167" t="s">
        <v>70</v>
      </c>
      <c r="BI615" s="167" t="s">
        <v>70</v>
      </c>
      <c r="BJ615" s="167" t="s">
        <v>70</v>
      </c>
      <c r="BK615" s="167" t="s">
        <v>70</v>
      </c>
      <c r="BL615" s="167" t="s">
        <v>70</v>
      </c>
      <c r="BM615" s="167" t="s">
        <v>70</v>
      </c>
      <c r="BN615" s="167" t="s">
        <v>70</v>
      </c>
      <c r="BO615" s="167" t="s">
        <v>70</v>
      </c>
      <c r="BP615" s="167" t="s">
        <v>70</v>
      </c>
      <c r="BQ615" s="151" t="s">
        <v>256</v>
      </c>
      <c r="BR615" s="142"/>
      <c r="BS615" s="142"/>
      <c r="BT615" s="142"/>
      <c r="BU615" s="142"/>
      <c r="BV615" s="142"/>
      <c r="BW615" s="142"/>
      <c r="BX615" s="142"/>
      <c r="BY615" s="142"/>
      <c r="BZ615" s="142"/>
      <c r="CA615" s="142"/>
      <c r="CB615" s="142"/>
      <c r="CC615" s="142"/>
      <c r="CD615" s="142"/>
      <c r="CE615" s="142"/>
      <c r="CF615" s="142"/>
      <c r="CG615" s="142"/>
      <c r="CH615" s="142"/>
      <c r="CI615" s="142"/>
      <c r="CJ615" s="142"/>
      <c r="CK615" s="142"/>
      <c r="CL615" s="142"/>
      <c r="CM615" s="142"/>
      <c r="CN615" s="142"/>
      <c r="CO615" s="142"/>
      <c r="CP615" s="142"/>
      <c r="CQ615" s="142"/>
      <c r="CR615" s="142"/>
      <c r="CS615" s="142"/>
      <c r="CT615" s="142"/>
      <c r="CU615" s="142"/>
      <c r="CV615" s="142"/>
      <c r="CW615" s="142"/>
      <c r="CX615" s="142"/>
      <c r="CY615" s="142"/>
      <c r="CZ615" s="142"/>
      <c r="DA615" s="142"/>
      <c r="DB615" s="142"/>
      <c r="DC615" s="142"/>
      <c r="DD615" s="142"/>
      <c r="DE615" s="142"/>
      <c r="DF615" s="142"/>
      <c r="DG615" s="142"/>
      <c r="DH615" s="142"/>
      <c r="DI615" s="142"/>
      <c r="DJ615" s="142"/>
      <c r="DK615" s="142"/>
      <c r="DL615" s="142"/>
      <c r="DM615" s="142"/>
      <c r="DN615" s="142"/>
      <c r="DO615" s="142"/>
      <c r="DP615" s="142"/>
      <c r="DQ615" s="142"/>
      <c r="DR615" s="142"/>
      <c r="DS615" s="142"/>
      <c r="DT615" s="142"/>
      <c r="DU615" s="142"/>
      <c r="DV615" s="142"/>
      <c r="DW615" s="142"/>
      <c r="DX615" s="142"/>
      <c r="DY615" s="142"/>
      <c r="DZ615" s="142"/>
      <c r="EA615" s="142"/>
      <c r="EB615" s="142"/>
      <c r="EC615" s="142"/>
      <c r="ED615" s="142"/>
    </row>
    <row r="616" spans="1:135" s="151" customFormat="1" ht="19.5" customHeight="1" x14ac:dyDescent="0.2">
      <c r="A616" s="117">
        <v>615</v>
      </c>
      <c r="B616" s="121" t="s">
        <v>485</v>
      </c>
      <c r="C616" s="122">
        <v>83117914</v>
      </c>
      <c r="D616" s="117" t="s">
        <v>212</v>
      </c>
      <c r="E616" s="117" t="s">
        <v>480</v>
      </c>
      <c r="F616" s="146" t="s">
        <v>256</v>
      </c>
      <c r="G616" s="124" t="s">
        <v>69</v>
      </c>
      <c r="H616" s="93">
        <v>42576</v>
      </c>
      <c r="I616" s="93">
        <v>45709</v>
      </c>
      <c r="J616" s="92">
        <f t="shared" ref="J616:J621" si="51">IF(I616="", "", DATE(YEAR(I616)+3, MONTH(I616), DAY(L616)))</f>
        <v>46801</v>
      </c>
      <c r="K616" s="93">
        <v>42576</v>
      </c>
      <c r="L616" s="93">
        <v>45706</v>
      </c>
      <c r="M616" s="140">
        <f t="shared" si="50"/>
        <v>46801</v>
      </c>
      <c r="N616" s="93">
        <v>45707</v>
      </c>
      <c r="O616" s="93">
        <v>45708</v>
      </c>
      <c r="P616" s="93">
        <v>45705</v>
      </c>
      <c r="Q616" s="167" t="s">
        <v>70</v>
      </c>
      <c r="R616" s="167" t="s">
        <v>70</v>
      </c>
      <c r="S616" s="167" t="s">
        <v>70</v>
      </c>
      <c r="T616" s="167" t="s">
        <v>70</v>
      </c>
      <c r="U616" s="167" t="s">
        <v>70</v>
      </c>
      <c r="V616" s="167" t="s">
        <v>70</v>
      </c>
      <c r="W616" s="167" t="s">
        <v>70</v>
      </c>
      <c r="X616" s="167" t="s">
        <v>70</v>
      </c>
      <c r="Y616" s="167" t="s">
        <v>70</v>
      </c>
      <c r="Z616" s="167" t="s">
        <v>70</v>
      </c>
      <c r="AA616" s="167" t="s">
        <v>70</v>
      </c>
      <c r="AB616" s="167" t="s">
        <v>70</v>
      </c>
      <c r="AC616" s="167" t="s">
        <v>70</v>
      </c>
      <c r="AD616" s="167" t="s">
        <v>70</v>
      </c>
      <c r="AE616" s="167" t="s">
        <v>70</v>
      </c>
      <c r="AF616" s="167" t="s">
        <v>70</v>
      </c>
      <c r="AG616" s="167" t="s">
        <v>70</v>
      </c>
      <c r="AH616" s="167" t="s">
        <v>70</v>
      </c>
      <c r="AI616" s="181">
        <v>45813</v>
      </c>
      <c r="AJ616" s="166" t="s">
        <v>69</v>
      </c>
      <c r="AK616" s="167" t="s">
        <v>70</v>
      </c>
      <c r="AL616" s="167" t="s">
        <v>70</v>
      </c>
      <c r="AM616" s="167"/>
      <c r="AN616" s="167" t="s">
        <v>70</v>
      </c>
      <c r="AO616" s="167" t="s">
        <v>70</v>
      </c>
      <c r="AP616" s="167" t="s">
        <v>70</v>
      </c>
      <c r="AQ616" s="167" t="s">
        <v>70</v>
      </c>
      <c r="AR616" s="168">
        <v>46244</v>
      </c>
      <c r="AS616" s="167" t="s">
        <v>70</v>
      </c>
      <c r="AT616" s="167" t="s">
        <v>70</v>
      </c>
      <c r="AU616" s="167" t="s">
        <v>70</v>
      </c>
      <c r="AV616" s="167" t="s">
        <v>70</v>
      </c>
      <c r="AW616" s="167" t="s">
        <v>70</v>
      </c>
      <c r="AX616" s="167" t="s">
        <v>70</v>
      </c>
      <c r="AY616" s="167" t="s">
        <v>70</v>
      </c>
      <c r="AZ616" s="167" t="s">
        <v>70</v>
      </c>
      <c r="BA616" s="167" t="s">
        <v>70</v>
      </c>
      <c r="BB616" s="167" t="s">
        <v>70</v>
      </c>
      <c r="BC616" s="167" t="s">
        <v>70</v>
      </c>
      <c r="BD616" s="167" t="s">
        <v>70</v>
      </c>
      <c r="BE616" s="167" t="s">
        <v>70</v>
      </c>
      <c r="BF616" s="167" t="s">
        <v>70</v>
      </c>
      <c r="BG616" s="167" t="s">
        <v>70</v>
      </c>
      <c r="BH616" s="167" t="s">
        <v>70</v>
      </c>
      <c r="BI616" s="167" t="s">
        <v>70</v>
      </c>
      <c r="BJ616" s="167" t="s">
        <v>70</v>
      </c>
      <c r="BK616" s="167" t="s">
        <v>70</v>
      </c>
      <c r="BL616" s="167" t="s">
        <v>70</v>
      </c>
      <c r="BM616" s="167" t="s">
        <v>70</v>
      </c>
      <c r="BN616" s="167" t="s">
        <v>70</v>
      </c>
      <c r="BO616" s="167" t="s">
        <v>70</v>
      </c>
      <c r="BP616" s="167" t="s">
        <v>70</v>
      </c>
      <c r="BQ616" s="151" t="s">
        <v>256</v>
      </c>
      <c r="BR616" s="142"/>
      <c r="BS616" s="142"/>
      <c r="BT616" s="142"/>
      <c r="BU616" s="142"/>
      <c r="BV616" s="142"/>
      <c r="BW616" s="142"/>
      <c r="BX616" s="142"/>
      <c r="BY616" s="142"/>
      <c r="BZ616" s="142"/>
      <c r="CA616" s="142"/>
      <c r="CB616" s="142"/>
      <c r="CC616" s="142"/>
      <c r="CD616" s="142"/>
      <c r="CE616" s="142"/>
      <c r="CF616" s="142"/>
      <c r="CG616" s="142"/>
      <c r="CH616" s="142"/>
      <c r="CI616" s="142"/>
      <c r="CJ616" s="142"/>
      <c r="CK616" s="142"/>
      <c r="CL616" s="142"/>
      <c r="CM616" s="142"/>
      <c r="CN616" s="142"/>
      <c r="CO616" s="142"/>
      <c r="CP616" s="142"/>
      <c r="CQ616" s="142"/>
      <c r="CR616" s="142"/>
      <c r="CS616" s="142"/>
      <c r="CT616" s="142"/>
      <c r="CU616" s="142"/>
      <c r="CV616" s="142"/>
      <c r="CW616" s="142"/>
      <c r="CX616" s="142"/>
      <c r="CY616" s="142"/>
      <c r="CZ616" s="142"/>
      <c r="DA616" s="142"/>
      <c r="DB616" s="142"/>
      <c r="DC616" s="142"/>
      <c r="DD616" s="142"/>
      <c r="DE616" s="142"/>
      <c r="DF616" s="142"/>
      <c r="DG616" s="142"/>
      <c r="DH616" s="142"/>
      <c r="DI616" s="142"/>
      <c r="DJ616" s="142"/>
      <c r="DK616" s="142"/>
      <c r="DL616" s="142"/>
      <c r="DM616" s="142"/>
      <c r="DN616" s="142"/>
      <c r="DO616" s="142"/>
      <c r="DP616" s="142"/>
      <c r="DQ616" s="142"/>
      <c r="DR616" s="142"/>
      <c r="DS616" s="142"/>
      <c r="DT616" s="142"/>
      <c r="DU616" s="142"/>
      <c r="DV616" s="142"/>
      <c r="DW616" s="142"/>
      <c r="DX616" s="142"/>
      <c r="DY616" s="142"/>
      <c r="DZ616" s="142"/>
      <c r="EA616" s="142"/>
      <c r="EB616" s="142"/>
      <c r="EC616" s="142"/>
      <c r="ED616" s="142"/>
    </row>
    <row r="617" spans="1:135" s="151" customFormat="1" ht="19.5" customHeight="1" x14ac:dyDescent="0.2">
      <c r="A617" s="117">
        <v>616</v>
      </c>
      <c r="B617" s="121" t="s">
        <v>486</v>
      </c>
      <c r="C617" s="122">
        <v>84123769</v>
      </c>
      <c r="D617" s="117" t="s">
        <v>212</v>
      </c>
      <c r="E617" s="117" t="s">
        <v>480</v>
      </c>
      <c r="F617" s="146" t="s">
        <v>256</v>
      </c>
      <c r="G617" s="124" t="s">
        <v>69</v>
      </c>
      <c r="H617" s="93">
        <v>42457</v>
      </c>
      <c r="I617" s="93">
        <v>46051</v>
      </c>
      <c r="J617" s="92">
        <f t="shared" si="51"/>
        <v>47148</v>
      </c>
      <c r="K617" s="93">
        <v>42457</v>
      </c>
      <c r="L617" s="93">
        <v>46052</v>
      </c>
      <c r="M617" s="140">
        <f t="shared" si="50"/>
        <v>47148</v>
      </c>
      <c r="N617" s="93">
        <v>46048</v>
      </c>
      <c r="O617" s="93">
        <v>46049</v>
      </c>
      <c r="P617" s="93">
        <v>46050</v>
      </c>
      <c r="Q617" s="167" t="s">
        <v>70</v>
      </c>
      <c r="R617" s="167" t="s">
        <v>70</v>
      </c>
      <c r="S617" s="167" t="s">
        <v>70</v>
      </c>
      <c r="T617" s="167" t="s">
        <v>70</v>
      </c>
      <c r="U617" s="167" t="s">
        <v>70</v>
      </c>
      <c r="V617" s="167" t="s">
        <v>70</v>
      </c>
      <c r="W617" s="167" t="s">
        <v>70</v>
      </c>
      <c r="X617" s="167" t="s">
        <v>70</v>
      </c>
      <c r="Y617" s="167" t="s">
        <v>70</v>
      </c>
      <c r="Z617" s="167" t="s">
        <v>70</v>
      </c>
      <c r="AA617" s="167" t="s">
        <v>70</v>
      </c>
      <c r="AB617" s="167" t="s">
        <v>70</v>
      </c>
      <c r="AC617" s="167" t="s">
        <v>70</v>
      </c>
      <c r="AD617" s="167" t="s">
        <v>70</v>
      </c>
      <c r="AE617" s="167" t="s">
        <v>70</v>
      </c>
      <c r="AF617" s="167" t="s">
        <v>70</v>
      </c>
      <c r="AG617" s="167" t="s">
        <v>70</v>
      </c>
      <c r="AH617" s="167" t="s">
        <v>70</v>
      </c>
      <c r="AI617" s="181">
        <v>45967</v>
      </c>
      <c r="AJ617" s="166" t="s">
        <v>69</v>
      </c>
      <c r="AK617" s="167" t="s">
        <v>70</v>
      </c>
      <c r="AL617" s="167" t="s">
        <v>70</v>
      </c>
      <c r="AM617" s="167"/>
      <c r="AN617" s="167" t="s">
        <v>70</v>
      </c>
      <c r="AO617" s="167" t="s">
        <v>70</v>
      </c>
      <c r="AP617" s="167" t="s">
        <v>70</v>
      </c>
      <c r="AQ617" s="167" t="s">
        <v>70</v>
      </c>
      <c r="AR617" s="168">
        <v>46184</v>
      </c>
      <c r="AS617" s="167" t="s">
        <v>70</v>
      </c>
      <c r="AT617" s="167" t="s">
        <v>70</v>
      </c>
      <c r="AU617" s="167" t="s">
        <v>70</v>
      </c>
      <c r="AV617" s="167" t="s">
        <v>70</v>
      </c>
      <c r="AW617" s="167" t="s">
        <v>70</v>
      </c>
      <c r="AX617" s="167" t="s">
        <v>70</v>
      </c>
      <c r="AY617" s="167" t="s">
        <v>70</v>
      </c>
      <c r="AZ617" s="167" t="s">
        <v>70</v>
      </c>
      <c r="BA617" s="167" t="s">
        <v>70</v>
      </c>
      <c r="BB617" s="167" t="s">
        <v>70</v>
      </c>
      <c r="BC617" s="167" t="s">
        <v>70</v>
      </c>
      <c r="BD617" s="167" t="s">
        <v>70</v>
      </c>
      <c r="BE617" s="167" t="s">
        <v>70</v>
      </c>
      <c r="BF617" s="167" t="s">
        <v>70</v>
      </c>
      <c r="BG617" s="167" t="s">
        <v>70</v>
      </c>
      <c r="BH617" s="167" t="s">
        <v>70</v>
      </c>
      <c r="BI617" s="167" t="s">
        <v>70</v>
      </c>
      <c r="BJ617" s="167" t="s">
        <v>70</v>
      </c>
      <c r="BK617" s="167" t="s">
        <v>70</v>
      </c>
      <c r="BL617" s="167" t="s">
        <v>70</v>
      </c>
      <c r="BM617" s="167" t="s">
        <v>70</v>
      </c>
      <c r="BN617" s="167" t="s">
        <v>70</v>
      </c>
      <c r="BO617" s="167" t="s">
        <v>70</v>
      </c>
      <c r="BP617" s="167" t="s">
        <v>70</v>
      </c>
      <c r="BQ617" s="151" t="s">
        <v>256</v>
      </c>
      <c r="BR617" s="142"/>
      <c r="BS617" s="142"/>
      <c r="BT617" s="142"/>
      <c r="BU617" s="142"/>
      <c r="BV617" s="142"/>
      <c r="BW617" s="142"/>
      <c r="BX617" s="142"/>
      <c r="BY617" s="142"/>
      <c r="BZ617" s="142"/>
      <c r="CA617" s="142"/>
      <c r="CB617" s="142"/>
      <c r="CC617" s="142"/>
      <c r="CD617" s="142"/>
      <c r="CE617" s="142"/>
      <c r="CF617" s="142"/>
      <c r="CG617" s="142"/>
      <c r="CH617" s="142"/>
      <c r="CI617" s="142"/>
      <c r="CJ617" s="142"/>
      <c r="CK617" s="142"/>
      <c r="CL617" s="142"/>
      <c r="CM617" s="142"/>
      <c r="CN617" s="142"/>
      <c r="CO617" s="142"/>
      <c r="CP617" s="142"/>
      <c r="CQ617" s="142"/>
      <c r="CR617" s="142"/>
      <c r="CS617" s="142"/>
      <c r="CT617" s="142"/>
      <c r="CU617" s="142"/>
      <c r="CV617" s="142"/>
      <c r="CW617" s="142"/>
      <c r="CX617" s="142"/>
      <c r="CY617" s="142"/>
      <c r="CZ617" s="142"/>
      <c r="DA617" s="142"/>
      <c r="DB617" s="142"/>
      <c r="DC617" s="142"/>
      <c r="DD617" s="142"/>
      <c r="DE617" s="142"/>
      <c r="DF617" s="142"/>
      <c r="DG617" s="142"/>
      <c r="DH617" s="142"/>
      <c r="DI617" s="142"/>
      <c r="DJ617" s="142"/>
      <c r="DK617" s="142"/>
      <c r="DL617" s="142"/>
      <c r="DM617" s="142"/>
      <c r="DN617" s="142"/>
      <c r="DO617" s="142"/>
      <c r="DP617" s="142"/>
      <c r="DQ617" s="142"/>
      <c r="DR617" s="142"/>
      <c r="DS617" s="142"/>
      <c r="DT617" s="142"/>
      <c r="DU617" s="142"/>
      <c r="DV617" s="142"/>
      <c r="DW617" s="142"/>
      <c r="DX617" s="142"/>
      <c r="DY617" s="142"/>
      <c r="DZ617" s="142"/>
      <c r="EA617" s="142"/>
      <c r="EB617" s="142"/>
      <c r="EC617" s="142"/>
      <c r="ED617" s="142"/>
    </row>
    <row r="618" spans="1:135" s="151" customFormat="1" ht="19.5" customHeight="1" x14ac:dyDescent="0.2">
      <c r="A618" s="117">
        <v>617</v>
      </c>
      <c r="B618" s="121" t="s">
        <v>487</v>
      </c>
      <c r="C618" s="122">
        <v>84123770</v>
      </c>
      <c r="D618" s="117" t="s">
        <v>212</v>
      </c>
      <c r="E618" s="117" t="s">
        <v>480</v>
      </c>
      <c r="F618" s="146" t="s">
        <v>256</v>
      </c>
      <c r="G618" s="124" t="s">
        <v>69</v>
      </c>
      <c r="H618" s="93">
        <v>42471</v>
      </c>
      <c r="I618" s="93">
        <v>45770</v>
      </c>
      <c r="J618" s="92">
        <f t="shared" si="51"/>
        <v>46865</v>
      </c>
      <c r="K618" s="93">
        <v>42471</v>
      </c>
      <c r="L618" s="93">
        <v>45769</v>
      </c>
      <c r="M618" s="140">
        <f t="shared" si="50"/>
        <v>46865</v>
      </c>
      <c r="N618" s="93">
        <v>45772</v>
      </c>
      <c r="O618" s="93">
        <v>45771</v>
      </c>
      <c r="P618" s="93">
        <v>45768</v>
      </c>
      <c r="Q618" s="167" t="s">
        <v>70</v>
      </c>
      <c r="R618" s="167" t="s">
        <v>70</v>
      </c>
      <c r="S618" s="167" t="s">
        <v>70</v>
      </c>
      <c r="T618" s="167" t="s">
        <v>70</v>
      </c>
      <c r="U618" s="167" t="s">
        <v>70</v>
      </c>
      <c r="V618" s="167" t="s">
        <v>70</v>
      </c>
      <c r="W618" s="167" t="s">
        <v>70</v>
      </c>
      <c r="X618" s="167" t="s">
        <v>70</v>
      </c>
      <c r="Y618" s="167" t="s">
        <v>70</v>
      </c>
      <c r="Z618" s="167" t="s">
        <v>70</v>
      </c>
      <c r="AA618" s="167" t="s">
        <v>70</v>
      </c>
      <c r="AB618" s="167" t="s">
        <v>70</v>
      </c>
      <c r="AC618" s="167" t="s">
        <v>70</v>
      </c>
      <c r="AD618" s="167" t="s">
        <v>70</v>
      </c>
      <c r="AE618" s="167" t="s">
        <v>70</v>
      </c>
      <c r="AF618" s="167" t="s">
        <v>70</v>
      </c>
      <c r="AG618" s="167" t="s">
        <v>70</v>
      </c>
      <c r="AH618" s="167" t="s">
        <v>70</v>
      </c>
      <c r="AI618" s="181">
        <v>45855</v>
      </c>
      <c r="AJ618" s="166" t="s">
        <v>69</v>
      </c>
      <c r="AK618" s="167" t="s">
        <v>70</v>
      </c>
      <c r="AL618" s="167" t="s">
        <v>70</v>
      </c>
      <c r="AM618" s="167"/>
      <c r="AN618" s="167" t="s">
        <v>70</v>
      </c>
      <c r="AO618" s="167" t="s">
        <v>70</v>
      </c>
      <c r="AP618" s="167" t="s">
        <v>70</v>
      </c>
      <c r="AQ618" s="167" t="s">
        <v>70</v>
      </c>
      <c r="AR618" s="168">
        <v>46153</v>
      </c>
      <c r="AS618" s="167" t="s">
        <v>70</v>
      </c>
      <c r="AT618" s="167" t="s">
        <v>70</v>
      </c>
      <c r="AU618" s="167" t="s">
        <v>70</v>
      </c>
      <c r="AV618" s="167" t="s">
        <v>70</v>
      </c>
      <c r="AW618" s="167" t="s">
        <v>70</v>
      </c>
      <c r="AX618" s="167" t="s">
        <v>70</v>
      </c>
      <c r="AY618" s="167" t="s">
        <v>70</v>
      </c>
      <c r="AZ618" s="167" t="s">
        <v>70</v>
      </c>
      <c r="BA618" s="167" t="s">
        <v>70</v>
      </c>
      <c r="BB618" s="167" t="s">
        <v>70</v>
      </c>
      <c r="BC618" s="167" t="s">
        <v>70</v>
      </c>
      <c r="BD618" s="167" t="s">
        <v>70</v>
      </c>
      <c r="BE618" s="167" t="s">
        <v>70</v>
      </c>
      <c r="BF618" s="167" t="s">
        <v>70</v>
      </c>
      <c r="BG618" s="167" t="s">
        <v>70</v>
      </c>
      <c r="BH618" s="167" t="s">
        <v>70</v>
      </c>
      <c r="BI618" s="167" t="s">
        <v>70</v>
      </c>
      <c r="BJ618" s="167" t="s">
        <v>70</v>
      </c>
      <c r="BK618" s="167" t="s">
        <v>70</v>
      </c>
      <c r="BL618" s="167" t="s">
        <v>70</v>
      </c>
      <c r="BM618" s="167" t="s">
        <v>70</v>
      </c>
      <c r="BN618" s="167" t="s">
        <v>70</v>
      </c>
      <c r="BO618" s="167" t="s">
        <v>70</v>
      </c>
      <c r="BP618" s="167" t="s">
        <v>70</v>
      </c>
      <c r="BQ618" s="151" t="s">
        <v>256</v>
      </c>
      <c r="BR618" s="142"/>
      <c r="BS618" s="142"/>
      <c r="BT618" s="142"/>
      <c r="BU618" s="142"/>
      <c r="BV618" s="142"/>
      <c r="BW618" s="142"/>
      <c r="BX618" s="142"/>
      <c r="BY618" s="142"/>
      <c r="BZ618" s="142"/>
      <c r="CA618" s="142"/>
      <c r="CB618" s="142"/>
      <c r="CC618" s="142"/>
      <c r="CD618" s="142"/>
      <c r="CE618" s="142"/>
      <c r="CF618" s="142"/>
      <c r="CG618" s="142"/>
      <c r="CH618" s="142"/>
      <c r="CI618" s="142"/>
      <c r="CJ618" s="142"/>
      <c r="CK618" s="142"/>
      <c r="CL618" s="142"/>
      <c r="CM618" s="142"/>
      <c r="CN618" s="142"/>
      <c r="CO618" s="142"/>
      <c r="CP618" s="142"/>
      <c r="CQ618" s="142"/>
      <c r="CR618" s="142"/>
      <c r="CS618" s="142"/>
      <c r="CT618" s="142"/>
      <c r="CU618" s="142"/>
      <c r="CV618" s="142"/>
      <c r="CW618" s="142"/>
      <c r="CX618" s="142"/>
      <c r="CY618" s="142"/>
      <c r="CZ618" s="142"/>
      <c r="DA618" s="142"/>
      <c r="DB618" s="142"/>
      <c r="DC618" s="142"/>
      <c r="DD618" s="142"/>
      <c r="DE618" s="142"/>
      <c r="DF618" s="142"/>
      <c r="DG618" s="142"/>
      <c r="DH618" s="142"/>
      <c r="DI618" s="142"/>
      <c r="DJ618" s="142"/>
      <c r="DK618" s="142"/>
      <c r="DL618" s="142"/>
      <c r="DM618" s="142"/>
      <c r="DN618" s="142"/>
      <c r="DO618" s="142"/>
      <c r="DP618" s="142"/>
      <c r="DQ618" s="142"/>
      <c r="DR618" s="142"/>
      <c r="DS618" s="142"/>
      <c r="DT618" s="142"/>
      <c r="DU618" s="142"/>
      <c r="DV618" s="142"/>
      <c r="DW618" s="142"/>
      <c r="DX618" s="142"/>
      <c r="DY618" s="142"/>
      <c r="DZ618" s="142"/>
      <c r="EA618" s="142"/>
      <c r="EB618" s="142"/>
      <c r="EC618" s="142"/>
      <c r="ED618" s="142"/>
    </row>
    <row r="619" spans="1:135" s="151" customFormat="1" ht="19.5" customHeight="1" x14ac:dyDescent="0.2">
      <c r="A619" s="117">
        <v>618</v>
      </c>
      <c r="B619" s="121" t="s">
        <v>488</v>
      </c>
      <c r="C619" s="122">
        <v>141581</v>
      </c>
      <c r="D619" s="117" t="s">
        <v>212</v>
      </c>
      <c r="E619" s="117" t="s">
        <v>480</v>
      </c>
      <c r="F619" s="146" t="s">
        <v>256</v>
      </c>
      <c r="G619" s="124" t="s">
        <v>69</v>
      </c>
      <c r="H619" s="93">
        <v>42310</v>
      </c>
      <c r="I619" s="93">
        <v>45770</v>
      </c>
      <c r="J619" s="92">
        <f t="shared" si="51"/>
        <v>46865</v>
      </c>
      <c r="K619" s="93">
        <v>42310</v>
      </c>
      <c r="L619" s="93">
        <v>45769</v>
      </c>
      <c r="M619" s="140">
        <f t="shared" si="50"/>
        <v>46865</v>
      </c>
      <c r="N619" s="93">
        <v>45772</v>
      </c>
      <c r="O619" s="93">
        <v>45771</v>
      </c>
      <c r="P619" s="93">
        <v>45768</v>
      </c>
      <c r="Q619" s="167" t="s">
        <v>70</v>
      </c>
      <c r="R619" s="167" t="s">
        <v>70</v>
      </c>
      <c r="S619" s="167" t="s">
        <v>70</v>
      </c>
      <c r="T619" s="167" t="s">
        <v>70</v>
      </c>
      <c r="U619" s="167" t="s">
        <v>70</v>
      </c>
      <c r="V619" s="167" t="s">
        <v>70</v>
      </c>
      <c r="W619" s="167" t="s">
        <v>70</v>
      </c>
      <c r="X619" s="167" t="s">
        <v>70</v>
      </c>
      <c r="Y619" s="167" t="s">
        <v>70</v>
      </c>
      <c r="Z619" s="167" t="s">
        <v>70</v>
      </c>
      <c r="AA619" s="167" t="s">
        <v>70</v>
      </c>
      <c r="AB619" s="167" t="s">
        <v>70</v>
      </c>
      <c r="AC619" s="167" t="s">
        <v>70</v>
      </c>
      <c r="AD619" s="167" t="s">
        <v>70</v>
      </c>
      <c r="AE619" s="167" t="s">
        <v>70</v>
      </c>
      <c r="AF619" s="167" t="s">
        <v>70</v>
      </c>
      <c r="AG619" s="167" t="s">
        <v>70</v>
      </c>
      <c r="AH619" s="167" t="s">
        <v>70</v>
      </c>
      <c r="AI619" s="111">
        <v>45912</v>
      </c>
      <c r="AJ619" s="166" t="s">
        <v>69</v>
      </c>
      <c r="AK619" s="167" t="s">
        <v>70</v>
      </c>
      <c r="AL619" s="167" t="s">
        <v>70</v>
      </c>
      <c r="AM619" s="167"/>
      <c r="AN619" s="167" t="s">
        <v>70</v>
      </c>
      <c r="AO619" s="167" t="s">
        <v>70</v>
      </c>
      <c r="AP619" s="167" t="s">
        <v>70</v>
      </c>
      <c r="AQ619" s="167" t="s">
        <v>70</v>
      </c>
      <c r="AR619" s="166" t="s">
        <v>69</v>
      </c>
      <c r="AS619" s="167" t="s">
        <v>70</v>
      </c>
      <c r="AT619" s="167" t="s">
        <v>70</v>
      </c>
      <c r="AU619" s="167" t="s">
        <v>70</v>
      </c>
      <c r="AV619" s="167" t="s">
        <v>70</v>
      </c>
      <c r="AW619" s="167" t="s">
        <v>70</v>
      </c>
      <c r="AX619" s="167" t="s">
        <v>70</v>
      </c>
      <c r="AY619" s="167" t="s">
        <v>70</v>
      </c>
      <c r="AZ619" s="167" t="s">
        <v>70</v>
      </c>
      <c r="BA619" s="167" t="s">
        <v>70</v>
      </c>
      <c r="BB619" s="167" t="s">
        <v>70</v>
      </c>
      <c r="BC619" s="167" t="s">
        <v>70</v>
      </c>
      <c r="BD619" s="167" t="s">
        <v>70</v>
      </c>
      <c r="BE619" s="167" t="s">
        <v>70</v>
      </c>
      <c r="BF619" s="167" t="s">
        <v>70</v>
      </c>
      <c r="BG619" s="167" t="s">
        <v>70</v>
      </c>
      <c r="BH619" s="167" t="s">
        <v>70</v>
      </c>
      <c r="BI619" s="167" t="s">
        <v>70</v>
      </c>
      <c r="BJ619" s="167" t="s">
        <v>70</v>
      </c>
      <c r="BK619" s="167" t="s">
        <v>70</v>
      </c>
      <c r="BL619" s="167" t="s">
        <v>70</v>
      </c>
      <c r="BM619" s="167" t="s">
        <v>70</v>
      </c>
      <c r="BN619" s="167" t="s">
        <v>70</v>
      </c>
      <c r="BO619" s="167" t="s">
        <v>70</v>
      </c>
      <c r="BP619" s="167" t="s">
        <v>70</v>
      </c>
      <c r="BQ619" s="151" t="s">
        <v>256</v>
      </c>
      <c r="BR619" s="142"/>
      <c r="BS619" s="142"/>
      <c r="BT619" s="142"/>
      <c r="BU619" s="142"/>
      <c r="BV619" s="142"/>
      <c r="BW619" s="142"/>
      <c r="BX619" s="142"/>
      <c r="BY619" s="142"/>
      <c r="BZ619" s="142"/>
      <c r="CA619" s="142"/>
      <c r="CB619" s="142"/>
      <c r="CC619" s="142"/>
      <c r="CD619" s="142"/>
      <c r="CE619" s="142"/>
      <c r="CF619" s="142"/>
      <c r="CG619" s="142"/>
      <c r="CH619" s="142"/>
      <c r="CI619" s="142"/>
      <c r="CJ619" s="142"/>
      <c r="CK619" s="142"/>
      <c r="CL619" s="142"/>
      <c r="CM619" s="142"/>
      <c r="CN619" s="142"/>
      <c r="CO619" s="142"/>
      <c r="CP619" s="142"/>
      <c r="CQ619" s="142"/>
      <c r="CR619" s="142"/>
      <c r="CS619" s="142"/>
      <c r="CT619" s="142"/>
      <c r="CU619" s="142"/>
      <c r="CV619" s="142"/>
      <c r="CW619" s="142"/>
      <c r="CX619" s="142"/>
      <c r="CY619" s="142"/>
      <c r="CZ619" s="142"/>
      <c r="DA619" s="142"/>
      <c r="DB619" s="142"/>
      <c r="DC619" s="142"/>
      <c r="DD619" s="142"/>
      <c r="DE619" s="142"/>
      <c r="DF619" s="142"/>
      <c r="DG619" s="142"/>
      <c r="DH619" s="142"/>
      <c r="DI619" s="142"/>
      <c r="DJ619" s="142"/>
      <c r="DK619" s="142"/>
      <c r="DL619" s="142"/>
      <c r="DM619" s="142"/>
      <c r="DN619" s="142"/>
      <c r="DO619" s="142"/>
      <c r="DP619" s="142"/>
      <c r="DQ619" s="142"/>
      <c r="DR619" s="142"/>
      <c r="DS619" s="142"/>
      <c r="DT619" s="142"/>
      <c r="DU619" s="142"/>
      <c r="DV619" s="142"/>
      <c r="DW619" s="142"/>
      <c r="DX619" s="142"/>
      <c r="DY619" s="142"/>
      <c r="DZ619" s="142"/>
      <c r="EA619" s="142"/>
      <c r="EB619" s="142"/>
      <c r="EC619" s="142"/>
      <c r="ED619" s="142"/>
    </row>
    <row r="620" spans="1:135" s="151" customFormat="1" ht="19.5" customHeight="1" x14ac:dyDescent="0.2">
      <c r="A620" s="117">
        <v>619</v>
      </c>
      <c r="B620" s="121" t="s">
        <v>489</v>
      </c>
      <c r="C620" s="122">
        <v>83103330</v>
      </c>
      <c r="D620" s="117" t="s">
        <v>212</v>
      </c>
      <c r="E620" s="117" t="s">
        <v>480</v>
      </c>
      <c r="F620" s="146" t="s">
        <v>256</v>
      </c>
      <c r="G620" s="124" t="s">
        <v>69</v>
      </c>
      <c r="H620" s="93">
        <v>46164</v>
      </c>
      <c r="I620" s="93">
        <v>46164</v>
      </c>
      <c r="J620" s="92">
        <f t="shared" si="51"/>
        <v>47259</v>
      </c>
      <c r="K620" s="93">
        <v>46163</v>
      </c>
      <c r="L620" s="93">
        <v>46163</v>
      </c>
      <c r="M620" s="140">
        <f t="shared" si="50"/>
        <v>47259</v>
      </c>
      <c r="N620" s="93">
        <v>46167</v>
      </c>
      <c r="O620" s="93">
        <v>46161</v>
      </c>
      <c r="P620" s="93">
        <v>46162</v>
      </c>
      <c r="Q620" s="167" t="s">
        <v>70</v>
      </c>
      <c r="R620" s="167" t="s">
        <v>70</v>
      </c>
      <c r="S620" s="167" t="s">
        <v>70</v>
      </c>
      <c r="T620" s="167" t="s">
        <v>70</v>
      </c>
      <c r="U620" s="167" t="s">
        <v>70</v>
      </c>
      <c r="V620" s="167" t="s">
        <v>70</v>
      </c>
      <c r="W620" s="167" t="s">
        <v>70</v>
      </c>
      <c r="X620" s="167" t="s">
        <v>70</v>
      </c>
      <c r="Y620" s="167" t="s">
        <v>70</v>
      </c>
      <c r="Z620" s="167" t="s">
        <v>70</v>
      </c>
      <c r="AA620" s="167" t="s">
        <v>70</v>
      </c>
      <c r="AB620" s="167" t="s">
        <v>70</v>
      </c>
      <c r="AC620" s="167" t="s">
        <v>70</v>
      </c>
      <c r="AD620" s="167" t="s">
        <v>70</v>
      </c>
      <c r="AE620" s="167" t="s">
        <v>70</v>
      </c>
      <c r="AF620" s="167" t="s">
        <v>70</v>
      </c>
      <c r="AG620" s="167" t="s">
        <v>70</v>
      </c>
      <c r="AH620" s="167" t="s">
        <v>70</v>
      </c>
      <c r="AI620" s="186">
        <v>45869</v>
      </c>
      <c r="AJ620" s="166" t="s">
        <v>69</v>
      </c>
      <c r="AK620" s="167" t="s">
        <v>70</v>
      </c>
      <c r="AL620" s="167" t="s">
        <v>70</v>
      </c>
      <c r="AM620" s="167"/>
      <c r="AN620" s="167" t="s">
        <v>70</v>
      </c>
      <c r="AO620" s="167" t="s">
        <v>70</v>
      </c>
      <c r="AP620" s="167" t="s">
        <v>70</v>
      </c>
      <c r="AQ620" s="167" t="s">
        <v>70</v>
      </c>
      <c r="AR620" s="166" t="s">
        <v>69</v>
      </c>
      <c r="AS620" s="167" t="s">
        <v>70</v>
      </c>
      <c r="AT620" s="167" t="s">
        <v>70</v>
      </c>
      <c r="AU620" s="167" t="s">
        <v>70</v>
      </c>
      <c r="AV620" s="167" t="s">
        <v>70</v>
      </c>
      <c r="AW620" s="167" t="s">
        <v>70</v>
      </c>
      <c r="AX620" s="167" t="s">
        <v>70</v>
      </c>
      <c r="AY620" s="167" t="s">
        <v>70</v>
      </c>
      <c r="AZ620" s="167" t="s">
        <v>70</v>
      </c>
      <c r="BA620" s="167" t="s">
        <v>70</v>
      </c>
      <c r="BB620" s="167" t="s">
        <v>70</v>
      </c>
      <c r="BC620" s="167" t="s">
        <v>70</v>
      </c>
      <c r="BD620" s="167" t="s">
        <v>70</v>
      </c>
      <c r="BE620" s="167" t="s">
        <v>70</v>
      </c>
      <c r="BF620" s="167" t="s">
        <v>70</v>
      </c>
      <c r="BG620" s="167" t="s">
        <v>70</v>
      </c>
      <c r="BH620" s="167" t="s">
        <v>70</v>
      </c>
      <c r="BI620" s="167" t="s">
        <v>70</v>
      </c>
      <c r="BJ620" s="167" t="s">
        <v>70</v>
      </c>
      <c r="BK620" s="167" t="s">
        <v>70</v>
      </c>
      <c r="BL620" s="167" t="s">
        <v>70</v>
      </c>
      <c r="BM620" s="167" t="s">
        <v>70</v>
      </c>
      <c r="BN620" s="167" t="s">
        <v>70</v>
      </c>
      <c r="BO620" s="167" t="s">
        <v>70</v>
      </c>
      <c r="BP620" s="167" t="s">
        <v>70</v>
      </c>
      <c r="BQ620" s="151" t="s">
        <v>256</v>
      </c>
      <c r="BR620" s="142"/>
      <c r="BS620" s="142"/>
      <c r="BT620" s="142"/>
      <c r="BU620" s="142"/>
      <c r="BV620" s="142"/>
      <c r="BW620" s="142"/>
      <c r="BX620" s="142"/>
      <c r="BY620" s="142"/>
      <c r="BZ620" s="142"/>
      <c r="CA620" s="142"/>
      <c r="CB620" s="142"/>
      <c r="CC620" s="142"/>
      <c r="CD620" s="142"/>
      <c r="CE620" s="142"/>
      <c r="CF620" s="142"/>
      <c r="CG620" s="142"/>
      <c r="CH620" s="142"/>
      <c r="CI620" s="142"/>
      <c r="CJ620" s="142"/>
      <c r="CK620" s="142"/>
      <c r="CL620" s="142"/>
      <c r="CM620" s="142"/>
      <c r="CN620" s="142"/>
      <c r="CO620" s="142"/>
      <c r="CP620" s="142"/>
      <c r="CQ620" s="142"/>
      <c r="CR620" s="142"/>
      <c r="CS620" s="142"/>
      <c r="CT620" s="142"/>
      <c r="CU620" s="142"/>
      <c r="CV620" s="142"/>
      <c r="CW620" s="142"/>
      <c r="CX620" s="142"/>
      <c r="CY620" s="142"/>
      <c r="CZ620" s="142"/>
      <c r="DA620" s="142"/>
      <c r="DB620" s="142"/>
      <c r="DC620" s="142"/>
      <c r="DD620" s="142"/>
      <c r="DE620" s="142"/>
      <c r="DF620" s="142"/>
      <c r="DG620" s="142"/>
      <c r="DH620" s="142"/>
      <c r="DI620" s="142"/>
      <c r="DJ620" s="142"/>
      <c r="DK620" s="142"/>
      <c r="DL620" s="142"/>
      <c r="DM620" s="142"/>
      <c r="DN620" s="142"/>
      <c r="DO620" s="142"/>
      <c r="DP620" s="142"/>
      <c r="DQ620" s="142"/>
      <c r="DR620" s="142"/>
      <c r="DS620" s="142"/>
      <c r="DT620" s="142"/>
      <c r="DU620" s="142"/>
      <c r="DV620" s="142"/>
      <c r="DW620" s="142"/>
      <c r="DX620" s="142"/>
      <c r="DY620" s="142"/>
      <c r="DZ620" s="142"/>
      <c r="EA620" s="142"/>
      <c r="EB620" s="142"/>
      <c r="EC620" s="142"/>
      <c r="ED620" s="142"/>
    </row>
    <row r="621" spans="1:135" s="151" customFormat="1" ht="19.5" customHeight="1" x14ac:dyDescent="0.2">
      <c r="A621" s="117">
        <v>620</v>
      </c>
      <c r="B621" s="121" t="s">
        <v>490</v>
      </c>
      <c r="C621" s="122">
        <v>83117899</v>
      </c>
      <c r="D621" s="117" t="s">
        <v>212</v>
      </c>
      <c r="E621" s="117" t="s">
        <v>480</v>
      </c>
      <c r="F621" s="146" t="s">
        <v>256</v>
      </c>
      <c r="G621" s="124" t="s">
        <v>69</v>
      </c>
      <c r="H621" s="93">
        <v>42555</v>
      </c>
      <c r="I621" s="93">
        <v>46080</v>
      </c>
      <c r="J621" s="92">
        <f t="shared" si="51"/>
        <v>47175</v>
      </c>
      <c r="K621" s="93">
        <v>42555</v>
      </c>
      <c r="L621" s="93">
        <v>46079</v>
      </c>
      <c r="M621" s="140">
        <f t="shared" si="50"/>
        <v>47175</v>
      </c>
      <c r="N621" s="93">
        <v>46076</v>
      </c>
      <c r="O621" s="93">
        <v>46077</v>
      </c>
      <c r="P621" s="93">
        <v>46078</v>
      </c>
      <c r="Q621" s="167" t="s">
        <v>70</v>
      </c>
      <c r="R621" s="167" t="s">
        <v>70</v>
      </c>
      <c r="S621" s="167" t="s">
        <v>70</v>
      </c>
      <c r="T621" s="167" t="s">
        <v>70</v>
      </c>
      <c r="U621" s="167" t="s">
        <v>70</v>
      </c>
      <c r="V621" s="167" t="s">
        <v>70</v>
      </c>
      <c r="W621" s="167" t="s">
        <v>70</v>
      </c>
      <c r="X621" s="167" t="s">
        <v>70</v>
      </c>
      <c r="Y621" s="167" t="s">
        <v>70</v>
      </c>
      <c r="Z621" s="167" t="s">
        <v>70</v>
      </c>
      <c r="AA621" s="167" t="s">
        <v>70</v>
      </c>
      <c r="AB621" s="167" t="s">
        <v>70</v>
      </c>
      <c r="AC621" s="167" t="s">
        <v>70</v>
      </c>
      <c r="AD621" s="167" t="s">
        <v>70</v>
      </c>
      <c r="AE621" s="167" t="s">
        <v>70</v>
      </c>
      <c r="AF621" s="167" t="s">
        <v>70</v>
      </c>
      <c r="AG621" s="167" t="s">
        <v>70</v>
      </c>
      <c r="AH621" s="167" t="s">
        <v>70</v>
      </c>
      <c r="AI621" s="111">
        <v>45939</v>
      </c>
      <c r="AJ621" s="166" t="s">
        <v>69</v>
      </c>
      <c r="AK621" s="167" t="s">
        <v>70</v>
      </c>
      <c r="AL621" s="167" t="s">
        <v>70</v>
      </c>
      <c r="AM621" s="167"/>
      <c r="AN621" s="167" t="s">
        <v>70</v>
      </c>
      <c r="AO621" s="167" t="s">
        <v>70</v>
      </c>
      <c r="AP621" s="167" t="s">
        <v>70</v>
      </c>
      <c r="AQ621" s="167" t="s">
        <v>70</v>
      </c>
      <c r="AR621" s="166" t="s">
        <v>69</v>
      </c>
      <c r="AS621" s="167" t="s">
        <v>70</v>
      </c>
      <c r="AT621" s="167" t="s">
        <v>70</v>
      </c>
      <c r="AU621" s="167" t="s">
        <v>70</v>
      </c>
      <c r="AV621" s="167" t="s">
        <v>70</v>
      </c>
      <c r="AW621" s="167" t="s">
        <v>70</v>
      </c>
      <c r="AX621" s="167" t="s">
        <v>70</v>
      </c>
      <c r="AY621" s="167" t="s">
        <v>70</v>
      </c>
      <c r="AZ621" s="167" t="s">
        <v>70</v>
      </c>
      <c r="BA621" s="167" t="s">
        <v>70</v>
      </c>
      <c r="BB621" s="167" t="s">
        <v>70</v>
      </c>
      <c r="BC621" s="167" t="s">
        <v>70</v>
      </c>
      <c r="BD621" s="167" t="s">
        <v>70</v>
      </c>
      <c r="BE621" s="167" t="s">
        <v>70</v>
      </c>
      <c r="BF621" s="167" t="s">
        <v>70</v>
      </c>
      <c r="BG621" s="167" t="s">
        <v>70</v>
      </c>
      <c r="BH621" s="167" t="s">
        <v>70</v>
      </c>
      <c r="BI621" s="167" t="s">
        <v>70</v>
      </c>
      <c r="BJ621" s="167" t="s">
        <v>70</v>
      </c>
      <c r="BK621" s="167" t="s">
        <v>70</v>
      </c>
      <c r="BL621" s="167" t="s">
        <v>70</v>
      </c>
      <c r="BM621" s="167" t="s">
        <v>70</v>
      </c>
      <c r="BN621" s="167" t="s">
        <v>70</v>
      </c>
      <c r="BO621" s="167" t="s">
        <v>70</v>
      </c>
      <c r="BP621" s="167" t="s">
        <v>70</v>
      </c>
      <c r="BQ621" s="151" t="s">
        <v>256</v>
      </c>
      <c r="BR621" s="142"/>
      <c r="BS621" s="142"/>
      <c r="BT621" s="142"/>
      <c r="BU621" s="142"/>
      <c r="BV621" s="142"/>
      <c r="BW621" s="142"/>
      <c r="BX621" s="142"/>
      <c r="BY621" s="142"/>
      <c r="BZ621" s="142"/>
      <c r="CA621" s="142"/>
      <c r="CB621" s="142"/>
      <c r="CC621" s="142"/>
      <c r="CD621" s="142"/>
      <c r="CE621" s="142"/>
      <c r="CF621" s="142"/>
      <c r="CG621" s="142"/>
      <c r="CH621" s="142"/>
      <c r="CI621" s="142"/>
      <c r="CJ621" s="142"/>
      <c r="CK621" s="142"/>
      <c r="CL621" s="142"/>
      <c r="CM621" s="142"/>
      <c r="CN621" s="142"/>
      <c r="CO621" s="142"/>
      <c r="CP621" s="142"/>
      <c r="CQ621" s="142"/>
      <c r="CR621" s="142"/>
      <c r="CS621" s="142"/>
      <c r="CT621" s="142"/>
      <c r="CU621" s="142"/>
      <c r="CV621" s="142"/>
      <c r="CW621" s="142"/>
      <c r="CX621" s="142"/>
      <c r="CY621" s="142"/>
      <c r="CZ621" s="142"/>
      <c r="DA621" s="142"/>
      <c r="DB621" s="142"/>
      <c r="DC621" s="142"/>
      <c r="DD621" s="142"/>
      <c r="DE621" s="142"/>
      <c r="DF621" s="142"/>
      <c r="DG621" s="142"/>
      <c r="DH621" s="142"/>
      <c r="DI621" s="142"/>
      <c r="DJ621" s="142"/>
      <c r="DK621" s="142"/>
      <c r="DL621" s="142"/>
      <c r="DM621" s="142"/>
      <c r="DN621" s="142"/>
      <c r="DO621" s="142"/>
      <c r="DP621" s="142"/>
      <c r="DQ621" s="142"/>
      <c r="DR621" s="142"/>
      <c r="DS621" s="142"/>
      <c r="DT621" s="142"/>
      <c r="DU621" s="142"/>
      <c r="DV621" s="142"/>
      <c r="DW621" s="142"/>
      <c r="DX621" s="142"/>
      <c r="DY621" s="142"/>
      <c r="DZ621" s="142"/>
      <c r="EA621" s="142"/>
      <c r="EB621" s="142"/>
      <c r="EC621" s="142"/>
      <c r="ED621" s="142"/>
    </row>
    <row r="622" spans="1:135" s="151" customFormat="1" ht="19.5" customHeight="1" x14ac:dyDescent="0.2">
      <c r="A622" s="117">
        <v>621</v>
      </c>
      <c r="B622" s="121" t="s">
        <v>491</v>
      </c>
      <c r="C622" s="122">
        <v>84130582</v>
      </c>
      <c r="D622" s="117" t="s">
        <v>212</v>
      </c>
      <c r="E622" s="117" t="s">
        <v>480</v>
      </c>
      <c r="F622" s="146" t="s">
        <v>256</v>
      </c>
      <c r="G622" s="124" t="s">
        <v>69</v>
      </c>
      <c r="H622" s="93">
        <v>42471</v>
      </c>
      <c r="I622" s="93">
        <v>46051</v>
      </c>
      <c r="J622" s="92">
        <f>IF(I622="", "", DATE(YEAR(I622)+3, MONTH(I622), DAY(I622)))</f>
        <v>47147</v>
      </c>
      <c r="K622" s="93">
        <v>42471</v>
      </c>
      <c r="L622" s="93">
        <v>46052</v>
      </c>
      <c r="M622" s="140">
        <f t="shared" si="50"/>
        <v>47148</v>
      </c>
      <c r="N622" s="93">
        <v>46171</v>
      </c>
      <c r="O622" s="93">
        <v>46049</v>
      </c>
      <c r="P622" s="93">
        <v>46050</v>
      </c>
      <c r="Q622" s="167" t="s">
        <v>70</v>
      </c>
      <c r="R622" s="167" t="s">
        <v>70</v>
      </c>
      <c r="S622" s="167" t="s">
        <v>70</v>
      </c>
      <c r="T622" s="167" t="s">
        <v>70</v>
      </c>
      <c r="U622" s="167" t="s">
        <v>70</v>
      </c>
      <c r="V622" s="167" t="s">
        <v>70</v>
      </c>
      <c r="W622" s="167" t="s">
        <v>70</v>
      </c>
      <c r="X622" s="167" t="s">
        <v>70</v>
      </c>
      <c r="Y622" s="167" t="s">
        <v>70</v>
      </c>
      <c r="Z622" s="167" t="s">
        <v>70</v>
      </c>
      <c r="AA622" s="167" t="s">
        <v>70</v>
      </c>
      <c r="AB622" s="167" t="s">
        <v>70</v>
      </c>
      <c r="AC622" s="167" t="s">
        <v>70</v>
      </c>
      <c r="AD622" s="167" t="s">
        <v>70</v>
      </c>
      <c r="AE622" s="167" t="s">
        <v>70</v>
      </c>
      <c r="AF622" s="167" t="s">
        <v>70</v>
      </c>
      <c r="AG622" s="167" t="s">
        <v>70</v>
      </c>
      <c r="AH622" s="167" t="s">
        <v>70</v>
      </c>
      <c r="AI622" s="186">
        <v>45769</v>
      </c>
      <c r="AJ622" s="166" t="s">
        <v>69</v>
      </c>
      <c r="AK622" s="167" t="s">
        <v>70</v>
      </c>
      <c r="AL622" s="167" t="s">
        <v>70</v>
      </c>
      <c r="AM622" s="167"/>
      <c r="AN622" s="167" t="s">
        <v>70</v>
      </c>
      <c r="AO622" s="167" t="s">
        <v>70</v>
      </c>
      <c r="AP622" s="167" t="s">
        <v>70</v>
      </c>
      <c r="AQ622" s="167" t="s">
        <v>70</v>
      </c>
      <c r="AR622" s="168">
        <v>46244</v>
      </c>
      <c r="AS622" s="167" t="s">
        <v>70</v>
      </c>
      <c r="AT622" s="167" t="s">
        <v>70</v>
      </c>
      <c r="AU622" s="167" t="s">
        <v>70</v>
      </c>
      <c r="AV622" s="167" t="s">
        <v>70</v>
      </c>
      <c r="AW622" s="167" t="s">
        <v>70</v>
      </c>
      <c r="AX622" s="167" t="s">
        <v>70</v>
      </c>
      <c r="AY622" s="167" t="s">
        <v>70</v>
      </c>
      <c r="AZ622" s="167" t="s">
        <v>70</v>
      </c>
      <c r="BA622" s="167" t="s">
        <v>70</v>
      </c>
      <c r="BB622" s="167" t="s">
        <v>70</v>
      </c>
      <c r="BC622" s="167" t="s">
        <v>70</v>
      </c>
      <c r="BD622" s="167" t="s">
        <v>70</v>
      </c>
      <c r="BE622" s="167" t="s">
        <v>70</v>
      </c>
      <c r="BF622" s="167" t="s">
        <v>70</v>
      </c>
      <c r="BG622" s="167" t="s">
        <v>70</v>
      </c>
      <c r="BH622" s="167" t="s">
        <v>70</v>
      </c>
      <c r="BI622" s="167" t="s">
        <v>70</v>
      </c>
      <c r="BJ622" s="167" t="s">
        <v>70</v>
      </c>
      <c r="BK622" s="167" t="s">
        <v>70</v>
      </c>
      <c r="BL622" s="167" t="s">
        <v>70</v>
      </c>
      <c r="BM622" s="167" t="s">
        <v>70</v>
      </c>
      <c r="BN622" s="167" t="s">
        <v>70</v>
      </c>
      <c r="BO622" s="167" t="s">
        <v>70</v>
      </c>
      <c r="BP622" s="167" t="s">
        <v>70</v>
      </c>
      <c r="BQ622" s="151" t="s">
        <v>256</v>
      </c>
      <c r="BR622" s="142"/>
      <c r="BS622" s="142"/>
      <c r="BT622" s="142"/>
      <c r="BU622" s="142"/>
      <c r="BV622" s="142"/>
      <c r="BW622" s="142"/>
      <c r="BX622" s="142"/>
      <c r="BY622" s="142"/>
      <c r="BZ622" s="142"/>
      <c r="CA622" s="142"/>
      <c r="CB622" s="142"/>
      <c r="CC622" s="142"/>
      <c r="CD622" s="142"/>
      <c r="CE622" s="142"/>
      <c r="CF622" s="142"/>
      <c r="CG622" s="142"/>
      <c r="CH622" s="142"/>
      <c r="CI622" s="142"/>
      <c r="CJ622" s="142"/>
      <c r="CK622" s="142"/>
      <c r="CL622" s="142"/>
      <c r="CM622" s="142"/>
      <c r="CN622" s="142"/>
      <c r="CO622" s="142"/>
      <c r="CP622" s="142"/>
      <c r="CQ622" s="142"/>
      <c r="CR622" s="142"/>
      <c r="CS622" s="142"/>
      <c r="CT622" s="142"/>
      <c r="CU622" s="142"/>
      <c r="CV622" s="142"/>
      <c r="CW622" s="142"/>
      <c r="CX622" s="142"/>
      <c r="CY622" s="142"/>
      <c r="CZ622" s="142"/>
      <c r="DA622" s="142"/>
      <c r="DB622" s="142"/>
      <c r="DC622" s="142"/>
      <c r="DD622" s="142"/>
      <c r="DE622" s="142"/>
      <c r="DF622" s="142"/>
      <c r="DG622" s="142"/>
      <c r="DH622" s="142"/>
      <c r="DI622" s="142"/>
      <c r="DJ622" s="142"/>
      <c r="DK622" s="142"/>
      <c r="DL622" s="142"/>
      <c r="DM622" s="142"/>
      <c r="DN622" s="142"/>
      <c r="DO622" s="142"/>
      <c r="DP622" s="142"/>
      <c r="DQ622" s="142"/>
      <c r="DR622" s="142"/>
      <c r="DS622" s="142"/>
      <c r="DT622" s="142"/>
      <c r="DU622" s="142"/>
      <c r="DV622" s="142"/>
      <c r="DW622" s="142"/>
      <c r="DX622" s="142"/>
      <c r="DY622" s="142"/>
      <c r="DZ622" s="142"/>
      <c r="EA622" s="142"/>
      <c r="EB622" s="142"/>
      <c r="EC622" s="142"/>
      <c r="ED622" s="142"/>
    </row>
    <row r="623" spans="1:135" s="151" customFormat="1" ht="19.5" customHeight="1" x14ac:dyDescent="0.2">
      <c r="A623" s="117">
        <v>622</v>
      </c>
      <c r="B623" s="121" t="s">
        <v>492</v>
      </c>
      <c r="C623" s="122">
        <v>83118004</v>
      </c>
      <c r="D623" s="117" t="s">
        <v>212</v>
      </c>
      <c r="E623" s="117" t="s">
        <v>480</v>
      </c>
      <c r="F623" s="146" t="s">
        <v>256</v>
      </c>
      <c r="G623" s="124" t="s">
        <v>69</v>
      </c>
      <c r="H623" s="93">
        <v>42457</v>
      </c>
      <c r="I623" s="93">
        <v>45989</v>
      </c>
      <c r="J623" s="92">
        <f>IF(I623="", "", DATE(YEAR(I623)+3, MONTH(I623), DAY(L623)))</f>
        <v>47084</v>
      </c>
      <c r="K623" s="93">
        <v>42457</v>
      </c>
      <c r="L623" s="93">
        <v>45988</v>
      </c>
      <c r="M623" s="140">
        <f t="shared" si="50"/>
        <v>47084</v>
      </c>
      <c r="N623" s="93">
        <v>45985</v>
      </c>
      <c r="O623" s="93">
        <v>45987</v>
      </c>
      <c r="P623" s="190">
        <v>46006</v>
      </c>
      <c r="Q623" s="167" t="s">
        <v>70</v>
      </c>
      <c r="R623" s="167" t="s">
        <v>70</v>
      </c>
      <c r="S623" s="167" t="s">
        <v>70</v>
      </c>
      <c r="T623" s="167" t="s">
        <v>70</v>
      </c>
      <c r="U623" s="167" t="s">
        <v>70</v>
      </c>
      <c r="V623" s="167" t="s">
        <v>70</v>
      </c>
      <c r="W623" s="167" t="s">
        <v>70</v>
      </c>
      <c r="X623" s="167" t="s">
        <v>70</v>
      </c>
      <c r="Y623" s="167" t="s">
        <v>70</v>
      </c>
      <c r="Z623" s="167" t="s">
        <v>70</v>
      </c>
      <c r="AA623" s="167" t="s">
        <v>70</v>
      </c>
      <c r="AB623" s="167" t="s">
        <v>70</v>
      </c>
      <c r="AC623" s="167" t="s">
        <v>70</v>
      </c>
      <c r="AD623" s="167" t="s">
        <v>70</v>
      </c>
      <c r="AE623" s="167" t="s">
        <v>70</v>
      </c>
      <c r="AF623" s="167" t="s">
        <v>70</v>
      </c>
      <c r="AG623" s="167" t="s">
        <v>70</v>
      </c>
      <c r="AH623" s="167" t="s">
        <v>70</v>
      </c>
      <c r="AI623" s="186">
        <v>45869</v>
      </c>
      <c r="AJ623" s="166" t="s">
        <v>69</v>
      </c>
      <c r="AK623" s="167" t="s">
        <v>70</v>
      </c>
      <c r="AL623" s="167" t="s">
        <v>70</v>
      </c>
      <c r="AM623" s="167"/>
      <c r="AN623" s="167" t="s">
        <v>70</v>
      </c>
      <c r="AO623" s="167" t="s">
        <v>70</v>
      </c>
      <c r="AP623" s="167" t="s">
        <v>70</v>
      </c>
      <c r="AQ623" s="167" t="s">
        <v>70</v>
      </c>
      <c r="AR623" s="168">
        <v>46184</v>
      </c>
      <c r="AS623" s="167" t="s">
        <v>70</v>
      </c>
      <c r="AT623" s="167" t="s">
        <v>70</v>
      </c>
      <c r="AU623" s="167" t="s">
        <v>70</v>
      </c>
      <c r="AV623" s="167" t="s">
        <v>70</v>
      </c>
      <c r="AW623" s="167" t="s">
        <v>70</v>
      </c>
      <c r="AX623" s="167" t="s">
        <v>70</v>
      </c>
      <c r="AY623" s="167" t="s">
        <v>70</v>
      </c>
      <c r="AZ623" s="167" t="s">
        <v>70</v>
      </c>
      <c r="BA623" s="167" t="s">
        <v>70</v>
      </c>
      <c r="BB623" s="167" t="s">
        <v>70</v>
      </c>
      <c r="BC623" s="167" t="s">
        <v>70</v>
      </c>
      <c r="BD623" s="167" t="s">
        <v>70</v>
      </c>
      <c r="BE623" s="167" t="s">
        <v>70</v>
      </c>
      <c r="BF623" s="167" t="s">
        <v>70</v>
      </c>
      <c r="BG623" s="167" t="s">
        <v>70</v>
      </c>
      <c r="BH623" s="167" t="s">
        <v>70</v>
      </c>
      <c r="BI623" s="167" t="s">
        <v>70</v>
      </c>
      <c r="BJ623" s="167" t="s">
        <v>70</v>
      </c>
      <c r="BK623" s="167" t="s">
        <v>70</v>
      </c>
      <c r="BL623" s="167" t="s">
        <v>70</v>
      </c>
      <c r="BM623" s="167" t="s">
        <v>70</v>
      </c>
      <c r="BN623" s="167" t="s">
        <v>70</v>
      </c>
      <c r="BO623" s="167" t="s">
        <v>70</v>
      </c>
      <c r="BP623" s="167" t="s">
        <v>70</v>
      </c>
      <c r="BQ623" s="151" t="s">
        <v>256</v>
      </c>
      <c r="BR623" s="142"/>
      <c r="BS623" s="142"/>
      <c r="BT623" s="142"/>
      <c r="BU623" s="142"/>
      <c r="BV623" s="142"/>
      <c r="BW623" s="142"/>
      <c r="BX623" s="142"/>
      <c r="BY623" s="142"/>
      <c r="BZ623" s="142"/>
      <c r="CA623" s="142"/>
      <c r="CB623" s="142"/>
      <c r="CC623" s="142"/>
      <c r="CD623" s="142"/>
      <c r="CE623" s="142"/>
      <c r="CF623" s="142"/>
      <c r="CG623" s="142"/>
      <c r="CH623" s="142"/>
      <c r="CI623" s="142"/>
      <c r="CJ623" s="142"/>
      <c r="CK623" s="142"/>
      <c r="CL623" s="142"/>
      <c r="CM623" s="142"/>
      <c r="CN623" s="142"/>
      <c r="CO623" s="142"/>
      <c r="CP623" s="142"/>
      <c r="CQ623" s="142"/>
      <c r="CR623" s="142"/>
      <c r="CS623" s="142"/>
      <c r="CT623" s="142"/>
      <c r="CU623" s="142"/>
      <c r="CV623" s="142"/>
      <c r="CW623" s="142"/>
      <c r="CX623" s="142"/>
      <c r="CY623" s="142"/>
      <c r="CZ623" s="142"/>
      <c r="DA623" s="142"/>
      <c r="DB623" s="142"/>
      <c r="DC623" s="142"/>
      <c r="DD623" s="142"/>
      <c r="DE623" s="142"/>
      <c r="DF623" s="142"/>
      <c r="DG623" s="142"/>
      <c r="DH623" s="142"/>
      <c r="DI623" s="142"/>
      <c r="DJ623" s="142"/>
      <c r="DK623" s="142"/>
      <c r="DL623" s="142"/>
      <c r="DM623" s="142"/>
      <c r="DN623" s="142"/>
      <c r="DO623" s="142"/>
      <c r="DP623" s="142"/>
      <c r="DQ623" s="142"/>
      <c r="DR623" s="142"/>
      <c r="DS623" s="142"/>
      <c r="DT623" s="142"/>
      <c r="DU623" s="142"/>
      <c r="DV623" s="142"/>
      <c r="DW623" s="142"/>
      <c r="DX623" s="142"/>
      <c r="DY623" s="142"/>
      <c r="DZ623" s="142"/>
      <c r="EA623" s="142"/>
      <c r="EB623" s="142"/>
      <c r="EC623" s="142"/>
      <c r="ED623" s="142"/>
    </row>
    <row r="624" spans="1:135" s="151" customFormat="1" ht="19.5" customHeight="1" x14ac:dyDescent="0.2">
      <c r="A624" s="117">
        <v>623</v>
      </c>
      <c r="B624" s="121" t="s">
        <v>493</v>
      </c>
      <c r="C624" s="122">
        <v>83103340</v>
      </c>
      <c r="D624" s="117" t="s">
        <v>212</v>
      </c>
      <c r="E624" s="117" t="s">
        <v>480</v>
      </c>
      <c r="F624" s="146" t="s">
        <v>256</v>
      </c>
      <c r="G624" s="124" t="s">
        <v>69</v>
      </c>
      <c r="H624" s="93">
        <v>42555</v>
      </c>
      <c r="I624" s="93">
        <v>45709</v>
      </c>
      <c r="J624" s="92">
        <f>IF(I624="", "", DATE(YEAR(I624)+3, MONTH(I624), DAY(I624)))</f>
        <v>46804</v>
      </c>
      <c r="K624" s="93">
        <v>42555</v>
      </c>
      <c r="L624" s="93">
        <v>45707</v>
      </c>
      <c r="M624" s="140">
        <f t="shared" si="50"/>
        <v>46802</v>
      </c>
      <c r="N624" s="93">
        <v>45707</v>
      </c>
      <c r="O624" s="93">
        <v>46286</v>
      </c>
      <c r="P624" s="93">
        <v>45705</v>
      </c>
      <c r="Q624" s="167" t="s">
        <v>70</v>
      </c>
      <c r="R624" s="167" t="s">
        <v>70</v>
      </c>
      <c r="S624" s="167" t="s">
        <v>70</v>
      </c>
      <c r="T624" s="167" t="s">
        <v>70</v>
      </c>
      <c r="U624" s="167" t="s">
        <v>70</v>
      </c>
      <c r="V624" s="167" t="s">
        <v>70</v>
      </c>
      <c r="W624" s="167" t="s">
        <v>70</v>
      </c>
      <c r="X624" s="167" t="s">
        <v>70</v>
      </c>
      <c r="Y624" s="167" t="s">
        <v>70</v>
      </c>
      <c r="Z624" s="167" t="s">
        <v>70</v>
      </c>
      <c r="AA624" s="167" t="s">
        <v>70</v>
      </c>
      <c r="AB624" s="167" t="s">
        <v>70</v>
      </c>
      <c r="AC624" s="167" t="s">
        <v>70</v>
      </c>
      <c r="AD624" s="167" t="s">
        <v>70</v>
      </c>
      <c r="AE624" s="167" t="s">
        <v>70</v>
      </c>
      <c r="AF624" s="167" t="s">
        <v>70</v>
      </c>
      <c r="AG624" s="167" t="s">
        <v>70</v>
      </c>
      <c r="AH624" s="167" t="s">
        <v>70</v>
      </c>
      <c r="AI624" s="181">
        <v>45813</v>
      </c>
      <c r="AJ624" s="166" t="s">
        <v>69</v>
      </c>
      <c r="AK624" s="167" t="s">
        <v>70</v>
      </c>
      <c r="AL624" s="167" t="s">
        <v>70</v>
      </c>
      <c r="AM624" s="167"/>
      <c r="AN624" s="167" t="s">
        <v>70</v>
      </c>
      <c r="AO624" s="167" t="s">
        <v>70</v>
      </c>
      <c r="AP624" s="167" t="s">
        <v>70</v>
      </c>
      <c r="AQ624" s="167" t="s">
        <v>70</v>
      </c>
      <c r="AR624" s="166" t="s">
        <v>69</v>
      </c>
      <c r="AS624" s="167" t="s">
        <v>70</v>
      </c>
      <c r="AT624" s="167" t="s">
        <v>70</v>
      </c>
      <c r="AU624" s="167" t="s">
        <v>70</v>
      </c>
      <c r="AV624" s="167" t="s">
        <v>70</v>
      </c>
      <c r="AW624" s="167" t="s">
        <v>70</v>
      </c>
      <c r="AX624" s="167" t="s">
        <v>70</v>
      </c>
      <c r="AY624" s="167" t="s">
        <v>70</v>
      </c>
      <c r="AZ624" s="167" t="s">
        <v>70</v>
      </c>
      <c r="BA624" s="167" t="s">
        <v>70</v>
      </c>
      <c r="BB624" s="167" t="s">
        <v>70</v>
      </c>
      <c r="BC624" s="167" t="s">
        <v>70</v>
      </c>
      <c r="BD624" s="167" t="s">
        <v>70</v>
      </c>
      <c r="BE624" s="167" t="s">
        <v>70</v>
      </c>
      <c r="BF624" s="167" t="s">
        <v>70</v>
      </c>
      <c r="BG624" s="167" t="s">
        <v>70</v>
      </c>
      <c r="BH624" s="167" t="s">
        <v>70</v>
      </c>
      <c r="BI624" s="167" t="s">
        <v>70</v>
      </c>
      <c r="BJ624" s="167" t="s">
        <v>70</v>
      </c>
      <c r="BK624" s="167" t="s">
        <v>70</v>
      </c>
      <c r="BL624" s="167" t="s">
        <v>70</v>
      </c>
      <c r="BM624" s="167" t="s">
        <v>70</v>
      </c>
      <c r="BN624" s="167" t="s">
        <v>70</v>
      </c>
      <c r="BO624" s="167" t="s">
        <v>70</v>
      </c>
      <c r="BP624" s="167" t="s">
        <v>70</v>
      </c>
      <c r="BQ624" s="151" t="s">
        <v>256</v>
      </c>
      <c r="BR624" s="142"/>
      <c r="BS624" s="142"/>
      <c r="BT624" s="142"/>
      <c r="BU624" s="142"/>
      <c r="BV624" s="142"/>
      <c r="BW624" s="142"/>
      <c r="BX624" s="142"/>
      <c r="BY624" s="142"/>
      <c r="BZ624" s="142"/>
      <c r="CA624" s="142"/>
      <c r="CB624" s="142"/>
      <c r="CC624" s="142"/>
      <c r="CD624" s="142"/>
      <c r="CE624" s="142"/>
      <c r="CF624" s="142"/>
      <c r="CG624" s="142"/>
      <c r="CH624" s="142"/>
      <c r="CI624" s="142"/>
      <c r="CJ624" s="142"/>
      <c r="CK624" s="142"/>
      <c r="CL624" s="142"/>
      <c r="CM624" s="142"/>
      <c r="CN624" s="142"/>
      <c r="CO624" s="142"/>
      <c r="CP624" s="142"/>
      <c r="CQ624" s="142"/>
      <c r="CR624" s="142"/>
      <c r="CS624" s="142"/>
      <c r="CT624" s="142"/>
      <c r="CU624" s="142"/>
      <c r="CV624" s="142"/>
      <c r="CW624" s="142"/>
      <c r="CX624" s="142"/>
      <c r="CY624" s="142"/>
      <c r="CZ624" s="142"/>
      <c r="DA624" s="142"/>
      <c r="DB624" s="142"/>
      <c r="DC624" s="142"/>
      <c r="DD624" s="142"/>
      <c r="DE624" s="142"/>
      <c r="DF624" s="142"/>
      <c r="DG624" s="142"/>
      <c r="DH624" s="142"/>
      <c r="DI624" s="142"/>
      <c r="DJ624" s="142"/>
      <c r="DK624" s="142"/>
      <c r="DL624" s="142"/>
      <c r="DM624" s="142"/>
      <c r="DN624" s="142"/>
      <c r="DO624" s="142"/>
      <c r="DP624" s="142"/>
      <c r="DQ624" s="142"/>
      <c r="DR624" s="142"/>
      <c r="DS624" s="142"/>
      <c r="DT624" s="142"/>
      <c r="DU624" s="142"/>
      <c r="DV624" s="142"/>
      <c r="DW624" s="142"/>
      <c r="DX624" s="142"/>
      <c r="DY624" s="142"/>
      <c r="DZ624" s="142"/>
      <c r="EA624" s="142"/>
      <c r="EB624" s="142"/>
      <c r="EC624" s="142"/>
      <c r="ED624" s="142"/>
    </row>
    <row r="625" spans="1:135" s="151" customFormat="1" ht="19.5" customHeight="1" x14ac:dyDescent="0.2">
      <c r="A625" s="117">
        <v>624</v>
      </c>
      <c r="B625" s="121" t="s">
        <v>494</v>
      </c>
      <c r="C625" s="122">
        <v>83117910</v>
      </c>
      <c r="D625" s="117" t="s">
        <v>212</v>
      </c>
      <c r="E625" s="117" t="s">
        <v>480</v>
      </c>
      <c r="F625" s="146" t="s">
        <v>256</v>
      </c>
      <c r="G625" s="124" t="s">
        <v>69</v>
      </c>
      <c r="H625" s="93">
        <v>46199</v>
      </c>
      <c r="I625" s="93">
        <v>46199</v>
      </c>
      <c r="J625" s="92">
        <f>IF(I625="", "", DATE(YEAR(I625)+3, MONTH(I625), DAY(I625)))</f>
        <v>47295</v>
      </c>
      <c r="K625" s="93">
        <v>46198</v>
      </c>
      <c r="L625" s="93">
        <v>46198</v>
      </c>
      <c r="M625" s="140">
        <f t="shared" si="50"/>
        <v>47294</v>
      </c>
      <c r="N625" s="190">
        <v>46195</v>
      </c>
      <c r="O625" s="93">
        <v>46196</v>
      </c>
      <c r="P625" s="93">
        <v>46197</v>
      </c>
      <c r="Q625" s="167" t="s">
        <v>70</v>
      </c>
      <c r="R625" s="167" t="s">
        <v>70</v>
      </c>
      <c r="S625" s="167" t="s">
        <v>70</v>
      </c>
      <c r="T625" s="167" t="s">
        <v>70</v>
      </c>
      <c r="U625" s="167" t="s">
        <v>70</v>
      </c>
      <c r="V625" s="167" t="s">
        <v>70</v>
      </c>
      <c r="W625" s="167" t="s">
        <v>70</v>
      </c>
      <c r="X625" s="167" t="s">
        <v>70</v>
      </c>
      <c r="Y625" s="167" t="s">
        <v>70</v>
      </c>
      <c r="Z625" s="167" t="s">
        <v>70</v>
      </c>
      <c r="AA625" s="167" t="s">
        <v>70</v>
      </c>
      <c r="AB625" s="167" t="s">
        <v>70</v>
      </c>
      <c r="AC625" s="167" t="s">
        <v>70</v>
      </c>
      <c r="AD625" s="167" t="s">
        <v>70</v>
      </c>
      <c r="AE625" s="167" t="s">
        <v>70</v>
      </c>
      <c r="AF625" s="167" t="s">
        <v>70</v>
      </c>
      <c r="AG625" s="167" t="s">
        <v>70</v>
      </c>
      <c r="AH625" s="167" t="s">
        <v>70</v>
      </c>
      <c r="AI625" s="181">
        <v>45813</v>
      </c>
      <c r="AJ625" s="166" t="s">
        <v>69</v>
      </c>
      <c r="AK625" s="167" t="s">
        <v>70</v>
      </c>
      <c r="AL625" s="167" t="s">
        <v>70</v>
      </c>
      <c r="AM625" s="167"/>
      <c r="AN625" s="167" t="s">
        <v>70</v>
      </c>
      <c r="AO625" s="167" t="s">
        <v>70</v>
      </c>
      <c r="AP625" s="167" t="s">
        <v>70</v>
      </c>
      <c r="AQ625" s="167" t="s">
        <v>70</v>
      </c>
      <c r="AR625" s="166" t="s">
        <v>69</v>
      </c>
      <c r="AS625" s="167" t="s">
        <v>70</v>
      </c>
      <c r="AT625" s="167" t="s">
        <v>70</v>
      </c>
      <c r="AU625" s="167" t="s">
        <v>70</v>
      </c>
      <c r="AV625" s="167" t="s">
        <v>70</v>
      </c>
      <c r="AW625" s="167" t="s">
        <v>70</v>
      </c>
      <c r="AX625" s="167" t="s">
        <v>70</v>
      </c>
      <c r="AY625" s="167" t="s">
        <v>70</v>
      </c>
      <c r="AZ625" s="167" t="s">
        <v>70</v>
      </c>
      <c r="BA625" s="167" t="s">
        <v>70</v>
      </c>
      <c r="BB625" s="167" t="s">
        <v>70</v>
      </c>
      <c r="BC625" s="167" t="s">
        <v>70</v>
      </c>
      <c r="BD625" s="167" t="s">
        <v>70</v>
      </c>
      <c r="BE625" s="167" t="s">
        <v>70</v>
      </c>
      <c r="BF625" s="167" t="s">
        <v>70</v>
      </c>
      <c r="BG625" s="167" t="s">
        <v>70</v>
      </c>
      <c r="BH625" s="167" t="s">
        <v>70</v>
      </c>
      <c r="BI625" s="167" t="s">
        <v>70</v>
      </c>
      <c r="BJ625" s="167" t="s">
        <v>70</v>
      </c>
      <c r="BK625" s="167" t="s">
        <v>70</v>
      </c>
      <c r="BL625" s="167" t="s">
        <v>70</v>
      </c>
      <c r="BM625" s="167" t="s">
        <v>70</v>
      </c>
      <c r="BN625" s="167" t="s">
        <v>70</v>
      </c>
      <c r="BO625" s="167" t="s">
        <v>70</v>
      </c>
      <c r="BP625" s="167" t="s">
        <v>70</v>
      </c>
      <c r="BQ625" s="151" t="s">
        <v>256</v>
      </c>
    </row>
    <row r="626" spans="1:135" s="151" customFormat="1" ht="19.5" customHeight="1" x14ac:dyDescent="0.2">
      <c r="A626" s="117">
        <v>625</v>
      </c>
      <c r="B626" s="121" t="s">
        <v>495</v>
      </c>
      <c r="C626" s="122">
        <v>84124082</v>
      </c>
      <c r="D626" s="117" t="s">
        <v>212</v>
      </c>
      <c r="E626" s="117" t="s">
        <v>480</v>
      </c>
      <c r="F626" s="146" t="s">
        <v>256</v>
      </c>
      <c r="G626" s="124" t="s">
        <v>69</v>
      </c>
      <c r="H626" s="93">
        <v>46227</v>
      </c>
      <c r="I626" s="93">
        <v>46227</v>
      </c>
      <c r="J626" s="92">
        <f>IF(I626="", "", DATE(YEAR(I626)+3, MONTH(I626), DAY(L626)))</f>
        <v>47322</v>
      </c>
      <c r="K626" s="93">
        <v>46226</v>
      </c>
      <c r="L626" s="93">
        <v>46226</v>
      </c>
      <c r="M626" s="140">
        <f t="shared" si="50"/>
        <v>47322</v>
      </c>
      <c r="N626" s="93">
        <v>46223</v>
      </c>
      <c r="O626" s="93">
        <v>46224</v>
      </c>
      <c r="P626" s="93">
        <v>46225</v>
      </c>
      <c r="Q626" s="167" t="s">
        <v>70</v>
      </c>
      <c r="R626" s="167" t="s">
        <v>70</v>
      </c>
      <c r="S626" s="167" t="s">
        <v>70</v>
      </c>
      <c r="T626" s="167" t="s">
        <v>70</v>
      </c>
      <c r="U626" s="167" t="s">
        <v>70</v>
      </c>
      <c r="V626" s="167" t="s">
        <v>70</v>
      </c>
      <c r="W626" s="167" t="s">
        <v>70</v>
      </c>
      <c r="X626" s="167" t="s">
        <v>70</v>
      </c>
      <c r="Y626" s="167" t="s">
        <v>70</v>
      </c>
      <c r="Z626" s="167" t="s">
        <v>70</v>
      </c>
      <c r="AA626" s="167" t="s">
        <v>70</v>
      </c>
      <c r="AB626" s="167" t="s">
        <v>70</v>
      </c>
      <c r="AC626" s="167" t="s">
        <v>70</v>
      </c>
      <c r="AD626" s="167" t="s">
        <v>70</v>
      </c>
      <c r="AE626" s="167" t="s">
        <v>70</v>
      </c>
      <c r="AF626" s="167" t="s">
        <v>70</v>
      </c>
      <c r="AG626" s="167" t="s">
        <v>70</v>
      </c>
      <c r="AH626" s="167" t="s">
        <v>70</v>
      </c>
      <c r="AI626" s="111">
        <v>45939</v>
      </c>
      <c r="AJ626" s="166" t="s">
        <v>69</v>
      </c>
      <c r="AK626" s="167" t="s">
        <v>70</v>
      </c>
      <c r="AL626" s="167" t="s">
        <v>70</v>
      </c>
      <c r="AM626" s="167"/>
      <c r="AN626" s="167" t="s">
        <v>70</v>
      </c>
      <c r="AO626" s="167" t="s">
        <v>70</v>
      </c>
      <c r="AP626" s="167" t="s">
        <v>70</v>
      </c>
      <c r="AQ626" s="167" t="s">
        <v>70</v>
      </c>
      <c r="AR626" s="166" t="s">
        <v>69</v>
      </c>
      <c r="AS626" s="167" t="s">
        <v>70</v>
      </c>
      <c r="AT626" s="167" t="s">
        <v>70</v>
      </c>
      <c r="AU626" s="167" t="s">
        <v>70</v>
      </c>
      <c r="AV626" s="167" t="s">
        <v>70</v>
      </c>
      <c r="AW626" s="167" t="s">
        <v>70</v>
      </c>
      <c r="AX626" s="167" t="s">
        <v>70</v>
      </c>
      <c r="AY626" s="167" t="s">
        <v>70</v>
      </c>
      <c r="AZ626" s="167" t="s">
        <v>70</v>
      </c>
      <c r="BA626" s="167" t="s">
        <v>70</v>
      </c>
      <c r="BB626" s="167" t="s">
        <v>70</v>
      </c>
      <c r="BC626" s="167" t="s">
        <v>70</v>
      </c>
      <c r="BD626" s="167" t="s">
        <v>70</v>
      </c>
      <c r="BE626" s="167" t="s">
        <v>70</v>
      </c>
      <c r="BF626" s="167" t="s">
        <v>70</v>
      </c>
      <c r="BG626" s="167" t="s">
        <v>70</v>
      </c>
      <c r="BH626" s="167" t="s">
        <v>70</v>
      </c>
      <c r="BI626" s="167" t="s">
        <v>70</v>
      </c>
      <c r="BJ626" s="167" t="s">
        <v>70</v>
      </c>
      <c r="BK626" s="167" t="s">
        <v>70</v>
      </c>
      <c r="BL626" s="167" t="s">
        <v>70</v>
      </c>
      <c r="BM626" s="167" t="s">
        <v>70</v>
      </c>
      <c r="BN626" s="167" t="s">
        <v>70</v>
      </c>
      <c r="BO626" s="167" t="s">
        <v>70</v>
      </c>
      <c r="BP626" s="167" t="s">
        <v>70</v>
      </c>
      <c r="BQ626" s="151" t="s">
        <v>256</v>
      </c>
    </row>
    <row r="627" spans="1:135" s="151" customFormat="1" ht="19.5" customHeight="1" x14ac:dyDescent="0.2">
      <c r="A627" s="117">
        <v>626</v>
      </c>
      <c r="B627" s="121" t="s">
        <v>496</v>
      </c>
      <c r="C627" s="122">
        <v>84117918</v>
      </c>
      <c r="D627" s="117" t="s">
        <v>212</v>
      </c>
      <c r="E627" s="117" t="s">
        <v>480</v>
      </c>
      <c r="F627" s="146" t="s">
        <v>256</v>
      </c>
      <c r="G627" s="124" t="s">
        <v>69</v>
      </c>
      <c r="H627" s="93">
        <v>46227</v>
      </c>
      <c r="I627" s="93">
        <v>46227</v>
      </c>
      <c r="J627" s="92">
        <f>IF(I627="", "", DATE(YEAR(I627)+3, MONTH(I627), DAY(L627)))</f>
        <v>47322</v>
      </c>
      <c r="K627" s="93">
        <v>46226</v>
      </c>
      <c r="L627" s="93">
        <v>46226</v>
      </c>
      <c r="M627" s="140">
        <f t="shared" si="50"/>
        <v>47322</v>
      </c>
      <c r="N627" s="93">
        <v>46223</v>
      </c>
      <c r="O627" s="93">
        <v>46224</v>
      </c>
      <c r="P627" s="93">
        <v>46225</v>
      </c>
      <c r="Q627" s="167" t="s">
        <v>70</v>
      </c>
      <c r="R627" s="167" t="s">
        <v>70</v>
      </c>
      <c r="S627" s="167" t="s">
        <v>70</v>
      </c>
      <c r="T627" s="167" t="s">
        <v>70</v>
      </c>
      <c r="U627" s="167" t="s">
        <v>70</v>
      </c>
      <c r="V627" s="167" t="s">
        <v>70</v>
      </c>
      <c r="W627" s="167" t="s">
        <v>70</v>
      </c>
      <c r="X627" s="167" t="s">
        <v>70</v>
      </c>
      <c r="Y627" s="167" t="s">
        <v>70</v>
      </c>
      <c r="Z627" s="167" t="s">
        <v>70</v>
      </c>
      <c r="AA627" s="167" t="s">
        <v>70</v>
      </c>
      <c r="AB627" s="167" t="s">
        <v>70</v>
      </c>
      <c r="AC627" s="167" t="s">
        <v>70</v>
      </c>
      <c r="AD627" s="167" t="s">
        <v>70</v>
      </c>
      <c r="AE627" s="167" t="s">
        <v>70</v>
      </c>
      <c r="AF627" s="167" t="s">
        <v>70</v>
      </c>
      <c r="AG627" s="167" t="s">
        <v>70</v>
      </c>
      <c r="AH627" s="167" t="s">
        <v>70</v>
      </c>
      <c r="AI627" s="111">
        <v>45912</v>
      </c>
      <c r="AJ627" s="166" t="s">
        <v>69</v>
      </c>
      <c r="AK627" s="167" t="s">
        <v>70</v>
      </c>
      <c r="AL627" s="167" t="s">
        <v>70</v>
      </c>
      <c r="AM627" s="167"/>
      <c r="AN627" s="167" t="s">
        <v>70</v>
      </c>
      <c r="AO627" s="167" t="s">
        <v>70</v>
      </c>
      <c r="AP627" s="167" t="s">
        <v>70</v>
      </c>
      <c r="AQ627" s="167" t="s">
        <v>70</v>
      </c>
      <c r="AR627" s="168">
        <v>46220</v>
      </c>
      <c r="AS627" s="167" t="s">
        <v>70</v>
      </c>
      <c r="AT627" s="167" t="s">
        <v>70</v>
      </c>
      <c r="AU627" s="167" t="s">
        <v>70</v>
      </c>
      <c r="AV627" s="167" t="s">
        <v>70</v>
      </c>
      <c r="AW627" s="167" t="s">
        <v>70</v>
      </c>
      <c r="AX627" s="167" t="s">
        <v>70</v>
      </c>
      <c r="AY627" s="167" t="s">
        <v>70</v>
      </c>
      <c r="AZ627" s="167" t="s">
        <v>70</v>
      </c>
      <c r="BA627" s="167" t="s">
        <v>70</v>
      </c>
      <c r="BB627" s="167" t="s">
        <v>70</v>
      </c>
      <c r="BC627" s="167" t="s">
        <v>70</v>
      </c>
      <c r="BD627" s="167" t="s">
        <v>70</v>
      </c>
      <c r="BE627" s="167" t="s">
        <v>70</v>
      </c>
      <c r="BF627" s="167" t="s">
        <v>70</v>
      </c>
      <c r="BG627" s="167" t="s">
        <v>70</v>
      </c>
      <c r="BH627" s="167" t="s">
        <v>70</v>
      </c>
      <c r="BI627" s="167" t="s">
        <v>70</v>
      </c>
      <c r="BJ627" s="167" t="s">
        <v>70</v>
      </c>
      <c r="BK627" s="167" t="s">
        <v>70</v>
      </c>
      <c r="BL627" s="167" t="s">
        <v>70</v>
      </c>
      <c r="BM627" s="167" t="s">
        <v>70</v>
      </c>
      <c r="BN627" s="167" t="s">
        <v>70</v>
      </c>
      <c r="BO627" s="167" t="s">
        <v>70</v>
      </c>
      <c r="BP627" s="167" t="s">
        <v>70</v>
      </c>
      <c r="BQ627" s="151" t="s">
        <v>256</v>
      </c>
    </row>
    <row r="628" spans="1:135" s="151" customFormat="1" ht="19.5" customHeight="1" x14ac:dyDescent="0.2">
      <c r="A628" s="117">
        <v>627</v>
      </c>
      <c r="B628" s="121" t="s">
        <v>497</v>
      </c>
      <c r="C628" s="122">
        <v>84123771</v>
      </c>
      <c r="D628" s="117" t="s">
        <v>212</v>
      </c>
      <c r="E628" s="117" t="s">
        <v>480</v>
      </c>
      <c r="F628" s="146" t="s">
        <v>256</v>
      </c>
      <c r="G628" s="124" t="s">
        <v>69</v>
      </c>
      <c r="H628" s="93">
        <v>46164</v>
      </c>
      <c r="I628" s="93">
        <v>46164</v>
      </c>
      <c r="J628" s="92">
        <f>IF(I628="", "", DATE(YEAR(I628)+3, MONTH(I628), DAY(L628)))</f>
        <v>47259</v>
      </c>
      <c r="K628" s="93">
        <v>46163</v>
      </c>
      <c r="L628" s="93">
        <v>46163</v>
      </c>
      <c r="M628" s="140">
        <f t="shared" si="50"/>
        <v>47259</v>
      </c>
      <c r="N628" s="93">
        <v>46167</v>
      </c>
      <c r="O628" s="93">
        <v>46161</v>
      </c>
      <c r="P628" s="93">
        <v>46162</v>
      </c>
      <c r="Q628" s="167" t="s">
        <v>70</v>
      </c>
      <c r="R628" s="167" t="s">
        <v>70</v>
      </c>
      <c r="S628" s="167" t="s">
        <v>70</v>
      </c>
      <c r="T628" s="167" t="s">
        <v>70</v>
      </c>
      <c r="U628" s="167" t="s">
        <v>70</v>
      </c>
      <c r="V628" s="167" t="s">
        <v>70</v>
      </c>
      <c r="W628" s="167" t="s">
        <v>70</v>
      </c>
      <c r="X628" s="167" t="s">
        <v>70</v>
      </c>
      <c r="Y628" s="167" t="s">
        <v>70</v>
      </c>
      <c r="Z628" s="167" t="s">
        <v>70</v>
      </c>
      <c r="AA628" s="167" t="s">
        <v>70</v>
      </c>
      <c r="AB628" s="167" t="s">
        <v>70</v>
      </c>
      <c r="AC628" s="167" t="s">
        <v>70</v>
      </c>
      <c r="AD628" s="167" t="s">
        <v>70</v>
      </c>
      <c r="AE628" s="167" t="s">
        <v>70</v>
      </c>
      <c r="AF628" s="167" t="s">
        <v>70</v>
      </c>
      <c r="AG628" s="167" t="s">
        <v>70</v>
      </c>
      <c r="AH628" s="167" t="s">
        <v>70</v>
      </c>
      <c r="AI628" s="111">
        <v>45946</v>
      </c>
      <c r="AJ628" s="166" t="s">
        <v>69</v>
      </c>
      <c r="AK628" s="167" t="s">
        <v>70</v>
      </c>
      <c r="AL628" s="167" t="s">
        <v>70</v>
      </c>
      <c r="AM628" s="167"/>
      <c r="AN628" s="167" t="s">
        <v>70</v>
      </c>
      <c r="AO628" s="167" t="s">
        <v>70</v>
      </c>
      <c r="AP628" s="167" t="s">
        <v>70</v>
      </c>
      <c r="AQ628" s="167" t="s">
        <v>70</v>
      </c>
      <c r="AR628" s="166" t="s">
        <v>69</v>
      </c>
      <c r="AS628" s="167" t="s">
        <v>70</v>
      </c>
      <c r="AT628" s="167" t="s">
        <v>70</v>
      </c>
      <c r="AU628" s="167" t="s">
        <v>70</v>
      </c>
      <c r="AV628" s="167" t="s">
        <v>70</v>
      </c>
      <c r="AW628" s="167" t="s">
        <v>70</v>
      </c>
      <c r="AX628" s="167" t="s">
        <v>70</v>
      </c>
      <c r="AY628" s="167" t="s">
        <v>70</v>
      </c>
      <c r="AZ628" s="167" t="s">
        <v>70</v>
      </c>
      <c r="BA628" s="167" t="s">
        <v>70</v>
      </c>
      <c r="BB628" s="167" t="s">
        <v>70</v>
      </c>
      <c r="BC628" s="167" t="s">
        <v>70</v>
      </c>
      <c r="BD628" s="167" t="s">
        <v>70</v>
      </c>
      <c r="BE628" s="167" t="s">
        <v>70</v>
      </c>
      <c r="BF628" s="167" t="s">
        <v>70</v>
      </c>
      <c r="BG628" s="167" t="s">
        <v>70</v>
      </c>
      <c r="BH628" s="167" t="s">
        <v>70</v>
      </c>
      <c r="BI628" s="167" t="s">
        <v>70</v>
      </c>
      <c r="BJ628" s="167" t="s">
        <v>70</v>
      </c>
      <c r="BK628" s="167" t="s">
        <v>70</v>
      </c>
      <c r="BL628" s="167" t="s">
        <v>70</v>
      </c>
      <c r="BM628" s="167" t="s">
        <v>70</v>
      </c>
      <c r="BN628" s="167" t="s">
        <v>70</v>
      </c>
      <c r="BO628" s="167" t="s">
        <v>70</v>
      </c>
      <c r="BP628" s="167" t="s">
        <v>70</v>
      </c>
      <c r="BQ628" s="151" t="s">
        <v>256</v>
      </c>
    </row>
    <row r="629" spans="1:135" s="151" customFormat="1" ht="19.5" customHeight="1" x14ac:dyDescent="0.2">
      <c r="A629" s="117">
        <v>628</v>
      </c>
      <c r="B629" s="121" t="s">
        <v>498</v>
      </c>
      <c r="C629" s="122">
        <v>132386</v>
      </c>
      <c r="D629" s="117" t="s">
        <v>212</v>
      </c>
      <c r="E629" s="117" t="s">
        <v>480</v>
      </c>
      <c r="F629" s="146" t="s">
        <v>256</v>
      </c>
      <c r="G629" s="124" t="s">
        <v>69</v>
      </c>
      <c r="H629" s="93">
        <v>42555</v>
      </c>
      <c r="I629" s="93">
        <v>45989</v>
      </c>
      <c r="J629" s="92">
        <f>IF(I629="", "", DATE(YEAR(I629)+3, MONTH(I629), DAY(L629)))</f>
        <v>47084</v>
      </c>
      <c r="K629" s="93">
        <v>42555</v>
      </c>
      <c r="L629" s="93">
        <v>45988</v>
      </c>
      <c r="M629" s="140">
        <f t="shared" si="50"/>
        <v>47084</v>
      </c>
      <c r="N629" s="93">
        <v>45985</v>
      </c>
      <c r="O629" s="93">
        <v>45987</v>
      </c>
      <c r="P629" s="93">
        <v>46006</v>
      </c>
      <c r="Q629" s="167" t="s">
        <v>70</v>
      </c>
      <c r="R629" s="167" t="s">
        <v>70</v>
      </c>
      <c r="S629" s="167" t="s">
        <v>70</v>
      </c>
      <c r="T629" s="167" t="s">
        <v>70</v>
      </c>
      <c r="U629" s="167" t="s">
        <v>70</v>
      </c>
      <c r="V629" s="167" t="s">
        <v>70</v>
      </c>
      <c r="W629" s="167" t="s">
        <v>70</v>
      </c>
      <c r="X629" s="167" t="s">
        <v>70</v>
      </c>
      <c r="Y629" s="167" t="s">
        <v>70</v>
      </c>
      <c r="Z629" s="167" t="s">
        <v>70</v>
      </c>
      <c r="AA629" s="167" t="s">
        <v>70</v>
      </c>
      <c r="AB629" s="167" t="s">
        <v>70</v>
      </c>
      <c r="AC629" s="167" t="s">
        <v>70</v>
      </c>
      <c r="AD629" s="167" t="s">
        <v>70</v>
      </c>
      <c r="AE629" s="167" t="s">
        <v>70</v>
      </c>
      <c r="AF629" s="167" t="s">
        <v>70</v>
      </c>
      <c r="AG629" s="167" t="s">
        <v>70</v>
      </c>
      <c r="AH629" s="167" t="s">
        <v>70</v>
      </c>
      <c r="AI629" s="111">
        <v>45939</v>
      </c>
      <c r="AJ629" s="166" t="s">
        <v>69</v>
      </c>
      <c r="AK629" s="167" t="s">
        <v>70</v>
      </c>
      <c r="AL629" s="167" t="s">
        <v>70</v>
      </c>
      <c r="AM629" s="167"/>
      <c r="AN629" s="167" t="s">
        <v>70</v>
      </c>
      <c r="AO629" s="167" t="s">
        <v>70</v>
      </c>
      <c r="AP629" s="167" t="s">
        <v>70</v>
      </c>
      <c r="AQ629" s="167" t="s">
        <v>70</v>
      </c>
      <c r="AR629" s="166" t="s">
        <v>69</v>
      </c>
      <c r="AS629" s="167" t="s">
        <v>70</v>
      </c>
      <c r="AT629" s="167" t="s">
        <v>70</v>
      </c>
      <c r="AU629" s="167" t="s">
        <v>70</v>
      </c>
      <c r="AV629" s="167" t="s">
        <v>70</v>
      </c>
      <c r="AW629" s="167" t="s">
        <v>70</v>
      </c>
      <c r="AX629" s="167" t="s">
        <v>70</v>
      </c>
      <c r="AY629" s="167" t="s">
        <v>70</v>
      </c>
      <c r="AZ629" s="167" t="s">
        <v>70</v>
      </c>
      <c r="BA629" s="167" t="s">
        <v>70</v>
      </c>
      <c r="BB629" s="167" t="s">
        <v>70</v>
      </c>
      <c r="BC629" s="167" t="s">
        <v>70</v>
      </c>
      <c r="BD629" s="167" t="s">
        <v>70</v>
      </c>
      <c r="BE629" s="167" t="s">
        <v>70</v>
      </c>
      <c r="BF629" s="167" t="s">
        <v>70</v>
      </c>
      <c r="BG629" s="167" t="s">
        <v>70</v>
      </c>
      <c r="BH629" s="167" t="s">
        <v>70</v>
      </c>
      <c r="BI629" s="167" t="s">
        <v>70</v>
      </c>
      <c r="BJ629" s="167" t="s">
        <v>70</v>
      </c>
      <c r="BK629" s="167" t="s">
        <v>70</v>
      </c>
      <c r="BL629" s="167" t="s">
        <v>70</v>
      </c>
      <c r="BM629" s="167" t="s">
        <v>70</v>
      </c>
      <c r="BN629" s="167" t="s">
        <v>70</v>
      </c>
      <c r="BO629" s="167" t="s">
        <v>70</v>
      </c>
      <c r="BP629" s="167" t="s">
        <v>70</v>
      </c>
      <c r="BQ629" s="151" t="s">
        <v>256</v>
      </c>
    </row>
    <row r="630" spans="1:135" s="151" customFormat="1" ht="19.5" customHeight="1" x14ac:dyDescent="0.2">
      <c r="A630" s="117">
        <v>629</v>
      </c>
      <c r="B630" s="121" t="s">
        <v>499</v>
      </c>
      <c r="C630" s="122">
        <v>84124081</v>
      </c>
      <c r="D630" s="117" t="s">
        <v>212</v>
      </c>
      <c r="E630" s="117" t="s">
        <v>480</v>
      </c>
      <c r="F630" s="146" t="s">
        <v>256</v>
      </c>
      <c r="G630" s="124" t="s">
        <v>69</v>
      </c>
      <c r="H630" s="93">
        <v>42555</v>
      </c>
      <c r="I630" s="93">
        <v>46134</v>
      </c>
      <c r="J630" s="92">
        <f t="shared" ref="J630:J646" si="52">IF(I630="", "", DATE(YEAR(I630)+3, MONTH(I630), DAY(I630)))</f>
        <v>47230</v>
      </c>
      <c r="K630" s="93">
        <v>46281</v>
      </c>
      <c r="L630" s="93">
        <v>46281</v>
      </c>
      <c r="M630" s="93">
        <v>47377</v>
      </c>
      <c r="N630" s="93">
        <v>46130</v>
      </c>
      <c r="O630" s="93">
        <v>46131</v>
      </c>
      <c r="P630" s="93">
        <v>46132</v>
      </c>
      <c r="Q630" s="167" t="s">
        <v>70</v>
      </c>
      <c r="R630" s="167" t="s">
        <v>70</v>
      </c>
      <c r="S630" s="167" t="s">
        <v>70</v>
      </c>
      <c r="T630" s="167" t="s">
        <v>70</v>
      </c>
      <c r="U630" s="167" t="s">
        <v>70</v>
      </c>
      <c r="V630" s="167" t="s">
        <v>70</v>
      </c>
      <c r="W630" s="167" t="s">
        <v>70</v>
      </c>
      <c r="X630" s="167" t="s">
        <v>70</v>
      </c>
      <c r="Y630" s="167" t="s">
        <v>70</v>
      </c>
      <c r="Z630" s="167" t="s">
        <v>70</v>
      </c>
      <c r="AA630" s="167" t="s">
        <v>70</v>
      </c>
      <c r="AB630" s="167" t="s">
        <v>70</v>
      </c>
      <c r="AC630" s="167" t="s">
        <v>70</v>
      </c>
      <c r="AD630" s="167" t="s">
        <v>70</v>
      </c>
      <c r="AE630" s="167" t="s">
        <v>70</v>
      </c>
      <c r="AF630" s="167" t="s">
        <v>70</v>
      </c>
      <c r="AG630" s="167" t="s">
        <v>70</v>
      </c>
      <c r="AH630" s="167" t="s">
        <v>70</v>
      </c>
      <c r="AI630" s="111">
        <v>45946</v>
      </c>
      <c r="AJ630" s="166" t="s">
        <v>69</v>
      </c>
      <c r="AK630" s="167" t="s">
        <v>70</v>
      </c>
      <c r="AL630" s="167" t="s">
        <v>70</v>
      </c>
      <c r="AM630" s="167"/>
      <c r="AN630" s="167" t="s">
        <v>70</v>
      </c>
      <c r="AO630" s="167" t="s">
        <v>70</v>
      </c>
      <c r="AP630" s="167" t="s">
        <v>70</v>
      </c>
      <c r="AQ630" s="167" t="s">
        <v>70</v>
      </c>
      <c r="AR630" s="166" t="s">
        <v>69</v>
      </c>
      <c r="AS630" s="167" t="s">
        <v>70</v>
      </c>
      <c r="AT630" s="167" t="s">
        <v>70</v>
      </c>
      <c r="AU630" s="167" t="s">
        <v>70</v>
      </c>
      <c r="AV630" s="167" t="s">
        <v>70</v>
      </c>
      <c r="AW630" s="167" t="s">
        <v>70</v>
      </c>
      <c r="AX630" s="167" t="s">
        <v>70</v>
      </c>
      <c r="AY630" s="167" t="s">
        <v>70</v>
      </c>
      <c r="AZ630" s="167" t="s">
        <v>70</v>
      </c>
      <c r="BA630" s="167" t="s">
        <v>70</v>
      </c>
      <c r="BB630" s="167" t="s">
        <v>70</v>
      </c>
      <c r="BC630" s="167" t="s">
        <v>70</v>
      </c>
      <c r="BD630" s="167" t="s">
        <v>70</v>
      </c>
      <c r="BE630" s="167" t="s">
        <v>70</v>
      </c>
      <c r="BF630" s="167" t="s">
        <v>70</v>
      </c>
      <c r="BG630" s="167" t="s">
        <v>70</v>
      </c>
      <c r="BH630" s="167" t="s">
        <v>70</v>
      </c>
      <c r="BI630" s="167" t="s">
        <v>70</v>
      </c>
      <c r="BJ630" s="167" t="s">
        <v>70</v>
      </c>
      <c r="BK630" s="167" t="s">
        <v>70</v>
      </c>
      <c r="BL630" s="167" t="s">
        <v>70</v>
      </c>
      <c r="BM630" s="167" t="s">
        <v>70</v>
      </c>
      <c r="BN630" s="167" t="s">
        <v>70</v>
      </c>
      <c r="BO630" s="167" t="s">
        <v>70</v>
      </c>
      <c r="BP630" s="167" t="s">
        <v>70</v>
      </c>
      <c r="BQ630" s="151" t="s">
        <v>256</v>
      </c>
    </row>
    <row r="631" spans="1:135" s="151" customFormat="1" ht="19.5" customHeight="1" x14ac:dyDescent="0.2">
      <c r="A631" s="117">
        <v>630</v>
      </c>
      <c r="B631" s="121" t="s">
        <v>500</v>
      </c>
      <c r="C631" s="122">
        <v>141585</v>
      </c>
      <c r="D631" s="117" t="s">
        <v>212</v>
      </c>
      <c r="E631" s="117" t="s">
        <v>480</v>
      </c>
      <c r="F631" s="146" t="s">
        <v>256</v>
      </c>
      <c r="G631" s="124" t="s">
        <v>69</v>
      </c>
      <c r="H631" s="93">
        <v>46199</v>
      </c>
      <c r="I631" s="93">
        <v>46199</v>
      </c>
      <c r="J631" s="92">
        <f t="shared" si="52"/>
        <v>47295</v>
      </c>
      <c r="K631" s="93">
        <v>46198</v>
      </c>
      <c r="L631" s="93">
        <v>46198</v>
      </c>
      <c r="M631" s="140">
        <f t="shared" ref="M631:M648" si="53">IF(L631="", "", DATE(YEAR(L631)+3, MONTH(L631), DAY(L631)))</f>
        <v>47294</v>
      </c>
      <c r="N631" s="190">
        <v>46195</v>
      </c>
      <c r="O631" s="93">
        <v>46196</v>
      </c>
      <c r="P631" s="93">
        <v>46197</v>
      </c>
      <c r="Q631" s="167" t="s">
        <v>70</v>
      </c>
      <c r="R631" s="167" t="s">
        <v>70</v>
      </c>
      <c r="S631" s="167" t="s">
        <v>70</v>
      </c>
      <c r="T631" s="167" t="s">
        <v>70</v>
      </c>
      <c r="U631" s="167" t="s">
        <v>70</v>
      </c>
      <c r="V631" s="167" t="s">
        <v>70</v>
      </c>
      <c r="W631" s="167" t="s">
        <v>70</v>
      </c>
      <c r="X631" s="167" t="s">
        <v>70</v>
      </c>
      <c r="Y631" s="167" t="s">
        <v>70</v>
      </c>
      <c r="Z631" s="167" t="s">
        <v>70</v>
      </c>
      <c r="AA631" s="167" t="s">
        <v>70</v>
      </c>
      <c r="AB631" s="167" t="s">
        <v>70</v>
      </c>
      <c r="AC631" s="167" t="s">
        <v>70</v>
      </c>
      <c r="AD631" s="167" t="s">
        <v>70</v>
      </c>
      <c r="AE631" s="167" t="s">
        <v>70</v>
      </c>
      <c r="AF631" s="167" t="s">
        <v>70</v>
      </c>
      <c r="AG631" s="167" t="s">
        <v>70</v>
      </c>
      <c r="AH631" s="167" t="s">
        <v>70</v>
      </c>
      <c r="AI631" s="111">
        <v>45919</v>
      </c>
      <c r="AJ631" s="166" t="s">
        <v>69</v>
      </c>
      <c r="AK631" s="167" t="s">
        <v>70</v>
      </c>
      <c r="AL631" s="167" t="s">
        <v>70</v>
      </c>
      <c r="AM631" s="167"/>
      <c r="AN631" s="167" t="s">
        <v>70</v>
      </c>
      <c r="AO631" s="167" t="s">
        <v>70</v>
      </c>
      <c r="AP631" s="167" t="s">
        <v>70</v>
      </c>
      <c r="AQ631" s="167" t="s">
        <v>70</v>
      </c>
      <c r="AR631" s="166" t="s">
        <v>69</v>
      </c>
      <c r="AS631" s="167" t="s">
        <v>70</v>
      </c>
      <c r="AT631" s="167" t="s">
        <v>70</v>
      </c>
      <c r="AU631" s="167" t="s">
        <v>70</v>
      </c>
      <c r="AV631" s="167" t="s">
        <v>70</v>
      </c>
      <c r="AW631" s="167" t="s">
        <v>70</v>
      </c>
      <c r="AX631" s="167" t="s">
        <v>70</v>
      </c>
      <c r="AY631" s="167" t="s">
        <v>70</v>
      </c>
      <c r="AZ631" s="167" t="s">
        <v>70</v>
      </c>
      <c r="BA631" s="167" t="s">
        <v>70</v>
      </c>
      <c r="BB631" s="167" t="s">
        <v>70</v>
      </c>
      <c r="BC631" s="167" t="s">
        <v>70</v>
      </c>
      <c r="BD631" s="167" t="s">
        <v>70</v>
      </c>
      <c r="BE631" s="167" t="s">
        <v>70</v>
      </c>
      <c r="BF631" s="167" t="s">
        <v>70</v>
      </c>
      <c r="BG631" s="167" t="s">
        <v>70</v>
      </c>
      <c r="BH631" s="167" t="s">
        <v>70</v>
      </c>
      <c r="BI631" s="167" t="s">
        <v>70</v>
      </c>
      <c r="BJ631" s="167" t="s">
        <v>70</v>
      </c>
      <c r="BK631" s="167" t="s">
        <v>70</v>
      </c>
      <c r="BL631" s="167" t="s">
        <v>70</v>
      </c>
      <c r="BM631" s="167" t="s">
        <v>70</v>
      </c>
      <c r="BN631" s="167" t="s">
        <v>70</v>
      </c>
      <c r="BO631" s="167" t="s">
        <v>70</v>
      </c>
      <c r="BP631" s="167" t="s">
        <v>70</v>
      </c>
      <c r="BQ631" s="151" t="s">
        <v>256</v>
      </c>
    </row>
    <row r="632" spans="1:135" s="151" customFormat="1" ht="19.5" customHeight="1" x14ac:dyDescent="0.2">
      <c r="A632" s="117">
        <v>631</v>
      </c>
      <c r="B632" s="117" t="s">
        <v>662</v>
      </c>
      <c r="C632" s="117">
        <v>141579</v>
      </c>
      <c r="D632" s="117" t="s">
        <v>212</v>
      </c>
      <c r="E632" s="117" t="s">
        <v>480</v>
      </c>
      <c r="F632" s="146" t="s">
        <v>256</v>
      </c>
      <c r="G632" s="124" t="s">
        <v>69</v>
      </c>
      <c r="H632" s="89">
        <v>45863</v>
      </c>
      <c r="I632" s="89">
        <v>45863</v>
      </c>
      <c r="J632" s="162">
        <f t="shared" si="52"/>
        <v>46959</v>
      </c>
      <c r="K632" s="89">
        <v>45862</v>
      </c>
      <c r="L632" s="89">
        <v>45862</v>
      </c>
      <c r="M632" s="163">
        <f t="shared" si="53"/>
        <v>46958</v>
      </c>
      <c r="N632" s="89">
        <v>45859</v>
      </c>
      <c r="O632" s="89">
        <v>45860</v>
      </c>
      <c r="P632" s="89">
        <v>45861</v>
      </c>
      <c r="Q632" s="167" t="s">
        <v>70</v>
      </c>
      <c r="R632" s="167" t="s">
        <v>70</v>
      </c>
      <c r="S632" s="167" t="s">
        <v>70</v>
      </c>
      <c r="T632" s="167" t="s">
        <v>70</v>
      </c>
      <c r="U632" s="167" t="s">
        <v>70</v>
      </c>
      <c r="V632" s="167" t="s">
        <v>70</v>
      </c>
      <c r="W632" s="167" t="s">
        <v>70</v>
      </c>
      <c r="X632" s="167" t="s">
        <v>70</v>
      </c>
      <c r="Y632" s="167" t="s">
        <v>70</v>
      </c>
      <c r="Z632" s="167" t="s">
        <v>70</v>
      </c>
      <c r="AA632" s="167" t="s">
        <v>70</v>
      </c>
      <c r="AB632" s="167" t="s">
        <v>70</v>
      </c>
      <c r="AC632" s="167" t="s">
        <v>70</v>
      </c>
      <c r="AD632" s="167" t="s">
        <v>70</v>
      </c>
      <c r="AE632" s="167" t="s">
        <v>70</v>
      </c>
      <c r="AF632" s="167" t="s">
        <v>70</v>
      </c>
      <c r="AG632" s="167" t="s">
        <v>70</v>
      </c>
      <c r="AH632" s="167" t="s">
        <v>70</v>
      </c>
      <c r="AI632" s="186">
        <v>45715</v>
      </c>
      <c r="AJ632" s="166" t="s">
        <v>69</v>
      </c>
      <c r="AK632" s="167" t="s">
        <v>70</v>
      </c>
      <c r="AL632" s="167" t="s">
        <v>70</v>
      </c>
      <c r="AM632" s="167"/>
      <c r="AN632" s="167" t="s">
        <v>70</v>
      </c>
      <c r="AO632" s="167" t="s">
        <v>70</v>
      </c>
      <c r="AP632" s="167" t="s">
        <v>70</v>
      </c>
      <c r="AQ632" s="167" t="s">
        <v>70</v>
      </c>
      <c r="AR632" s="166" t="s">
        <v>69</v>
      </c>
      <c r="AS632" s="167" t="s">
        <v>70</v>
      </c>
      <c r="AT632" s="167" t="s">
        <v>70</v>
      </c>
      <c r="AU632" s="167" t="s">
        <v>70</v>
      </c>
      <c r="AV632" s="167" t="s">
        <v>70</v>
      </c>
      <c r="AW632" s="167" t="s">
        <v>70</v>
      </c>
      <c r="AX632" s="167" t="s">
        <v>70</v>
      </c>
      <c r="AY632" s="167" t="s">
        <v>70</v>
      </c>
      <c r="AZ632" s="167" t="s">
        <v>70</v>
      </c>
      <c r="BA632" s="167" t="s">
        <v>70</v>
      </c>
      <c r="BB632" s="167" t="s">
        <v>70</v>
      </c>
      <c r="BC632" s="167" t="s">
        <v>70</v>
      </c>
      <c r="BD632" s="167" t="s">
        <v>70</v>
      </c>
      <c r="BE632" s="167" t="s">
        <v>70</v>
      </c>
      <c r="BF632" s="167" t="s">
        <v>70</v>
      </c>
      <c r="BG632" s="167" t="s">
        <v>70</v>
      </c>
      <c r="BH632" s="167" t="s">
        <v>70</v>
      </c>
      <c r="BI632" s="167" t="s">
        <v>70</v>
      </c>
      <c r="BJ632" s="167" t="s">
        <v>70</v>
      </c>
      <c r="BK632" s="167" t="s">
        <v>70</v>
      </c>
      <c r="BL632" s="167" t="s">
        <v>70</v>
      </c>
      <c r="BM632" s="167" t="s">
        <v>70</v>
      </c>
      <c r="BN632" s="167" t="s">
        <v>70</v>
      </c>
      <c r="BO632" s="167" t="s">
        <v>70</v>
      </c>
      <c r="BP632" s="167" t="s">
        <v>70</v>
      </c>
      <c r="BQ632" s="151" t="s">
        <v>208</v>
      </c>
      <c r="BR632" s="142"/>
      <c r="BS632" s="142"/>
      <c r="BT632" s="142"/>
      <c r="BU632" s="142"/>
      <c r="BV632" s="142"/>
      <c r="BW632" s="142"/>
      <c r="BX632" s="142"/>
      <c r="BY632" s="142"/>
      <c r="BZ632" s="142"/>
      <c r="CA632" s="142"/>
      <c r="CB632" s="142"/>
      <c r="CC632" s="142"/>
      <c r="CD632" s="142"/>
      <c r="CE632" s="142"/>
      <c r="CF632" s="142"/>
      <c r="CG632" s="142"/>
      <c r="CH632" s="142"/>
      <c r="CI632" s="142"/>
      <c r="CJ632" s="142"/>
      <c r="CK632" s="142"/>
      <c r="CL632" s="142"/>
      <c r="CM632" s="142"/>
      <c r="CN632" s="142"/>
      <c r="CO632" s="142"/>
      <c r="CP632" s="142"/>
      <c r="CQ632" s="142"/>
      <c r="CR632" s="142"/>
      <c r="CS632" s="142"/>
      <c r="CT632" s="142"/>
      <c r="CU632" s="142"/>
      <c r="CV632" s="142"/>
      <c r="CW632" s="142"/>
      <c r="CX632" s="142"/>
      <c r="CY632" s="142"/>
      <c r="CZ632" s="142"/>
      <c r="DA632" s="142"/>
      <c r="DB632" s="142"/>
      <c r="DC632" s="142"/>
      <c r="DD632" s="142"/>
      <c r="DE632" s="142"/>
      <c r="DF632" s="142"/>
      <c r="DG632" s="142"/>
      <c r="DH632" s="142"/>
      <c r="DI632" s="142"/>
      <c r="DJ632" s="142"/>
      <c r="DK632" s="142"/>
      <c r="DL632" s="142"/>
      <c r="DM632" s="142"/>
      <c r="DN632" s="142"/>
      <c r="DO632" s="142"/>
      <c r="DP632" s="142"/>
      <c r="DQ632" s="142"/>
      <c r="DR632" s="142"/>
      <c r="DS632" s="142"/>
      <c r="DT632" s="142"/>
      <c r="DU632" s="142"/>
      <c r="DV632" s="142"/>
      <c r="DW632" s="142"/>
      <c r="DX632" s="142"/>
      <c r="DY632" s="142"/>
      <c r="DZ632" s="142"/>
      <c r="EA632" s="142"/>
      <c r="EB632" s="142"/>
      <c r="EC632" s="142"/>
      <c r="ED632" s="142"/>
      <c r="EE632" s="142"/>
    </row>
    <row r="633" spans="1:135" s="151" customFormat="1" ht="19.5" customHeight="1" x14ac:dyDescent="0.2">
      <c r="A633" s="117">
        <v>632</v>
      </c>
      <c r="B633" s="117" t="s">
        <v>663</v>
      </c>
      <c r="C633" s="117">
        <v>141580</v>
      </c>
      <c r="D633" s="117" t="s">
        <v>212</v>
      </c>
      <c r="E633" s="117" t="s">
        <v>480</v>
      </c>
      <c r="F633" s="146" t="s">
        <v>256</v>
      </c>
      <c r="G633" s="124" t="s">
        <v>69</v>
      </c>
      <c r="H633" s="89">
        <v>45828</v>
      </c>
      <c r="I633" s="89">
        <v>45828</v>
      </c>
      <c r="J633" s="162">
        <f t="shared" si="52"/>
        <v>46924</v>
      </c>
      <c r="K633" s="89">
        <v>45827</v>
      </c>
      <c r="L633" s="89">
        <v>45827</v>
      </c>
      <c r="M633" s="163">
        <f t="shared" si="53"/>
        <v>46923</v>
      </c>
      <c r="N633" s="89">
        <v>45825</v>
      </c>
      <c r="O633" s="89">
        <v>45824</v>
      </c>
      <c r="P633" s="89">
        <v>45826</v>
      </c>
      <c r="Q633" s="167" t="s">
        <v>70</v>
      </c>
      <c r="R633" s="167" t="s">
        <v>70</v>
      </c>
      <c r="S633" s="167" t="s">
        <v>70</v>
      </c>
      <c r="T633" s="167" t="s">
        <v>70</v>
      </c>
      <c r="U633" s="167" t="s">
        <v>70</v>
      </c>
      <c r="V633" s="167" t="s">
        <v>70</v>
      </c>
      <c r="W633" s="167" t="s">
        <v>70</v>
      </c>
      <c r="X633" s="167" t="s">
        <v>70</v>
      </c>
      <c r="Y633" s="167" t="s">
        <v>70</v>
      </c>
      <c r="Z633" s="167" t="s">
        <v>70</v>
      </c>
      <c r="AA633" s="167" t="s">
        <v>70</v>
      </c>
      <c r="AB633" s="167" t="s">
        <v>70</v>
      </c>
      <c r="AC633" s="167" t="s">
        <v>70</v>
      </c>
      <c r="AD633" s="167" t="s">
        <v>70</v>
      </c>
      <c r="AE633" s="167" t="s">
        <v>70</v>
      </c>
      <c r="AF633" s="167" t="s">
        <v>70</v>
      </c>
      <c r="AG633" s="167" t="s">
        <v>70</v>
      </c>
      <c r="AH633" s="167" t="s">
        <v>70</v>
      </c>
      <c r="AI633" s="111">
        <v>45722</v>
      </c>
      <c r="AJ633" s="166" t="s">
        <v>69</v>
      </c>
      <c r="AK633" s="167" t="s">
        <v>70</v>
      </c>
      <c r="AL633" s="167" t="s">
        <v>70</v>
      </c>
      <c r="AM633" s="167"/>
      <c r="AN633" s="167" t="s">
        <v>70</v>
      </c>
      <c r="AO633" s="167" t="s">
        <v>70</v>
      </c>
      <c r="AP633" s="167" t="s">
        <v>70</v>
      </c>
      <c r="AQ633" s="167" t="s">
        <v>70</v>
      </c>
      <c r="AR633" s="168">
        <v>46276</v>
      </c>
      <c r="AS633" s="167" t="s">
        <v>70</v>
      </c>
      <c r="AT633" s="167" t="s">
        <v>70</v>
      </c>
      <c r="AU633" s="167" t="s">
        <v>70</v>
      </c>
      <c r="AV633" s="167" t="s">
        <v>70</v>
      </c>
      <c r="AW633" s="167" t="s">
        <v>70</v>
      </c>
      <c r="AX633" s="167" t="s">
        <v>70</v>
      </c>
      <c r="AY633" s="167" t="s">
        <v>70</v>
      </c>
      <c r="AZ633" s="167" t="s">
        <v>70</v>
      </c>
      <c r="BA633" s="167" t="s">
        <v>70</v>
      </c>
      <c r="BB633" s="167" t="s">
        <v>70</v>
      </c>
      <c r="BC633" s="167" t="s">
        <v>70</v>
      </c>
      <c r="BD633" s="167" t="s">
        <v>70</v>
      </c>
      <c r="BE633" s="167" t="s">
        <v>70</v>
      </c>
      <c r="BF633" s="167" t="s">
        <v>70</v>
      </c>
      <c r="BG633" s="167" t="s">
        <v>70</v>
      </c>
      <c r="BH633" s="167" t="s">
        <v>70</v>
      </c>
      <c r="BI633" s="167" t="s">
        <v>70</v>
      </c>
      <c r="BJ633" s="167" t="s">
        <v>70</v>
      </c>
      <c r="BK633" s="167" t="s">
        <v>70</v>
      </c>
      <c r="BL633" s="167" t="s">
        <v>70</v>
      </c>
      <c r="BM633" s="167" t="s">
        <v>70</v>
      </c>
      <c r="BN633" s="167" t="s">
        <v>70</v>
      </c>
      <c r="BO633" s="167" t="s">
        <v>70</v>
      </c>
      <c r="BP633" s="167" t="s">
        <v>70</v>
      </c>
      <c r="BQ633" s="151" t="s">
        <v>208</v>
      </c>
      <c r="BR633" s="142"/>
      <c r="BS633" s="142"/>
      <c r="BT633" s="142"/>
      <c r="BU633" s="142"/>
      <c r="BV633" s="142"/>
      <c r="BW633" s="142"/>
      <c r="BX633" s="142"/>
      <c r="BY633" s="142"/>
      <c r="BZ633" s="142"/>
      <c r="CA633" s="142"/>
      <c r="CB633" s="142"/>
      <c r="CC633" s="142"/>
      <c r="CD633" s="142"/>
      <c r="CE633" s="142"/>
      <c r="CF633" s="142"/>
      <c r="CG633" s="142"/>
      <c r="CH633" s="142"/>
      <c r="CI633" s="142"/>
      <c r="CJ633" s="142"/>
      <c r="CK633" s="142"/>
      <c r="CL633" s="142"/>
      <c r="CM633" s="142"/>
      <c r="CN633" s="142"/>
      <c r="CO633" s="142"/>
      <c r="CP633" s="142"/>
      <c r="CQ633" s="142"/>
      <c r="CR633" s="142"/>
      <c r="CS633" s="142"/>
      <c r="CT633" s="142"/>
      <c r="CU633" s="142"/>
      <c r="CV633" s="142"/>
      <c r="CW633" s="142"/>
      <c r="CX633" s="142"/>
      <c r="CY633" s="142"/>
      <c r="CZ633" s="142"/>
      <c r="DA633" s="142"/>
      <c r="DB633" s="142"/>
      <c r="DC633" s="142"/>
      <c r="DD633" s="142"/>
      <c r="DE633" s="142"/>
      <c r="DF633" s="142"/>
      <c r="DG633" s="142"/>
      <c r="DH633" s="142"/>
      <c r="DI633" s="142"/>
      <c r="DJ633" s="142"/>
      <c r="DK633" s="142"/>
      <c r="DL633" s="142"/>
      <c r="DM633" s="142"/>
      <c r="DN633" s="142"/>
      <c r="DO633" s="142"/>
      <c r="DP633" s="142"/>
      <c r="DQ633" s="142"/>
      <c r="DR633" s="142"/>
      <c r="DS633" s="142"/>
      <c r="DT633" s="142"/>
      <c r="DU633" s="142"/>
      <c r="DV633" s="142"/>
      <c r="DW633" s="142"/>
      <c r="DX633" s="142"/>
      <c r="DY633" s="142"/>
      <c r="DZ633" s="142"/>
      <c r="EA633" s="142"/>
      <c r="EB633" s="142"/>
      <c r="EC633" s="142"/>
      <c r="ED633" s="142"/>
      <c r="EE633" s="142"/>
    </row>
    <row r="634" spans="1:135" s="151" customFormat="1" ht="19.5" customHeight="1" x14ac:dyDescent="0.2">
      <c r="A634" s="117">
        <v>633</v>
      </c>
      <c r="B634" s="117" t="s">
        <v>664</v>
      </c>
      <c r="C634" s="117">
        <v>141583</v>
      </c>
      <c r="D634" s="117" t="s">
        <v>212</v>
      </c>
      <c r="E634" s="117" t="s">
        <v>480</v>
      </c>
      <c r="F634" s="146" t="s">
        <v>256</v>
      </c>
      <c r="G634" s="124" t="s">
        <v>69</v>
      </c>
      <c r="H634" s="89">
        <v>45889</v>
      </c>
      <c r="I634" s="89">
        <v>45889</v>
      </c>
      <c r="J634" s="162">
        <f t="shared" si="52"/>
        <v>46985</v>
      </c>
      <c r="K634" s="89">
        <v>45888</v>
      </c>
      <c r="L634" s="89">
        <v>45888</v>
      </c>
      <c r="M634" s="163">
        <f t="shared" si="53"/>
        <v>46984</v>
      </c>
      <c r="N634" s="89">
        <v>45891</v>
      </c>
      <c r="O634" s="89">
        <v>45890</v>
      </c>
      <c r="P634" s="89">
        <v>45887</v>
      </c>
      <c r="Q634" s="167" t="s">
        <v>70</v>
      </c>
      <c r="R634" s="167" t="s">
        <v>70</v>
      </c>
      <c r="S634" s="167" t="s">
        <v>70</v>
      </c>
      <c r="T634" s="167" t="s">
        <v>70</v>
      </c>
      <c r="U634" s="167" t="s">
        <v>70</v>
      </c>
      <c r="V634" s="167" t="s">
        <v>70</v>
      </c>
      <c r="W634" s="167" t="s">
        <v>70</v>
      </c>
      <c r="X634" s="167" t="s">
        <v>70</v>
      </c>
      <c r="Y634" s="167" t="s">
        <v>70</v>
      </c>
      <c r="Z634" s="167" t="s">
        <v>70</v>
      </c>
      <c r="AA634" s="167" t="s">
        <v>70</v>
      </c>
      <c r="AB634" s="167" t="s">
        <v>70</v>
      </c>
      <c r="AC634" s="167" t="s">
        <v>70</v>
      </c>
      <c r="AD634" s="167" t="s">
        <v>70</v>
      </c>
      <c r="AE634" s="167" t="s">
        <v>70</v>
      </c>
      <c r="AF634" s="94">
        <v>45707</v>
      </c>
      <c r="AG634" s="167" t="s">
        <v>70</v>
      </c>
      <c r="AH634" s="167" t="s">
        <v>70</v>
      </c>
      <c r="AI634" s="111">
        <v>45722</v>
      </c>
      <c r="AJ634" s="166" t="s">
        <v>69</v>
      </c>
      <c r="AK634" s="167" t="s">
        <v>70</v>
      </c>
      <c r="AL634" s="167" t="s">
        <v>70</v>
      </c>
      <c r="AM634" s="167"/>
      <c r="AN634" s="167" t="s">
        <v>70</v>
      </c>
      <c r="AO634" s="167" t="s">
        <v>70</v>
      </c>
      <c r="AP634" s="167" t="s">
        <v>70</v>
      </c>
      <c r="AQ634" s="167" t="s">
        <v>70</v>
      </c>
      <c r="AR634" s="166" t="s">
        <v>69</v>
      </c>
      <c r="AS634" s="167" t="s">
        <v>70</v>
      </c>
      <c r="AT634" s="167" t="s">
        <v>70</v>
      </c>
      <c r="AU634" s="167" t="s">
        <v>70</v>
      </c>
      <c r="AV634" s="167" t="s">
        <v>70</v>
      </c>
      <c r="AW634" s="167" t="s">
        <v>70</v>
      </c>
      <c r="AX634" s="167" t="s">
        <v>70</v>
      </c>
      <c r="AY634" s="167" t="s">
        <v>70</v>
      </c>
      <c r="AZ634" s="167" t="s">
        <v>70</v>
      </c>
      <c r="BA634" s="167" t="s">
        <v>70</v>
      </c>
      <c r="BB634" s="167" t="s">
        <v>70</v>
      </c>
      <c r="BC634" s="167" t="s">
        <v>70</v>
      </c>
      <c r="BD634" s="167" t="s">
        <v>70</v>
      </c>
      <c r="BE634" s="167" t="s">
        <v>70</v>
      </c>
      <c r="BF634" s="167" t="s">
        <v>70</v>
      </c>
      <c r="BG634" s="167" t="s">
        <v>70</v>
      </c>
      <c r="BH634" s="167" t="s">
        <v>70</v>
      </c>
      <c r="BI634" s="167" t="s">
        <v>70</v>
      </c>
      <c r="BJ634" s="167" t="s">
        <v>70</v>
      </c>
      <c r="BK634" s="167" t="s">
        <v>70</v>
      </c>
      <c r="BL634" s="167" t="s">
        <v>70</v>
      </c>
      <c r="BM634" s="167" t="s">
        <v>70</v>
      </c>
      <c r="BN634" s="167" t="s">
        <v>70</v>
      </c>
      <c r="BO634" s="167" t="s">
        <v>70</v>
      </c>
      <c r="BP634" s="167" t="s">
        <v>70</v>
      </c>
      <c r="BQ634" s="151" t="s">
        <v>208</v>
      </c>
      <c r="BR634" s="142"/>
      <c r="BS634" s="142"/>
      <c r="BT634" s="142"/>
      <c r="BU634" s="142"/>
      <c r="BV634" s="142"/>
      <c r="BW634" s="142"/>
      <c r="BX634" s="142"/>
      <c r="BY634" s="142"/>
      <c r="BZ634" s="142"/>
      <c r="CA634" s="142"/>
      <c r="CB634" s="142"/>
      <c r="CC634" s="142"/>
      <c r="CD634" s="142"/>
      <c r="CE634" s="142"/>
      <c r="CF634" s="142"/>
      <c r="CG634" s="142"/>
      <c r="CH634" s="142"/>
      <c r="CI634" s="142"/>
      <c r="CJ634" s="142"/>
      <c r="CK634" s="142"/>
      <c r="CL634" s="142"/>
      <c r="CM634" s="142"/>
      <c r="CN634" s="142"/>
      <c r="CO634" s="142"/>
      <c r="CP634" s="142"/>
      <c r="CQ634" s="142"/>
      <c r="CR634" s="142"/>
      <c r="CS634" s="142"/>
      <c r="CT634" s="142"/>
      <c r="CU634" s="142"/>
      <c r="CV634" s="142"/>
      <c r="CW634" s="142"/>
      <c r="CX634" s="142"/>
      <c r="CY634" s="142"/>
      <c r="CZ634" s="142"/>
      <c r="DA634" s="142"/>
      <c r="DB634" s="142"/>
      <c r="DC634" s="142"/>
      <c r="DD634" s="142"/>
      <c r="DE634" s="142"/>
      <c r="DF634" s="142"/>
      <c r="DG634" s="142"/>
      <c r="DH634" s="142"/>
      <c r="DI634" s="142"/>
      <c r="DJ634" s="142"/>
      <c r="DK634" s="142"/>
      <c r="DL634" s="142"/>
      <c r="DM634" s="142"/>
      <c r="DN634" s="142"/>
      <c r="DO634" s="142"/>
      <c r="DP634" s="142"/>
      <c r="DQ634" s="142"/>
      <c r="DR634" s="142"/>
      <c r="DS634" s="142"/>
      <c r="DT634" s="142"/>
      <c r="DU634" s="142"/>
      <c r="DV634" s="142"/>
      <c r="DW634" s="142"/>
      <c r="DX634" s="142"/>
      <c r="DY634" s="142"/>
      <c r="DZ634" s="142"/>
      <c r="EA634" s="142"/>
      <c r="EB634" s="142"/>
      <c r="EC634" s="142"/>
      <c r="ED634" s="142"/>
      <c r="EE634" s="142"/>
    </row>
    <row r="635" spans="1:135" s="151" customFormat="1" ht="19.5" customHeight="1" x14ac:dyDescent="0.2">
      <c r="A635" s="117">
        <v>634</v>
      </c>
      <c r="B635" s="117" t="s">
        <v>665</v>
      </c>
      <c r="C635" s="117">
        <v>141587</v>
      </c>
      <c r="D635" s="117" t="s">
        <v>212</v>
      </c>
      <c r="E635" s="117" t="s">
        <v>480</v>
      </c>
      <c r="F635" s="146" t="s">
        <v>256</v>
      </c>
      <c r="G635" s="124" t="s">
        <v>69</v>
      </c>
      <c r="H635" s="124">
        <v>45988</v>
      </c>
      <c r="I635" s="124">
        <v>45988</v>
      </c>
      <c r="J635" s="162">
        <f t="shared" si="52"/>
        <v>47084</v>
      </c>
      <c r="K635" s="112">
        <v>45989</v>
      </c>
      <c r="L635" s="112">
        <v>45989</v>
      </c>
      <c r="M635" s="163">
        <f t="shared" si="53"/>
        <v>47085</v>
      </c>
      <c r="N635" s="89">
        <v>45985</v>
      </c>
      <c r="O635" s="89">
        <v>45987</v>
      </c>
      <c r="P635" s="175">
        <v>46006</v>
      </c>
      <c r="Q635" s="167" t="s">
        <v>70</v>
      </c>
      <c r="R635" s="167" t="s">
        <v>70</v>
      </c>
      <c r="S635" s="167" t="s">
        <v>70</v>
      </c>
      <c r="T635" s="167" t="s">
        <v>70</v>
      </c>
      <c r="U635" s="167" t="s">
        <v>70</v>
      </c>
      <c r="V635" s="167" t="s">
        <v>70</v>
      </c>
      <c r="W635" s="167" t="s">
        <v>70</v>
      </c>
      <c r="X635" s="167" t="s">
        <v>70</v>
      </c>
      <c r="Y635" s="167" t="s">
        <v>70</v>
      </c>
      <c r="Z635" s="167" t="s">
        <v>70</v>
      </c>
      <c r="AA635" s="167" t="s">
        <v>70</v>
      </c>
      <c r="AB635" s="167" t="s">
        <v>70</v>
      </c>
      <c r="AC635" s="167" t="s">
        <v>70</v>
      </c>
      <c r="AD635" s="167" t="s">
        <v>70</v>
      </c>
      <c r="AE635" s="167" t="s">
        <v>70</v>
      </c>
      <c r="AF635" s="167" t="s">
        <v>70</v>
      </c>
      <c r="AG635" s="167" t="s">
        <v>70</v>
      </c>
      <c r="AH635" s="167" t="s">
        <v>70</v>
      </c>
      <c r="AI635" s="111">
        <v>45694</v>
      </c>
      <c r="AJ635" s="166" t="s">
        <v>69</v>
      </c>
      <c r="AK635" s="167" t="s">
        <v>70</v>
      </c>
      <c r="AL635" s="167" t="s">
        <v>70</v>
      </c>
      <c r="AM635" s="167"/>
      <c r="AN635" s="167" t="s">
        <v>70</v>
      </c>
      <c r="AO635" s="167" t="s">
        <v>70</v>
      </c>
      <c r="AP635" s="167" t="s">
        <v>70</v>
      </c>
      <c r="AQ635" s="167" t="s">
        <v>70</v>
      </c>
      <c r="AR635" s="166" t="s">
        <v>69</v>
      </c>
      <c r="AS635" s="167" t="s">
        <v>70</v>
      </c>
      <c r="AT635" s="167" t="s">
        <v>70</v>
      </c>
      <c r="AU635" s="167" t="s">
        <v>70</v>
      </c>
      <c r="AV635" s="167" t="s">
        <v>70</v>
      </c>
      <c r="AW635" s="167" t="s">
        <v>70</v>
      </c>
      <c r="AX635" s="167" t="s">
        <v>70</v>
      </c>
      <c r="AY635" s="167" t="s">
        <v>70</v>
      </c>
      <c r="AZ635" s="167" t="s">
        <v>70</v>
      </c>
      <c r="BA635" s="167" t="s">
        <v>70</v>
      </c>
      <c r="BB635" s="167" t="s">
        <v>70</v>
      </c>
      <c r="BC635" s="167" t="s">
        <v>70</v>
      </c>
      <c r="BD635" s="167" t="s">
        <v>70</v>
      </c>
      <c r="BE635" s="167" t="s">
        <v>70</v>
      </c>
      <c r="BF635" s="167" t="s">
        <v>70</v>
      </c>
      <c r="BG635" s="167" t="s">
        <v>70</v>
      </c>
      <c r="BH635" s="167" t="s">
        <v>70</v>
      </c>
      <c r="BI635" s="167" t="s">
        <v>70</v>
      </c>
      <c r="BJ635" s="167" t="s">
        <v>70</v>
      </c>
      <c r="BK635" s="167" t="s">
        <v>70</v>
      </c>
      <c r="BL635" s="167" t="s">
        <v>70</v>
      </c>
      <c r="BM635" s="167" t="s">
        <v>70</v>
      </c>
      <c r="BN635" s="167" t="s">
        <v>70</v>
      </c>
      <c r="BO635" s="167" t="s">
        <v>70</v>
      </c>
      <c r="BP635" s="167" t="s">
        <v>70</v>
      </c>
      <c r="BQ635" s="151" t="s">
        <v>208</v>
      </c>
      <c r="BR635" s="142"/>
      <c r="BS635" s="142"/>
      <c r="BT635" s="142"/>
      <c r="BU635" s="142"/>
      <c r="BV635" s="142"/>
      <c r="BW635" s="142"/>
      <c r="BX635" s="142"/>
      <c r="BY635" s="142"/>
      <c r="BZ635" s="142"/>
      <c r="CA635" s="142"/>
      <c r="CB635" s="142"/>
      <c r="CC635" s="142"/>
      <c r="CD635" s="142"/>
      <c r="CE635" s="142"/>
      <c r="CF635" s="142"/>
      <c r="CG635" s="142"/>
      <c r="CH635" s="142"/>
      <c r="CI635" s="142"/>
      <c r="CJ635" s="142"/>
      <c r="CK635" s="142"/>
      <c r="CL635" s="142"/>
      <c r="CM635" s="142"/>
      <c r="CN635" s="142"/>
      <c r="CO635" s="142"/>
      <c r="CP635" s="142"/>
      <c r="CQ635" s="142"/>
      <c r="CR635" s="142"/>
      <c r="CS635" s="142"/>
      <c r="CT635" s="142"/>
      <c r="CU635" s="142"/>
      <c r="CV635" s="142"/>
      <c r="CW635" s="142"/>
      <c r="CX635" s="142"/>
      <c r="CY635" s="142"/>
      <c r="CZ635" s="142"/>
      <c r="DA635" s="142"/>
      <c r="DB635" s="142"/>
      <c r="DC635" s="142"/>
      <c r="DD635" s="142"/>
      <c r="DE635" s="142"/>
      <c r="DF635" s="142"/>
      <c r="DG635" s="142"/>
      <c r="DH635" s="142"/>
      <c r="DI635" s="142"/>
      <c r="DJ635" s="142"/>
      <c r="DK635" s="142"/>
      <c r="DL635" s="142"/>
      <c r="DM635" s="142"/>
      <c r="DN635" s="142"/>
      <c r="DO635" s="142"/>
      <c r="DP635" s="142"/>
      <c r="DQ635" s="142"/>
      <c r="DR635" s="142"/>
      <c r="DS635" s="142"/>
      <c r="DT635" s="142"/>
      <c r="DU635" s="142"/>
      <c r="DV635" s="142"/>
      <c r="DW635" s="142"/>
      <c r="DX635" s="142"/>
      <c r="DY635" s="142"/>
      <c r="DZ635" s="142"/>
      <c r="EA635" s="142"/>
      <c r="EB635" s="142"/>
      <c r="EC635" s="142"/>
      <c r="ED635" s="142"/>
      <c r="EE635" s="142"/>
    </row>
    <row r="636" spans="1:135" s="151" customFormat="1" ht="19.5" customHeight="1" x14ac:dyDescent="0.2">
      <c r="A636" s="117">
        <v>635</v>
      </c>
      <c r="B636" s="117" t="s">
        <v>666</v>
      </c>
      <c r="C636" s="117">
        <v>141588</v>
      </c>
      <c r="D636" s="117" t="s">
        <v>212</v>
      </c>
      <c r="E636" s="117" t="s">
        <v>480</v>
      </c>
      <c r="F636" s="146" t="s">
        <v>256</v>
      </c>
      <c r="G636" s="124" t="s">
        <v>69</v>
      </c>
      <c r="H636" s="89">
        <v>45828</v>
      </c>
      <c r="I636" s="89">
        <v>45828</v>
      </c>
      <c r="J636" s="162">
        <f t="shared" si="52"/>
        <v>46924</v>
      </c>
      <c r="K636" s="89">
        <v>45827</v>
      </c>
      <c r="L636" s="89">
        <v>45827</v>
      </c>
      <c r="M636" s="163">
        <f t="shared" si="53"/>
        <v>46923</v>
      </c>
      <c r="N636" s="89">
        <v>45825</v>
      </c>
      <c r="O636" s="89">
        <v>45824</v>
      </c>
      <c r="P636" s="89">
        <v>45826</v>
      </c>
      <c r="Q636" s="167" t="s">
        <v>70</v>
      </c>
      <c r="R636" s="167" t="s">
        <v>70</v>
      </c>
      <c r="S636" s="167" t="s">
        <v>70</v>
      </c>
      <c r="T636" s="167" t="s">
        <v>70</v>
      </c>
      <c r="U636" s="167" t="s">
        <v>70</v>
      </c>
      <c r="V636" s="167" t="s">
        <v>70</v>
      </c>
      <c r="W636" s="167" t="s">
        <v>70</v>
      </c>
      <c r="X636" s="167" t="s">
        <v>70</v>
      </c>
      <c r="Y636" s="167" t="s">
        <v>70</v>
      </c>
      <c r="Z636" s="167" t="s">
        <v>70</v>
      </c>
      <c r="AA636" s="167" t="s">
        <v>70</v>
      </c>
      <c r="AB636" s="167" t="s">
        <v>70</v>
      </c>
      <c r="AC636" s="167" t="s">
        <v>70</v>
      </c>
      <c r="AD636" s="167" t="s">
        <v>70</v>
      </c>
      <c r="AE636" s="167" t="s">
        <v>70</v>
      </c>
      <c r="AF636" s="167" t="s">
        <v>70</v>
      </c>
      <c r="AG636" s="167" t="s">
        <v>70</v>
      </c>
      <c r="AH636" s="167" t="s">
        <v>70</v>
      </c>
      <c r="AI636" s="186">
        <v>45715</v>
      </c>
      <c r="AJ636" s="166" t="s">
        <v>69</v>
      </c>
      <c r="AK636" s="167" t="s">
        <v>70</v>
      </c>
      <c r="AL636" s="167" t="s">
        <v>70</v>
      </c>
      <c r="AM636" s="167"/>
      <c r="AN636" s="167" t="s">
        <v>70</v>
      </c>
      <c r="AO636" s="167" t="s">
        <v>70</v>
      </c>
      <c r="AP636" s="167" t="s">
        <v>70</v>
      </c>
      <c r="AQ636" s="167" t="s">
        <v>70</v>
      </c>
      <c r="AR636" s="166" t="s">
        <v>69</v>
      </c>
      <c r="AS636" s="167" t="s">
        <v>70</v>
      </c>
      <c r="AT636" s="167" t="s">
        <v>70</v>
      </c>
      <c r="AU636" s="167" t="s">
        <v>70</v>
      </c>
      <c r="AV636" s="167" t="s">
        <v>70</v>
      </c>
      <c r="AW636" s="167" t="s">
        <v>70</v>
      </c>
      <c r="AX636" s="167" t="s">
        <v>70</v>
      </c>
      <c r="AY636" s="167" t="s">
        <v>70</v>
      </c>
      <c r="AZ636" s="167" t="s">
        <v>70</v>
      </c>
      <c r="BA636" s="167" t="s">
        <v>70</v>
      </c>
      <c r="BB636" s="167" t="s">
        <v>70</v>
      </c>
      <c r="BC636" s="167" t="s">
        <v>70</v>
      </c>
      <c r="BD636" s="167" t="s">
        <v>70</v>
      </c>
      <c r="BE636" s="167" t="s">
        <v>70</v>
      </c>
      <c r="BF636" s="167" t="s">
        <v>70</v>
      </c>
      <c r="BG636" s="167" t="s">
        <v>70</v>
      </c>
      <c r="BH636" s="167" t="s">
        <v>70</v>
      </c>
      <c r="BI636" s="167" t="s">
        <v>70</v>
      </c>
      <c r="BJ636" s="167" t="s">
        <v>70</v>
      </c>
      <c r="BK636" s="167" t="s">
        <v>70</v>
      </c>
      <c r="BL636" s="167" t="s">
        <v>70</v>
      </c>
      <c r="BM636" s="167" t="s">
        <v>70</v>
      </c>
      <c r="BN636" s="167" t="s">
        <v>70</v>
      </c>
      <c r="BO636" s="167" t="s">
        <v>70</v>
      </c>
      <c r="BP636" s="167" t="s">
        <v>70</v>
      </c>
      <c r="BQ636" s="151" t="s">
        <v>208</v>
      </c>
      <c r="BR636" s="142"/>
      <c r="BS636" s="142"/>
      <c r="BT636" s="142"/>
      <c r="BU636" s="142"/>
      <c r="BV636" s="142"/>
      <c r="BW636" s="142"/>
      <c r="BX636" s="142"/>
      <c r="BY636" s="142"/>
      <c r="BZ636" s="142"/>
      <c r="CA636" s="142"/>
      <c r="CB636" s="142"/>
      <c r="CC636" s="142"/>
      <c r="CD636" s="142"/>
      <c r="CE636" s="142"/>
      <c r="CF636" s="142"/>
      <c r="CG636" s="142"/>
      <c r="CH636" s="142"/>
      <c r="CI636" s="142"/>
      <c r="CJ636" s="142"/>
      <c r="CK636" s="142"/>
      <c r="CL636" s="142"/>
      <c r="CM636" s="142"/>
      <c r="CN636" s="142"/>
      <c r="CO636" s="142"/>
      <c r="CP636" s="142"/>
      <c r="CQ636" s="142"/>
      <c r="CR636" s="142"/>
      <c r="CS636" s="142"/>
      <c r="CT636" s="142"/>
      <c r="CU636" s="142"/>
      <c r="CV636" s="142"/>
      <c r="CW636" s="142"/>
      <c r="CX636" s="142"/>
      <c r="CY636" s="142"/>
      <c r="CZ636" s="142"/>
      <c r="DA636" s="142"/>
      <c r="DB636" s="142"/>
      <c r="DC636" s="142"/>
      <c r="DD636" s="142"/>
      <c r="DE636" s="142"/>
      <c r="DF636" s="142"/>
      <c r="DG636" s="142"/>
      <c r="DH636" s="142"/>
      <c r="DI636" s="142"/>
      <c r="DJ636" s="142"/>
      <c r="DK636" s="142"/>
      <c r="DL636" s="142"/>
      <c r="DM636" s="142"/>
      <c r="DN636" s="142"/>
      <c r="DO636" s="142"/>
      <c r="DP636" s="142"/>
      <c r="DQ636" s="142"/>
      <c r="DR636" s="142"/>
      <c r="DS636" s="142"/>
      <c r="DT636" s="142"/>
      <c r="DU636" s="142"/>
      <c r="DV636" s="142"/>
      <c r="DW636" s="142"/>
      <c r="DX636" s="142"/>
      <c r="DY636" s="142"/>
      <c r="DZ636" s="142"/>
      <c r="EA636" s="142"/>
      <c r="EB636" s="142"/>
      <c r="EC636" s="142"/>
      <c r="ED636" s="142"/>
      <c r="EE636" s="142"/>
    </row>
    <row r="637" spans="1:135" s="151" customFormat="1" ht="19.5" customHeight="1" x14ac:dyDescent="0.2">
      <c r="A637" s="117">
        <v>636</v>
      </c>
      <c r="B637" s="117" t="s">
        <v>667</v>
      </c>
      <c r="C637" s="117">
        <v>145752</v>
      </c>
      <c r="D637" s="117" t="s">
        <v>212</v>
      </c>
      <c r="E637" s="117" t="s">
        <v>480</v>
      </c>
      <c r="F637" s="146" t="s">
        <v>256</v>
      </c>
      <c r="G637" s="124" t="s">
        <v>69</v>
      </c>
      <c r="H637" s="89">
        <v>46218</v>
      </c>
      <c r="I637" s="89">
        <v>46218</v>
      </c>
      <c r="J637" s="162">
        <f t="shared" si="52"/>
        <v>47314</v>
      </c>
      <c r="K637" s="112">
        <v>46220</v>
      </c>
      <c r="L637" s="112">
        <v>46220</v>
      </c>
      <c r="M637" s="163">
        <f t="shared" si="53"/>
        <v>47316</v>
      </c>
      <c r="N637" s="112">
        <v>46245</v>
      </c>
      <c r="O637" s="112">
        <v>46258</v>
      </c>
      <c r="P637" s="89">
        <v>46246</v>
      </c>
      <c r="Q637" s="167" t="s">
        <v>70</v>
      </c>
      <c r="R637" s="167" t="s">
        <v>70</v>
      </c>
      <c r="S637" s="167" t="s">
        <v>70</v>
      </c>
      <c r="T637" s="167" t="s">
        <v>70</v>
      </c>
      <c r="U637" s="167" t="s">
        <v>70</v>
      </c>
      <c r="V637" s="167" t="s">
        <v>70</v>
      </c>
      <c r="W637" s="167" t="s">
        <v>70</v>
      </c>
      <c r="X637" s="167" t="s">
        <v>70</v>
      </c>
      <c r="Y637" s="167" t="s">
        <v>70</v>
      </c>
      <c r="Z637" s="167" t="s">
        <v>70</v>
      </c>
      <c r="AA637" s="167" t="s">
        <v>70</v>
      </c>
      <c r="AB637" s="167" t="s">
        <v>70</v>
      </c>
      <c r="AC637" s="167" t="s">
        <v>70</v>
      </c>
      <c r="AD637" s="167" t="s">
        <v>70</v>
      </c>
      <c r="AE637" s="167" t="s">
        <v>70</v>
      </c>
      <c r="AF637" s="167" t="s">
        <v>70</v>
      </c>
      <c r="AG637" s="167" t="s">
        <v>70</v>
      </c>
      <c r="AH637" s="167" t="s">
        <v>70</v>
      </c>
      <c r="AI637" s="111">
        <v>45727</v>
      </c>
      <c r="AJ637" s="166" t="s">
        <v>69</v>
      </c>
      <c r="AK637" s="167" t="s">
        <v>70</v>
      </c>
      <c r="AL637" s="167" t="s">
        <v>70</v>
      </c>
      <c r="AM637" s="167"/>
      <c r="AN637" s="167" t="s">
        <v>70</v>
      </c>
      <c r="AO637" s="167" t="s">
        <v>70</v>
      </c>
      <c r="AP637" s="167" t="s">
        <v>70</v>
      </c>
      <c r="AQ637" s="167" t="s">
        <v>70</v>
      </c>
      <c r="AR637" s="166" t="s">
        <v>69</v>
      </c>
      <c r="AS637" s="167" t="s">
        <v>70</v>
      </c>
      <c r="AT637" s="167" t="s">
        <v>70</v>
      </c>
      <c r="AU637" s="167" t="s">
        <v>70</v>
      </c>
      <c r="AV637" s="167" t="s">
        <v>70</v>
      </c>
      <c r="AW637" s="167" t="s">
        <v>70</v>
      </c>
      <c r="AX637" s="167" t="s">
        <v>70</v>
      </c>
      <c r="AY637" s="167" t="s">
        <v>70</v>
      </c>
      <c r="AZ637" s="167" t="s">
        <v>70</v>
      </c>
      <c r="BA637" s="167" t="s">
        <v>70</v>
      </c>
      <c r="BB637" s="167" t="s">
        <v>70</v>
      </c>
      <c r="BC637" s="167" t="s">
        <v>70</v>
      </c>
      <c r="BD637" s="167" t="s">
        <v>70</v>
      </c>
      <c r="BE637" s="167" t="s">
        <v>70</v>
      </c>
      <c r="BF637" s="167" t="s">
        <v>70</v>
      </c>
      <c r="BG637" s="167" t="s">
        <v>70</v>
      </c>
      <c r="BH637" s="167" t="s">
        <v>70</v>
      </c>
      <c r="BI637" s="167" t="s">
        <v>70</v>
      </c>
      <c r="BJ637" s="167" t="s">
        <v>70</v>
      </c>
      <c r="BK637" s="167" t="s">
        <v>70</v>
      </c>
      <c r="BL637" s="167" t="s">
        <v>70</v>
      </c>
      <c r="BM637" s="167" t="s">
        <v>70</v>
      </c>
      <c r="BN637" s="167" t="s">
        <v>70</v>
      </c>
      <c r="BO637" s="167" t="s">
        <v>70</v>
      </c>
      <c r="BP637" s="167" t="s">
        <v>70</v>
      </c>
      <c r="BQ637" s="151" t="s">
        <v>208</v>
      </c>
      <c r="BR637" s="142"/>
      <c r="BS637" s="142"/>
      <c r="BT637" s="142"/>
      <c r="BU637" s="142"/>
      <c r="BV637" s="142"/>
      <c r="BW637" s="142"/>
      <c r="BX637" s="142"/>
      <c r="BY637" s="142"/>
      <c r="BZ637" s="142"/>
      <c r="CA637" s="142"/>
      <c r="CB637" s="142"/>
      <c r="CC637" s="142"/>
      <c r="CD637" s="142"/>
      <c r="CE637" s="142"/>
      <c r="CF637" s="142"/>
      <c r="CG637" s="142"/>
      <c r="CH637" s="142"/>
      <c r="CI637" s="142"/>
      <c r="CJ637" s="142"/>
      <c r="CK637" s="142"/>
      <c r="CL637" s="142"/>
      <c r="CM637" s="142"/>
      <c r="CN637" s="142"/>
      <c r="CO637" s="142"/>
      <c r="CP637" s="142"/>
      <c r="CQ637" s="142"/>
      <c r="CR637" s="142"/>
      <c r="CS637" s="142"/>
      <c r="CT637" s="142"/>
      <c r="CU637" s="142"/>
      <c r="CV637" s="142"/>
      <c r="CW637" s="142"/>
      <c r="CX637" s="142"/>
      <c r="CY637" s="142"/>
      <c r="CZ637" s="142"/>
      <c r="DA637" s="142"/>
      <c r="DB637" s="142"/>
      <c r="DC637" s="142"/>
      <c r="DD637" s="142"/>
      <c r="DE637" s="142"/>
      <c r="DF637" s="142"/>
      <c r="DG637" s="142"/>
      <c r="DH637" s="142"/>
      <c r="DI637" s="142"/>
      <c r="DJ637" s="142"/>
      <c r="DK637" s="142"/>
      <c r="DL637" s="142"/>
      <c r="DM637" s="142"/>
      <c r="DN637" s="142"/>
      <c r="DO637" s="142"/>
      <c r="DP637" s="142"/>
      <c r="DQ637" s="142"/>
      <c r="DR637" s="142"/>
      <c r="DS637" s="142"/>
      <c r="DT637" s="142"/>
      <c r="DU637" s="142"/>
      <c r="DV637" s="142"/>
      <c r="DW637" s="142"/>
      <c r="DX637" s="142"/>
      <c r="DY637" s="142"/>
      <c r="DZ637" s="142"/>
      <c r="EA637" s="142"/>
      <c r="EB637" s="142"/>
      <c r="EC637" s="142"/>
      <c r="ED637" s="142"/>
      <c r="EE637" s="142"/>
    </row>
    <row r="638" spans="1:135" s="151" customFormat="1" ht="19.5" customHeight="1" x14ac:dyDescent="0.2">
      <c r="A638" s="117">
        <v>637</v>
      </c>
      <c r="B638" s="117" t="s">
        <v>668</v>
      </c>
      <c r="C638" s="117">
        <v>141589</v>
      </c>
      <c r="D638" s="117" t="s">
        <v>212</v>
      </c>
      <c r="E638" s="117" t="s">
        <v>480</v>
      </c>
      <c r="F638" s="146" t="s">
        <v>256</v>
      </c>
      <c r="G638" s="124" t="s">
        <v>69</v>
      </c>
      <c r="H638" s="140">
        <v>45961</v>
      </c>
      <c r="I638" s="140">
        <v>45961</v>
      </c>
      <c r="J638" s="162">
        <f t="shared" si="52"/>
        <v>47057</v>
      </c>
      <c r="K638" s="89">
        <v>42549</v>
      </c>
      <c r="L638" s="92">
        <v>45960</v>
      </c>
      <c r="M638" s="163">
        <f t="shared" si="53"/>
        <v>47056</v>
      </c>
      <c r="N638" s="89">
        <v>45959</v>
      </c>
      <c r="O638" s="89">
        <v>45958</v>
      </c>
      <c r="P638" s="89">
        <v>45957</v>
      </c>
      <c r="Q638" s="167" t="s">
        <v>70</v>
      </c>
      <c r="R638" s="167" t="s">
        <v>70</v>
      </c>
      <c r="S638" s="167" t="s">
        <v>70</v>
      </c>
      <c r="T638" s="167" t="s">
        <v>70</v>
      </c>
      <c r="U638" s="167" t="s">
        <v>70</v>
      </c>
      <c r="V638" s="167" t="s">
        <v>70</v>
      </c>
      <c r="W638" s="167" t="s">
        <v>70</v>
      </c>
      <c r="X638" s="167" t="s">
        <v>70</v>
      </c>
      <c r="Y638" s="167" t="s">
        <v>70</v>
      </c>
      <c r="Z638" s="167" t="s">
        <v>70</v>
      </c>
      <c r="AA638" s="167" t="s">
        <v>70</v>
      </c>
      <c r="AB638" s="167" t="s">
        <v>70</v>
      </c>
      <c r="AC638" s="167" t="s">
        <v>70</v>
      </c>
      <c r="AD638" s="167" t="s">
        <v>70</v>
      </c>
      <c r="AE638" s="167" t="s">
        <v>70</v>
      </c>
      <c r="AF638" s="167" t="s">
        <v>70</v>
      </c>
      <c r="AG638" s="167" t="s">
        <v>70</v>
      </c>
      <c r="AH638" s="167" t="s">
        <v>70</v>
      </c>
      <c r="AI638" s="111">
        <v>45722</v>
      </c>
      <c r="AJ638" s="166" t="s">
        <v>69</v>
      </c>
      <c r="AK638" s="167" t="s">
        <v>70</v>
      </c>
      <c r="AL638" s="167" t="s">
        <v>70</v>
      </c>
      <c r="AM638" s="167"/>
      <c r="AN638" s="167" t="s">
        <v>70</v>
      </c>
      <c r="AO638" s="167" t="s">
        <v>70</v>
      </c>
      <c r="AP638" s="167" t="s">
        <v>70</v>
      </c>
      <c r="AQ638" s="167" t="s">
        <v>70</v>
      </c>
      <c r="AR638" s="168">
        <v>46276</v>
      </c>
      <c r="AS638" s="167" t="s">
        <v>70</v>
      </c>
      <c r="AT638" s="167" t="s">
        <v>70</v>
      </c>
      <c r="AU638" s="167" t="s">
        <v>70</v>
      </c>
      <c r="AV638" s="167" t="s">
        <v>70</v>
      </c>
      <c r="AW638" s="167" t="s">
        <v>70</v>
      </c>
      <c r="AX638" s="167" t="s">
        <v>70</v>
      </c>
      <c r="AY638" s="167" t="s">
        <v>70</v>
      </c>
      <c r="AZ638" s="167" t="s">
        <v>70</v>
      </c>
      <c r="BA638" s="167" t="s">
        <v>70</v>
      </c>
      <c r="BB638" s="167" t="s">
        <v>70</v>
      </c>
      <c r="BC638" s="167" t="s">
        <v>70</v>
      </c>
      <c r="BD638" s="167" t="s">
        <v>70</v>
      </c>
      <c r="BE638" s="167" t="s">
        <v>70</v>
      </c>
      <c r="BF638" s="167" t="s">
        <v>70</v>
      </c>
      <c r="BG638" s="167" t="s">
        <v>70</v>
      </c>
      <c r="BH638" s="167" t="s">
        <v>70</v>
      </c>
      <c r="BI638" s="167" t="s">
        <v>70</v>
      </c>
      <c r="BJ638" s="167" t="s">
        <v>70</v>
      </c>
      <c r="BK638" s="167" t="s">
        <v>70</v>
      </c>
      <c r="BL638" s="167" t="s">
        <v>70</v>
      </c>
      <c r="BM638" s="167" t="s">
        <v>70</v>
      </c>
      <c r="BN638" s="167" t="s">
        <v>70</v>
      </c>
      <c r="BO638" s="167" t="s">
        <v>70</v>
      </c>
      <c r="BP638" s="167" t="s">
        <v>70</v>
      </c>
      <c r="BQ638" s="151" t="s">
        <v>208</v>
      </c>
      <c r="BR638" s="142"/>
      <c r="BS638" s="142"/>
      <c r="BT638" s="142"/>
      <c r="BU638" s="142"/>
      <c r="BV638" s="142"/>
      <c r="BW638" s="142"/>
      <c r="BX638" s="142"/>
      <c r="BY638" s="142"/>
      <c r="BZ638" s="142"/>
      <c r="CA638" s="142"/>
      <c r="CB638" s="142"/>
      <c r="CC638" s="142"/>
      <c r="CD638" s="142"/>
      <c r="CE638" s="142"/>
      <c r="CF638" s="142"/>
      <c r="CG638" s="142"/>
      <c r="CH638" s="142"/>
      <c r="CI638" s="142"/>
      <c r="CJ638" s="142"/>
      <c r="CK638" s="142"/>
      <c r="CL638" s="142"/>
      <c r="CM638" s="142"/>
      <c r="CN638" s="142"/>
      <c r="CO638" s="142"/>
      <c r="CP638" s="142"/>
      <c r="CQ638" s="142"/>
      <c r="CR638" s="142"/>
      <c r="CS638" s="142"/>
      <c r="CT638" s="142"/>
      <c r="CU638" s="142"/>
      <c r="CV638" s="142"/>
      <c r="CW638" s="142"/>
      <c r="CX638" s="142"/>
      <c r="CY638" s="142"/>
      <c r="CZ638" s="142"/>
      <c r="DA638" s="142"/>
      <c r="DB638" s="142"/>
      <c r="DC638" s="142"/>
      <c r="DD638" s="142"/>
      <c r="DE638" s="142"/>
      <c r="DF638" s="142"/>
      <c r="DG638" s="142"/>
      <c r="DH638" s="142"/>
      <c r="DI638" s="142"/>
      <c r="DJ638" s="142"/>
      <c r="DK638" s="142"/>
      <c r="DL638" s="142"/>
      <c r="DM638" s="142"/>
      <c r="DN638" s="142"/>
      <c r="DO638" s="142"/>
      <c r="DP638" s="142"/>
      <c r="DQ638" s="142"/>
      <c r="DR638" s="142"/>
      <c r="DS638" s="142"/>
      <c r="DT638" s="142"/>
      <c r="DU638" s="142"/>
      <c r="DV638" s="142"/>
      <c r="DW638" s="142"/>
      <c r="DX638" s="142"/>
      <c r="DY638" s="142"/>
      <c r="DZ638" s="142"/>
      <c r="EA638" s="142"/>
      <c r="EB638" s="142"/>
      <c r="EC638" s="142"/>
      <c r="ED638" s="142"/>
      <c r="EE638" s="142"/>
    </row>
    <row r="639" spans="1:135" s="151" customFormat="1" ht="19.5" customHeight="1" x14ac:dyDescent="0.2">
      <c r="A639" s="117">
        <v>638</v>
      </c>
      <c r="B639" s="117" t="s">
        <v>699</v>
      </c>
      <c r="C639" s="117">
        <v>83101972</v>
      </c>
      <c r="D639" s="117" t="s">
        <v>212</v>
      </c>
      <c r="E639" s="117" t="s">
        <v>480</v>
      </c>
      <c r="F639" s="146" t="s">
        <v>256</v>
      </c>
      <c r="G639" s="124" t="s">
        <v>69</v>
      </c>
      <c r="H639" s="89">
        <v>45926</v>
      </c>
      <c r="I639" s="89">
        <v>45926</v>
      </c>
      <c r="J639" s="162">
        <f t="shared" si="52"/>
        <v>47022</v>
      </c>
      <c r="K639" s="89">
        <v>45925</v>
      </c>
      <c r="L639" s="89">
        <v>45925</v>
      </c>
      <c r="M639" s="163">
        <f t="shared" si="53"/>
        <v>47021</v>
      </c>
      <c r="N639" s="89">
        <v>46279</v>
      </c>
      <c r="O639" s="89">
        <v>45923</v>
      </c>
      <c r="P639" s="89">
        <v>45922</v>
      </c>
      <c r="Q639" s="167" t="s">
        <v>70</v>
      </c>
      <c r="R639" s="167" t="s">
        <v>70</v>
      </c>
      <c r="S639" s="167" t="s">
        <v>70</v>
      </c>
      <c r="T639" s="167" t="s">
        <v>70</v>
      </c>
      <c r="U639" s="167" t="s">
        <v>70</v>
      </c>
      <c r="V639" s="167" t="s">
        <v>70</v>
      </c>
      <c r="W639" s="167" t="s">
        <v>70</v>
      </c>
      <c r="X639" s="167" t="s">
        <v>70</v>
      </c>
      <c r="Y639" s="167" t="s">
        <v>70</v>
      </c>
      <c r="Z639" s="167" t="s">
        <v>70</v>
      </c>
      <c r="AA639" s="167" t="s">
        <v>70</v>
      </c>
      <c r="AB639" s="167" t="s">
        <v>70</v>
      </c>
      <c r="AC639" s="167" t="s">
        <v>70</v>
      </c>
      <c r="AD639" s="167" t="s">
        <v>70</v>
      </c>
      <c r="AE639" s="167" t="s">
        <v>70</v>
      </c>
      <c r="AF639" s="167" t="s">
        <v>70</v>
      </c>
      <c r="AG639" s="167" t="s">
        <v>70</v>
      </c>
      <c r="AH639" s="167" t="s">
        <v>70</v>
      </c>
      <c r="AI639" s="111">
        <v>45764</v>
      </c>
      <c r="AJ639" s="166" t="s">
        <v>69</v>
      </c>
      <c r="AK639" s="167" t="s">
        <v>70</v>
      </c>
      <c r="AL639" s="167" t="s">
        <v>70</v>
      </c>
      <c r="AM639" s="167"/>
      <c r="AN639" s="167" t="s">
        <v>70</v>
      </c>
      <c r="AO639" s="167" t="s">
        <v>70</v>
      </c>
      <c r="AP639" s="167" t="s">
        <v>70</v>
      </c>
      <c r="AQ639" s="167" t="s">
        <v>70</v>
      </c>
      <c r="AR639" s="166" t="s">
        <v>69</v>
      </c>
      <c r="AS639" s="167" t="s">
        <v>70</v>
      </c>
      <c r="AT639" s="167" t="s">
        <v>70</v>
      </c>
      <c r="AU639" s="167" t="s">
        <v>70</v>
      </c>
      <c r="AV639" s="167" t="s">
        <v>70</v>
      </c>
      <c r="AW639" s="167" t="s">
        <v>70</v>
      </c>
      <c r="AX639" s="167" t="s">
        <v>70</v>
      </c>
      <c r="AY639" s="167" t="s">
        <v>70</v>
      </c>
      <c r="AZ639" s="167" t="s">
        <v>70</v>
      </c>
      <c r="BA639" s="167" t="s">
        <v>70</v>
      </c>
      <c r="BB639" s="167" t="s">
        <v>70</v>
      </c>
      <c r="BC639" s="167" t="s">
        <v>70</v>
      </c>
      <c r="BD639" s="167" t="s">
        <v>70</v>
      </c>
      <c r="BE639" s="167" t="s">
        <v>70</v>
      </c>
      <c r="BF639" s="167" t="s">
        <v>70</v>
      </c>
      <c r="BG639" s="167" t="s">
        <v>70</v>
      </c>
      <c r="BH639" s="167" t="s">
        <v>70</v>
      </c>
      <c r="BI639" s="167" t="s">
        <v>70</v>
      </c>
      <c r="BJ639" s="167" t="s">
        <v>70</v>
      </c>
      <c r="BK639" s="167" t="s">
        <v>70</v>
      </c>
      <c r="BL639" s="167" t="s">
        <v>70</v>
      </c>
      <c r="BM639" s="167" t="s">
        <v>70</v>
      </c>
      <c r="BN639" s="167" t="s">
        <v>70</v>
      </c>
      <c r="BO639" s="167" t="s">
        <v>70</v>
      </c>
      <c r="BP639" s="167" t="s">
        <v>70</v>
      </c>
      <c r="BQ639" s="151" t="s">
        <v>208</v>
      </c>
    </row>
    <row r="640" spans="1:135" s="151" customFormat="1" ht="19.5" customHeight="1" x14ac:dyDescent="0.2">
      <c r="A640" s="117">
        <v>639</v>
      </c>
      <c r="B640" s="117" t="s">
        <v>701</v>
      </c>
      <c r="C640" s="117">
        <v>83103335</v>
      </c>
      <c r="D640" s="117" t="s">
        <v>212</v>
      </c>
      <c r="E640" s="117" t="s">
        <v>480</v>
      </c>
      <c r="F640" s="146" t="s">
        <v>256</v>
      </c>
      <c r="G640" s="124" t="s">
        <v>69</v>
      </c>
      <c r="H640" s="89">
        <v>45926</v>
      </c>
      <c r="I640" s="89">
        <v>45926</v>
      </c>
      <c r="J640" s="162">
        <f t="shared" si="52"/>
        <v>47022</v>
      </c>
      <c r="K640" s="89">
        <v>45925</v>
      </c>
      <c r="L640" s="89">
        <v>45925</v>
      </c>
      <c r="M640" s="163">
        <f t="shared" si="53"/>
        <v>47021</v>
      </c>
      <c r="N640" s="89">
        <v>45924</v>
      </c>
      <c r="O640" s="89">
        <v>45923</v>
      </c>
      <c r="P640" s="89">
        <v>45922</v>
      </c>
      <c r="Q640" s="167" t="s">
        <v>70</v>
      </c>
      <c r="R640" s="167" t="s">
        <v>70</v>
      </c>
      <c r="S640" s="167" t="s">
        <v>70</v>
      </c>
      <c r="T640" s="167" t="s">
        <v>70</v>
      </c>
      <c r="U640" s="167" t="s">
        <v>70</v>
      </c>
      <c r="V640" s="167" t="s">
        <v>70</v>
      </c>
      <c r="W640" s="167" t="s">
        <v>70</v>
      </c>
      <c r="X640" s="167" t="s">
        <v>70</v>
      </c>
      <c r="Y640" s="167" t="s">
        <v>70</v>
      </c>
      <c r="Z640" s="167" t="s">
        <v>70</v>
      </c>
      <c r="AA640" s="167" t="s">
        <v>70</v>
      </c>
      <c r="AB640" s="167" t="s">
        <v>70</v>
      </c>
      <c r="AC640" s="167" t="s">
        <v>70</v>
      </c>
      <c r="AD640" s="167" t="s">
        <v>70</v>
      </c>
      <c r="AE640" s="167" t="s">
        <v>70</v>
      </c>
      <c r="AF640" s="167" t="s">
        <v>70</v>
      </c>
      <c r="AG640" s="167" t="s">
        <v>70</v>
      </c>
      <c r="AH640" s="167" t="s">
        <v>70</v>
      </c>
      <c r="AI640" s="186">
        <v>45715</v>
      </c>
      <c r="AJ640" s="166" t="s">
        <v>69</v>
      </c>
      <c r="AK640" s="167" t="s">
        <v>70</v>
      </c>
      <c r="AL640" s="167" t="s">
        <v>70</v>
      </c>
      <c r="AM640" s="167"/>
      <c r="AN640" s="167" t="s">
        <v>70</v>
      </c>
      <c r="AO640" s="167" t="s">
        <v>70</v>
      </c>
      <c r="AP640" s="167" t="s">
        <v>70</v>
      </c>
      <c r="AQ640" s="167" t="s">
        <v>70</v>
      </c>
      <c r="AR640" s="166" t="s">
        <v>69</v>
      </c>
      <c r="AS640" s="167" t="s">
        <v>70</v>
      </c>
      <c r="AT640" s="167" t="s">
        <v>70</v>
      </c>
      <c r="AU640" s="167" t="s">
        <v>70</v>
      </c>
      <c r="AV640" s="167" t="s">
        <v>70</v>
      </c>
      <c r="AW640" s="167" t="s">
        <v>70</v>
      </c>
      <c r="AX640" s="167" t="s">
        <v>70</v>
      </c>
      <c r="AY640" s="167" t="s">
        <v>70</v>
      </c>
      <c r="AZ640" s="167" t="s">
        <v>70</v>
      </c>
      <c r="BA640" s="167" t="s">
        <v>70</v>
      </c>
      <c r="BB640" s="167" t="s">
        <v>70</v>
      </c>
      <c r="BC640" s="167" t="s">
        <v>70</v>
      </c>
      <c r="BD640" s="167" t="s">
        <v>70</v>
      </c>
      <c r="BE640" s="167" t="s">
        <v>70</v>
      </c>
      <c r="BF640" s="167" t="s">
        <v>70</v>
      </c>
      <c r="BG640" s="167" t="s">
        <v>70</v>
      </c>
      <c r="BH640" s="167" t="s">
        <v>70</v>
      </c>
      <c r="BI640" s="167" t="s">
        <v>70</v>
      </c>
      <c r="BJ640" s="167" t="s">
        <v>70</v>
      </c>
      <c r="BK640" s="167" t="s">
        <v>70</v>
      </c>
      <c r="BL640" s="167" t="s">
        <v>70</v>
      </c>
      <c r="BM640" s="167" t="s">
        <v>70</v>
      </c>
      <c r="BN640" s="167" t="s">
        <v>70</v>
      </c>
      <c r="BO640" s="167" t="s">
        <v>70</v>
      </c>
      <c r="BP640" s="167" t="s">
        <v>70</v>
      </c>
      <c r="BQ640" s="151" t="s">
        <v>208</v>
      </c>
    </row>
    <row r="641" spans="1:69" s="151" customFormat="1" ht="19.5" customHeight="1" x14ac:dyDescent="0.2">
      <c r="A641" s="117">
        <v>640</v>
      </c>
      <c r="B641" s="117" t="s">
        <v>702</v>
      </c>
      <c r="C641" s="117">
        <v>83103336</v>
      </c>
      <c r="D641" s="117" t="s">
        <v>212</v>
      </c>
      <c r="E641" s="117" t="s">
        <v>480</v>
      </c>
      <c r="F641" s="146" t="s">
        <v>256</v>
      </c>
      <c r="G641" s="124" t="s">
        <v>69</v>
      </c>
      <c r="H641" s="89">
        <v>45889</v>
      </c>
      <c r="I641" s="89">
        <v>45889</v>
      </c>
      <c r="J641" s="162">
        <f t="shared" si="52"/>
        <v>46985</v>
      </c>
      <c r="K641" s="89">
        <v>45888</v>
      </c>
      <c r="L641" s="89">
        <v>45888</v>
      </c>
      <c r="M641" s="163">
        <f t="shared" si="53"/>
        <v>46984</v>
      </c>
      <c r="N641" s="89">
        <v>45891</v>
      </c>
      <c r="O641" s="89">
        <v>45890</v>
      </c>
      <c r="P641" s="89">
        <v>45887</v>
      </c>
      <c r="Q641" s="167" t="s">
        <v>70</v>
      </c>
      <c r="R641" s="167" t="s">
        <v>70</v>
      </c>
      <c r="S641" s="167" t="s">
        <v>70</v>
      </c>
      <c r="T641" s="167" t="s">
        <v>70</v>
      </c>
      <c r="U641" s="167" t="s">
        <v>70</v>
      </c>
      <c r="V641" s="167" t="s">
        <v>70</v>
      </c>
      <c r="W641" s="167" t="s">
        <v>70</v>
      </c>
      <c r="X641" s="167" t="s">
        <v>70</v>
      </c>
      <c r="Y641" s="167" t="s">
        <v>70</v>
      </c>
      <c r="Z641" s="167" t="s">
        <v>70</v>
      </c>
      <c r="AA641" s="167" t="s">
        <v>70</v>
      </c>
      <c r="AB641" s="167" t="s">
        <v>70</v>
      </c>
      <c r="AC641" s="167" t="s">
        <v>70</v>
      </c>
      <c r="AD641" s="167" t="s">
        <v>70</v>
      </c>
      <c r="AE641" s="167" t="s">
        <v>70</v>
      </c>
      <c r="AF641" s="167" t="s">
        <v>70</v>
      </c>
      <c r="AG641" s="167" t="s">
        <v>70</v>
      </c>
      <c r="AH641" s="167" t="s">
        <v>70</v>
      </c>
      <c r="AI641" s="111">
        <v>45727</v>
      </c>
      <c r="AJ641" s="166" t="s">
        <v>69</v>
      </c>
      <c r="AK641" s="167" t="s">
        <v>70</v>
      </c>
      <c r="AL641" s="167" t="s">
        <v>70</v>
      </c>
      <c r="AM641" s="167"/>
      <c r="AN641" s="167" t="s">
        <v>70</v>
      </c>
      <c r="AO641" s="167" t="s">
        <v>70</v>
      </c>
      <c r="AP641" s="167" t="s">
        <v>70</v>
      </c>
      <c r="AQ641" s="167" t="s">
        <v>70</v>
      </c>
      <c r="AR641" s="166" t="s">
        <v>69</v>
      </c>
      <c r="AS641" s="167" t="s">
        <v>70</v>
      </c>
      <c r="AT641" s="167" t="s">
        <v>70</v>
      </c>
      <c r="AU641" s="167" t="s">
        <v>70</v>
      </c>
      <c r="AV641" s="167" t="s">
        <v>70</v>
      </c>
      <c r="AW641" s="167" t="s">
        <v>70</v>
      </c>
      <c r="AX641" s="167" t="s">
        <v>70</v>
      </c>
      <c r="AY641" s="167" t="s">
        <v>70</v>
      </c>
      <c r="AZ641" s="167" t="s">
        <v>70</v>
      </c>
      <c r="BA641" s="167" t="s">
        <v>70</v>
      </c>
      <c r="BB641" s="167" t="s">
        <v>70</v>
      </c>
      <c r="BC641" s="167" t="s">
        <v>70</v>
      </c>
      <c r="BD641" s="167" t="s">
        <v>70</v>
      </c>
      <c r="BE641" s="167" t="s">
        <v>70</v>
      </c>
      <c r="BF641" s="167" t="s">
        <v>70</v>
      </c>
      <c r="BG641" s="167" t="s">
        <v>70</v>
      </c>
      <c r="BH641" s="167" t="s">
        <v>70</v>
      </c>
      <c r="BI641" s="167" t="s">
        <v>70</v>
      </c>
      <c r="BJ641" s="167" t="s">
        <v>70</v>
      </c>
      <c r="BK641" s="167" t="s">
        <v>70</v>
      </c>
      <c r="BL641" s="167" t="s">
        <v>70</v>
      </c>
      <c r="BM641" s="167" t="s">
        <v>70</v>
      </c>
      <c r="BN641" s="167" t="s">
        <v>70</v>
      </c>
      <c r="BO641" s="167" t="s">
        <v>70</v>
      </c>
      <c r="BP641" s="167" t="s">
        <v>70</v>
      </c>
      <c r="BQ641" s="151" t="s">
        <v>208</v>
      </c>
    </row>
    <row r="642" spans="1:69" s="151" customFormat="1" ht="19.5" customHeight="1" x14ac:dyDescent="0.2">
      <c r="A642" s="117">
        <v>641</v>
      </c>
      <c r="B642" s="117" t="s">
        <v>710</v>
      </c>
      <c r="C642" s="117">
        <v>83117938</v>
      </c>
      <c r="D642" s="117" t="s">
        <v>212</v>
      </c>
      <c r="E642" s="117" t="s">
        <v>480</v>
      </c>
      <c r="F642" s="146" t="s">
        <v>256</v>
      </c>
      <c r="G642" s="124" t="s">
        <v>69</v>
      </c>
      <c r="H642" s="89">
        <v>45863</v>
      </c>
      <c r="I642" s="89">
        <v>45863</v>
      </c>
      <c r="J642" s="162">
        <f t="shared" si="52"/>
        <v>46959</v>
      </c>
      <c r="K642" s="89">
        <v>45862</v>
      </c>
      <c r="L642" s="89">
        <v>45862</v>
      </c>
      <c r="M642" s="163">
        <f t="shared" si="53"/>
        <v>46958</v>
      </c>
      <c r="N642" s="89">
        <v>45859</v>
      </c>
      <c r="O642" s="89">
        <v>45860</v>
      </c>
      <c r="P642" s="89">
        <v>45861</v>
      </c>
      <c r="Q642" s="167" t="s">
        <v>70</v>
      </c>
      <c r="R642" s="167" t="s">
        <v>70</v>
      </c>
      <c r="S642" s="167" t="s">
        <v>70</v>
      </c>
      <c r="T642" s="167" t="s">
        <v>70</v>
      </c>
      <c r="U642" s="167" t="s">
        <v>70</v>
      </c>
      <c r="V642" s="167" t="s">
        <v>70</v>
      </c>
      <c r="W642" s="167" t="s">
        <v>70</v>
      </c>
      <c r="X642" s="167" t="s">
        <v>70</v>
      </c>
      <c r="Y642" s="167" t="s">
        <v>70</v>
      </c>
      <c r="Z642" s="167" t="s">
        <v>70</v>
      </c>
      <c r="AA642" s="167" t="s">
        <v>70</v>
      </c>
      <c r="AB642" s="167" t="s">
        <v>70</v>
      </c>
      <c r="AC642" s="167" t="s">
        <v>70</v>
      </c>
      <c r="AD642" s="167" t="s">
        <v>70</v>
      </c>
      <c r="AE642" s="167" t="s">
        <v>70</v>
      </c>
      <c r="AF642" s="167" t="s">
        <v>70</v>
      </c>
      <c r="AG642" s="167" t="s">
        <v>70</v>
      </c>
      <c r="AH642" s="167" t="s">
        <v>70</v>
      </c>
      <c r="AI642" s="186">
        <v>45769</v>
      </c>
      <c r="AJ642" s="166" t="s">
        <v>69</v>
      </c>
      <c r="AK642" s="167" t="s">
        <v>70</v>
      </c>
      <c r="AL642" s="167" t="s">
        <v>70</v>
      </c>
      <c r="AM642" s="167"/>
      <c r="AN642" s="167" t="s">
        <v>70</v>
      </c>
      <c r="AO642" s="167" t="s">
        <v>70</v>
      </c>
      <c r="AP642" s="167" t="s">
        <v>70</v>
      </c>
      <c r="AQ642" s="167" t="s">
        <v>70</v>
      </c>
      <c r="AR642" s="166" t="s">
        <v>69</v>
      </c>
      <c r="AS642" s="167" t="s">
        <v>70</v>
      </c>
      <c r="AT642" s="167" t="s">
        <v>70</v>
      </c>
      <c r="AU642" s="167" t="s">
        <v>70</v>
      </c>
      <c r="AV642" s="167" t="s">
        <v>70</v>
      </c>
      <c r="AW642" s="167" t="s">
        <v>70</v>
      </c>
      <c r="AX642" s="167" t="s">
        <v>70</v>
      </c>
      <c r="AY642" s="167" t="s">
        <v>70</v>
      </c>
      <c r="AZ642" s="167" t="s">
        <v>70</v>
      </c>
      <c r="BA642" s="167" t="s">
        <v>70</v>
      </c>
      <c r="BB642" s="167" t="s">
        <v>70</v>
      </c>
      <c r="BC642" s="167" t="s">
        <v>70</v>
      </c>
      <c r="BD642" s="167" t="s">
        <v>70</v>
      </c>
      <c r="BE642" s="167" t="s">
        <v>70</v>
      </c>
      <c r="BF642" s="167" t="s">
        <v>70</v>
      </c>
      <c r="BG642" s="167" t="s">
        <v>70</v>
      </c>
      <c r="BH642" s="167" t="s">
        <v>70</v>
      </c>
      <c r="BI642" s="167" t="s">
        <v>70</v>
      </c>
      <c r="BJ642" s="167" t="s">
        <v>70</v>
      </c>
      <c r="BK642" s="167" t="s">
        <v>70</v>
      </c>
      <c r="BL642" s="167" t="s">
        <v>70</v>
      </c>
      <c r="BM642" s="167" t="s">
        <v>70</v>
      </c>
      <c r="BN642" s="167" t="s">
        <v>70</v>
      </c>
      <c r="BO642" s="167" t="s">
        <v>70</v>
      </c>
      <c r="BP642" s="167" t="s">
        <v>70</v>
      </c>
      <c r="BQ642" s="151" t="s">
        <v>208</v>
      </c>
    </row>
    <row r="643" spans="1:69" s="151" customFormat="1" ht="19.5" customHeight="1" x14ac:dyDescent="0.2">
      <c r="A643" s="117">
        <v>642</v>
      </c>
      <c r="B643" s="117" t="s">
        <v>715</v>
      </c>
      <c r="C643" s="117">
        <v>83119567</v>
      </c>
      <c r="D643" s="117" t="s">
        <v>212</v>
      </c>
      <c r="E643" s="117" t="s">
        <v>480</v>
      </c>
      <c r="F643" s="146" t="s">
        <v>256</v>
      </c>
      <c r="G643" s="124" t="s">
        <v>69</v>
      </c>
      <c r="H643" s="89">
        <v>45828</v>
      </c>
      <c r="I643" s="89">
        <v>45828</v>
      </c>
      <c r="J643" s="162">
        <f t="shared" si="52"/>
        <v>46924</v>
      </c>
      <c r="K643" s="89">
        <v>45827</v>
      </c>
      <c r="L643" s="89">
        <v>45827</v>
      </c>
      <c r="M643" s="163">
        <f t="shared" si="53"/>
        <v>46923</v>
      </c>
      <c r="N643" s="89">
        <v>45825</v>
      </c>
      <c r="O643" s="89">
        <v>45824</v>
      </c>
      <c r="P643" s="89">
        <v>45826</v>
      </c>
      <c r="Q643" s="167" t="s">
        <v>70</v>
      </c>
      <c r="R643" s="167" t="s">
        <v>70</v>
      </c>
      <c r="S643" s="167" t="s">
        <v>70</v>
      </c>
      <c r="T643" s="167" t="s">
        <v>70</v>
      </c>
      <c r="U643" s="167" t="s">
        <v>70</v>
      </c>
      <c r="V643" s="167" t="s">
        <v>70</v>
      </c>
      <c r="W643" s="167" t="s">
        <v>70</v>
      </c>
      <c r="X643" s="167" t="s">
        <v>70</v>
      </c>
      <c r="Y643" s="167" t="s">
        <v>70</v>
      </c>
      <c r="Z643" s="167" t="s">
        <v>70</v>
      </c>
      <c r="AA643" s="167" t="s">
        <v>70</v>
      </c>
      <c r="AB643" s="167" t="s">
        <v>70</v>
      </c>
      <c r="AC643" s="167" t="s">
        <v>70</v>
      </c>
      <c r="AD643" s="167" t="s">
        <v>70</v>
      </c>
      <c r="AE643" s="167" t="s">
        <v>70</v>
      </c>
      <c r="AF643" s="167" t="s">
        <v>70</v>
      </c>
      <c r="AG643" s="167" t="s">
        <v>70</v>
      </c>
      <c r="AH643" s="167" t="s">
        <v>70</v>
      </c>
      <c r="AI643" s="186">
        <v>45769</v>
      </c>
      <c r="AJ643" s="166" t="s">
        <v>69</v>
      </c>
      <c r="AK643" s="167" t="s">
        <v>70</v>
      </c>
      <c r="AL643" s="167" t="s">
        <v>70</v>
      </c>
      <c r="AM643" s="167"/>
      <c r="AN643" s="167" t="s">
        <v>70</v>
      </c>
      <c r="AO643" s="167" t="s">
        <v>70</v>
      </c>
      <c r="AP643" s="167" t="s">
        <v>70</v>
      </c>
      <c r="AQ643" s="167" t="s">
        <v>70</v>
      </c>
      <c r="AR643" s="168">
        <v>46220</v>
      </c>
      <c r="AS643" s="167" t="s">
        <v>70</v>
      </c>
      <c r="AT643" s="167" t="s">
        <v>70</v>
      </c>
      <c r="AU643" s="167" t="s">
        <v>70</v>
      </c>
      <c r="AV643" s="167" t="s">
        <v>70</v>
      </c>
      <c r="AW643" s="167" t="s">
        <v>70</v>
      </c>
      <c r="AX643" s="167" t="s">
        <v>70</v>
      </c>
      <c r="AY643" s="167" t="s">
        <v>70</v>
      </c>
      <c r="AZ643" s="167" t="s">
        <v>70</v>
      </c>
      <c r="BA643" s="167" t="s">
        <v>70</v>
      </c>
      <c r="BB643" s="167" t="s">
        <v>70</v>
      </c>
      <c r="BC643" s="167" t="s">
        <v>70</v>
      </c>
      <c r="BD643" s="167" t="s">
        <v>70</v>
      </c>
      <c r="BE643" s="167" t="s">
        <v>70</v>
      </c>
      <c r="BF643" s="167" t="s">
        <v>70</v>
      </c>
      <c r="BG643" s="167" t="s">
        <v>70</v>
      </c>
      <c r="BH643" s="167" t="s">
        <v>70</v>
      </c>
      <c r="BI643" s="167" t="s">
        <v>70</v>
      </c>
      <c r="BJ643" s="167" t="s">
        <v>70</v>
      </c>
      <c r="BK643" s="167" t="s">
        <v>70</v>
      </c>
      <c r="BL643" s="167" t="s">
        <v>70</v>
      </c>
      <c r="BM643" s="167" t="s">
        <v>70</v>
      </c>
      <c r="BN643" s="167" t="s">
        <v>70</v>
      </c>
      <c r="BO643" s="167" t="s">
        <v>70</v>
      </c>
      <c r="BP643" s="167" t="s">
        <v>70</v>
      </c>
      <c r="BQ643" s="151" t="s">
        <v>208</v>
      </c>
    </row>
    <row r="644" spans="1:69" s="151" customFormat="1" ht="19.5" customHeight="1" x14ac:dyDescent="0.2">
      <c r="A644" s="117">
        <v>643</v>
      </c>
      <c r="B644" s="117" t="s">
        <v>721</v>
      </c>
      <c r="C644" s="117">
        <v>84123768</v>
      </c>
      <c r="D644" s="117" t="s">
        <v>212</v>
      </c>
      <c r="E644" s="117" t="s">
        <v>480</v>
      </c>
      <c r="F644" s="146" t="s">
        <v>256</v>
      </c>
      <c r="G644" s="124" t="s">
        <v>69</v>
      </c>
      <c r="H644" s="140">
        <v>45961</v>
      </c>
      <c r="I644" s="140">
        <v>45961</v>
      </c>
      <c r="J644" s="162">
        <f t="shared" si="52"/>
        <v>47057</v>
      </c>
      <c r="K644" s="89">
        <v>42549</v>
      </c>
      <c r="L644" s="92">
        <v>45960</v>
      </c>
      <c r="M644" s="163">
        <f t="shared" si="53"/>
        <v>47056</v>
      </c>
      <c r="N644" s="89">
        <v>45959</v>
      </c>
      <c r="O644" s="89">
        <v>45958</v>
      </c>
      <c r="P644" s="89">
        <v>45957</v>
      </c>
      <c r="Q644" s="167" t="s">
        <v>70</v>
      </c>
      <c r="R644" s="167" t="s">
        <v>70</v>
      </c>
      <c r="S644" s="167" t="s">
        <v>70</v>
      </c>
      <c r="T644" s="167" t="s">
        <v>70</v>
      </c>
      <c r="U644" s="167" t="s">
        <v>70</v>
      </c>
      <c r="V644" s="167" t="s">
        <v>70</v>
      </c>
      <c r="W644" s="167" t="s">
        <v>70</v>
      </c>
      <c r="X644" s="167" t="s">
        <v>70</v>
      </c>
      <c r="Y644" s="167" t="s">
        <v>70</v>
      </c>
      <c r="Z644" s="167" t="s">
        <v>70</v>
      </c>
      <c r="AA644" s="167" t="s">
        <v>70</v>
      </c>
      <c r="AB644" s="167" t="s">
        <v>70</v>
      </c>
      <c r="AC644" s="167" t="s">
        <v>70</v>
      </c>
      <c r="AD644" s="167" t="s">
        <v>70</v>
      </c>
      <c r="AE644" s="167" t="s">
        <v>70</v>
      </c>
      <c r="AF644" s="167" t="s">
        <v>70</v>
      </c>
      <c r="AG644" s="167" t="s">
        <v>70</v>
      </c>
      <c r="AH644" s="167" t="s">
        <v>70</v>
      </c>
      <c r="AI644" s="111">
        <v>45727</v>
      </c>
      <c r="AJ644" s="166" t="s">
        <v>69</v>
      </c>
      <c r="AK644" s="167" t="s">
        <v>70</v>
      </c>
      <c r="AL644" s="167" t="s">
        <v>70</v>
      </c>
      <c r="AM644" s="167"/>
      <c r="AN644" s="167" t="s">
        <v>70</v>
      </c>
      <c r="AO644" s="167" t="s">
        <v>70</v>
      </c>
      <c r="AP644" s="167" t="s">
        <v>70</v>
      </c>
      <c r="AQ644" s="167" t="s">
        <v>70</v>
      </c>
      <c r="AR644" s="166" t="s">
        <v>69</v>
      </c>
      <c r="AS644" s="167" t="s">
        <v>70</v>
      </c>
      <c r="AT644" s="167" t="s">
        <v>70</v>
      </c>
      <c r="AU644" s="167" t="s">
        <v>70</v>
      </c>
      <c r="AV644" s="167" t="s">
        <v>70</v>
      </c>
      <c r="AW644" s="167" t="s">
        <v>70</v>
      </c>
      <c r="AX644" s="167" t="s">
        <v>70</v>
      </c>
      <c r="AY644" s="167" t="s">
        <v>70</v>
      </c>
      <c r="AZ644" s="167" t="s">
        <v>70</v>
      </c>
      <c r="BA644" s="167" t="s">
        <v>70</v>
      </c>
      <c r="BB644" s="167" t="s">
        <v>70</v>
      </c>
      <c r="BC644" s="167" t="s">
        <v>70</v>
      </c>
      <c r="BD644" s="167" t="s">
        <v>70</v>
      </c>
      <c r="BE644" s="167" t="s">
        <v>70</v>
      </c>
      <c r="BF644" s="167" t="s">
        <v>70</v>
      </c>
      <c r="BG644" s="167" t="s">
        <v>70</v>
      </c>
      <c r="BH644" s="167" t="s">
        <v>70</v>
      </c>
      <c r="BI644" s="167" t="s">
        <v>70</v>
      </c>
      <c r="BJ644" s="167" t="s">
        <v>70</v>
      </c>
      <c r="BK644" s="167" t="s">
        <v>70</v>
      </c>
      <c r="BL644" s="167" t="s">
        <v>70</v>
      </c>
      <c r="BM644" s="167" t="s">
        <v>70</v>
      </c>
      <c r="BN644" s="167" t="s">
        <v>70</v>
      </c>
      <c r="BO644" s="167" t="s">
        <v>70</v>
      </c>
      <c r="BP644" s="167" t="s">
        <v>70</v>
      </c>
      <c r="BQ644" s="151" t="s">
        <v>208</v>
      </c>
    </row>
    <row r="645" spans="1:69" s="151" customFormat="1" ht="19.5" customHeight="1" x14ac:dyDescent="0.2">
      <c r="A645" s="117">
        <v>644</v>
      </c>
      <c r="B645" s="117" t="s">
        <v>725</v>
      </c>
      <c r="C645" s="117">
        <v>83117885</v>
      </c>
      <c r="D645" s="117" t="s">
        <v>212</v>
      </c>
      <c r="E645" s="117" t="s">
        <v>480</v>
      </c>
      <c r="F645" s="146" t="s">
        <v>256</v>
      </c>
      <c r="G645" s="124" t="s">
        <v>69</v>
      </c>
      <c r="H645" s="89">
        <v>46003</v>
      </c>
      <c r="I645" s="89">
        <v>46003</v>
      </c>
      <c r="J645" s="162">
        <f t="shared" si="52"/>
        <v>47099</v>
      </c>
      <c r="K645" s="89">
        <v>42146</v>
      </c>
      <c r="L645" s="140">
        <v>46001</v>
      </c>
      <c r="M645" s="163">
        <f t="shared" si="53"/>
        <v>47097</v>
      </c>
      <c r="N645" s="124">
        <v>45999</v>
      </c>
      <c r="O645" s="124">
        <v>46002</v>
      </c>
      <c r="P645" s="124">
        <v>46000</v>
      </c>
      <c r="Q645" s="167" t="s">
        <v>70</v>
      </c>
      <c r="R645" s="167" t="s">
        <v>70</v>
      </c>
      <c r="S645" s="167" t="s">
        <v>70</v>
      </c>
      <c r="T645" s="167" t="s">
        <v>70</v>
      </c>
      <c r="U645" s="167" t="s">
        <v>70</v>
      </c>
      <c r="V645" s="167" t="s">
        <v>70</v>
      </c>
      <c r="W645" s="167" t="s">
        <v>70</v>
      </c>
      <c r="X645" s="167" t="s">
        <v>70</v>
      </c>
      <c r="Y645" s="167" t="s">
        <v>70</v>
      </c>
      <c r="Z645" s="167" t="s">
        <v>70</v>
      </c>
      <c r="AA645" s="167" t="s">
        <v>70</v>
      </c>
      <c r="AB645" s="167" t="s">
        <v>70</v>
      </c>
      <c r="AC645" s="167" t="s">
        <v>70</v>
      </c>
      <c r="AD645" s="167" t="s">
        <v>70</v>
      </c>
      <c r="AE645" s="167" t="s">
        <v>70</v>
      </c>
      <c r="AF645" s="167" t="s">
        <v>70</v>
      </c>
      <c r="AG645" s="167" t="s">
        <v>70</v>
      </c>
      <c r="AH645" s="167" t="s">
        <v>70</v>
      </c>
      <c r="AI645" s="111">
        <v>45694</v>
      </c>
      <c r="AJ645" s="166" t="s">
        <v>69</v>
      </c>
      <c r="AK645" s="167" t="s">
        <v>70</v>
      </c>
      <c r="AL645" s="167" t="s">
        <v>70</v>
      </c>
      <c r="AM645" s="167"/>
      <c r="AN645" s="167" t="s">
        <v>70</v>
      </c>
      <c r="AO645" s="167" t="s">
        <v>70</v>
      </c>
      <c r="AP645" s="167" t="s">
        <v>70</v>
      </c>
      <c r="AQ645" s="167" t="s">
        <v>70</v>
      </c>
      <c r="AR645" s="166" t="s">
        <v>69</v>
      </c>
      <c r="AS645" s="167" t="s">
        <v>70</v>
      </c>
      <c r="AT645" s="167" t="s">
        <v>70</v>
      </c>
      <c r="AU645" s="167" t="s">
        <v>70</v>
      </c>
      <c r="AV645" s="167" t="s">
        <v>70</v>
      </c>
      <c r="AW645" s="167" t="s">
        <v>70</v>
      </c>
      <c r="AX645" s="167" t="s">
        <v>70</v>
      </c>
      <c r="AY645" s="167" t="s">
        <v>70</v>
      </c>
      <c r="AZ645" s="167" t="s">
        <v>70</v>
      </c>
      <c r="BA645" s="167" t="s">
        <v>70</v>
      </c>
      <c r="BB645" s="167" t="s">
        <v>70</v>
      </c>
      <c r="BC645" s="167" t="s">
        <v>70</v>
      </c>
      <c r="BD645" s="167" t="s">
        <v>70</v>
      </c>
      <c r="BE645" s="167" t="s">
        <v>70</v>
      </c>
      <c r="BF645" s="167" t="s">
        <v>70</v>
      </c>
      <c r="BG645" s="167" t="s">
        <v>70</v>
      </c>
      <c r="BH645" s="167" t="s">
        <v>70</v>
      </c>
      <c r="BI645" s="167" t="s">
        <v>70</v>
      </c>
      <c r="BJ645" s="167" t="s">
        <v>70</v>
      </c>
      <c r="BK645" s="167" t="s">
        <v>70</v>
      </c>
      <c r="BL645" s="167" t="s">
        <v>70</v>
      </c>
      <c r="BM645" s="167" t="s">
        <v>70</v>
      </c>
      <c r="BN645" s="167" t="s">
        <v>70</v>
      </c>
      <c r="BO645" s="167" t="s">
        <v>70</v>
      </c>
      <c r="BP645" s="167" t="s">
        <v>70</v>
      </c>
      <c r="BQ645" s="151" t="s">
        <v>208</v>
      </c>
    </row>
    <row r="646" spans="1:69" s="151" customFormat="1" ht="19.5" customHeight="1" x14ac:dyDescent="0.2">
      <c r="A646" s="117">
        <v>645</v>
      </c>
      <c r="B646" s="117" t="s">
        <v>738</v>
      </c>
      <c r="C646" s="117">
        <v>132387</v>
      </c>
      <c r="D646" s="117" t="s">
        <v>212</v>
      </c>
      <c r="E646" s="117" t="s">
        <v>480</v>
      </c>
      <c r="F646" s="146" t="s">
        <v>256</v>
      </c>
      <c r="G646" s="124" t="s">
        <v>69</v>
      </c>
      <c r="H646" s="140">
        <v>45961</v>
      </c>
      <c r="I646" s="140">
        <v>45961</v>
      </c>
      <c r="J646" s="162">
        <f t="shared" si="52"/>
        <v>47057</v>
      </c>
      <c r="K646" s="89">
        <v>42549</v>
      </c>
      <c r="L646" s="92">
        <v>45960</v>
      </c>
      <c r="M646" s="163">
        <f t="shared" si="53"/>
        <v>47056</v>
      </c>
      <c r="N646" s="111">
        <v>45959</v>
      </c>
      <c r="O646" s="111">
        <v>45958</v>
      </c>
      <c r="P646" s="111">
        <v>45957</v>
      </c>
      <c r="Q646" s="167" t="s">
        <v>70</v>
      </c>
      <c r="R646" s="167" t="s">
        <v>70</v>
      </c>
      <c r="S646" s="167" t="s">
        <v>70</v>
      </c>
      <c r="T646" s="167" t="s">
        <v>70</v>
      </c>
      <c r="U646" s="167" t="s">
        <v>70</v>
      </c>
      <c r="V646" s="167" t="s">
        <v>70</v>
      </c>
      <c r="W646" s="167" t="s">
        <v>70</v>
      </c>
      <c r="X646" s="167" t="s">
        <v>70</v>
      </c>
      <c r="Y646" s="167" t="s">
        <v>70</v>
      </c>
      <c r="Z646" s="167" t="s">
        <v>70</v>
      </c>
      <c r="AA646" s="167" t="s">
        <v>70</v>
      </c>
      <c r="AB646" s="167" t="s">
        <v>70</v>
      </c>
      <c r="AC646" s="167" t="s">
        <v>70</v>
      </c>
      <c r="AD646" s="167" t="s">
        <v>70</v>
      </c>
      <c r="AE646" s="167" t="s">
        <v>70</v>
      </c>
      <c r="AF646" s="167" t="s">
        <v>70</v>
      </c>
      <c r="AG646" s="167" t="s">
        <v>70</v>
      </c>
      <c r="AH646" s="167" t="s">
        <v>70</v>
      </c>
      <c r="AI646" s="111">
        <v>45764</v>
      </c>
      <c r="AJ646" s="166" t="s">
        <v>69</v>
      </c>
      <c r="AK646" s="167" t="s">
        <v>70</v>
      </c>
      <c r="AL646" s="167" t="s">
        <v>70</v>
      </c>
      <c r="AM646" s="167"/>
      <c r="AN646" s="167" t="s">
        <v>70</v>
      </c>
      <c r="AO646" s="167" t="s">
        <v>70</v>
      </c>
      <c r="AP646" s="167" t="s">
        <v>70</v>
      </c>
      <c r="AQ646" s="167" t="s">
        <v>70</v>
      </c>
      <c r="AR646" s="166" t="s">
        <v>69</v>
      </c>
      <c r="AS646" s="167" t="s">
        <v>70</v>
      </c>
      <c r="AT646" s="167" t="s">
        <v>70</v>
      </c>
      <c r="AU646" s="167" t="s">
        <v>70</v>
      </c>
      <c r="AV646" s="167" t="s">
        <v>70</v>
      </c>
      <c r="AW646" s="167" t="s">
        <v>70</v>
      </c>
      <c r="AX646" s="167" t="s">
        <v>70</v>
      </c>
      <c r="AY646" s="167" t="s">
        <v>70</v>
      </c>
      <c r="AZ646" s="167" t="s">
        <v>70</v>
      </c>
      <c r="BA646" s="167" t="s">
        <v>70</v>
      </c>
      <c r="BB646" s="167" t="s">
        <v>70</v>
      </c>
      <c r="BC646" s="167" t="s">
        <v>70</v>
      </c>
      <c r="BD646" s="167" t="s">
        <v>70</v>
      </c>
      <c r="BE646" s="167" t="s">
        <v>70</v>
      </c>
      <c r="BF646" s="167" t="s">
        <v>70</v>
      </c>
      <c r="BG646" s="167" t="s">
        <v>70</v>
      </c>
      <c r="BH646" s="167" t="s">
        <v>70</v>
      </c>
      <c r="BI646" s="167" t="s">
        <v>70</v>
      </c>
      <c r="BJ646" s="167" t="s">
        <v>70</v>
      </c>
      <c r="BK646" s="167" t="s">
        <v>70</v>
      </c>
      <c r="BL646" s="167" t="s">
        <v>70</v>
      </c>
      <c r="BM646" s="167" t="s">
        <v>70</v>
      </c>
      <c r="BN646" s="167" t="s">
        <v>70</v>
      </c>
      <c r="BO646" s="167" t="s">
        <v>70</v>
      </c>
      <c r="BP646" s="167" t="s">
        <v>70</v>
      </c>
      <c r="BQ646" s="151" t="s">
        <v>208</v>
      </c>
    </row>
    <row r="647" spans="1:69" s="151" customFormat="1" ht="19.5" customHeight="1" x14ac:dyDescent="0.2">
      <c r="A647" s="117">
        <v>646</v>
      </c>
      <c r="B647" s="117" t="s">
        <v>811</v>
      </c>
      <c r="C647" s="179">
        <v>141590</v>
      </c>
      <c r="D647" s="117" t="s">
        <v>212</v>
      </c>
      <c r="E647" s="179" t="s">
        <v>480</v>
      </c>
      <c r="F647" s="146" t="s">
        <v>256</v>
      </c>
      <c r="G647" s="124" t="s">
        <v>69</v>
      </c>
      <c r="H647" s="172">
        <v>45889</v>
      </c>
      <c r="I647" s="172">
        <v>45889</v>
      </c>
      <c r="J647" s="92">
        <f>IF(I647="", "", DATE(YEAR(I647)+3, MONTH(I647), DAY(L647)))</f>
        <v>46984</v>
      </c>
      <c r="K647" s="111">
        <v>45888</v>
      </c>
      <c r="L647" s="111">
        <v>45888</v>
      </c>
      <c r="M647" s="140">
        <f t="shared" si="53"/>
        <v>46984</v>
      </c>
      <c r="N647" s="111">
        <v>45891</v>
      </c>
      <c r="O647" s="93">
        <v>45890</v>
      </c>
      <c r="P647" s="111">
        <v>45887</v>
      </c>
      <c r="Q647" s="167" t="s">
        <v>70</v>
      </c>
      <c r="R647" s="167" t="s">
        <v>70</v>
      </c>
      <c r="S647" s="167" t="s">
        <v>70</v>
      </c>
      <c r="T647" s="167" t="s">
        <v>70</v>
      </c>
      <c r="U647" s="167" t="s">
        <v>70</v>
      </c>
      <c r="V647" s="167" t="s">
        <v>70</v>
      </c>
      <c r="W647" s="167" t="s">
        <v>70</v>
      </c>
      <c r="X647" s="167" t="s">
        <v>70</v>
      </c>
      <c r="Y647" s="167" t="s">
        <v>70</v>
      </c>
      <c r="Z647" s="167" t="s">
        <v>70</v>
      </c>
      <c r="AA647" s="167" t="s">
        <v>70</v>
      </c>
      <c r="AB647" s="167" t="s">
        <v>70</v>
      </c>
      <c r="AC647" s="167" t="s">
        <v>70</v>
      </c>
      <c r="AD647" s="167" t="s">
        <v>70</v>
      </c>
      <c r="AE647" s="167" t="s">
        <v>70</v>
      </c>
      <c r="AF647" s="167" t="s">
        <v>70</v>
      </c>
      <c r="AG647" s="167" t="s">
        <v>70</v>
      </c>
      <c r="AH647" s="167" t="s">
        <v>70</v>
      </c>
      <c r="AI647" s="186">
        <v>45869</v>
      </c>
      <c r="AJ647" s="166" t="s">
        <v>69</v>
      </c>
      <c r="AK647" s="167" t="s">
        <v>70</v>
      </c>
      <c r="AL647" s="167" t="s">
        <v>70</v>
      </c>
      <c r="AM647" s="167"/>
      <c r="AN647" s="167" t="s">
        <v>70</v>
      </c>
      <c r="AO647" s="167" t="s">
        <v>70</v>
      </c>
      <c r="AP647" s="167" t="s">
        <v>70</v>
      </c>
      <c r="AQ647" s="167" t="s">
        <v>70</v>
      </c>
      <c r="AR647" s="168">
        <v>46153</v>
      </c>
      <c r="AS647" s="167" t="s">
        <v>70</v>
      </c>
      <c r="AT647" s="167" t="s">
        <v>70</v>
      </c>
      <c r="AU647" s="167" t="s">
        <v>70</v>
      </c>
      <c r="AV647" s="167" t="s">
        <v>70</v>
      </c>
      <c r="AW647" s="167" t="s">
        <v>70</v>
      </c>
      <c r="AX647" s="167" t="s">
        <v>70</v>
      </c>
      <c r="AY647" s="167" t="s">
        <v>70</v>
      </c>
      <c r="AZ647" s="167" t="s">
        <v>70</v>
      </c>
      <c r="BA647" s="167" t="s">
        <v>70</v>
      </c>
      <c r="BB647" s="167" t="s">
        <v>70</v>
      </c>
      <c r="BC647" s="167" t="s">
        <v>70</v>
      </c>
      <c r="BD647" s="167" t="s">
        <v>70</v>
      </c>
      <c r="BE647" s="167" t="s">
        <v>70</v>
      </c>
      <c r="BF647" s="167" t="s">
        <v>70</v>
      </c>
      <c r="BG647" s="167" t="s">
        <v>70</v>
      </c>
      <c r="BH647" s="167" t="s">
        <v>70</v>
      </c>
      <c r="BI647" s="167" t="s">
        <v>70</v>
      </c>
      <c r="BJ647" s="167" t="s">
        <v>70</v>
      </c>
      <c r="BK647" s="167" t="s">
        <v>70</v>
      </c>
      <c r="BL647" s="167" t="s">
        <v>70</v>
      </c>
      <c r="BM647" s="167" t="s">
        <v>70</v>
      </c>
      <c r="BN647" s="167" t="s">
        <v>70</v>
      </c>
      <c r="BO647" s="167" t="s">
        <v>70</v>
      </c>
      <c r="BP647" s="167" t="s">
        <v>70</v>
      </c>
      <c r="BQ647" s="151" t="s">
        <v>256</v>
      </c>
    </row>
    <row r="648" spans="1:69" s="151" customFormat="1" ht="19.5" customHeight="1" x14ac:dyDescent="0.2">
      <c r="A648" s="117">
        <v>647</v>
      </c>
      <c r="B648" s="117" t="s">
        <v>812</v>
      </c>
      <c r="C648" s="179">
        <v>251635</v>
      </c>
      <c r="D648" s="117" t="s">
        <v>212</v>
      </c>
      <c r="E648" s="179" t="s">
        <v>480</v>
      </c>
      <c r="F648" s="146" t="s">
        <v>256</v>
      </c>
      <c r="G648" s="124" t="s">
        <v>69</v>
      </c>
      <c r="H648" s="172">
        <v>45863</v>
      </c>
      <c r="I648" s="172">
        <v>45863</v>
      </c>
      <c r="J648" s="92">
        <f>IF(I648="", "", DATE(YEAR(I648)+3, MONTH(I648), DAY(L648)))</f>
        <v>46958</v>
      </c>
      <c r="K648" s="172">
        <v>45862</v>
      </c>
      <c r="L648" s="172">
        <v>45862</v>
      </c>
      <c r="M648" s="140">
        <f t="shared" si="53"/>
        <v>46958</v>
      </c>
      <c r="N648" s="111">
        <v>45829</v>
      </c>
      <c r="O648" s="111">
        <v>45860</v>
      </c>
      <c r="P648" s="111">
        <v>45861</v>
      </c>
      <c r="Q648" s="167" t="s">
        <v>70</v>
      </c>
      <c r="R648" s="167" t="s">
        <v>70</v>
      </c>
      <c r="S648" s="167" t="s">
        <v>70</v>
      </c>
      <c r="T648" s="167" t="s">
        <v>70</v>
      </c>
      <c r="U648" s="167" t="s">
        <v>70</v>
      </c>
      <c r="V648" s="167" t="s">
        <v>70</v>
      </c>
      <c r="W648" s="167" t="s">
        <v>70</v>
      </c>
      <c r="X648" s="167" t="s">
        <v>70</v>
      </c>
      <c r="Y648" s="167" t="s">
        <v>70</v>
      </c>
      <c r="Z648" s="167" t="s">
        <v>70</v>
      </c>
      <c r="AA648" s="167" t="s">
        <v>70</v>
      </c>
      <c r="AB648" s="167" t="s">
        <v>70</v>
      </c>
      <c r="AC648" s="167" t="s">
        <v>70</v>
      </c>
      <c r="AD648" s="167" t="s">
        <v>70</v>
      </c>
      <c r="AE648" s="167" t="s">
        <v>70</v>
      </c>
      <c r="AF648" s="167" t="s">
        <v>70</v>
      </c>
      <c r="AG648" s="167" t="s">
        <v>70</v>
      </c>
      <c r="AH648" s="167" t="s">
        <v>70</v>
      </c>
      <c r="AI648" s="111">
        <v>45946</v>
      </c>
      <c r="AJ648" s="166" t="s">
        <v>69</v>
      </c>
      <c r="AK648" s="167" t="s">
        <v>70</v>
      </c>
      <c r="AL648" s="167" t="s">
        <v>70</v>
      </c>
      <c r="AM648" s="167"/>
      <c r="AN648" s="167" t="s">
        <v>70</v>
      </c>
      <c r="AO648" s="167" t="s">
        <v>70</v>
      </c>
      <c r="AP648" s="167" t="s">
        <v>70</v>
      </c>
      <c r="AQ648" s="167" t="s">
        <v>70</v>
      </c>
      <c r="AR648" s="166" t="s">
        <v>69</v>
      </c>
      <c r="AS648" s="167" t="s">
        <v>70</v>
      </c>
      <c r="AT648" s="167" t="s">
        <v>70</v>
      </c>
      <c r="AU648" s="167" t="s">
        <v>70</v>
      </c>
      <c r="AV648" s="167" t="s">
        <v>70</v>
      </c>
      <c r="AW648" s="167" t="s">
        <v>70</v>
      </c>
      <c r="AX648" s="167" t="s">
        <v>70</v>
      </c>
      <c r="AY648" s="167" t="s">
        <v>70</v>
      </c>
      <c r="AZ648" s="167" t="s">
        <v>70</v>
      </c>
      <c r="BA648" s="167" t="s">
        <v>70</v>
      </c>
      <c r="BB648" s="167" t="s">
        <v>70</v>
      </c>
      <c r="BC648" s="167" t="s">
        <v>70</v>
      </c>
      <c r="BD648" s="167" t="s">
        <v>70</v>
      </c>
      <c r="BE648" s="167" t="s">
        <v>70</v>
      </c>
      <c r="BF648" s="167" t="s">
        <v>70</v>
      </c>
      <c r="BG648" s="167" t="s">
        <v>70</v>
      </c>
      <c r="BH648" s="167" t="s">
        <v>70</v>
      </c>
      <c r="BI648" s="167" t="s">
        <v>70</v>
      </c>
      <c r="BJ648" s="167" t="s">
        <v>70</v>
      </c>
      <c r="BK648" s="167" t="s">
        <v>70</v>
      </c>
      <c r="BL648" s="167" t="s">
        <v>70</v>
      </c>
      <c r="BM648" s="167" t="s">
        <v>70</v>
      </c>
      <c r="BN648" s="167" t="s">
        <v>70</v>
      </c>
      <c r="BO648" s="167" t="s">
        <v>70</v>
      </c>
      <c r="BP648" s="167" t="s">
        <v>70</v>
      </c>
      <c r="BQ648" s="151" t="s">
        <v>256</v>
      </c>
    </row>
  </sheetData>
  <mergeCells count="8">
    <mergeCell ref="AU2:AV2"/>
    <mergeCell ref="AZ2:BA2"/>
    <mergeCell ref="AK1:BP1"/>
    <mergeCell ref="G1:S1"/>
    <mergeCell ref="T1:AJ1"/>
    <mergeCell ref="H2:J2"/>
    <mergeCell ref="K2:M2"/>
    <mergeCell ref="R2:S2"/>
  </mergeCells>
  <conditionalFormatting sqref="C468:C474">
    <cfRule type="duplicateValues" dxfId="356" priority="16"/>
  </conditionalFormatting>
  <conditionalFormatting sqref="C468:C474">
    <cfRule type="duplicateValues" dxfId="355" priority="15"/>
  </conditionalFormatting>
  <conditionalFormatting sqref="C468:C474">
    <cfRule type="duplicateValues" dxfId="354" priority="14"/>
  </conditionalFormatting>
  <conditionalFormatting sqref="C468:C474">
    <cfRule type="duplicateValues" dxfId="353" priority="13"/>
  </conditionalFormatting>
  <conditionalFormatting sqref="C468:C474">
    <cfRule type="duplicateValues" dxfId="352" priority="12"/>
  </conditionalFormatting>
  <conditionalFormatting sqref="C1:C1048576">
    <cfRule type="duplicateValues" dxfId="351" priority="1"/>
    <cfRule type="duplicateValues" dxfId="350" priority="2"/>
  </conditionalFormatting>
  <conditionalFormatting sqref="C465:C467 C475:C649 C58:C453 C455:C463 C1:C56">
    <cfRule type="duplicateValues" dxfId="349" priority="1913"/>
  </conditionalFormatting>
  <conditionalFormatting sqref="C475:C649 C1:C467">
    <cfRule type="duplicateValues" dxfId="348" priority="1919"/>
  </conditionalFormatting>
  <conditionalFormatting sqref="C475:C649 C30 C108 C110 C182:C184">
    <cfRule type="duplicateValues" dxfId="347" priority="1922"/>
  </conditionalFormatting>
  <conditionalFormatting sqref="C1:C649">
    <cfRule type="duplicateValues" dxfId="346" priority="1946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82"/>
  <sheetViews>
    <sheetView workbookViewId="0">
      <selection sqref="A1:XFD11"/>
    </sheetView>
  </sheetViews>
  <sheetFormatPr defaultRowHeight="15" x14ac:dyDescent="0.25"/>
  <cols>
    <col min="1" max="1" width="5.85546875" customWidth="1"/>
    <col min="2" max="2" width="28.7109375" customWidth="1"/>
    <col min="3" max="3" width="14.28515625" customWidth="1"/>
    <col min="4" max="4" width="40.7109375" customWidth="1"/>
    <col min="5" max="5" width="10.85546875" customWidth="1"/>
    <col min="6" max="6" width="21.85546875" style="291" customWidth="1"/>
    <col min="7" max="7" width="26.140625" customWidth="1"/>
  </cols>
  <sheetData>
    <row r="2" spans="1:6" ht="30.75" customHeight="1" x14ac:dyDescent="0.25">
      <c r="A2" s="266" t="s">
        <v>4</v>
      </c>
      <c r="B2" s="267" t="s">
        <v>5</v>
      </c>
      <c r="C2" s="267" t="s">
        <v>6</v>
      </c>
      <c r="D2" s="267" t="s">
        <v>7</v>
      </c>
      <c r="E2" s="267" t="s">
        <v>8</v>
      </c>
      <c r="F2" s="292" t="s">
        <v>871</v>
      </c>
    </row>
    <row r="3" spans="1:6" ht="18.75" customHeight="1" x14ac:dyDescent="0.25">
      <c r="A3" s="263">
        <v>1</v>
      </c>
      <c r="B3" s="263" t="s">
        <v>866</v>
      </c>
      <c r="C3" s="296">
        <v>83064072</v>
      </c>
      <c r="D3" s="269" t="s">
        <v>133</v>
      </c>
      <c r="E3" s="263" t="s">
        <v>83</v>
      </c>
      <c r="F3" s="293">
        <v>44498</v>
      </c>
    </row>
    <row r="4" spans="1:6" ht="18.75" customHeight="1" x14ac:dyDescent="0.25">
      <c r="A4" s="263">
        <v>2</v>
      </c>
      <c r="B4" s="263" t="s">
        <v>131</v>
      </c>
      <c r="C4" s="296">
        <v>83040043</v>
      </c>
      <c r="D4" s="269" t="s">
        <v>132</v>
      </c>
      <c r="E4" s="263" t="s">
        <v>83</v>
      </c>
      <c r="F4" s="293">
        <v>44246</v>
      </c>
    </row>
    <row r="5" spans="1:6" ht="18.75" customHeight="1" x14ac:dyDescent="0.25">
      <c r="A5" s="263">
        <v>3</v>
      </c>
      <c r="B5" s="263" t="s">
        <v>129</v>
      </c>
      <c r="C5" s="296">
        <v>83040027</v>
      </c>
      <c r="D5" s="269" t="s">
        <v>130</v>
      </c>
      <c r="E5" s="263" t="s">
        <v>83</v>
      </c>
      <c r="F5" s="293">
        <v>44512</v>
      </c>
    </row>
    <row r="6" spans="1:6" ht="18.75" customHeight="1" x14ac:dyDescent="0.25">
      <c r="A6" s="263">
        <v>4</v>
      </c>
      <c r="B6" s="263" t="s">
        <v>144</v>
      </c>
      <c r="C6" s="296">
        <v>83040029</v>
      </c>
      <c r="D6" s="263" t="s">
        <v>145</v>
      </c>
      <c r="E6" s="263" t="s">
        <v>83</v>
      </c>
      <c r="F6" s="293">
        <v>44512</v>
      </c>
    </row>
    <row r="7" spans="1:6" ht="18.75" customHeight="1" x14ac:dyDescent="0.25">
      <c r="A7" s="263">
        <v>5</v>
      </c>
      <c r="B7" s="263" t="s">
        <v>538</v>
      </c>
      <c r="C7" s="297">
        <v>83102208</v>
      </c>
      <c r="D7" s="263" t="s">
        <v>539</v>
      </c>
      <c r="E7" s="264" t="s">
        <v>397</v>
      </c>
      <c r="F7" s="293">
        <v>44498</v>
      </c>
    </row>
    <row r="8" spans="1:6" ht="18.75" customHeight="1" x14ac:dyDescent="0.25">
      <c r="A8" s="263">
        <v>6</v>
      </c>
      <c r="B8" s="263" t="s">
        <v>635</v>
      </c>
      <c r="C8" s="297">
        <v>83123713</v>
      </c>
      <c r="D8" s="269" t="s">
        <v>853</v>
      </c>
      <c r="E8" s="264" t="s">
        <v>636</v>
      </c>
      <c r="F8" s="293">
        <v>44246</v>
      </c>
    </row>
    <row r="9" spans="1:6" ht="18.75" customHeight="1" x14ac:dyDescent="0.25">
      <c r="A9" s="263">
        <v>7</v>
      </c>
      <c r="B9" s="269" t="s">
        <v>509</v>
      </c>
      <c r="C9" s="298">
        <v>83086608</v>
      </c>
      <c r="D9" s="269" t="s">
        <v>510</v>
      </c>
      <c r="E9" s="264" t="s">
        <v>443</v>
      </c>
      <c r="F9" s="293">
        <v>42793</v>
      </c>
    </row>
    <row r="10" spans="1:6" ht="18.75" customHeight="1" x14ac:dyDescent="0.25">
      <c r="A10" s="263">
        <v>8</v>
      </c>
      <c r="B10" s="263" t="s">
        <v>511</v>
      </c>
      <c r="C10" s="297">
        <v>83123141</v>
      </c>
      <c r="D10" s="269" t="s">
        <v>512</v>
      </c>
      <c r="E10" s="264" t="s">
        <v>443</v>
      </c>
      <c r="F10" s="293">
        <v>44554</v>
      </c>
    </row>
    <row r="11" spans="1:6" ht="18.75" customHeight="1" x14ac:dyDescent="0.25">
      <c r="A11" s="263">
        <v>9</v>
      </c>
      <c r="B11" s="263" t="s">
        <v>522</v>
      </c>
      <c r="C11" s="299">
        <v>83123160</v>
      </c>
      <c r="D11" s="269" t="s">
        <v>523</v>
      </c>
      <c r="E11" s="264" t="s">
        <v>443</v>
      </c>
      <c r="F11" s="293">
        <v>44582</v>
      </c>
    </row>
    <row r="12" spans="1:6" ht="18.75" customHeight="1" x14ac:dyDescent="0.25">
      <c r="A12" s="263">
        <v>10</v>
      </c>
      <c r="B12" s="263" t="s">
        <v>528</v>
      </c>
      <c r="C12" s="297">
        <v>83123145</v>
      </c>
      <c r="D12" s="269" t="s">
        <v>529</v>
      </c>
      <c r="E12" s="264" t="s">
        <v>443</v>
      </c>
      <c r="F12" s="293">
        <v>44582</v>
      </c>
    </row>
    <row r="13" spans="1:6" ht="18.75" customHeight="1" x14ac:dyDescent="0.25">
      <c r="A13" s="263">
        <v>11</v>
      </c>
      <c r="B13" s="263" t="s">
        <v>614</v>
      </c>
      <c r="C13" s="297">
        <v>83123693</v>
      </c>
      <c r="D13" s="269" t="s">
        <v>615</v>
      </c>
      <c r="E13" s="264" t="s">
        <v>480</v>
      </c>
      <c r="F13" s="293">
        <v>44785</v>
      </c>
    </row>
    <row r="14" spans="1:6" ht="18.75" customHeight="1" x14ac:dyDescent="0.25">
      <c r="A14" s="263">
        <v>12</v>
      </c>
      <c r="B14" s="263" t="s">
        <v>618</v>
      </c>
      <c r="C14" s="297">
        <v>83123695</v>
      </c>
      <c r="D14" s="269" t="s">
        <v>619</v>
      </c>
      <c r="E14" s="264" t="s">
        <v>480</v>
      </c>
      <c r="F14" s="293">
        <v>44876</v>
      </c>
    </row>
    <row r="15" spans="1:6" ht="18.75" customHeight="1" x14ac:dyDescent="0.25">
      <c r="A15" s="263">
        <v>13</v>
      </c>
      <c r="B15" s="263" t="s">
        <v>659</v>
      </c>
      <c r="C15" s="263">
        <v>84087806</v>
      </c>
      <c r="D15" s="264" t="s">
        <v>660</v>
      </c>
      <c r="E15" s="263" t="s">
        <v>480</v>
      </c>
      <c r="F15" s="293">
        <v>44785</v>
      </c>
    </row>
    <row r="16" spans="1:6" ht="18.75" customHeight="1" x14ac:dyDescent="0.25">
      <c r="A16" s="263">
        <v>14</v>
      </c>
      <c r="B16" s="270" t="s">
        <v>786</v>
      </c>
      <c r="C16" s="271">
        <v>53020311</v>
      </c>
      <c r="D16" s="264" t="s">
        <v>787</v>
      </c>
      <c r="E16" s="263" t="s">
        <v>68</v>
      </c>
      <c r="F16" s="293"/>
    </row>
    <row r="17" spans="1:6" ht="18.75" customHeight="1" x14ac:dyDescent="0.25">
      <c r="A17" s="263">
        <v>15</v>
      </c>
      <c r="B17" s="272" t="s">
        <v>244</v>
      </c>
      <c r="C17" s="273">
        <v>83063945</v>
      </c>
      <c r="D17" s="269" t="s">
        <v>245</v>
      </c>
      <c r="E17" s="273" t="s">
        <v>68</v>
      </c>
      <c r="F17" s="293"/>
    </row>
    <row r="18" spans="1:6" ht="18.75" customHeight="1" x14ac:dyDescent="0.25">
      <c r="A18" s="263">
        <v>16</v>
      </c>
      <c r="B18" s="274" t="s">
        <v>188</v>
      </c>
      <c r="C18" s="275">
        <v>83102209</v>
      </c>
      <c r="D18" s="263" t="s">
        <v>834</v>
      </c>
      <c r="E18" s="263" t="s">
        <v>83</v>
      </c>
      <c r="F18" s="293"/>
    </row>
    <row r="19" spans="1:6" ht="18.75" customHeight="1" x14ac:dyDescent="0.25">
      <c r="A19" s="263">
        <v>17</v>
      </c>
      <c r="B19" s="274" t="s">
        <v>134</v>
      </c>
      <c r="C19" s="263">
        <v>83099398</v>
      </c>
      <c r="D19" s="263" t="s">
        <v>135</v>
      </c>
      <c r="E19" s="276" t="s">
        <v>83</v>
      </c>
      <c r="F19" s="293"/>
    </row>
    <row r="20" spans="1:6" ht="18.75" customHeight="1" x14ac:dyDescent="0.25">
      <c r="A20" s="263">
        <v>18</v>
      </c>
      <c r="B20" s="274" t="s">
        <v>136</v>
      </c>
      <c r="C20" s="263">
        <v>135040</v>
      </c>
      <c r="D20" s="263" t="s">
        <v>137</v>
      </c>
      <c r="E20" s="263" t="s">
        <v>83</v>
      </c>
      <c r="F20" s="293"/>
    </row>
    <row r="21" spans="1:6" ht="18.75" customHeight="1" x14ac:dyDescent="0.25">
      <c r="A21" s="263">
        <v>19</v>
      </c>
      <c r="B21" s="274" t="s">
        <v>138</v>
      </c>
      <c r="C21" s="263">
        <v>145323</v>
      </c>
      <c r="D21" s="263" t="s">
        <v>139</v>
      </c>
      <c r="E21" s="276" t="s">
        <v>83</v>
      </c>
      <c r="F21" s="293"/>
    </row>
    <row r="22" spans="1:6" ht="18.75" customHeight="1" x14ac:dyDescent="0.25">
      <c r="A22" s="263">
        <v>20</v>
      </c>
      <c r="B22" s="270" t="s">
        <v>183</v>
      </c>
      <c r="C22" s="264">
        <v>152475</v>
      </c>
      <c r="D22" s="263" t="s">
        <v>833</v>
      </c>
      <c r="E22" s="263" t="s">
        <v>68</v>
      </c>
      <c r="F22" s="293"/>
    </row>
    <row r="23" spans="1:6" ht="18.75" customHeight="1" x14ac:dyDescent="0.25">
      <c r="A23" s="263">
        <v>21</v>
      </c>
      <c r="B23" s="277" t="s">
        <v>118</v>
      </c>
      <c r="C23" s="278">
        <v>145340</v>
      </c>
      <c r="D23" s="269" t="s">
        <v>119</v>
      </c>
      <c r="E23" s="269" t="s">
        <v>68</v>
      </c>
      <c r="F23" s="293"/>
    </row>
    <row r="24" spans="1:6" ht="18.75" customHeight="1" x14ac:dyDescent="0.25">
      <c r="A24" s="263">
        <v>22</v>
      </c>
      <c r="B24" s="274" t="s">
        <v>574</v>
      </c>
      <c r="C24" s="263">
        <v>145059</v>
      </c>
      <c r="D24" s="263" t="s">
        <v>850</v>
      </c>
      <c r="E24" s="264" t="s">
        <v>573</v>
      </c>
      <c r="F24" s="293"/>
    </row>
    <row r="25" spans="1:6" ht="18.75" customHeight="1" x14ac:dyDescent="0.25">
      <c r="A25" s="263">
        <v>23</v>
      </c>
      <c r="B25" s="270" t="s">
        <v>185</v>
      </c>
      <c r="C25" s="264">
        <v>152469</v>
      </c>
      <c r="D25" s="269" t="s">
        <v>186</v>
      </c>
      <c r="E25" s="263" t="s">
        <v>68</v>
      </c>
      <c r="F25" s="293"/>
    </row>
    <row r="26" spans="1:6" ht="18.75" customHeight="1" x14ac:dyDescent="0.25">
      <c r="A26" s="263">
        <v>24</v>
      </c>
      <c r="B26" s="274" t="s">
        <v>127</v>
      </c>
      <c r="C26" s="279">
        <v>83040026</v>
      </c>
      <c r="D26" s="269" t="s">
        <v>128</v>
      </c>
      <c r="E26" s="263" t="s">
        <v>83</v>
      </c>
      <c r="F26" s="293"/>
    </row>
    <row r="27" spans="1:6" ht="18.75" customHeight="1" x14ac:dyDescent="0.25">
      <c r="A27" s="263">
        <v>25</v>
      </c>
      <c r="B27" s="274" t="s">
        <v>124</v>
      </c>
      <c r="C27" s="268">
        <v>83088479</v>
      </c>
      <c r="D27" s="263" t="s">
        <v>830</v>
      </c>
      <c r="E27" s="263" t="s">
        <v>83</v>
      </c>
      <c r="F27" s="293"/>
    </row>
    <row r="28" spans="1:6" ht="18.75" customHeight="1" x14ac:dyDescent="0.25">
      <c r="A28" s="263">
        <v>26</v>
      </c>
      <c r="B28" s="274" t="s">
        <v>158</v>
      </c>
      <c r="C28" s="263">
        <v>83040093</v>
      </c>
      <c r="D28" s="263" t="s">
        <v>831</v>
      </c>
      <c r="E28" s="276" t="s">
        <v>83</v>
      </c>
      <c r="F28" s="293"/>
    </row>
    <row r="29" spans="1:6" ht="18.75" customHeight="1" x14ac:dyDescent="0.25">
      <c r="A29" s="263">
        <v>27</v>
      </c>
      <c r="B29" s="274" t="s">
        <v>169</v>
      </c>
      <c r="C29" s="263">
        <v>145318</v>
      </c>
      <c r="D29" s="263" t="s">
        <v>832</v>
      </c>
      <c r="E29" s="276" t="s">
        <v>83</v>
      </c>
      <c r="F29" s="293"/>
    </row>
    <row r="30" spans="1:6" ht="18.75" customHeight="1" x14ac:dyDescent="0.25">
      <c r="A30" s="263">
        <v>28</v>
      </c>
      <c r="B30" s="274" t="s">
        <v>166</v>
      </c>
      <c r="C30" s="263">
        <v>135047</v>
      </c>
      <c r="D30" s="269" t="s">
        <v>167</v>
      </c>
      <c r="E30" s="276" t="s">
        <v>83</v>
      </c>
      <c r="F30" s="293"/>
    </row>
    <row r="31" spans="1:6" ht="18.75" customHeight="1" x14ac:dyDescent="0.25">
      <c r="A31" s="263">
        <v>29</v>
      </c>
      <c r="B31" s="280" t="s">
        <v>192</v>
      </c>
      <c r="C31" s="281">
        <v>83122902</v>
      </c>
      <c r="D31" s="263" t="s">
        <v>835</v>
      </c>
      <c r="E31" s="263" t="s">
        <v>68</v>
      </c>
      <c r="F31" s="293"/>
    </row>
    <row r="32" spans="1:6" ht="18.75" customHeight="1" x14ac:dyDescent="0.25">
      <c r="A32" s="263">
        <v>30</v>
      </c>
      <c r="B32" s="274" t="s">
        <v>153</v>
      </c>
      <c r="C32" s="263">
        <v>132166</v>
      </c>
      <c r="D32" s="269" t="s">
        <v>851</v>
      </c>
      <c r="E32" s="263" t="s">
        <v>83</v>
      </c>
      <c r="F32" s="293"/>
    </row>
    <row r="33" spans="1:6" ht="18.75" customHeight="1" x14ac:dyDescent="0.25">
      <c r="A33" s="263">
        <v>31</v>
      </c>
      <c r="B33" s="274" t="s">
        <v>125</v>
      </c>
      <c r="C33" s="268">
        <v>83040047</v>
      </c>
      <c r="D33" s="269" t="s">
        <v>126</v>
      </c>
      <c r="E33" s="263" t="s">
        <v>83</v>
      </c>
      <c r="F33" s="293"/>
    </row>
    <row r="34" spans="1:6" ht="18.75" customHeight="1" x14ac:dyDescent="0.25">
      <c r="A34" s="263">
        <v>32</v>
      </c>
      <c r="B34" s="274" t="s">
        <v>588</v>
      </c>
      <c r="C34" s="263">
        <v>83123708</v>
      </c>
      <c r="D34" s="282" t="s">
        <v>839</v>
      </c>
      <c r="E34" s="264" t="s">
        <v>586</v>
      </c>
      <c r="F34" s="293"/>
    </row>
    <row r="35" spans="1:6" ht="18.75" customHeight="1" x14ac:dyDescent="0.25">
      <c r="A35" s="263">
        <v>33</v>
      </c>
      <c r="B35" s="274" t="s">
        <v>595</v>
      </c>
      <c r="C35" s="263">
        <v>145347</v>
      </c>
      <c r="D35" s="263" t="s">
        <v>840</v>
      </c>
      <c r="E35" s="264" t="s">
        <v>384</v>
      </c>
      <c r="F35" s="293"/>
    </row>
    <row r="36" spans="1:6" ht="18.75" customHeight="1" x14ac:dyDescent="0.25">
      <c r="A36" s="263">
        <v>34</v>
      </c>
      <c r="B36" s="274" t="s">
        <v>598</v>
      </c>
      <c r="C36" s="263">
        <v>83102211</v>
      </c>
      <c r="D36" s="263" t="s">
        <v>841</v>
      </c>
      <c r="E36" s="264" t="s">
        <v>384</v>
      </c>
      <c r="F36" s="293"/>
    </row>
    <row r="37" spans="1:6" ht="18.75" customHeight="1" x14ac:dyDescent="0.25">
      <c r="A37" s="263">
        <v>35</v>
      </c>
      <c r="B37" s="274" t="s">
        <v>599</v>
      </c>
      <c r="C37" s="263">
        <v>83124750</v>
      </c>
      <c r="D37" s="263" t="s">
        <v>842</v>
      </c>
      <c r="E37" s="264" t="s">
        <v>384</v>
      </c>
      <c r="F37" s="293"/>
    </row>
    <row r="38" spans="1:6" ht="18.75" customHeight="1" x14ac:dyDescent="0.25">
      <c r="A38" s="263">
        <v>36</v>
      </c>
      <c r="B38" s="274" t="s">
        <v>600</v>
      </c>
      <c r="C38" s="263">
        <v>83124751</v>
      </c>
      <c r="D38" s="263" t="s">
        <v>843</v>
      </c>
      <c r="E38" s="264" t="s">
        <v>384</v>
      </c>
      <c r="F38" s="293"/>
    </row>
    <row r="39" spans="1:6" ht="18.75" customHeight="1" x14ac:dyDescent="0.25">
      <c r="A39" s="263">
        <v>37</v>
      </c>
      <c r="B39" s="274" t="s">
        <v>560</v>
      </c>
      <c r="C39" s="263">
        <v>83123675</v>
      </c>
      <c r="D39" s="263" t="s">
        <v>561</v>
      </c>
      <c r="E39" s="264" t="s">
        <v>397</v>
      </c>
      <c r="F39" s="293"/>
    </row>
    <row r="40" spans="1:6" ht="18.75" customHeight="1" x14ac:dyDescent="0.25">
      <c r="A40" s="263">
        <v>38</v>
      </c>
      <c r="B40" s="274" t="s">
        <v>556</v>
      </c>
      <c r="C40" s="263">
        <v>83123687</v>
      </c>
      <c r="D40" s="263" t="s">
        <v>557</v>
      </c>
      <c r="E40" s="264" t="s">
        <v>397</v>
      </c>
      <c r="F40" s="293"/>
    </row>
    <row r="41" spans="1:6" ht="18.75" customHeight="1" x14ac:dyDescent="0.25">
      <c r="A41" s="263">
        <v>39</v>
      </c>
      <c r="B41" s="274" t="s">
        <v>553</v>
      </c>
      <c r="C41" s="263">
        <v>145565</v>
      </c>
      <c r="D41" s="263" t="s">
        <v>554</v>
      </c>
      <c r="E41" s="264" t="s">
        <v>397</v>
      </c>
      <c r="F41" s="293"/>
    </row>
    <row r="42" spans="1:6" ht="18.75" customHeight="1" x14ac:dyDescent="0.25">
      <c r="A42" s="263">
        <v>40</v>
      </c>
      <c r="B42" s="274" t="s">
        <v>545</v>
      </c>
      <c r="C42" s="263">
        <v>83123685</v>
      </c>
      <c r="D42" s="263" t="s">
        <v>546</v>
      </c>
      <c r="E42" s="264" t="s">
        <v>397</v>
      </c>
      <c r="F42" s="293"/>
    </row>
    <row r="43" spans="1:6" ht="18.75" customHeight="1" x14ac:dyDescent="0.25">
      <c r="A43" s="263">
        <v>41</v>
      </c>
      <c r="B43" s="274" t="s">
        <v>607</v>
      </c>
      <c r="C43" s="263">
        <v>83119342</v>
      </c>
      <c r="D43" s="263" t="s">
        <v>844</v>
      </c>
      <c r="E43" s="264" t="s">
        <v>606</v>
      </c>
      <c r="F43" s="293"/>
    </row>
    <row r="44" spans="1:6" ht="18.75" customHeight="1" x14ac:dyDescent="0.25">
      <c r="A44" s="263">
        <v>42</v>
      </c>
      <c r="B44" s="274" t="s">
        <v>563</v>
      </c>
      <c r="C44" s="263">
        <v>131864</v>
      </c>
      <c r="D44" s="269" t="s">
        <v>564</v>
      </c>
      <c r="E44" s="264" t="s">
        <v>503</v>
      </c>
      <c r="F44" s="293"/>
    </row>
    <row r="45" spans="1:6" ht="18.75" customHeight="1" x14ac:dyDescent="0.25">
      <c r="A45" s="263">
        <v>43</v>
      </c>
      <c r="B45" s="274" t="s">
        <v>558</v>
      </c>
      <c r="C45" s="263">
        <v>141441</v>
      </c>
      <c r="D45" s="269" t="s">
        <v>852</v>
      </c>
      <c r="E45" s="264" t="s">
        <v>854</v>
      </c>
      <c r="F45" s="293"/>
    </row>
    <row r="46" spans="1:6" ht="18.75" customHeight="1" x14ac:dyDescent="0.25">
      <c r="A46" s="263">
        <v>44</v>
      </c>
      <c r="B46" s="274" t="s">
        <v>577</v>
      </c>
      <c r="C46" s="263">
        <v>143965</v>
      </c>
      <c r="D46" s="269" t="s">
        <v>578</v>
      </c>
      <c r="E46" s="264" t="s">
        <v>579</v>
      </c>
      <c r="F46" s="293"/>
    </row>
    <row r="47" spans="1:6" ht="18.75" customHeight="1" x14ac:dyDescent="0.25">
      <c r="A47" s="263">
        <v>45</v>
      </c>
      <c r="B47" s="274" t="s">
        <v>642</v>
      </c>
      <c r="C47" s="263">
        <v>83123157</v>
      </c>
      <c r="D47" s="263" t="s">
        <v>643</v>
      </c>
      <c r="E47" s="264" t="s">
        <v>644</v>
      </c>
      <c r="F47" s="293"/>
    </row>
    <row r="48" spans="1:6" ht="18.75" customHeight="1" x14ac:dyDescent="0.25">
      <c r="A48" s="263">
        <v>46</v>
      </c>
      <c r="B48" s="274" t="s">
        <v>532</v>
      </c>
      <c r="C48" s="263">
        <v>143968</v>
      </c>
      <c r="D48" s="269" t="s">
        <v>533</v>
      </c>
      <c r="E48" s="264" t="s">
        <v>443</v>
      </c>
      <c r="F48" s="293"/>
    </row>
    <row r="49" spans="1:7" ht="18.75" customHeight="1" x14ac:dyDescent="0.25">
      <c r="A49" s="263">
        <v>47</v>
      </c>
      <c r="B49" s="274" t="s">
        <v>627</v>
      </c>
      <c r="C49" s="263">
        <v>84087817</v>
      </c>
      <c r="D49" s="263" t="s">
        <v>628</v>
      </c>
      <c r="E49" s="264" t="s">
        <v>480</v>
      </c>
      <c r="F49" s="293"/>
    </row>
    <row r="52" spans="1:7" ht="35.25" customHeight="1" x14ac:dyDescent="0.25">
      <c r="A52" s="286" t="s">
        <v>4</v>
      </c>
      <c r="B52" s="287" t="s">
        <v>5</v>
      </c>
      <c r="C52" s="287" t="s">
        <v>6</v>
      </c>
      <c r="D52" s="287" t="s">
        <v>7</v>
      </c>
      <c r="E52" s="287" t="s">
        <v>8</v>
      </c>
      <c r="F52" s="294" t="s">
        <v>857</v>
      </c>
      <c r="G52" s="267" t="s">
        <v>871</v>
      </c>
    </row>
    <row r="53" spans="1:7" ht="15.75" x14ac:dyDescent="0.25">
      <c r="A53" s="286"/>
      <c r="B53" s="287"/>
      <c r="C53" s="287"/>
      <c r="D53" s="288"/>
      <c r="E53" s="288"/>
      <c r="F53" s="295"/>
      <c r="G53" s="290"/>
    </row>
    <row r="54" spans="1:7" x14ac:dyDescent="0.25">
      <c r="A54" s="117">
        <v>1</v>
      </c>
      <c r="B54" s="188" t="s">
        <v>413</v>
      </c>
      <c r="C54" s="189">
        <v>131240</v>
      </c>
      <c r="D54" s="161" t="s">
        <v>838</v>
      </c>
      <c r="E54" s="117" t="s">
        <v>414</v>
      </c>
      <c r="F54" s="212" t="s">
        <v>256</v>
      </c>
      <c r="G54" s="289"/>
    </row>
    <row r="55" spans="1:7" x14ac:dyDescent="0.25">
      <c r="A55" s="117">
        <v>2</v>
      </c>
      <c r="B55" s="188" t="s">
        <v>432</v>
      </c>
      <c r="C55" s="189">
        <v>155000</v>
      </c>
      <c r="D55" s="177" t="s">
        <v>433</v>
      </c>
      <c r="E55" s="117" t="s">
        <v>430</v>
      </c>
      <c r="F55" s="212" t="s">
        <v>256</v>
      </c>
      <c r="G55" s="289"/>
    </row>
    <row r="56" spans="1:7" x14ac:dyDescent="0.25">
      <c r="A56" s="117">
        <v>3</v>
      </c>
      <c r="B56" s="177" t="s">
        <v>206</v>
      </c>
      <c r="C56" s="177">
        <v>83040044</v>
      </c>
      <c r="D56" s="171" t="s">
        <v>207</v>
      </c>
      <c r="E56" s="123" t="s">
        <v>68</v>
      </c>
      <c r="F56" s="212" t="s">
        <v>208</v>
      </c>
      <c r="G56" s="289"/>
    </row>
    <row r="57" spans="1:7" x14ac:dyDescent="0.25">
      <c r="A57" s="117">
        <v>4</v>
      </c>
      <c r="B57" s="161" t="s">
        <v>209</v>
      </c>
      <c r="C57" s="161">
        <v>83075871</v>
      </c>
      <c r="D57" s="171" t="s">
        <v>210</v>
      </c>
      <c r="E57" s="123" t="s">
        <v>68</v>
      </c>
      <c r="F57" s="212" t="s">
        <v>256</v>
      </c>
      <c r="G57" s="289"/>
    </row>
    <row r="58" spans="1:7" x14ac:dyDescent="0.25">
      <c r="A58" s="117">
        <v>5</v>
      </c>
      <c r="B58" s="161" t="s">
        <v>249</v>
      </c>
      <c r="C58" s="161">
        <v>83086810</v>
      </c>
      <c r="D58" s="171" t="s">
        <v>250</v>
      </c>
      <c r="E58" s="123" t="s">
        <v>68</v>
      </c>
      <c r="F58" s="212" t="s">
        <v>256</v>
      </c>
      <c r="G58" s="289"/>
    </row>
    <row r="59" spans="1:7" x14ac:dyDescent="0.25">
      <c r="A59" s="117">
        <v>6</v>
      </c>
      <c r="B59" s="161" t="s">
        <v>242</v>
      </c>
      <c r="C59" s="161">
        <v>83075245</v>
      </c>
      <c r="D59" s="161" t="s">
        <v>837</v>
      </c>
      <c r="E59" s="123" t="s">
        <v>68</v>
      </c>
      <c r="F59" s="212" t="s">
        <v>208</v>
      </c>
      <c r="G59" s="289"/>
    </row>
    <row r="60" spans="1:7" x14ac:dyDescent="0.25">
      <c r="A60" s="117">
        <v>7</v>
      </c>
      <c r="B60" s="177" t="s">
        <v>230</v>
      </c>
      <c r="C60" s="177">
        <v>83040124</v>
      </c>
      <c r="D60" s="161" t="s">
        <v>836</v>
      </c>
      <c r="E60" s="123" t="s">
        <v>68</v>
      </c>
      <c r="F60" s="212" t="s">
        <v>256</v>
      </c>
      <c r="G60" s="289"/>
    </row>
    <row r="61" spans="1:7" x14ac:dyDescent="0.25">
      <c r="A61" s="117">
        <v>8</v>
      </c>
      <c r="B61" s="161" t="s">
        <v>252</v>
      </c>
      <c r="C61" s="161">
        <v>83087494</v>
      </c>
      <c r="D61" s="171" t="s">
        <v>253</v>
      </c>
      <c r="E61" s="123" t="s">
        <v>68</v>
      </c>
      <c r="F61" s="212" t="s">
        <v>256</v>
      </c>
      <c r="G61" s="289"/>
    </row>
    <row r="62" spans="1:7" x14ac:dyDescent="0.25">
      <c r="A62" s="117">
        <v>9</v>
      </c>
      <c r="B62" s="188" t="s">
        <v>254</v>
      </c>
      <c r="C62" s="189">
        <v>83075877</v>
      </c>
      <c r="D62" s="171" t="s">
        <v>255</v>
      </c>
      <c r="E62" s="117" t="s">
        <v>68</v>
      </c>
      <c r="F62" s="212" t="s">
        <v>256</v>
      </c>
      <c r="G62" s="289"/>
    </row>
    <row r="63" spans="1:7" x14ac:dyDescent="0.25">
      <c r="A63" s="117">
        <v>10</v>
      </c>
      <c r="B63" s="188" t="s">
        <v>257</v>
      </c>
      <c r="C63" s="189">
        <v>83040090</v>
      </c>
      <c r="D63" s="171" t="s">
        <v>258</v>
      </c>
      <c r="E63" s="117" t="s">
        <v>68</v>
      </c>
      <c r="F63" s="212" t="s">
        <v>256</v>
      </c>
      <c r="G63" s="289"/>
    </row>
    <row r="64" spans="1:7" x14ac:dyDescent="0.25">
      <c r="A64" s="117">
        <v>11</v>
      </c>
      <c r="B64" s="188" t="s">
        <v>292</v>
      </c>
      <c r="C64" s="189">
        <v>83074917</v>
      </c>
      <c r="D64" s="171" t="s">
        <v>293</v>
      </c>
      <c r="E64" s="117" t="s">
        <v>68</v>
      </c>
      <c r="F64" s="212" t="s">
        <v>256</v>
      </c>
      <c r="G64" s="289"/>
    </row>
    <row r="65" spans="1:7" x14ac:dyDescent="0.25">
      <c r="A65" s="117">
        <v>12</v>
      </c>
      <c r="B65" s="188" t="s">
        <v>294</v>
      </c>
      <c r="C65" s="189">
        <v>152579</v>
      </c>
      <c r="D65" s="171" t="s">
        <v>295</v>
      </c>
      <c r="E65" s="117" t="s">
        <v>68</v>
      </c>
      <c r="F65" s="212" t="s">
        <v>256</v>
      </c>
      <c r="G65" s="289"/>
    </row>
    <row r="66" spans="1:7" x14ac:dyDescent="0.25">
      <c r="A66" s="117">
        <v>13</v>
      </c>
      <c r="B66" s="188" t="s">
        <v>344</v>
      </c>
      <c r="C66" s="189">
        <v>83086469</v>
      </c>
      <c r="D66" s="171" t="s">
        <v>345</v>
      </c>
      <c r="E66" s="117" t="s">
        <v>68</v>
      </c>
      <c r="F66" s="212" t="s">
        <v>256</v>
      </c>
      <c r="G66" s="289"/>
    </row>
    <row r="67" spans="1:7" x14ac:dyDescent="0.25">
      <c r="A67" s="117">
        <v>14</v>
      </c>
      <c r="B67" s="188" t="s">
        <v>390</v>
      </c>
      <c r="C67" s="189">
        <v>83040081</v>
      </c>
      <c r="D67" s="171" t="s">
        <v>391</v>
      </c>
      <c r="E67" s="117" t="s">
        <v>384</v>
      </c>
      <c r="F67" s="212" t="s">
        <v>256</v>
      </c>
      <c r="G67" s="289"/>
    </row>
    <row r="68" spans="1:7" x14ac:dyDescent="0.25">
      <c r="A68" s="117">
        <v>15</v>
      </c>
      <c r="B68" s="188" t="s">
        <v>385</v>
      </c>
      <c r="C68" s="189">
        <v>154599</v>
      </c>
      <c r="D68" s="161" t="s">
        <v>391</v>
      </c>
      <c r="E68" s="117" t="s">
        <v>384</v>
      </c>
      <c r="F68" s="212" t="s">
        <v>256</v>
      </c>
      <c r="G68" s="289"/>
    </row>
    <row r="69" spans="1:7" x14ac:dyDescent="0.25">
      <c r="A69" s="117">
        <v>16</v>
      </c>
      <c r="B69" s="188" t="s">
        <v>398</v>
      </c>
      <c r="C69" s="189">
        <v>84088210</v>
      </c>
      <c r="D69" s="177" t="s">
        <v>399</v>
      </c>
      <c r="E69" s="117" t="s">
        <v>397</v>
      </c>
      <c r="F69" s="212" t="s">
        <v>256</v>
      </c>
      <c r="G69" s="289"/>
    </row>
    <row r="70" spans="1:7" x14ac:dyDescent="0.25">
      <c r="A70" s="117">
        <v>17</v>
      </c>
      <c r="B70" s="161" t="s">
        <v>729</v>
      </c>
      <c r="C70" s="161">
        <v>84088198</v>
      </c>
      <c r="D70" s="177" t="s">
        <v>730</v>
      </c>
      <c r="E70" s="117" t="s">
        <v>397</v>
      </c>
      <c r="F70" s="212" t="s">
        <v>256</v>
      </c>
      <c r="G70" s="289"/>
    </row>
    <row r="71" spans="1:7" x14ac:dyDescent="0.25">
      <c r="A71" s="117">
        <v>18</v>
      </c>
      <c r="B71" s="188" t="s">
        <v>395</v>
      </c>
      <c r="C71" s="189">
        <v>131759</v>
      </c>
      <c r="D71" s="171" t="s">
        <v>396</v>
      </c>
      <c r="E71" s="117" t="s">
        <v>397</v>
      </c>
      <c r="F71" s="212" t="s">
        <v>256</v>
      </c>
      <c r="G71" s="289"/>
    </row>
    <row r="72" spans="1:7" x14ac:dyDescent="0.25">
      <c r="A72" s="117">
        <v>19</v>
      </c>
      <c r="B72" s="161" t="s">
        <v>714</v>
      </c>
      <c r="C72" s="161">
        <v>83119340</v>
      </c>
      <c r="D72" s="161" t="s">
        <v>845</v>
      </c>
      <c r="E72" s="117" t="s">
        <v>606</v>
      </c>
      <c r="F72" s="212" t="s">
        <v>256</v>
      </c>
      <c r="G72" s="289"/>
    </row>
    <row r="73" spans="1:7" x14ac:dyDescent="0.25">
      <c r="A73" s="117">
        <v>20</v>
      </c>
      <c r="B73" s="184" t="s">
        <v>501</v>
      </c>
      <c r="C73" s="184">
        <v>240881</v>
      </c>
      <c r="D73" s="161" t="s">
        <v>502</v>
      </c>
      <c r="E73" s="117" t="s">
        <v>503</v>
      </c>
      <c r="F73" s="212" t="s">
        <v>256</v>
      </c>
      <c r="G73" s="289"/>
    </row>
    <row r="74" spans="1:7" x14ac:dyDescent="0.25">
      <c r="A74" s="117">
        <v>21</v>
      </c>
      <c r="B74" s="161" t="s">
        <v>731</v>
      </c>
      <c r="C74" s="161">
        <v>83104426</v>
      </c>
      <c r="D74" s="177" t="s">
        <v>732</v>
      </c>
      <c r="E74" s="117" t="s">
        <v>443</v>
      </c>
      <c r="F74" s="212" t="s">
        <v>256</v>
      </c>
      <c r="G74" s="289"/>
    </row>
    <row r="75" spans="1:7" x14ac:dyDescent="0.25">
      <c r="A75" s="117">
        <v>22</v>
      </c>
      <c r="B75" s="188" t="s">
        <v>441</v>
      </c>
      <c r="C75" s="189">
        <v>83117279</v>
      </c>
      <c r="D75" s="171" t="s">
        <v>442</v>
      </c>
      <c r="E75" s="117" t="s">
        <v>443</v>
      </c>
      <c r="F75" s="212" t="s">
        <v>256</v>
      </c>
      <c r="G75" s="289"/>
    </row>
    <row r="76" spans="1:7" x14ac:dyDescent="0.25">
      <c r="A76" s="117">
        <v>23</v>
      </c>
      <c r="B76" s="188" t="s">
        <v>444</v>
      </c>
      <c r="C76" s="189">
        <v>83117277</v>
      </c>
      <c r="D76" s="171" t="s">
        <v>445</v>
      </c>
      <c r="E76" s="117" t="s">
        <v>443</v>
      </c>
      <c r="F76" s="212" t="s">
        <v>256</v>
      </c>
      <c r="G76" s="289"/>
    </row>
    <row r="77" spans="1:7" x14ac:dyDescent="0.25">
      <c r="A77" s="117">
        <v>24</v>
      </c>
      <c r="B77" s="161" t="s">
        <v>726</v>
      </c>
      <c r="C77" s="161">
        <v>83117892</v>
      </c>
      <c r="D77" s="177" t="s">
        <v>727</v>
      </c>
      <c r="E77" s="117" t="s">
        <v>480</v>
      </c>
      <c r="F77" s="212" t="s">
        <v>256</v>
      </c>
      <c r="G77" s="289"/>
    </row>
    <row r="78" spans="1:7" x14ac:dyDescent="0.25">
      <c r="A78" s="117">
        <v>25</v>
      </c>
      <c r="B78" s="188" t="s">
        <v>478</v>
      </c>
      <c r="C78" s="189">
        <v>83117886</v>
      </c>
      <c r="D78" s="171" t="s">
        <v>479</v>
      </c>
      <c r="E78" s="117" t="s">
        <v>480</v>
      </c>
      <c r="F78" s="212" t="s">
        <v>256</v>
      </c>
      <c r="G78" s="289"/>
    </row>
    <row r="79" spans="1:7" x14ac:dyDescent="0.25">
      <c r="A79" s="117">
        <v>26</v>
      </c>
      <c r="B79" s="188" t="s">
        <v>481</v>
      </c>
      <c r="C79" s="189">
        <v>83117915</v>
      </c>
      <c r="D79" s="171" t="s">
        <v>482</v>
      </c>
      <c r="E79" s="117" t="s">
        <v>480</v>
      </c>
      <c r="F79" s="212" t="s">
        <v>256</v>
      </c>
      <c r="G79" s="289"/>
    </row>
    <row r="80" spans="1:7" x14ac:dyDescent="0.25">
      <c r="A80" s="117">
        <v>27</v>
      </c>
      <c r="B80" s="188" t="s">
        <v>483</v>
      </c>
      <c r="C80" s="189">
        <v>83117941</v>
      </c>
      <c r="D80" s="171" t="s">
        <v>484</v>
      </c>
      <c r="E80" s="117" t="s">
        <v>480</v>
      </c>
      <c r="F80" s="212" t="s">
        <v>256</v>
      </c>
      <c r="G80" s="289"/>
    </row>
    <row r="81" spans="1:7" x14ac:dyDescent="0.25">
      <c r="A81" s="117">
        <v>28</v>
      </c>
      <c r="B81" s="188" t="s">
        <v>290</v>
      </c>
      <c r="C81" s="189">
        <v>83075251</v>
      </c>
      <c r="D81" s="171" t="s">
        <v>291</v>
      </c>
      <c r="E81" s="117" t="s">
        <v>68</v>
      </c>
      <c r="F81" s="212" t="s">
        <v>256</v>
      </c>
      <c r="G81" s="289"/>
    </row>
    <row r="82" spans="1:7" x14ac:dyDescent="0.25">
      <c r="A82" s="117">
        <v>29</v>
      </c>
      <c r="B82" s="177" t="s">
        <v>228</v>
      </c>
      <c r="C82" s="177">
        <v>83075406</v>
      </c>
      <c r="D82" s="177" t="s">
        <v>229</v>
      </c>
      <c r="E82" s="123" t="s">
        <v>68</v>
      </c>
      <c r="F82" s="212" t="s">
        <v>208</v>
      </c>
      <c r="G82" s="289"/>
    </row>
  </sheetData>
  <autoFilter ref="A53:G82"/>
  <conditionalFormatting sqref="C45:C49 C2:C43">
    <cfRule type="duplicateValues" dxfId="345" priority="20"/>
  </conditionalFormatting>
  <conditionalFormatting sqref="C45:C49 C8:C15">
    <cfRule type="duplicateValues" dxfId="344" priority="21"/>
  </conditionalFormatting>
  <conditionalFormatting sqref="C45:C49 C8:C15 C22">
    <cfRule type="duplicateValues" dxfId="343" priority="17"/>
  </conditionalFormatting>
  <conditionalFormatting sqref="C44">
    <cfRule type="duplicateValues" dxfId="342" priority="16"/>
  </conditionalFormatting>
  <conditionalFormatting sqref="C44">
    <cfRule type="duplicateValues" dxfId="341" priority="15"/>
  </conditionalFormatting>
  <conditionalFormatting sqref="C44">
    <cfRule type="duplicateValues" dxfId="340" priority="14"/>
  </conditionalFormatting>
  <conditionalFormatting sqref="C44">
    <cfRule type="duplicateValues" dxfId="339" priority="13"/>
  </conditionalFormatting>
  <conditionalFormatting sqref="C44">
    <cfRule type="duplicateValues" dxfId="338" priority="12"/>
  </conditionalFormatting>
  <conditionalFormatting sqref="C2:C49">
    <cfRule type="duplicateValues" dxfId="337" priority="1898"/>
    <cfRule type="duplicateValues" dxfId="336" priority="1899"/>
  </conditionalFormatting>
  <conditionalFormatting sqref="C2:C49">
    <cfRule type="duplicateValues" dxfId="335" priority="1906"/>
  </conditionalFormatting>
  <conditionalFormatting sqref="C52:C80">
    <cfRule type="duplicateValues" dxfId="334" priority="7"/>
    <cfRule type="duplicateValues" dxfId="333" priority="8"/>
  </conditionalFormatting>
  <conditionalFormatting sqref="C52:C80">
    <cfRule type="duplicateValues" dxfId="332" priority="9"/>
  </conditionalFormatting>
  <conditionalFormatting sqref="C52:C80">
    <cfRule type="duplicateValues" dxfId="331" priority="10"/>
  </conditionalFormatting>
  <conditionalFormatting sqref="C52:C80">
    <cfRule type="duplicateValues" dxfId="330" priority="11"/>
  </conditionalFormatting>
  <conditionalFormatting sqref="C73:C80">
    <cfRule type="duplicateValues" dxfId="329" priority="6"/>
  </conditionalFormatting>
  <conditionalFormatting sqref="C81:C82">
    <cfRule type="duplicateValues" dxfId="328" priority="1"/>
    <cfRule type="duplicateValues" dxfId="327" priority="2"/>
  </conditionalFormatting>
  <conditionalFormatting sqref="C81:C82">
    <cfRule type="duplicateValues" dxfId="326" priority="3"/>
  </conditionalFormatting>
  <conditionalFormatting sqref="C81:C82">
    <cfRule type="duplicateValues" dxfId="325" priority="4"/>
  </conditionalFormatting>
  <conditionalFormatting sqref="C81:C82">
    <cfRule type="duplicateValues" dxfId="324" priority="5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topLeftCell="C1" workbookViewId="0">
      <pane xSplit="5" ySplit="2" topLeftCell="H52" activePane="bottomRight" state="frozen"/>
      <selection activeCell="C1" sqref="C1"/>
      <selection pane="topRight" activeCell="G1" sqref="G1"/>
      <selection pane="bottomLeft" activeCell="C3" sqref="C3"/>
      <selection pane="bottomRight" activeCell="H72" sqref="H72"/>
    </sheetView>
  </sheetViews>
  <sheetFormatPr defaultRowHeight="20.25" customHeight="1" x14ac:dyDescent="0.25"/>
  <cols>
    <col min="2" max="2" width="28.85546875" bestFit="1" customWidth="1"/>
    <col min="3" max="3" width="18.7109375" style="58" customWidth="1"/>
    <col min="4" max="4" width="17" customWidth="1"/>
    <col min="5" max="5" width="26.7109375" bestFit="1" customWidth="1"/>
    <col min="7" max="7" width="11.42578125" customWidth="1"/>
    <col min="8" max="8" width="11" customWidth="1"/>
    <col min="9" max="9" width="10.42578125" customWidth="1"/>
  </cols>
  <sheetData>
    <row r="1" spans="1:19" ht="42" customHeight="1" x14ac:dyDescent="0.25">
      <c r="A1" s="34" t="s">
        <v>4</v>
      </c>
      <c r="B1" s="35" t="s">
        <v>5</v>
      </c>
      <c r="C1" s="35" t="s">
        <v>5</v>
      </c>
      <c r="D1" s="35" t="s">
        <v>6</v>
      </c>
      <c r="E1" s="35" t="s">
        <v>7</v>
      </c>
      <c r="F1" s="35" t="s">
        <v>8</v>
      </c>
      <c r="G1" s="35" t="s">
        <v>857</v>
      </c>
      <c r="H1" s="113" t="s">
        <v>9</v>
      </c>
      <c r="I1" s="310" t="s">
        <v>10</v>
      </c>
      <c r="J1" s="310"/>
      <c r="K1" s="310"/>
      <c r="L1" s="311" t="s">
        <v>11</v>
      </c>
      <c r="M1" s="311"/>
      <c r="N1" s="311"/>
      <c r="O1" s="113" t="s">
        <v>12</v>
      </c>
      <c r="P1" s="53" t="s">
        <v>13</v>
      </c>
      <c r="Q1" s="113" t="s">
        <v>14</v>
      </c>
      <c r="R1" s="58"/>
    </row>
    <row r="2" spans="1:19" ht="20.25" customHeight="1" x14ac:dyDescent="0.25">
      <c r="A2" s="34"/>
      <c r="B2" s="35"/>
      <c r="C2" s="35"/>
      <c r="D2" s="35"/>
      <c r="E2" s="36"/>
      <c r="F2" s="36"/>
      <c r="G2" s="36"/>
      <c r="H2" s="37" t="s">
        <v>59</v>
      </c>
      <c r="I2" s="52" t="s">
        <v>59</v>
      </c>
      <c r="J2" s="37" t="s">
        <v>60</v>
      </c>
      <c r="K2" s="37" t="s">
        <v>61</v>
      </c>
      <c r="L2" s="37" t="s">
        <v>59</v>
      </c>
      <c r="M2" s="37" t="s">
        <v>60</v>
      </c>
      <c r="N2" s="37" t="s">
        <v>62</v>
      </c>
      <c r="O2" s="37" t="s">
        <v>59</v>
      </c>
      <c r="P2" s="37" t="s">
        <v>59</v>
      </c>
      <c r="Q2" s="37" t="s">
        <v>59</v>
      </c>
      <c r="R2" s="58"/>
    </row>
    <row r="3" spans="1:19" ht="20.25" customHeight="1" x14ac:dyDescent="0.25">
      <c r="A3" s="38">
        <v>1</v>
      </c>
      <c r="B3" s="38" t="s">
        <v>209</v>
      </c>
      <c r="C3" s="38" t="s">
        <v>209</v>
      </c>
      <c r="D3" s="38">
        <v>83075871</v>
      </c>
      <c r="E3" s="39" t="s">
        <v>210</v>
      </c>
      <c r="F3" s="18" t="s">
        <v>68</v>
      </c>
      <c r="G3" s="39" t="s">
        <v>256</v>
      </c>
      <c r="H3" s="17">
        <v>40959</v>
      </c>
      <c r="I3" s="76"/>
      <c r="J3" s="83"/>
      <c r="K3" s="97"/>
      <c r="L3" s="76"/>
      <c r="M3" s="57"/>
      <c r="N3" s="83"/>
      <c r="O3" s="76"/>
      <c r="P3" s="76"/>
      <c r="Q3" s="76"/>
      <c r="R3" s="33" t="s">
        <v>208</v>
      </c>
      <c r="S3" t="e">
        <f>VLOOKUP(D3,#REF!,2,FALSE)</f>
        <v>#REF!</v>
      </c>
    </row>
    <row r="4" spans="1:19" ht="20.25" customHeight="1" x14ac:dyDescent="0.25">
      <c r="A4" s="38">
        <v>2</v>
      </c>
      <c r="B4" s="18" t="s">
        <v>211</v>
      </c>
      <c r="C4" s="18" t="s">
        <v>211</v>
      </c>
      <c r="D4" s="18">
        <v>83040194</v>
      </c>
      <c r="E4" s="38" t="s">
        <v>212</v>
      </c>
      <c r="F4" s="18" t="s">
        <v>68</v>
      </c>
      <c r="G4" s="39" t="s">
        <v>256</v>
      </c>
      <c r="H4" s="17">
        <v>40969</v>
      </c>
      <c r="I4" s="76"/>
      <c r="J4" s="99"/>
      <c r="K4" s="97"/>
      <c r="L4" s="76"/>
      <c r="M4" s="57"/>
      <c r="N4" s="83"/>
      <c r="O4" s="76"/>
      <c r="P4" s="76"/>
      <c r="Q4" s="76"/>
      <c r="R4" s="33" t="s">
        <v>208</v>
      </c>
      <c r="S4" s="58" t="e">
        <f>VLOOKUP(D4,#REF!,2,FALSE)</f>
        <v>#REF!</v>
      </c>
    </row>
    <row r="5" spans="1:19" ht="20.25" customHeight="1" x14ac:dyDescent="0.25">
      <c r="A5" s="38">
        <v>3</v>
      </c>
      <c r="B5" s="18" t="s">
        <v>213</v>
      </c>
      <c r="C5" s="18" t="s">
        <v>213</v>
      </c>
      <c r="D5" s="18">
        <v>83117969</v>
      </c>
      <c r="E5" s="38" t="s">
        <v>212</v>
      </c>
      <c r="F5" s="18" t="s">
        <v>68</v>
      </c>
      <c r="G5" s="39" t="s">
        <v>256</v>
      </c>
      <c r="H5" s="44" t="s">
        <v>69</v>
      </c>
      <c r="I5" s="76"/>
      <c r="J5" s="103"/>
      <c r="K5" s="97"/>
      <c r="L5" s="76"/>
      <c r="M5" s="57"/>
      <c r="N5" s="83"/>
      <c r="O5" s="76"/>
      <c r="P5" s="76"/>
      <c r="Q5" s="76"/>
      <c r="R5" s="33" t="s">
        <v>208</v>
      </c>
      <c r="S5" s="58" t="e">
        <f>VLOOKUP(D5,#REF!,2,FALSE)</f>
        <v>#REF!</v>
      </c>
    </row>
    <row r="6" spans="1:19" ht="20.25" customHeight="1" x14ac:dyDescent="0.25">
      <c r="A6" s="38">
        <v>4</v>
      </c>
      <c r="B6" s="22" t="s">
        <v>216</v>
      </c>
      <c r="C6" s="22" t="s">
        <v>216</v>
      </c>
      <c r="D6" s="22">
        <v>140244</v>
      </c>
      <c r="E6" s="38" t="s">
        <v>212</v>
      </c>
      <c r="F6" s="18" t="s">
        <v>68</v>
      </c>
      <c r="G6" s="39" t="s">
        <v>256</v>
      </c>
      <c r="H6" s="19">
        <v>44330</v>
      </c>
      <c r="I6" s="76"/>
      <c r="J6" s="103"/>
      <c r="K6" s="97"/>
      <c r="L6" s="76"/>
      <c r="M6" s="57"/>
      <c r="N6" s="83"/>
      <c r="O6" s="76"/>
      <c r="P6" s="76"/>
      <c r="Q6" s="76"/>
      <c r="R6" s="33" t="s">
        <v>208</v>
      </c>
      <c r="S6" s="58" t="e">
        <f>VLOOKUP(D6,#REF!,2,FALSE)</f>
        <v>#REF!</v>
      </c>
    </row>
    <row r="7" spans="1:19" ht="20.25" customHeight="1" x14ac:dyDescent="0.25">
      <c r="A7" s="38">
        <v>5</v>
      </c>
      <c r="B7" s="23" t="s">
        <v>218</v>
      </c>
      <c r="C7" s="23" t="s">
        <v>218</v>
      </c>
      <c r="D7" s="18">
        <v>83104434</v>
      </c>
      <c r="E7" s="38" t="s">
        <v>212</v>
      </c>
      <c r="F7" s="18" t="s">
        <v>68</v>
      </c>
      <c r="G7" s="39" t="s">
        <v>256</v>
      </c>
      <c r="H7" s="44" t="s">
        <v>69</v>
      </c>
      <c r="I7" s="76"/>
      <c r="J7" s="103"/>
      <c r="K7" s="97"/>
      <c r="L7" s="76"/>
      <c r="M7" s="57"/>
      <c r="N7" s="83"/>
      <c r="O7" s="76"/>
      <c r="P7" s="76"/>
      <c r="Q7" s="76"/>
      <c r="R7" s="33" t="s">
        <v>208</v>
      </c>
      <c r="S7" s="58" t="e">
        <f>VLOOKUP(D7,#REF!,2,FALSE)</f>
        <v>#REF!</v>
      </c>
    </row>
    <row r="8" spans="1:19" ht="20.25" customHeight="1" x14ac:dyDescent="0.25">
      <c r="A8" s="38">
        <v>6</v>
      </c>
      <c r="B8" s="18" t="s">
        <v>219</v>
      </c>
      <c r="C8" s="18" t="s">
        <v>219</v>
      </c>
      <c r="D8" s="18">
        <v>83075242</v>
      </c>
      <c r="E8" s="38" t="s">
        <v>212</v>
      </c>
      <c r="F8" s="18" t="s">
        <v>68</v>
      </c>
      <c r="G8" s="39" t="s">
        <v>256</v>
      </c>
      <c r="H8" s="44" t="s">
        <v>69</v>
      </c>
      <c r="I8" s="76"/>
      <c r="J8" s="57"/>
      <c r="K8" s="97"/>
      <c r="L8" s="76"/>
      <c r="M8" s="57"/>
      <c r="N8" s="83"/>
      <c r="O8" s="76"/>
      <c r="P8" s="76"/>
      <c r="Q8" s="76"/>
      <c r="R8" s="33" t="s">
        <v>208</v>
      </c>
      <c r="S8" s="58" t="e">
        <f>VLOOKUP(D8,#REF!,2,FALSE)</f>
        <v>#REF!</v>
      </c>
    </row>
    <row r="9" spans="1:19" ht="20.25" customHeight="1" x14ac:dyDescent="0.25">
      <c r="A9" s="38">
        <v>7</v>
      </c>
      <c r="B9" s="38" t="s">
        <v>77</v>
      </c>
      <c r="C9" s="38" t="s">
        <v>77</v>
      </c>
      <c r="D9" s="38">
        <v>83074622</v>
      </c>
      <c r="E9" s="38" t="s">
        <v>212</v>
      </c>
      <c r="F9" s="18" t="s">
        <v>68</v>
      </c>
      <c r="G9" s="39" t="s">
        <v>256</v>
      </c>
      <c r="H9" s="44">
        <v>42724</v>
      </c>
      <c r="I9" s="76"/>
      <c r="J9" s="104"/>
      <c r="K9" s="97"/>
      <c r="L9" s="76"/>
      <c r="M9" s="57"/>
      <c r="N9" s="83"/>
      <c r="O9" s="76"/>
      <c r="P9" s="76"/>
      <c r="Q9" s="76"/>
      <c r="R9" s="33" t="s">
        <v>208</v>
      </c>
      <c r="S9" s="58" t="e">
        <f>VLOOKUP(D9,#REF!,2,FALSE)</f>
        <v>#REF!</v>
      </c>
    </row>
    <row r="10" spans="1:19" ht="20.25" customHeight="1" x14ac:dyDescent="0.25">
      <c r="A10" s="38">
        <v>8</v>
      </c>
      <c r="B10" s="18" t="s">
        <v>223</v>
      </c>
      <c r="C10" s="18" t="s">
        <v>223</v>
      </c>
      <c r="D10" s="18">
        <v>83117959</v>
      </c>
      <c r="E10" s="38" t="s">
        <v>212</v>
      </c>
      <c r="F10" s="18" t="s">
        <v>68</v>
      </c>
      <c r="G10" s="39" t="s">
        <v>256</v>
      </c>
      <c r="H10" s="44" t="s">
        <v>69</v>
      </c>
      <c r="I10" s="76"/>
      <c r="J10" s="103"/>
      <c r="K10" s="105"/>
      <c r="L10" s="76"/>
      <c r="M10" s="57"/>
      <c r="N10" s="83"/>
      <c r="O10" s="76"/>
      <c r="P10" s="76"/>
      <c r="Q10" s="76"/>
      <c r="R10" s="33" t="s">
        <v>224</v>
      </c>
      <c r="S10" s="58" t="e">
        <f>VLOOKUP(D10,#REF!,2,FALSE)</f>
        <v>#REF!</v>
      </c>
    </row>
    <row r="11" spans="1:19" ht="20.25" customHeight="1" x14ac:dyDescent="0.25">
      <c r="A11" s="38">
        <v>10</v>
      </c>
      <c r="B11" s="11" t="s">
        <v>226</v>
      </c>
      <c r="C11" s="11" t="s">
        <v>226</v>
      </c>
      <c r="D11" s="38">
        <v>152600</v>
      </c>
      <c r="E11" s="38" t="s">
        <v>212</v>
      </c>
      <c r="F11" s="18" t="s">
        <v>68</v>
      </c>
      <c r="G11" s="39" t="s">
        <v>256</v>
      </c>
      <c r="H11" s="44" t="s">
        <v>69</v>
      </c>
      <c r="I11" s="76"/>
      <c r="J11" s="57"/>
      <c r="K11" s="97"/>
      <c r="L11" s="76"/>
      <c r="M11" s="56"/>
      <c r="N11" s="83"/>
      <c r="O11" s="76"/>
      <c r="P11" s="76"/>
      <c r="Q11" s="76"/>
      <c r="R11" s="33" t="s">
        <v>208</v>
      </c>
      <c r="S11" s="58" t="e">
        <f>VLOOKUP(D11,#REF!,2,FALSE)</f>
        <v>#REF!</v>
      </c>
    </row>
    <row r="12" spans="1:19" ht="20.25" customHeight="1" x14ac:dyDescent="0.25">
      <c r="A12" s="38">
        <v>11</v>
      </c>
      <c r="B12" s="18" t="s">
        <v>231</v>
      </c>
      <c r="C12" s="18" t="s">
        <v>231</v>
      </c>
      <c r="D12" s="18">
        <v>83040130</v>
      </c>
      <c r="E12" s="38" t="s">
        <v>212</v>
      </c>
      <c r="F12" s="18" t="s">
        <v>68</v>
      </c>
      <c r="G12" s="39" t="s">
        <v>256</v>
      </c>
      <c r="H12" s="21">
        <v>38113</v>
      </c>
      <c r="I12" s="76"/>
      <c r="J12" s="103"/>
      <c r="K12" s="97"/>
      <c r="L12" s="76"/>
      <c r="M12" s="57"/>
      <c r="N12" s="83"/>
      <c r="O12" s="76"/>
      <c r="P12" s="76"/>
      <c r="Q12" s="76"/>
      <c r="R12" s="33" t="s">
        <v>208</v>
      </c>
      <c r="S12" s="58" t="e">
        <f>VLOOKUP(D12,#REF!,2,FALSE)</f>
        <v>#REF!</v>
      </c>
    </row>
    <row r="13" spans="1:19" ht="20.25" customHeight="1" x14ac:dyDescent="0.25">
      <c r="A13" s="38">
        <v>13</v>
      </c>
      <c r="B13" s="18" t="s">
        <v>233</v>
      </c>
      <c r="C13" s="18" t="s">
        <v>233</v>
      </c>
      <c r="D13" s="18">
        <v>83102177</v>
      </c>
      <c r="E13" s="38" t="s">
        <v>212</v>
      </c>
      <c r="F13" s="18" t="s">
        <v>68</v>
      </c>
      <c r="G13" s="39" t="s">
        <v>256</v>
      </c>
      <c r="H13" s="44">
        <v>40750</v>
      </c>
      <c r="I13" s="76"/>
      <c r="J13" s="98"/>
      <c r="K13" s="97"/>
      <c r="L13" s="76"/>
      <c r="M13" s="98"/>
      <c r="N13" s="83"/>
      <c r="O13" s="76"/>
      <c r="P13" s="76"/>
      <c r="Q13" s="76"/>
      <c r="R13" s="33" t="s">
        <v>224</v>
      </c>
      <c r="S13" s="58" t="e">
        <f>VLOOKUP(D13,#REF!,2,FALSE)</f>
        <v>#REF!</v>
      </c>
    </row>
    <row r="14" spans="1:19" ht="20.25" customHeight="1" x14ac:dyDescent="0.25">
      <c r="A14" s="38">
        <v>14</v>
      </c>
      <c r="B14" s="38" t="s">
        <v>235</v>
      </c>
      <c r="C14" s="38" t="s">
        <v>235</v>
      </c>
      <c r="D14" s="38">
        <v>83040133</v>
      </c>
      <c r="E14" s="38" t="s">
        <v>212</v>
      </c>
      <c r="F14" s="18" t="s">
        <v>68</v>
      </c>
      <c r="G14" s="39" t="s">
        <v>256</v>
      </c>
      <c r="H14" s="44" t="s">
        <v>69</v>
      </c>
      <c r="I14" s="76"/>
      <c r="J14" s="76"/>
      <c r="K14" s="97"/>
      <c r="L14" s="76"/>
      <c r="M14" s="98"/>
      <c r="N14" s="83"/>
      <c r="O14" s="76"/>
      <c r="P14" s="76"/>
      <c r="Q14" s="76"/>
      <c r="R14" s="33" t="s">
        <v>208</v>
      </c>
      <c r="S14" s="58" t="e">
        <f>VLOOKUP(D14,#REF!,2,FALSE)</f>
        <v>#REF!</v>
      </c>
    </row>
    <row r="15" spans="1:19" ht="20.25" customHeight="1" x14ac:dyDescent="0.25">
      <c r="A15" s="38">
        <v>15</v>
      </c>
      <c r="B15" s="18" t="s">
        <v>236</v>
      </c>
      <c r="C15" s="18" t="s">
        <v>236</v>
      </c>
      <c r="D15" s="18">
        <v>83117968</v>
      </c>
      <c r="E15" s="38" t="s">
        <v>212</v>
      </c>
      <c r="F15" s="18" t="s">
        <v>68</v>
      </c>
      <c r="G15" s="39" t="s">
        <v>256</v>
      </c>
      <c r="H15" s="44" t="s">
        <v>69</v>
      </c>
      <c r="I15" s="76"/>
      <c r="J15" s="76"/>
      <c r="K15" s="97"/>
      <c r="L15" s="76"/>
      <c r="M15" s="76"/>
      <c r="N15" s="83"/>
      <c r="O15" s="76"/>
      <c r="P15" s="76"/>
      <c r="Q15" s="76"/>
      <c r="R15" s="33" t="s">
        <v>208</v>
      </c>
      <c r="S15" s="58" t="e">
        <f>VLOOKUP(D15,#REF!,2,FALSE)</f>
        <v>#REF!</v>
      </c>
    </row>
    <row r="16" spans="1:19" ht="20.25" customHeight="1" x14ac:dyDescent="0.25">
      <c r="A16" s="38">
        <v>16</v>
      </c>
      <c r="B16" s="18" t="s">
        <v>237</v>
      </c>
      <c r="C16" s="18" t="s">
        <v>237</v>
      </c>
      <c r="D16" s="18">
        <v>83105157</v>
      </c>
      <c r="E16" s="38" t="s">
        <v>212</v>
      </c>
      <c r="F16" s="18" t="s">
        <v>68</v>
      </c>
      <c r="G16" s="39" t="s">
        <v>256</v>
      </c>
      <c r="H16" s="44" t="s">
        <v>69</v>
      </c>
      <c r="I16" s="76"/>
      <c r="J16" s="98"/>
      <c r="K16" s="97"/>
      <c r="L16" s="76"/>
      <c r="M16" s="98"/>
      <c r="N16" s="83"/>
      <c r="O16" s="76"/>
      <c r="P16" s="76"/>
      <c r="Q16" s="76"/>
      <c r="R16" s="33" t="s">
        <v>208</v>
      </c>
      <c r="S16" s="58" t="e">
        <f>VLOOKUP(D16,#REF!,2,FALSE)</f>
        <v>#REF!</v>
      </c>
    </row>
    <row r="17" spans="1:19" ht="20.25" customHeight="1" x14ac:dyDescent="0.25">
      <c r="A17" s="38">
        <v>19</v>
      </c>
      <c r="B17" s="18" t="s">
        <v>241</v>
      </c>
      <c r="C17" s="18" t="s">
        <v>241</v>
      </c>
      <c r="D17" s="18">
        <v>83102181</v>
      </c>
      <c r="E17" s="38" t="s">
        <v>212</v>
      </c>
      <c r="F17" s="18" t="s">
        <v>68</v>
      </c>
      <c r="G17" s="39" t="s">
        <v>256</v>
      </c>
      <c r="H17" s="44" t="s">
        <v>69</v>
      </c>
      <c r="I17" s="76"/>
      <c r="J17" s="98"/>
      <c r="K17" s="97"/>
      <c r="L17" s="76"/>
      <c r="M17" s="76"/>
      <c r="N17" s="83"/>
      <c r="O17" s="76"/>
      <c r="P17" s="76"/>
      <c r="Q17" s="76"/>
      <c r="R17" s="33" t="s">
        <v>208</v>
      </c>
      <c r="S17" s="58" t="e">
        <f>VLOOKUP(D17,#REF!,2,FALSE)</f>
        <v>#REF!</v>
      </c>
    </row>
    <row r="18" spans="1:19" ht="20.25" customHeight="1" x14ac:dyDescent="0.25">
      <c r="A18" s="38">
        <v>20</v>
      </c>
      <c r="B18" s="38" t="s">
        <v>247</v>
      </c>
      <c r="C18" s="38" t="s">
        <v>247</v>
      </c>
      <c r="D18" s="38">
        <v>83040032</v>
      </c>
      <c r="E18" s="38" t="s">
        <v>212</v>
      </c>
      <c r="F18" s="18" t="s">
        <v>68</v>
      </c>
      <c r="G18" s="39" t="s">
        <v>256</v>
      </c>
      <c r="H18" s="24">
        <v>38113</v>
      </c>
      <c r="I18" s="76"/>
      <c r="J18" s="76"/>
      <c r="K18" s="97"/>
      <c r="L18" s="76"/>
      <c r="M18" s="98"/>
      <c r="N18" s="83"/>
      <c r="O18" s="76"/>
      <c r="P18" s="76"/>
      <c r="Q18" s="76"/>
      <c r="R18" s="33" t="s">
        <v>208</v>
      </c>
      <c r="S18" s="58" t="e">
        <f>VLOOKUP(D18,#REF!,2,FALSE)</f>
        <v>#REF!</v>
      </c>
    </row>
    <row r="19" spans="1:19" ht="20.25" customHeight="1" x14ac:dyDescent="0.25">
      <c r="A19" s="38">
        <v>21</v>
      </c>
      <c r="B19" s="38" t="s">
        <v>249</v>
      </c>
      <c r="C19" s="38" t="s">
        <v>249</v>
      </c>
      <c r="D19" s="38">
        <v>83086810</v>
      </c>
      <c r="E19" s="39" t="s">
        <v>250</v>
      </c>
      <c r="F19" s="18" t="s">
        <v>68</v>
      </c>
      <c r="G19" s="39" t="s">
        <v>256</v>
      </c>
      <c r="H19" s="40">
        <v>44882</v>
      </c>
      <c r="I19" s="56"/>
      <c r="J19" s="56"/>
      <c r="K19" s="97"/>
      <c r="L19" s="56"/>
      <c r="M19" s="56"/>
      <c r="N19" s="83"/>
      <c r="O19" s="56"/>
      <c r="P19" s="79"/>
      <c r="Q19" s="56"/>
      <c r="R19" s="33" t="s">
        <v>224</v>
      </c>
      <c r="S19" s="58" t="e">
        <f>VLOOKUP(D19,#REF!,2,FALSE)</f>
        <v>#REF!</v>
      </c>
    </row>
    <row r="20" spans="1:19" ht="20.25" customHeight="1" x14ac:dyDescent="0.25">
      <c r="A20" s="38">
        <v>22</v>
      </c>
      <c r="B20" s="38" t="s">
        <v>251</v>
      </c>
      <c r="C20" s="38" t="s">
        <v>251</v>
      </c>
      <c r="D20" s="38">
        <v>171982</v>
      </c>
      <c r="E20" s="38" t="s">
        <v>212</v>
      </c>
      <c r="F20" s="18" t="s">
        <v>68</v>
      </c>
      <c r="G20" s="39" t="s">
        <v>256</v>
      </c>
      <c r="H20" s="40">
        <v>44882</v>
      </c>
      <c r="I20" s="56"/>
      <c r="J20" s="56"/>
      <c r="K20" s="97"/>
      <c r="L20" s="56"/>
      <c r="M20" s="56"/>
      <c r="N20" s="83"/>
      <c r="O20" s="81"/>
      <c r="P20" s="56"/>
      <c r="Q20" s="81"/>
      <c r="R20" s="33" t="s">
        <v>224</v>
      </c>
      <c r="S20" s="58" t="e">
        <f>VLOOKUP(D20,#REF!,2,FALSE)</f>
        <v>#REF!</v>
      </c>
    </row>
    <row r="21" spans="1:19" ht="20.25" customHeight="1" x14ac:dyDescent="0.25">
      <c r="A21" s="38">
        <v>23</v>
      </c>
      <c r="B21" s="38" t="s">
        <v>252</v>
      </c>
      <c r="C21" s="38" t="s">
        <v>252</v>
      </c>
      <c r="D21" s="38">
        <v>83087494</v>
      </c>
      <c r="E21" s="39" t="s">
        <v>253</v>
      </c>
      <c r="F21" s="18" t="s">
        <v>68</v>
      </c>
      <c r="G21" s="39" t="s">
        <v>256</v>
      </c>
      <c r="H21" s="40">
        <v>44882</v>
      </c>
      <c r="I21" s="56"/>
      <c r="J21" s="56"/>
      <c r="K21" s="97"/>
      <c r="L21" s="56"/>
      <c r="M21" s="56"/>
      <c r="N21" s="83"/>
      <c r="O21" s="56"/>
      <c r="P21" s="56"/>
      <c r="Q21" s="79" t="s">
        <v>69</v>
      </c>
      <c r="R21" s="33" t="s">
        <v>208</v>
      </c>
      <c r="S21" s="58" t="e">
        <f>VLOOKUP(D21,#REF!,2,FALSE)</f>
        <v>#REF!</v>
      </c>
    </row>
    <row r="22" spans="1:19" ht="20.25" customHeight="1" x14ac:dyDescent="0.25">
      <c r="A22" s="38">
        <v>27</v>
      </c>
      <c r="B22" s="47" t="s">
        <v>266</v>
      </c>
      <c r="C22" s="47" t="s">
        <v>266</v>
      </c>
      <c r="D22" s="48">
        <v>83105165</v>
      </c>
      <c r="E22" s="38" t="s">
        <v>212</v>
      </c>
      <c r="F22" s="38" t="s">
        <v>68</v>
      </c>
      <c r="G22" s="39" t="s">
        <v>256</v>
      </c>
      <c r="H22" s="44" t="s">
        <v>69</v>
      </c>
      <c r="I22" s="55"/>
      <c r="J22" s="55"/>
      <c r="K22" s="109" t="s">
        <v>856</v>
      </c>
      <c r="L22" s="55"/>
      <c r="M22" s="55"/>
      <c r="N22" s="57" t="s">
        <v>856</v>
      </c>
      <c r="O22" s="55"/>
      <c r="P22" s="55"/>
      <c r="Q22" s="55"/>
      <c r="R22" s="33" t="s">
        <v>256</v>
      </c>
      <c r="S22" s="58" t="e">
        <f>VLOOKUP(D22,#REF!,2,FALSE)</f>
        <v>#REF!</v>
      </c>
    </row>
    <row r="23" spans="1:19" ht="20.25" customHeight="1" x14ac:dyDescent="0.25">
      <c r="A23" s="38">
        <v>30</v>
      </c>
      <c r="B23" s="47" t="s">
        <v>270</v>
      </c>
      <c r="C23" s="47" t="s">
        <v>270</v>
      </c>
      <c r="D23" s="48">
        <v>83119918</v>
      </c>
      <c r="E23" s="38" t="s">
        <v>212</v>
      </c>
      <c r="F23" s="38" t="s">
        <v>68</v>
      </c>
      <c r="G23" s="39" t="s">
        <v>256</v>
      </c>
      <c r="H23" s="44" t="s">
        <v>69</v>
      </c>
      <c r="I23" s="55"/>
      <c r="J23" s="55"/>
      <c r="K23" s="109" t="s">
        <v>856</v>
      </c>
      <c r="L23" s="55"/>
      <c r="M23" s="55"/>
      <c r="N23" s="57" t="s">
        <v>856</v>
      </c>
      <c r="O23" s="55"/>
      <c r="P23" s="55"/>
      <c r="Q23" s="55"/>
      <c r="R23" s="33" t="s">
        <v>256</v>
      </c>
      <c r="S23" s="58" t="e">
        <f>VLOOKUP(D23,#REF!,2,FALSE)</f>
        <v>#REF!</v>
      </c>
    </row>
    <row r="24" spans="1:19" ht="20.25" customHeight="1" x14ac:dyDescent="0.25">
      <c r="A24" s="38">
        <v>33</v>
      </c>
      <c r="B24" s="47" t="s">
        <v>275</v>
      </c>
      <c r="C24" s="47" t="s">
        <v>275</v>
      </c>
      <c r="D24" s="48">
        <v>152561</v>
      </c>
      <c r="E24" s="38" t="s">
        <v>212</v>
      </c>
      <c r="F24" s="38" t="s">
        <v>68</v>
      </c>
      <c r="G24" s="39" t="s">
        <v>256</v>
      </c>
      <c r="H24" s="44" t="s">
        <v>69</v>
      </c>
      <c r="I24" s="55"/>
      <c r="J24" s="55"/>
      <c r="K24" s="109" t="s">
        <v>856</v>
      </c>
      <c r="L24" s="55"/>
      <c r="M24" s="55"/>
      <c r="N24" s="57" t="s">
        <v>856</v>
      </c>
      <c r="O24" s="55"/>
      <c r="P24" s="55"/>
      <c r="Q24" s="55"/>
      <c r="R24" s="33" t="s">
        <v>256</v>
      </c>
      <c r="S24" s="58" t="e">
        <f>VLOOKUP(D24,#REF!,2,FALSE)</f>
        <v>#REF!</v>
      </c>
    </row>
    <row r="25" spans="1:19" ht="20.25" customHeight="1" x14ac:dyDescent="0.25">
      <c r="A25" s="38">
        <v>35</v>
      </c>
      <c r="B25" s="47" t="s">
        <v>277</v>
      </c>
      <c r="C25" s="47" t="s">
        <v>277</v>
      </c>
      <c r="D25" s="48">
        <v>140274</v>
      </c>
      <c r="E25" s="38" t="s">
        <v>212</v>
      </c>
      <c r="F25" s="38" t="s">
        <v>68</v>
      </c>
      <c r="G25" s="39" t="s">
        <v>256</v>
      </c>
      <c r="H25" s="44" t="s">
        <v>69</v>
      </c>
      <c r="I25" s="55"/>
      <c r="J25" s="55"/>
      <c r="K25" s="109" t="s">
        <v>856</v>
      </c>
      <c r="L25" s="55"/>
      <c r="M25" s="55"/>
      <c r="N25" s="57" t="s">
        <v>856</v>
      </c>
      <c r="O25" s="55"/>
      <c r="P25" s="55"/>
      <c r="Q25" s="55"/>
      <c r="R25" s="33" t="s">
        <v>256</v>
      </c>
      <c r="S25" s="58" t="e">
        <f>VLOOKUP(D25,#REF!,2,FALSE)</f>
        <v>#REF!</v>
      </c>
    </row>
    <row r="26" spans="1:19" ht="20.25" customHeight="1" x14ac:dyDescent="0.25">
      <c r="A26" s="38">
        <v>36</v>
      </c>
      <c r="B26" s="47" t="s">
        <v>278</v>
      </c>
      <c r="C26" s="47" t="s">
        <v>278</v>
      </c>
      <c r="D26" s="48">
        <v>83087497</v>
      </c>
      <c r="E26" s="38" t="s">
        <v>212</v>
      </c>
      <c r="F26" s="38" t="s">
        <v>68</v>
      </c>
      <c r="G26" s="39" t="s">
        <v>256</v>
      </c>
      <c r="H26" s="44" t="s">
        <v>69</v>
      </c>
      <c r="I26" s="55"/>
      <c r="J26" s="55"/>
      <c r="K26" s="109" t="s">
        <v>856</v>
      </c>
      <c r="L26" s="55"/>
      <c r="M26" s="55"/>
      <c r="N26" s="57" t="s">
        <v>856</v>
      </c>
      <c r="O26" s="55"/>
      <c r="P26" s="55"/>
      <c r="Q26" s="55"/>
      <c r="R26" s="33" t="s">
        <v>256</v>
      </c>
      <c r="S26" s="58" t="e">
        <f>VLOOKUP(D26,#REF!,2,FALSE)</f>
        <v>#REF!</v>
      </c>
    </row>
    <row r="27" spans="1:19" ht="20.25" customHeight="1" x14ac:dyDescent="0.25">
      <c r="A27" s="38">
        <v>37</v>
      </c>
      <c r="B27" s="47" t="s">
        <v>279</v>
      </c>
      <c r="C27" s="47" t="s">
        <v>279</v>
      </c>
      <c r="D27" s="48">
        <v>152596</v>
      </c>
      <c r="E27" s="38" t="s">
        <v>212</v>
      </c>
      <c r="F27" s="38" t="s">
        <v>68</v>
      </c>
      <c r="G27" s="39" t="s">
        <v>256</v>
      </c>
      <c r="H27" s="44" t="s">
        <v>69</v>
      </c>
      <c r="I27" s="55"/>
      <c r="J27" s="55"/>
      <c r="K27" s="109" t="s">
        <v>856</v>
      </c>
      <c r="L27" s="55"/>
      <c r="M27" s="55"/>
      <c r="N27" s="57" t="s">
        <v>856</v>
      </c>
      <c r="O27" s="55"/>
      <c r="P27" s="55"/>
      <c r="Q27" s="55"/>
      <c r="R27" s="33" t="s">
        <v>256</v>
      </c>
      <c r="S27" s="58" t="e">
        <f>VLOOKUP(D27,#REF!,2,FALSE)</f>
        <v>#REF!</v>
      </c>
    </row>
    <row r="28" spans="1:19" ht="20.25" customHeight="1" x14ac:dyDescent="0.25">
      <c r="A28" s="38">
        <v>38</v>
      </c>
      <c r="B28" s="47" t="s">
        <v>280</v>
      </c>
      <c r="C28" s="47" t="s">
        <v>280</v>
      </c>
      <c r="D28" s="48">
        <v>83122109</v>
      </c>
      <c r="E28" s="38" t="s">
        <v>212</v>
      </c>
      <c r="F28" s="38" t="s">
        <v>68</v>
      </c>
      <c r="G28" s="39" t="s">
        <v>256</v>
      </c>
      <c r="H28" s="44" t="s">
        <v>69</v>
      </c>
      <c r="I28" s="55"/>
      <c r="J28" s="55"/>
      <c r="K28" s="109" t="s">
        <v>856</v>
      </c>
      <c r="L28" s="55"/>
      <c r="M28" s="55"/>
      <c r="N28" s="57" t="s">
        <v>856</v>
      </c>
      <c r="O28" s="55"/>
      <c r="P28" s="55"/>
      <c r="Q28" s="55"/>
      <c r="R28" s="33" t="s">
        <v>256</v>
      </c>
      <c r="S28" s="58" t="e">
        <f>VLOOKUP(D28,#REF!,2,FALSE)</f>
        <v>#REF!</v>
      </c>
    </row>
    <row r="29" spans="1:19" ht="20.25" customHeight="1" x14ac:dyDescent="0.25">
      <c r="A29" s="38">
        <v>43</v>
      </c>
      <c r="B29" s="47" t="s">
        <v>304</v>
      </c>
      <c r="C29" s="47" t="s">
        <v>304</v>
      </c>
      <c r="D29" s="48">
        <v>134355</v>
      </c>
      <c r="E29" s="38" t="s">
        <v>212</v>
      </c>
      <c r="F29" s="38" t="s">
        <v>68</v>
      </c>
      <c r="G29" s="39" t="s">
        <v>256</v>
      </c>
      <c r="H29" s="44" t="s">
        <v>69</v>
      </c>
      <c r="I29" s="55"/>
      <c r="J29" s="55"/>
      <c r="K29" s="109" t="s">
        <v>856</v>
      </c>
      <c r="L29" s="55"/>
      <c r="M29" s="55"/>
      <c r="N29" s="57" t="s">
        <v>856</v>
      </c>
      <c r="O29" s="55"/>
      <c r="P29" s="55"/>
      <c r="Q29" s="55"/>
      <c r="R29" s="33" t="s">
        <v>256</v>
      </c>
      <c r="S29" s="58" t="e">
        <f>VLOOKUP(D29,#REF!,2,FALSE)</f>
        <v>#REF!</v>
      </c>
    </row>
    <row r="30" spans="1:19" ht="20.25" customHeight="1" x14ac:dyDescent="0.25">
      <c r="A30" s="38">
        <v>44</v>
      </c>
      <c r="B30" s="47" t="s">
        <v>305</v>
      </c>
      <c r="C30" s="47" t="s">
        <v>305</v>
      </c>
      <c r="D30" s="48">
        <v>221924</v>
      </c>
      <c r="E30" s="38" t="s">
        <v>212</v>
      </c>
      <c r="F30" s="38" t="s">
        <v>68</v>
      </c>
      <c r="G30" s="39" t="s">
        <v>256</v>
      </c>
      <c r="H30" s="44" t="s">
        <v>69</v>
      </c>
      <c r="I30" s="55"/>
      <c r="J30" s="55"/>
      <c r="K30" s="109" t="s">
        <v>856</v>
      </c>
      <c r="L30" s="55"/>
      <c r="M30" s="55"/>
      <c r="N30" s="57" t="s">
        <v>856</v>
      </c>
      <c r="O30" s="55"/>
      <c r="P30" s="55"/>
      <c r="Q30" s="55"/>
      <c r="R30" s="33" t="s">
        <v>256</v>
      </c>
      <c r="S30" s="58" t="e">
        <f>VLOOKUP(D30,#REF!,2,FALSE)</f>
        <v>#REF!</v>
      </c>
    </row>
    <row r="31" spans="1:19" ht="20.25" customHeight="1" x14ac:dyDescent="0.25">
      <c r="A31" s="38">
        <v>48</v>
      </c>
      <c r="B31" s="47" t="s">
        <v>316</v>
      </c>
      <c r="C31" s="47" t="s">
        <v>316</v>
      </c>
      <c r="D31" s="48">
        <v>140703</v>
      </c>
      <c r="E31" s="38" t="s">
        <v>212</v>
      </c>
      <c r="F31" s="38" t="s">
        <v>68</v>
      </c>
      <c r="G31" s="39" t="s">
        <v>256</v>
      </c>
      <c r="H31" s="44" t="s">
        <v>69</v>
      </c>
      <c r="I31" s="55"/>
      <c r="J31" s="55"/>
      <c r="K31" s="109" t="s">
        <v>856</v>
      </c>
      <c r="L31" s="56"/>
      <c r="M31" s="55"/>
      <c r="N31" s="57" t="s">
        <v>856</v>
      </c>
      <c r="O31" s="55"/>
      <c r="P31" s="55"/>
      <c r="Q31" s="55"/>
      <c r="R31" s="33" t="s">
        <v>256</v>
      </c>
      <c r="S31" s="58" t="e">
        <f>VLOOKUP(D31,#REF!,2,FALSE)</f>
        <v>#REF!</v>
      </c>
    </row>
    <row r="32" spans="1:19" ht="20.25" customHeight="1" x14ac:dyDescent="0.25">
      <c r="A32" s="38">
        <v>49</v>
      </c>
      <c r="B32" s="47" t="s">
        <v>317</v>
      </c>
      <c r="C32" s="47" t="s">
        <v>317</v>
      </c>
      <c r="D32" s="48">
        <v>132711</v>
      </c>
      <c r="E32" s="38" t="s">
        <v>212</v>
      </c>
      <c r="F32" s="38" t="s">
        <v>68</v>
      </c>
      <c r="G32" s="39" t="s">
        <v>256</v>
      </c>
      <c r="H32" s="44" t="s">
        <v>69</v>
      </c>
      <c r="I32" s="55"/>
      <c r="J32" s="55"/>
      <c r="K32" s="109" t="s">
        <v>856</v>
      </c>
      <c r="L32" s="56"/>
      <c r="M32" s="55"/>
      <c r="N32" s="57" t="s">
        <v>856</v>
      </c>
      <c r="O32" s="55"/>
      <c r="P32" s="55"/>
      <c r="Q32" s="55"/>
      <c r="R32" s="33" t="s">
        <v>256</v>
      </c>
      <c r="S32" s="58" t="e">
        <f>VLOOKUP(D32,#REF!,2,FALSE)</f>
        <v>#REF!</v>
      </c>
    </row>
    <row r="33" spans="1:19" ht="20.25" customHeight="1" x14ac:dyDescent="0.25">
      <c r="A33" s="38">
        <v>50</v>
      </c>
      <c r="B33" s="47" t="s">
        <v>319</v>
      </c>
      <c r="C33" s="47" t="s">
        <v>319</v>
      </c>
      <c r="D33" s="48">
        <v>83086324</v>
      </c>
      <c r="E33" s="38" t="s">
        <v>212</v>
      </c>
      <c r="F33" s="38" t="s">
        <v>68</v>
      </c>
      <c r="G33" s="39" t="s">
        <v>256</v>
      </c>
      <c r="H33" s="44" t="s">
        <v>69</v>
      </c>
      <c r="I33" s="55"/>
      <c r="J33" s="55"/>
      <c r="K33" s="109" t="s">
        <v>856</v>
      </c>
      <c r="L33" s="56"/>
      <c r="M33" s="55"/>
      <c r="N33" s="57" t="s">
        <v>856</v>
      </c>
      <c r="O33" s="55"/>
      <c r="P33" s="55"/>
      <c r="Q33" s="55"/>
      <c r="R33" s="33" t="s">
        <v>256</v>
      </c>
      <c r="S33" s="58" t="e">
        <f>VLOOKUP(D33,#REF!,2,FALSE)</f>
        <v>#REF!</v>
      </c>
    </row>
    <row r="34" spans="1:19" ht="20.25" customHeight="1" x14ac:dyDescent="0.25">
      <c r="A34" s="38">
        <v>51</v>
      </c>
      <c r="B34" s="47" t="s">
        <v>320</v>
      </c>
      <c r="C34" s="47" t="s">
        <v>320</v>
      </c>
      <c r="D34" s="48">
        <v>140292</v>
      </c>
      <c r="E34" s="38" t="s">
        <v>212</v>
      </c>
      <c r="F34" s="38" t="s">
        <v>68</v>
      </c>
      <c r="G34" s="39" t="s">
        <v>256</v>
      </c>
      <c r="H34" s="44" t="s">
        <v>69</v>
      </c>
      <c r="I34" s="55"/>
      <c r="J34" s="55"/>
      <c r="K34" s="109" t="s">
        <v>856</v>
      </c>
      <c r="L34" s="55"/>
      <c r="M34" s="55"/>
      <c r="N34" s="57" t="s">
        <v>856</v>
      </c>
      <c r="O34" s="55"/>
      <c r="P34" s="55"/>
      <c r="Q34" s="55"/>
      <c r="R34" s="33" t="s">
        <v>256</v>
      </c>
      <c r="S34" s="58" t="e">
        <f>VLOOKUP(D34,#REF!,2,FALSE)</f>
        <v>#REF!</v>
      </c>
    </row>
    <row r="35" spans="1:19" ht="20.25" customHeight="1" x14ac:dyDescent="0.25">
      <c r="A35" s="38">
        <v>53</v>
      </c>
      <c r="B35" s="47" t="s">
        <v>328</v>
      </c>
      <c r="C35" s="47" t="s">
        <v>328</v>
      </c>
      <c r="D35" s="48">
        <v>147324</v>
      </c>
      <c r="E35" s="38" t="s">
        <v>212</v>
      </c>
      <c r="F35" s="38" t="s">
        <v>68</v>
      </c>
      <c r="G35" s="39" t="s">
        <v>256</v>
      </c>
      <c r="H35" s="44" t="s">
        <v>69</v>
      </c>
      <c r="I35" s="55"/>
      <c r="J35" s="55"/>
      <c r="K35" s="108" t="s">
        <v>856</v>
      </c>
      <c r="L35" s="55"/>
      <c r="M35" s="55"/>
      <c r="N35" s="57" t="s">
        <v>856</v>
      </c>
      <c r="O35" s="55"/>
      <c r="P35" s="55"/>
      <c r="Q35" s="55"/>
      <c r="R35" s="33" t="s">
        <v>256</v>
      </c>
      <c r="S35" s="58" t="e">
        <f>VLOOKUP(D35,#REF!,2,FALSE)</f>
        <v>#REF!</v>
      </c>
    </row>
    <row r="36" spans="1:19" ht="20.25" customHeight="1" x14ac:dyDescent="0.25">
      <c r="A36" s="38">
        <v>55</v>
      </c>
      <c r="B36" s="47" t="s">
        <v>330</v>
      </c>
      <c r="C36" s="47" t="s">
        <v>330</v>
      </c>
      <c r="D36" s="48">
        <v>83117954</v>
      </c>
      <c r="E36" s="38" t="s">
        <v>212</v>
      </c>
      <c r="F36" s="38" t="s">
        <v>68</v>
      </c>
      <c r="G36" s="39" t="s">
        <v>256</v>
      </c>
      <c r="H36" s="44" t="s">
        <v>69</v>
      </c>
      <c r="I36" s="55"/>
      <c r="J36" s="55"/>
      <c r="K36" s="109" t="s">
        <v>856</v>
      </c>
      <c r="L36" s="55"/>
      <c r="M36" s="55"/>
      <c r="N36" s="57" t="s">
        <v>856</v>
      </c>
      <c r="O36" s="55"/>
      <c r="P36" s="55"/>
      <c r="Q36" s="55"/>
      <c r="R36" s="33" t="s">
        <v>256</v>
      </c>
      <c r="S36" s="58" t="e">
        <f>VLOOKUP(D36,#REF!,2,FALSE)</f>
        <v>#REF!</v>
      </c>
    </row>
    <row r="37" spans="1:19" ht="20.25" customHeight="1" x14ac:dyDescent="0.25">
      <c r="A37" s="38">
        <v>58</v>
      </c>
      <c r="B37" s="47" t="s">
        <v>350</v>
      </c>
      <c r="C37" s="47" t="s">
        <v>350</v>
      </c>
      <c r="D37" s="48">
        <v>162692</v>
      </c>
      <c r="E37" s="38" t="s">
        <v>212</v>
      </c>
      <c r="F37" s="38" t="s">
        <v>68</v>
      </c>
      <c r="G37" s="39" t="s">
        <v>256</v>
      </c>
      <c r="H37" s="44" t="s">
        <v>69</v>
      </c>
      <c r="I37" s="55"/>
      <c r="J37" s="55"/>
      <c r="K37" s="109" t="s">
        <v>856</v>
      </c>
      <c r="L37" s="55"/>
      <c r="M37" s="55"/>
      <c r="N37" s="57" t="s">
        <v>856</v>
      </c>
      <c r="O37" s="55"/>
      <c r="P37" s="55"/>
      <c r="Q37" s="55"/>
      <c r="R37" s="33" t="s">
        <v>256</v>
      </c>
      <c r="S37" s="58" t="e">
        <f>VLOOKUP(D37,#REF!,2,FALSE)</f>
        <v>#REF!</v>
      </c>
    </row>
    <row r="38" spans="1:19" ht="20.25" customHeight="1" x14ac:dyDescent="0.25">
      <c r="A38" s="38">
        <v>60</v>
      </c>
      <c r="B38" s="47" t="s">
        <v>352</v>
      </c>
      <c r="C38" s="47" t="s">
        <v>352</v>
      </c>
      <c r="D38" s="48">
        <v>83102201</v>
      </c>
      <c r="E38" s="38" t="s">
        <v>212</v>
      </c>
      <c r="F38" s="38" t="s">
        <v>68</v>
      </c>
      <c r="G38" s="39" t="s">
        <v>256</v>
      </c>
      <c r="H38" s="44" t="s">
        <v>69</v>
      </c>
      <c r="I38" s="55"/>
      <c r="J38" s="55"/>
      <c r="K38" s="109" t="s">
        <v>856</v>
      </c>
      <c r="L38" s="55"/>
      <c r="M38" s="55"/>
      <c r="N38" s="57" t="s">
        <v>856</v>
      </c>
      <c r="O38" s="55"/>
      <c r="P38" s="55"/>
      <c r="Q38" s="55"/>
      <c r="R38" s="33" t="s">
        <v>256</v>
      </c>
      <c r="S38" s="58" t="e">
        <f>VLOOKUP(D38,#REF!,2,FALSE)</f>
        <v>#REF!</v>
      </c>
    </row>
    <row r="39" spans="1:19" ht="20.25" customHeight="1" x14ac:dyDescent="0.25">
      <c r="A39" s="38">
        <v>62</v>
      </c>
      <c r="B39" s="47" t="s">
        <v>354</v>
      </c>
      <c r="C39" s="47" t="s">
        <v>354</v>
      </c>
      <c r="D39" s="48">
        <v>83105169</v>
      </c>
      <c r="E39" s="38" t="s">
        <v>212</v>
      </c>
      <c r="F39" s="38" t="s">
        <v>68</v>
      </c>
      <c r="G39" s="39" t="s">
        <v>256</v>
      </c>
      <c r="H39" s="44" t="s">
        <v>69</v>
      </c>
      <c r="I39" s="55"/>
      <c r="J39" s="55"/>
      <c r="K39" s="109" t="s">
        <v>856</v>
      </c>
      <c r="L39" s="55"/>
      <c r="M39" s="55"/>
      <c r="N39" s="57" t="s">
        <v>856</v>
      </c>
      <c r="O39" s="55"/>
      <c r="P39" s="55"/>
      <c r="Q39" s="55"/>
      <c r="R39" s="33" t="s">
        <v>256</v>
      </c>
      <c r="S39" s="58" t="e">
        <f>VLOOKUP(D39,#REF!,2,FALSE)</f>
        <v>#REF!</v>
      </c>
    </row>
    <row r="40" spans="1:19" ht="20.25" customHeight="1" x14ac:dyDescent="0.25">
      <c r="A40" s="38">
        <v>64</v>
      </c>
      <c r="B40" s="47" t="s">
        <v>357</v>
      </c>
      <c r="C40" s="47" t="s">
        <v>357</v>
      </c>
      <c r="D40" s="48">
        <v>83075885</v>
      </c>
      <c r="E40" s="38" t="s">
        <v>212</v>
      </c>
      <c r="F40" s="38" t="s">
        <v>68</v>
      </c>
      <c r="G40" s="39" t="s">
        <v>256</v>
      </c>
      <c r="H40" s="44" t="s">
        <v>69</v>
      </c>
      <c r="I40" s="55"/>
      <c r="J40" s="107"/>
      <c r="K40" s="108" t="s">
        <v>856</v>
      </c>
      <c r="L40" s="55"/>
      <c r="M40" s="55"/>
      <c r="N40" s="57" t="s">
        <v>856</v>
      </c>
      <c r="O40" s="55"/>
      <c r="P40" s="55"/>
      <c r="Q40" s="55"/>
      <c r="R40" s="33" t="s">
        <v>256</v>
      </c>
      <c r="S40" s="58" t="e">
        <f>VLOOKUP(D40,#REF!,2,FALSE)</f>
        <v>#REF!</v>
      </c>
    </row>
    <row r="41" spans="1:19" ht="20.25" customHeight="1" x14ac:dyDescent="0.25">
      <c r="A41" s="38">
        <v>65</v>
      </c>
      <c r="B41" s="47" t="s">
        <v>358</v>
      </c>
      <c r="C41" s="47" t="s">
        <v>358</v>
      </c>
      <c r="D41" s="48">
        <v>83102185</v>
      </c>
      <c r="E41" s="38" t="s">
        <v>212</v>
      </c>
      <c r="F41" s="38" t="s">
        <v>68</v>
      </c>
      <c r="G41" s="39" t="s">
        <v>256</v>
      </c>
      <c r="H41" s="44" t="s">
        <v>69</v>
      </c>
      <c r="I41" s="55"/>
      <c r="J41" s="55"/>
      <c r="K41" s="109" t="s">
        <v>856</v>
      </c>
      <c r="L41" s="55"/>
      <c r="M41" s="55"/>
      <c r="N41" s="57" t="s">
        <v>856</v>
      </c>
      <c r="O41" s="55"/>
      <c r="P41" s="55"/>
      <c r="Q41" s="55"/>
      <c r="R41" s="33" t="s">
        <v>256</v>
      </c>
      <c r="S41" s="58" t="e">
        <f>VLOOKUP(D41,#REF!,2,FALSE)</f>
        <v>#REF!</v>
      </c>
    </row>
    <row r="42" spans="1:19" ht="20.25" customHeight="1" x14ac:dyDescent="0.25">
      <c r="A42" s="38">
        <v>67</v>
      </c>
      <c r="B42" s="47" t="s">
        <v>363</v>
      </c>
      <c r="C42" s="47" t="s">
        <v>363</v>
      </c>
      <c r="D42" s="48">
        <v>83074618</v>
      </c>
      <c r="E42" s="38" t="s">
        <v>212</v>
      </c>
      <c r="F42" s="38" t="s">
        <v>68</v>
      </c>
      <c r="G42" s="39" t="s">
        <v>256</v>
      </c>
      <c r="H42" s="44" t="s">
        <v>69</v>
      </c>
      <c r="I42" s="55"/>
      <c r="J42" s="55"/>
      <c r="K42" s="109" t="s">
        <v>856</v>
      </c>
      <c r="L42" s="55"/>
      <c r="M42" s="55"/>
      <c r="N42" s="57" t="s">
        <v>856</v>
      </c>
      <c r="O42" s="55"/>
      <c r="P42" s="55"/>
      <c r="Q42" s="55"/>
      <c r="R42" s="33" t="s">
        <v>256</v>
      </c>
      <c r="S42" s="58" t="e">
        <f>VLOOKUP(D42,#REF!,2,FALSE)</f>
        <v>#REF!</v>
      </c>
    </row>
    <row r="43" spans="1:19" ht="20.25" customHeight="1" x14ac:dyDescent="0.25">
      <c r="A43" s="38">
        <v>68</v>
      </c>
      <c r="B43" s="47" t="s">
        <v>365</v>
      </c>
      <c r="C43" s="47" t="s">
        <v>365</v>
      </c>
      <c r="D43" s="48">
        <v>154179</v>
      </c>
      <c r="E43" s="38" t="s">
        <v>212</v>
      </c>
      <c r="F43" s="38" t="s">
        <v>68</v>
      </c>
      <c r="G43" s="39" t="s">
        <v>256</v>
      </c>
      <c r="H43" s="44" t="s">
        <v>69</v>
      </c>
      <c r="I43" s="55"/>
      <c r="J43" s="55"/>
      <c r="K43" s="109" t="s">
        <v>856</v>
      </c>
      <c r="L43" s="55"/>
      <c r="M43" s="55"/>
      <c r="N43" s="57" t="s">
        <v>856</v>
      </c>
      <c r="O43" s="55"/>
      <c r="P43" s="55"/>
      <c r="Q43" s="55"/>
      <c r="R43" s="33" t="s">
        <v>256</v>
      </c>
      <c r="S43" s="58" t="e">
        <f>VLOOKUP(D43,#REF!,2,FALSE)</f>
        <v>#REF!</v>
      </c>
    </row>
    <row r="44" spans="1:19" ht="20.25" customHeight="1" x14ac:dyDescent="0.25">
      <c r="A44" s="38">
        <v>71</v>
      </c>
      <c r="B44" s="47" t="s">
        <v>382</v>
      </c>
      <c r="C44" s="47" t="s">
        <v>382</v>
      </c>
      <c r="D44" s="48">
        <v>83116127</v>
      </c>
      <c r="E44" s="38" t="s">
        <v>212</v>
      </c>
      <c r="F44" s="38" t="s">
        <v>68</v>
      </c>
      <c r="G44" s="39" t="s">
        <v>256</v>
      </c>
      <c r="H44" s="44" t="s">
        <v>69</v>
      </c>
      <c r="I44" s="55"/>
      <c r="J44" s="55"/>
      <c r="K44" s="109" t="s">
        <v>856</v>
      </c>
      <c r="L44" s="55"/>
      <c r="M44" s="55"/>
      <c r="N44" s="57" t="s">
        <v>856</v>
      </c>
      <c r="O44" s="55"/>
      <c r="P44" s="55"/>
      <c r="Q44" s="55"/>
      <c r="R44" s="33" t="s">
        <v>256</v>
      </c>
      <c r="S44" s="58" t="e">
        <f>VLOOKUP(D44,#REF!,2,FALSE)</f>
        <v>#REF!</v>
      </c>
    </row>
    <row r="45" spans="1:19" ht="20.25" customHeight="1" x14ac:dyDescent="0.25">
      <c r="A45" s="38">
        <v>72</v>
      </c>
      <c r="B45" s="47" t="s">
        <v>387</v>
      </c>
      <c r="C45" s="47" t="s">
        <v>387</v>
      </c>
      <c r="D45" s="48">
        <v>162705</v>
      </c>
      <c r="E45" s="38" t="s">
        <v>212</v>
      </c>
      <c r="F45" s="38" t="s">
        <v>384</v>
      </c>
      <c r="G45" s="39" t="s">
        <v>256</v>
      </c>
      <c r="H45" s="44" t="s">
        <v>69</v>
      </c>
      <c r="I45" s="55"/>
      <c r="J45" s="55"/>
      <c r="K45" s="109" t="s">
        <v>856</v>
      </c>
      <c r="L45" s="55"/>
      <c r="M45" s="55"/>
      <c r="N45" s="57" t="s">
        <v>856</v>
      </c>
      <c r="O45" s="55"/>
      <c r="P45" s="55"/>
      <c r="Q45" s="55"/>
      <c r="R45" s="33" t="s">
        <v>256</v>
      </c>
      <c r="S45" s="58" t="e">
        <f>VLOOKUP(D45,#REF!,2,FALSE)</f>
        <v>#REF!</v>
      </c>
    </row>
    <row r="46" spans="1:19" ht="20.25" customHeight="1" x14ac:dyDescent="0.25">
      <c r="A46" s="38">
        <v>73</v>
      </c>
      <c r="B46" s="47" t="s">
        <v>388</v>
      </c>
      <c r="C46" s="47" t="s">
        <v>388</v>
      </c>
      <c r="D46" s="48">
        <v>154184</v>
      </c>
      <c r="E46" s="38" t="s">
        <v>212</v>
      </c>
      <c r="F46" s="38" t="s">
        <v>384</v>
      </c>
      <c r="G46" s="39" t="s">
        <v>256</v>
      </c>
      <c r="H46" s="44" t="s">
        <v>69</v>
      </c>
      <c r="I46" s="55"/>
      <c r="J46" s="55"/>
      <c r="K46" s="109" t="s">
        <v>856</v>
      </c>
      <c r="L46" s="55"/>
      <c r="M46" s="55"/>
      <c r="N46" s="57" t="s">
        <v>856</v>
      </c>
      <c r="O46" s="55"/>
      <c r="P46" s="55"/>
      <c r="Q46" s="55"/>
      <c r="R46" s="33" t="s">
        <v>256</v>
      </c>
      <c r="S46" s="58" t="e">
        <f>VLOOKUP(D46,#REF!,2,FALSE)</f>
        <v>#REF!</v>
      </c>
    </row>
    <row r="47" spans="1:19" ht="20.25" customHeight="1" x14ac:dyDescent="0.25">
      <c r="A47" s="38">
        <v>83</v>
      </c>
      <c r="B47" s="47" t="s">
        <v>419</v>
      </c>
      <c r="C47" s="47" t="e">
        <v>#N/A</v>
      </c>
      <c r="D47" s="48">
        <v>145976</v>
      </c>
      <c r="E47" s="38" t="s">
        <v>212</v>
      </c>
      <c r="F47" s="38" t="s">
        <v>414</v>
      </c>
      <c r="G47" s="39" t="s">
        <v>256</v>
      </c>
      <c r="H47" s="44" t="s">
        <v>69</v>
      </c>
      <c r="I47" s="55"/>
      <c r="J47" s="55"/>
      <c r="K47" s="109" t="s">
        <v>856</v>
      </c>
      <c r="L47" s="55"/>
      <c r="M47" s="55"/>
      <c r="N47" s="57" t="s">
        <v>856</v>
      </c>
      <c r="O47" s="55"/>
      <c r="P47" s="55"/>
      <c r="Q47" s="55"/>
      <c r="R47" s="33" t="s">
        <v>256</v>
      </c>
      <c r="S47" s="58" t="e">
        <f>VLOOKUP(D47,#REF!,2,FALSE)</f>
        <v>#REF!</v>
      </c>
    </row>
    <row r="48" spans="1:19" ht="20.25" customHeight="1" x14ac:dyDescent="0.25">
      <c r="A48" s="38">
        <v>88</v>
      </c>
      <c r="B48" s="47" t="s">
        <v>428</v>
      </c>
      <c r="C48" s="47" t="s">
        <v>428</v>
      </c>
      <c r="D48" s="48">
        <v>145973</v>
      </c>
      <c r="E48" s="38" t="s">
        <v>212</v>
      </c>
      <c r="F48" s="38" t="s">
        <v>414</v>
      </c>
      <c r="G48" s="39" t="s">
        <v>256</v>
      </c>
      <c r="H48" s="44" t="s">
        <v>69</v>
      </c>
      <c r="I48" s="55"/>
      <c r="J48" s="55"/>
      <c r="K48" s="109" t="s">
        <v>856</v>
      </c>
      <c r="L48" s="55"/>
      <c r="M48" s="55"/>
      <c r="N48" s="57" t="s">
        <v>856</v>
      </c>
      <c r="O48" s="55"/>
      <c r="P48" s="55"/>
      <c r="Q48" s="55"/>
      <c r="R48" s="33" t="s">
        <v>256</v>
      </c>
      <c r="S48" s="58" t="e">
        <f>VLOOKUP(D48,#REF!,2,FALSE)</f>
        <v>#REF!</v>
      </c>
    </row>
    <row r="49" spans="1:19" ht="20.25" customHeight="1" x14ac:dyDescent="0.25">
      <c r="A49" s="38">
        <v>90</v>
      </c>
      <c r="B49" s="47" t="s">
        <v>444</v>
      </c>
      <c r="C49" s="47" t="s">
        <v>444</v>
      </c>
      <c r="D49" s="48">
        <v>83117277</v>
      </c>
      <c r="E49" s="39" t="s">
        <v>445</v>
      </c>
      <c r="F49" s="38" t="s">
        <v>443</v>
      </c>
      <c r="G49" s="39" t="s">
        <v>256</v>
      </c>
      <c r="H49" s="44" t="s">
        <v>69</v>
      </c>
      <c r="I49" s="55"/>
      <c r="J49" s="55"/>
      <c r="K49" s="109" t="s">
        <v>856</v>
      </c>
      <c r="L49" s="55"/>
      <c r="M49" s="55"/>
      <c r="N49" s="57" t="s">
        <v>856</v>
      </c>
      <c r="O49" s="55"/>
      <c r="P49" s="55"/>
      <c r="Q49" s="55"/>
      <c r="R49" s="33" t="s">
        <v>256</v>
      </c>
      <c r="S49" s="58" t="e">
        <f>VLOOKUP(D49,#REF!,2,FALSE)</f>
        <v>#REF!</v>
      </c>
    </row>
    <row r="50" spans="1:19" ht="20.25" customHeight="1" x14ac:dyDescent="0.25">
      <c r="A50" s="38">
        <v>92</v>
      </c>
      <c r="B50" s="47" t="s">
        <v>451</v>
      </c>
      <c r="C50" s="47" t="s">
        <v>451</v>
      </c>
      <c r="D50" s="48">
        <v>83117274</v>
      </c>
      <c r="E50" s="38" t="s">
        <v>212</v>
      </c>
      <c r="F50" s="38" t="s">
        <v>443</v>
      </c>
      <c r="G50" s="39" t="s">
        <v>256</v>
      </c>
      <c r="H50" s="44" t="s">
        <v>69</v>
      </c>
      <c r="I50" s="55"/>
      <c r="J50" s="55"/>
      <c r="K50" s="109"/>
      <c r="L50" s="55"/>
      <c r="M50" s="55"/>
      <c r="N50" s="57"/>
      <c r="O50" s="55"/>
      <c r="P50" s="55"/>
      <c r="Q50" s="55"/>
      <c r="R50" s="33" t="s">
        <v>256</v>
      </c>
      <c r="S50" s="58" t="e">
        <f>VLOOKUP(D50,#REF!,2,FALSE)</f>
        <v>#REF!</v>
      </c>
    </row>
    <row r="51" spans="1:19" ht="20.25" customHeight="1" x14ac:dyDescent="0.25">
      <c r="A51" s="38">
        <v>96</v>
      </c>
      <c r="B51" s="47" t="s">
        <v>466</v>
      </c>
      <c r="C51" s="47" t="s">
        <v>466</v>
      </c>
      <c r="D51" s="48">
        <v>148198</v>
      </c>
      <c r="E51" s="38" t="s">
        <v>212</v>
      </c>
      <c r="F51" s="38" t="s">
        <v>443</v>
      </c>
      <c r="G51" s="39" t="s">
        <v>256</v>
      </c>
      <c r="H51" s="44" t="s">
        <v>69</v>
      </c>
      <c r="I51" s="55"/>
      <c r="J51" s="55"/>
      <c r="K51" s="109" t="s">
        <v>856</v>
      </c>
      <c r="L51" s="55"/>
      <c r="M51" s="55"/>
      <c r="N51" s="57" t="s">
        <v>856</v>
      </c>
      <c r="O51" s="55"/>
      <c r="P51" s="55"/>
      <c r="Q51" s="55"/>
      <c r="R51" s="33" t="s">
        <v>256</v>
      </c>
      <c r="S51" s="58" t="e">
        <f>VLOOKUP(D51,#REF!,2,FALSE)</f>
        <v>#REF!</v>
      </c>
    </row>
    <row r="52" spans="1:19" ht="20.25" customHeight="1" x14ac:dyDescent="0.25">
      <c r="A52" s="38">
        <v>97</v>
      </c>
      <c r="B52" s="47" t="s">
        <v>467</v>
      </c>
      <c r="C52" s="47" t="s">
        <v>467</v>
      </c>
      <c r="D52" s="48">
        <v>162496</v>
      </c>
      <c r="E52" s="38" t="s">
        <v>212</v>
      </c>
      <c r="F52" s="38" t="s">
        <v>443</v>
      </c>
      <c r="G52" s="39" t="s">
        <v>256</v>
      </c>
      <c r="H52" s="44" t="s">
        <v>69</v>
      </c>
      <c r="I52" s="55"/>
      <c r="J52" s="55"/>
      <c r="K52" s="109" t="s">
        <v>856</v>
      </c>
      <c r="L52" s="55"/>
      <c r="M52" s="102"/>
      <c r="N52" s="57" t="s">
        <v>856</v>
      </c>
      <c r="O52" s="55"/>
      <c r="P52" s="55"/>
      <c r="Q52" s="55"/>
      <c r="R52" s="33" t="s">
        <v>256</v>
      </c>
      <c r="S52" s="58" t="e">
        <f>VLOOKUP(D52,#REF!,2,FALSE)</f>
        <v>#REF!</v>
      </c>
    </row>
    <row r="53" spans="1:19" ht="20.25" customHeight="1" x14ac:dyDescent="0.25">
      <c r="A53" s="38">
        <v>99</v>
      </c>
      <c r="B53" s="47" t="s">
        <v>469</v>
      </c>
      <c r="C53" s="47" t="s">
        <v>469</v>
      </c>
      <c r="D53" s="48">
        <v>148193</v>
      </c>
      <c r="E53" s="38" t="s">
        <v>212</v>
      </c>
      <c r="F53" s="38" t="s">
        <v>443</v>
      </c>
      <c r="G53" s="39" t="s">
        <v>256</v>
      </c>
      <c r="H53" s="44" t="s">
        <v>69</v>
      </c>
      <c r="I53" s="55"/>
      <c r="J53" s="55"/>
      <c r="K53" s="109" t="s">
        <v>856</v>
      </c>
      <c r="L53" s="55"/>
      <c r="M53" s="55"/>
      <c r="N53" s="57" t="s">
        <v>856</v>
      </c>
      <c r="O53" s="55"/>
      <c r="P53" s="55"/>
      <c r="Q53" s="55"/>
      <c r="R53" s="33" t="s">
        <v>256</v>
      </c>
      <c r="S53" s="58" t="e">
        <f>VLOOKUP(D53,#REF!,2,FALSE)</f>
        <v>#REF!</v>
      </c>
    </row>
    <row r="54" spans="1:19" ht="20.25" customHeight="1" x14ac:dyDescent="0.25">
      <c r="A54" s="38">
        <v>100</v>
      </c>
      <c r="B54" s="47" t="s">
        <v>473</v>
      </c>
      <c r="C54" s="47" t="s">
        <v>473</v>
      </c>
      <c r="D54" s="48">
        <v>83121092</v>
      </c>
      <c r="E54" s="38" t="s">
        <v>212</v>
      </c>
      <c r="F54" s="38" t="s">
        <v>443</v>
      </c>
      <c r="G54" s="39" t="s">
        <v>256</v>
      </c>
      <c r="H54" s="44" t="s">
        <v>69</v>
      </c>
      <c r="I54" s="55"/>
      <c r="J54" s="55"/>
      <c r="K54" s="109" t="s">
        <v>856</v>
      </c>
      <c r="L54" s="55"/>
      <c r="M54" s="55"/>
      <c r="N54" s="57" t="s">
        <v>856</v>
      </c>
      <c r="O54" s="55"/>
      <c r="P54" s="55"/>
      <c r="Q54" s="55"/>
      <c r="R54" s="33" t="s">
        <v>256</v>
      </c>
      <c r="S54" s="58" t="e">
        <f>VLOOKUP(D54,#REF!,2,FALSE)</f>
        <v>#REF!</v>
      </c>
    </row>
    <row r="55" spans="1:19" ht="20.25" customHeight="1" x14ac:dyDescent="0.25">
      <c r="A55" s="38">
        <v>106</v>
      </c>
      <c r="B55" s="38" t="s">
        <v>673</v>
      </c>
      <c r="C55" s="38" t="s">
        <v>673</v>
      </c>
      <c r="D55" s="38">
        <v>147850</v>
      </c>
      <c r="E55" s="38" t="s">
        <v>212</v>
      </c>
      <c r="F55" s="38" t="s">
        <v>503</v>
      </c>
      <c r="G55" s="39" t="s">
        <v>256</v>
      </c>
      <c r="H55" s="19">
        <v>44889</v>
      </c>
      <c r="I55" s="76"/>
      <c r="J55" s="76"/>
      <c r="K55" s="97"/>
      <c r="L55" s="76"/>
      <c r="M55" s="76"/>
      <c r="N55" s="83"/>
      <c r="O55" s="80"/>
      <c r="P55" s="80"/>
      <c r="Q55" s="80"/>
      <c r="R55" s="33" t="s">
        <v>208</v>
      </c>
      <c r="S55" s="58" t="e">
        <f>VLOOKUP(D55,#REF!,2,FALSE)</f>
        <v>#REF!</v>
      </c>
    </row>
    <row r="56" spans="1:19" ht="20.25" customHeight="1" x14ac:dyDescent="0.25">
      <c r="A56" s="38">
        <v>107</v>
      </c>
      <c r="B56" s="38" t="s">
        <v>680</v>
      </c>
      <c r="C56" s="38" t="s">
        <v>680</v>
      </c>
      <c r="D56" s="38">
        <v>162487</v>
      </c>
      <c r="E56" s="38" t="s">
        <v>212</v>
      </c>
      <c r="F56" s="38" t="s">
        <v>443</v>
      </c>
      <c r="G56" s="39" t="s">
        <v>256</v>
      </c>
      <c r="H56" s="44" t="s">
        <v>69</v>
      </c>
      <c r="I56" s="100"/>
      <c r="J56" s="101"/>
      <c r="K56" s="97"/>
      <c r="L56" s="76"/>
      <c r="M56" s="76"/>
      <c r="N56" s="83"/>
      <c r="O56" s="102"/>
      <c r="P56" s="76"/>
      <c r="Q56" s="76"/>
      <c r="R56" s="33" t="s">
        <v>208</v>
      </c>
      <c r="S56" s="58" t="e">
        <f>VLOOKUP(D56,#REF!,2,FALSE)</f>
        <v>#REF!</v>
      </c>
    </row>
    <row r="57" spans="1:19" ht="20.25" customHeight="1" x14ac:dyDescent="0.25">
      <c r="A57" s="38">
        <v>108</v>
      </c>
      <c r="B57" s="38" t="s">
        <v>682</v>
      </c>
      <c r="C57" s="38" t="s">
        <v>682</v>
      </c>
      <c r="D57" s="38">
        <v>162491</v>
      </c>
      <c r="E57" s="38" t="s">
        <v>212</v>
      </c>
      <c r="F57" s="38" t="s">
        <v>443</v>
      </c>
      <c r="G57" s="39" t="s">
        <v>256</v>
      </c>
      <c r="H57" s="44" t="s">
        <v>69</v>
      </c>
      <c r="I57" s="76"/>
      <c r="J57" s="76"/>
      <c r="K57" s="97"/>
      <c r="L57" s="76"/>
      <c r="M57" s="76"/>
      <c r="N57" s="83"/>
      <c r="O57" s="76"/>
      <c r="P57" s="76"/>
      <c r="Q57" s="76"/>
      <c r="R57" s="33" t="s">
        <v>208</v>
      </c>
      <c r="S57" s="58" t="e">
        <f>VLOOKUP(D57,#REF!,2,FALSE)</f>
        <v>#REF!</v>
      </c>
    </row>
    <row r="58" spans="1:19" ht="20.25" customHeight="1" x14ac:dyDescent="0.25">
      <c r="A58" s="38">
        <v>110</v>
      </c>
      <c r="B58" s="38" t="s">
        <v>687</v>
      </c>
      <c r="C58" s="38" t="s">
        <v>687</v>
      </c>
      <c r="D58" s="38">
        <v>162503</v>
      </c>
      <c r="E58" s="38" t="s">
        <v>212</v>
      </c>
      <c r="F58" s="38" t="s">
        <v>443</v>
      </c>
      <c r="G58" s="39" t="s">
        <v>256</v>
      </c>
      <c r="H58" s="44" t="s">
        <v>69</v>
      </c>
      <c r="I58" s="85"/>
      <c r="J58" s="79"/>
      <c r="K58" s="97" t="s">
        <v>856</v>
      </c>
      <c r="L58" s="76"/>
      <c r="M58" s="76"/>
      <c r="N58" s="83"/>
      <c r="O58" s="76"/>
      <c r="P58" s="76"/>
      <c r="Q58" s="76"/>
      <c r="R58" s="33" t="s">
        <v>208</v>
      </c>
      <c r="S58" s="58" t="e">
        <f>VLOOKUP(D58,#REF!,2,FALSE)</f>
        <v>#REF!</v>
      </c>
    </row>
    <row r="59" spans="1:19" ht="20.25" customHeight="1" x14ac:dyDescent="0.25">
      <c r="A59" s="38">
        <v>113</v>
      </c>
      <c r="B59" s="38" t="s">
        <v>698</v>
      </c>
      <c r="C59" s="38" t="s">
        <v>698</v>
      </c>
      <c r="D59" s="38">
        <v>83088944</v>
      </c>
      <c r="E59" s="38" t="s">
        <v>212</v>
      </c>
      <c r="F59" s="38" t="s">
        <v>397</v>
      </c>
      <c r="G59" s="39" t="s">
        <v>256</v>
      </c>
      <c r="H59" s="44" t="s">
        <v>69</v>
      </c>
      <c r="I59" s="85"/>
      <c r="J59" s="79"/>
      <c r="K59" s="97"/>
      <c r="L59" s="81"/>
      <c r="M59" s="81"/>
      <c r="N59" s="83"/>
      <c r="O59" s="81"/>
      <c r="P59" s="81"/>
      <c r="Q59" s="81"/>
      <c r="R59" s="33" t="s">
        <v>208</v>
      </c>
      <c r="S59" s="58" t="e">
        <f>VLOOKUP(D59,#REF!,2,FALSE)</f>
        <v>#REF!</v>
      </c>
    </row>
    <row r="60" spans="1:19" ht="20.25" customHeight="1" x14ac:dyDescent="0.25">
      <c r="A60" s="38">
        <v>114</v>
      </c>
      <c r="B60" s="38" t="s">
        <v>700</v>
      </c>
      <c r="C60" s="38" t="s">
        <v>700</v>
      </c>
      <c r="D60" s="38">
        <v>83102441</v>
      </c>
      <c r="E60" s="38" t="s">
        <v>212</v>
      </c>
      <c r="F60" s="38" t="s">
        <v>397</v>
      </c>
      <c r="G60" s="39" t="s">
        <v>256</v>
      </c>
      <c r="H60" s="44" t="s">
        <v>69</v>
      </c>
      <c r="I60" s="85"/>
      <c r="J60" s="79"/>
      <c r="K60" s="97"/>
      <c r="L60" s="79"/>
      <c r="M60" s="79"/>
      <c r="N60" s="83"/>
      <c r="O60" s="79"/>
      <c r="P60" s="79"/>
      <c r="Q60" s="79"/>
      <c r="R60" s="33" t="s">
        <v>208</v>
      </c>
      <c r="S60" s="58" t="e">
        <f>VLOOKUP(D60,#REF!,2,FALSE)</f>
        <v>#REF!</v>
      </c>
    </row>
    <row r="61" spans="1:19" ht="20.25" customHeight="1" x14ac:dyDescent="0.25">
      <c r="A61" s="38">
        <v>115</v>
      </c>
      <c r="B61" s="38" t="s">
        <v>703</v>
      </c>
      <c r="C61" s="38" t="s">
        <v>703</v>
      </c>
      <c r="D61" s="38">
        <v>83103403</v>
      </c>
      <c r="E61" s="38" t="s">
        <v>212</v>
      </c>
      <c r="F61" s="38" t="s">
        <v>397</v>
      </c>
      <c r="G61" s="39" t="s">
        <v>256</v>
      </c>
      <c r="H61" s="44" t="s">
        <v>69</v>
      </c>
      <c r="I61" s="85"/>
      <c r="J61" s="79"/>
      <c r="K61" s="97"/>
      <c r="L61" s="80"/>
      <c r="M61" s="81"/>
      <c r="N61" s="83"/>
      <c r="O61" s="81"/>
      <c r="P61" s="79"/>
      <c r="Q61" s="81"/>
      <c r="R61" s="33" t="s">
        <v>208</v>
      </c>
      <c r="S61" s="58" t="e">
        <f>VLOOKUP(D61,#REF!,2,FALSE)</f>
        <v>#REF!</v>
      </c>
    </row>
    <row r="62" spans="1:19" ht="20.25" customHeight="1" x14ac:dyDescent="0.25">
      <c r="A62" s="38">
        <v>116</v>
      </c>
      <c r="B62" s="38" t="s">
        <v>707</v>
      </c>
      <c r="C62" s="38" t="s">
        <v>707</v>
      </c>
      <c r="D62" s="38">
        <v>83117506</v>
      </c>
      <c r="E62" s="38" t="s">
        <v>212</v>
      </c>
      <c r="F62" s="38" t="s">
        <v>443</v>
      </c>
      <c r="G62" s="39" t="s">
        <v>256</v>
      </c>
      <c r="H62" s="44" t="s">
        <v>69</v>
      </c>
      <c r="I62" s="76"/>
      <c r="J62" s="76"/>
      <c r="K62" s="97"/>
      <c r="L62" s="76"/>
      <c r="M62" s="76"/>
      <c r="N62" s="83"/>
      <c r="O62" s="81"/>
      <c r="P62" s="79"/>
      <c r="Q62" s="82"/>
      <c r="R62" s="33" t="s">
        <v>208</v>
      </c>
      <c r="S62" s="58" t="e">
        <f>VLOOKUP(D62,#REF!,2,FALSE)</f>
        <v>#REF!</v>
      </c>
    </row>
    <row r="63" spans="1:19" ht="20.25" customHeight="1" x14ac:dyDescent="0.25">
      <c r="A63" s="38">
        <v>118</v>
      </c>
      <c r="B63" s="38" t="s">
        <v>724</v>
      </c>
      <c r="C63" s="38" t="s">
        <v>724</v>
      </c>
      <c r="D63" s="38">
        <v>84130564</v>
      </c>
      <c r="E63" s="38" t="s">
        <v>212</v>
      </c>
      <c r="F63" s="38" t="s">
        <v>397</v>
      </c>
      <c r="G63" s="39" t="s">
        <v>256</v>
      </c>
      <c r="H63" s="44" t="s">
        <v>69</v>
      </c>
      <c r="I63" s="85"/>
      <c r="J63" s="79"/>
      <c r="K63" s="97"/>
      <c r="L63" s="80"/>
      <c r="M63" s="81"/>
      <c r="N63" s="83"/>
      <c r="O63" s="81"/>
      <c r="P63" s="81"/>
      <c r="Q63" s="81"/>
      <c r="R63" s="33" t="s">
        <v>208</v>
      </c>
      <c r="S63" s="58" t="e">
        <f>VLOOKUP(D63,#REF!,2,FALSE)</f>
        <v>#REF!</v>
      </c>
    </row>
    <row r="64" spans="1:19" ht="20.25" customHeight="1" x14ac:dyDescent="0.25">
      <c r="A64" s="38">
        <v>119</v>
      </c>
      <c r="B64" s="38" t="s">
        <v>731</v>
      </c>
      <c r="C64" s="38" t="s">
        <v>731</v>
      </c>
      <c r="D64" s="38">
        <v>83104426</v>
      </c>
      <c r="E64" s="18" t="s">
        <v>732</v>
      </c>
      <c r="F64" s="38" t="s">
        <v>443</v>
      </c>
      <c r="G64" s="39" t="s">
        <v>256</v>
      </c>
      <c r="H64" s="29">
        <v>41848</v>
      </c>
      <c r="I64" s="74">
        <v>46218</v>
      </c>
      <c r="J64" s="74">
        <v>46218</v>
      </c>
      <c r="K64" s="74">
        <v>46949</v>
      </c>
      <c r="L64" s="74">
        <v>46220</v>
      </c>
      <c r="M64" s="74">
        <v>46220</v>
      </c>
      <c r="N64" s="74">
        <v>46951</v>
      </c>
      <c r="O64" s="78">
        <v>46219</v>
      </c>
      <c r="P64" s="120">
        <v>46216</v>
      </c>
      <c r="Q64" s="78">
        <v>46217</v>
      </c>
      <c r="R64" s="33" t="s">
        <v>208</v>
      </c>
      <c r="S64" s="58" t="e">
        <f>VLOOKUP(D64,#REF!,2,FALSE)</f>
        <v>#REF!</v>
      </c>
    </row>
    <row r="65" spans="1:19" ht="20.25" customHeight="1" x14ac:dyDescent="0.25">
      <c r="A65" s="38">
        <v>121</v>
      </c>
      <c r="B65" s="38" t="s">
        <v>778</v>
      </c>
      <c r="C65" s="38" t="s">
        <v>778</v>
      </c>
      <c r="D65" s="38">
        <v>171981</v>
      </c>
      <c r="E65" s="38" t="s">
        <v>212</v>
      </c>
      <c r="F65" s="38" t="s">
        <v>717</v>
      </c>
      <c r="G65" s="39" t="s">
        <v>256</v>
      </c>
      <c r="H65" s="44" t="s">
        <v>69</v>
      </c>
      <c r="I65" s="79"/>
      <c r="J65" s="101"/>
      <c r="K65" s="97"/>
      <c r="L65" s="79"/>
      <c r="M65" s="79"/>
      <c r="N65" s="83"/>
      <c r="O65" s="79"/>
      <c r="P65" s="79"/>
      <c r="Q65" s="79"/>
      <c r="R65" s="33" t="s">
        <v>208</v>
      </c>
      <c r="S65" s="58" t="e">
        <f>VLOOKUP(D65,#REF!,2,FALSE)</f>
        <v>#REF!</v>
      </c>
    </row>
    <row r="66" spans="1:19" ht="20.25" customHeight="1" x14ac:dyDescent="0.25">
      <c r="A66" s="38">
        <v>122</v>
      </c>
      <c r="B66" s="38" t="s">
        <v>797</v>
      </c>
      <c r="C66" s="38" t="s">
        <v>797</v>
      </c>
      <c r="D66" s="38">
        <v>242407</v>
      </c>
      <c r="E66" s="38" t="s">
        <v>212</v>
      </c>
      <c r="F66" s="38" t="s">
        <v>68</v>
      </c>
      <c r="G66" s="39" t="s">
        <v>256</v>
      </c>
      <c r="H66" s="44" t="s">
        <v>69</v>
      </c>
      <c r="I66" s="84"/>
      <c r="J66" s="84"/>
      <c r="K66" s="108" t="s">
        <v>856</v>
      </c>
      <c r="L66" s="56"/>
      <c r="M66" s="56"/>
      <c r="N66" s="57" t="s">
        <v>856</v>
      </c>
      <c r="O66" s="56"/>
      <c r="P66" s="56"/>
      <c r="Q66" s="56"/>
      <c r="R66" s="33" t="s">
        <v>256</v>
      </c>
      <c r="S66" s="58" t="e">
        <f>VLOOKUP(D66,#REF!,2,FALSE)</f>
        <v>#REF!</v>
      </c>
    </row>
    <row r="67" spans="1:19" ht="20.25" customHeight="1" x14ac:dyDescent="0.25">
      <c r="A67" s="38">
        <v>124</v>
      </c>
      <c r="B67" s="38" t="s">
        <v>804</v>
      </c>
      <c r="C67" s="38" t="s">
        <v>804</v>
      </c>
      <c r="D67" s="38">
        <v>242417</v>
      </c>
      <c r="E67" s="38" t="s">
        <v>212</v>
      </c>
      <c r="F67" s="38" t="s">
        <v>68</v>
      </c>
      <c r="G67" s="39" t="s">
        <v>256</v>
      </c>
      <c r="H67" s="44" t="s">
        <v>69</v>
      </c>
      <c r="I67" s="84"/>
      <c r="J67" s="84"/>
      <c r="K67" s="109" t="s">
        <v>856</v>
      </c>
      <c r="L67" s="56"/>
      <c r="M67" s="56"/>
      <c r="N67" s="57" t="s">
        <v>856</v>
      </c>
      <c r="O67" s="56"/>
      <c r="P67" s="56"/>
      <c r="Q67" s="56"/>
      <c r="R67" s="33" t="s">
        <v>256</v>
      </c>
      <c r="S67" s="58" t="e">
        <f>VLOOKUP(D67,#REF!,2,FALSE)</f>
        <v>#REF!</v>
      </c>
    </row>
    <row r="68" spans="1:19" s="58" customFormat="1" ht="19.5" customHeight="1" x14ac:dyDescent="0.25">
      <c r="A68" s="38">
        <v>6</v>
      </c>
      <c r="B68" s="38" t="s">
        <v>248</v>
      </c>
      <c r="C68" s="38" t="s">
        <v>248</v>
      </c>
      <c r="D68" s="38">
        <v>83102758</v>
      </c>
      <c r="E68" s="38" t="s">
        <v>212</v>
      </c>
      <c r="F68" s="18" t="s">
        <v>68</v>
      </c>
      <c r="G68" s="39" t="s">
        <v>256</v>
      </c>
      <c r="H68" s="40">
        <v>44882</v>
      </c>
      <c r="I68" s="56"/>
      <c r="J68" s="56"/>
      <c r="K68" s="97"/>
      <c r="L68" s="56"/>
      <c r="M68" s="56"/>
      <c r="N68" s="83"/>
      <c r="O68" s="56"/>
      <c r="P68" s="56"/>
      <c r="Q68" s="56"/>
      <c r="S68" s="58" t="e">
        <f>VLOOKUP(D68,#REF!,2,FALSE)</f>
        <v>#REF!</v>
      </c>
    </row>
    <row r="69" spans="1:19" s="58" customFormat="1" ht="15" x14ac:dyDescent="0.25">
      <c r="A69" s="38">
        <v>160</v>
      </c>
      <c r="B69" s="18" t="s">
        <v>246</v>
      </c>
      <c r="C69" s="46" t="s">
        <v>246</v>
      </c>
      <c r="D69" s="46">
        <v>84122960</v>
      </c>
      <c r="E69" s="38" t="s">
        <v>86</v>
      </c>
      <c r="F69" s="18" t="s">
        <v>68</v>
      </c>
      <c r="G69" s="39" t="s">
        <v>256</v>
      </c>
      <c r="H69" s="76"/>
      <c r="I69" s="76"/>
      <c r="J69" s="97"/>
      <c r="K69" s="76"/>
      <c r="L69" s="84"/>
      <c r="M69" s="83"/>
      <c r="N69" s="76"/>
      <c r="O69" s="76"/>
      <c r="P69" s="76"/>
    </row>
    <row r="71" spans="1:19" ht="20.25" customHeight="1" x14ac:dyDescent="0.25">
      <c r="D71" s="244"/>
    </row>
    <row r="72" spans="1:19" ht="20.25" customHeight="1" x14ac:dyDescent="0.25">
      <c r="D72" s="244"/>
    </row>
    <row r="73" spans="1:19" ht="20.25" customHeight="1" x14ac:dyDescent="0.25">
      <c r="D73" s="244"/>
    </row>
    <row r="74" spans="1:19" ht="20.25" customHeight="1" x14ac:dyDescent="0.25">
      <c r="D74" s="244"/>
    </row>
    <row r="75" spans="1:19" ht="20.25" customHeight="1" x14ac:dyDescent="0.25">
      <c r="D75" s="244"/>
    </row>
    <row r="76" spans="1:19" ht="20.25" customHeight="1" x14ac:dyDescent="0.25">
      <c r="D76" s="244"/>
    </row>
    <row r="77" spans="1:19" ht="20.25" customHeight="1" x14ac:dyDescent="0.25">
      <c r="D77" s="244"/>
    </row>
    <row r="78" spans="1:19" ht="20.25" customHeight="1" x14ac:dyDescent="0.25">
      <c r="D78" s="245"/>
    </row>
    <row r="79" spans="1:19" ht="20.25" customHeight="1" x14ac:dyDescent="0.25">
      <c r="D79" s="246"/>
    </row>
    <row r="80" spans="1:19" ht="20.25" customHeight="1" x14ac:dyDescent="0.25">
      <c r="D80" s="246"/>
    </row>
    <row r="81" spans="4:4" ht="20.25" customHeight="1" x14ac:dyDescent="0.25">
      <c r="D81" s="246"/>
    </row>
    <row r="82" spans="4:4" ht="20.25" customHeight="1" x14ac:dyDescent="0.25">
      <c r="D82" s="247"/>
    </row>
    <row r="83" spans="4:4" ht="20.25" customHeight="1" x14ac:dyDescent="0.25">
      <c r="D83" s="244"/>
    </row>
    <row r="84" spans="4:4" ht="20.25" customHeight="1" x14ac:dyDescent="0.25">
      <c r="D84" s="244"/>
    </row>
    <row r="85" spans="4:4" ht="20.25" customHeight="1" x14ac:dyDescent="0.25">
      <c r="D85" s="247"/>
    </row>
    <row r="86" spans="4:4" ht="20.25" customHeight="1" x14ac:dyDescent="0.25">
      <c r="D86" s="248"/>
    </row>
    <row r="87" spans="4:4" ht="20.25" customHeight="1" x14ac:dyDescent="0.25">
      <c r="D87" s="244"/>
    </row>
    <row r="88" spans="4:4" ht="20.25" customHeight="1" x14ac:dyDescent="0.25">
      <c r="D88" s="244"/>
    </row>
    <row r="89" spans="4:4" ht="20.25" customHeight="1" x14ac:dyDescent="0.25">
      <c r="D89" s="244"/>
    </row>
    <row r="90" spans="4:4" ht="20.25" customHeight="1" x14ac:dyDescent="0.25">
      <c r="D90" s="244"/>
    </row>
  </sheetData>
  <autoFilter ref="C2:Q69"/>
  <mergeCells count="2">
    <mergeCell ref="I1:K1"/>
    <mergeCell ref="L1:N1"/>
  </mergeCells>
  <conditionalFormatting sqref="D68">
    <cfRule type="duplicateValues" dxfId="323" priority="483"/>
  </conditionalFormatting>
  <conditionalFormatting sqref="D68">
    <cfRule type="duplicateValues" dxfId="322" priority="484"/>
  </conditionalFormatting>
  <conditionalFormatting sqref="D68">
    <cfRule type="duplicateValues" dxfId="321" priority="482"/>
  </conditionalFormatting>
  <conditionalFormatting sqref="C69">
    <cfRule type="duplicateValues" dxfId="320" priority="481"/>
  </conditionalFormatting>
  <conditionalFormatting sqref="C69">
    <cfRule type="duplicateValues" dxfId="319" priority="480"/>
  </conditionalFormatting>
  <conditionalFormatting sqref="D69">
    <cfRule type="duplicateValues" dxfId="318" priority="399"/>
  </conditionalFormatting>
  <conditionalFormatting sqref="D69">
    <cfRule type="duplicateValues" dxfId="317" priority="398"/>
  </conditionalFormatting>
  <conditionalFormatting sqref="D91:D1048576 D1:D70">
    <cfRule type="duplicateValues" dxfId="316" priority="322"/>
  </conditionalFormatting>
  <conditionalFormatting sqref="D91:D1048576">
    <cfRule type="duplicateValues" dxfId="315" priority="1480"/>
  </conditionalFormatting>
  <conditionalFormatting sqref="D91:D1048576 D1:D70">
    <cfRule type="duplicateValues" dxfId="314" priority="246"/>
    <cfRule type="duplicateValues" dxfId="313" priority="247"/>
  </conditionalFormatting>
  <conditionalFormatting sqref="D71">
    <cfRule type="duplicateValues" dxfId="312" priority="241" stopIfTrue="1"/>
    <cfRule type="duplicateValues" dxfId="311" priority="242" stopIfTrue="1"/>
    <cfRule type="timePeriod" dxfId="310" priority="243" stopIfTrue="1" timePeriod="yesterday">
      <formula>FLOOR(D71,1)=TODAY()-1</formula>
    </cfRule>
    <cfRule type="duplicateValues" dxfId="309" priority="244" stopIfTrue="1"/>
    <cfRule type="duplicateValues" dxfId="308" priority="245" stopIfTrue="1"/>
  </conditionalFormatting>
  <conditionalFormatting sqref="D72">
    <cfRule type="duplicateValues" dxfId="307" priority="236" stopIfTrue="1"/>
    <cfRule type="duplicateValues" dxfId="306" priority="237" stopIfTrue="1"/>
    <cfRule type="timePeriod" dxfId="305" priority="238" stopIfTrue="1" timePeriod="yesterday">
      <formula>FLOOR(D72,1)=TODAY()-1</formula>
    </cfRule>
    <cfRule type="duplicateValues" dxfId="304" priority="239" stopIfTrue="1"/>
    <cfRule type="duplicateValues" dxfId="303" priority="240" stopIfTrue="1"/>
  </conditionalFormatting>
  <conditionalFormatting sqref="D73">
    <cfRule type="duplicateValues" dxfId="302" priority="231" stopIfTrue="1"/>
    <cfRule type="duplicateValues" dxfId="301" priority="232" stopIfTrue="1"/>
    <cfRule type="timePeriod" dxfId="300" priority="233" stopIfTrue="1" timePeriod="yesterday">
      <formula>FLOOR(D73,1)=TODAY()-1</formula>
    </cfRule>
    <cfRule type="duplicateValues" dxfId="299" priority="234" stopIfTrue="1"/>
    <cfRule type="duplicateValues" dxfId="298" priority="235" stopIfTrue="1"/>
  </conditionalFormatting>
  <conditionalFormatting sqref="D74">
    <cfRule type="duplicateValues" dxfId="297" priority="226" stopIfTrue="1"/>
    <cfRule type="duplicateValues" dxfId="296" priority="227" stopIfTrue="1"/>
    <cfRule type="timePeriod" dxfId="295" priority="228" stopIfTrue="1" timePeriod="yesterday">
      <formula>FLOOR(D74,1)=TODAY()-1</formula>
    </cfRule>
    <cfRule type="duplicateValues" dxfId="294" priority="229" stopIfTrue="1"/>
    <cfRule type="duplicateValues" dxfId="293" priority="230" stopIfTrue="1"/>
  </conditionalFormatting>
  <conditionalFormatting sqref="D75">
    <cfRule type="duplicateValues" dxfId="292" priority="221" stopIfTrue="1"/>
    <cfRule type="duplicateValues" dxfId="291" priority="222" stopIfTrue="1"/>
    <cfRule type="timePeriod" dxfId="290" priority="223" stopIfTrue="1" timePeriod="yesterday">
      <formula>FLOOR(D75,1)=TODAY()-1</formula>
    </cfRule>
    <cfRule type="duplicateValues" dxfId="289" priority="224" stopIfTrue="1"/>
    <cfRule type="duplicateValues" dxfId="288" priority="225" stopIfTrue="1"/>
  </conditionalFormatting>
  <conditionalFormatting sqref="D76">
    <cfRule type="duplicateValues" dxfId="287" priority="216" stopIfTrue="1"/>
    <cfRule type="duplicateValues" dxfId="286" priority="217" stopIfTrue="1"/>
    <cfRule type="timePeriod" dxfId="285" priority="218" stopIfTrue="1" timePeriod="yesterday">
      <formula>FLOOR(D76,1)=TODAY()-1</formula>
    </cfRule>
    <cfRule type="duplicateValues" dxfId="284" priority="219" stopIfTrue="1"/>
    <cfRule type="duplicateValues" dxfId="283" priority="220" stopIfTrue="1"/>
  </conditionalFormatting>
  <conditionalFormatting sqref="D77 D82">
    <cfRule type="duplicateValues" dxfId="282" priority="211" stopIfTrue="1"/>
    <cfRule type="duplicateValues" dxfId="281" priority="212" stopIfTrue="1"/>
    <cfRule type="timePeriod" dxfId="280" priority="213" stopIfTrue="1" timePeriod="yesterday">
      <formula>FLOOR(D77,1)=TODAY()-1</formula>
    </cfRule>
    <cfRule type="duplicateValues" dxfId="279" priority="214" stopIfTrue="1"/>
    <cfRule type="duplicateValues" dxfId="278" priority="215" stopIfTrue="1"/>
  </conditionalFormatting>
  <conditionalFormatting sqref="D84">
    <cfRule type="duplicateValues" dxfId="277" priority="205" stopIfTrue="1"/>
    <cfRule type="duplicateValues" dxfId="276" priority="206" stopIfTrue="1"/>
    <cfRule type="duplicateValues" dxfId="275" priority="207" stopIfTrue="1"/>
    <cfRule type="duplicateValues" dxfId="274" priority="208" stopIfTrue="1"/>
    <cfRule type="duplicateValues" dxfId="273" priority="209" stopIfTrue="1"/>
    <cfRule type="timePeriod" dxfId="272" priority="210" stopIfTrue="1" timePeriod="yesterday">
      <formula>FLOOR(D84,1)=TODAY()-1</formula>
    </cfRule>
  </conditionalFormatting>
  <conditionalFormatting sqref="D85">
    <cfRule type="duplicateValues" dxfId="271" priority="199" stopIfTrue="1"/>
    <cfRule type="duplicateValues" dxfId="270" priority="200" stopIfTrue="1"/>
    <cfRule type="duplicateValues" dxfId="269" priority="201" stopIfTrue="1"/>
    <cfRule type="duplicateValues" dxfId="268" priority="202" stopIfTrue="1"/>
    <cfRule type="duplicateValues" dxfId="267" priority="203" stopIfTrue="1"/>
    <cfRule type="timePeriod" dxfId="266" priority="204" stopIfTrue="1" timePeriod="yesterday">
      <formula>FLOOR(D85,1)=TODAY()-1</formula>
    </cfRule>
  </conditionalFormatting>
  <conditionalFormatting sqref="D87">
    <cfRule type="duplicateValues" dxfId="265" priority="193" stopIfTrue="1"/>
    <cfRule type="duplicateValues" dxfId="264" priority="194" stopIfTrue="1"/>
    <cfRule type="duplicateValues" dxfId="263" priority="195" stopIfTrue="1"/>
    <cfRule type="duplicateValues" dxfId="262" priority="196" stopIfTrue="1"/>
    <cfRule type="duplicateValues" dxfId="261" priority="197" stopIfTrue="1"/>
    <cfRule type="timePeriod" dxfId="260" priority="198" stopIfTrue="1" timePeriod="yesterday">
      <formula>FLOOR(D87,1)=TODAY()-1</formula>
    </cfRule>
  </conditionalFormatting>
  <conditionalFormatting sqref="D87 D89">
    <cfRule type="duplicateValues" dxfId="259" priority="187" stopIfTrue="1"/>
    <cfRule type="duplicateValues" dxfId="258" priority="188" stopIfTrue="1"/>
    <cfRule type="duplicateValues" dxfId="257" priority="189" stopIfTrue="1"/>
    <cfRule type="duplicateValues" dxfId="256" priority="190" stopIfTrue="1"/>
    <cfRule type="duplicateValues" dxfId="255" priority="191" stopIfTrue="1"/>
    <cfRule type="timePeriod" dxfId="254" priority="192" stopIfTrue="1" timePeriod="yesterday">
      <formula>FLOOR(D87,1)=TODAY()-1</formula>
    </cfRule>
  </conditionalFormatting>
  <conditionalFormatting sqref="D86:D87 D89:D90">
    <cfRule type="duplicateValues" dxfId="253" priority="181" stopIfTrue="1"/>
    <cfRule type="duplicateValues" dxfId="252" priority="182" stopIfTrue="1"/>
    <cfRule type="duplicateValues" dxfId="251" priority="183" stopIfTrue="1"/>
    <cfRule type="duplicateValues" dxfId="250" priority="184" stopIfTrue="1"/>
    <cfRule type="duplicateValues" dxfId="249" priority="185" stopIfTrue="1"/>
    <cfRule type="timePeriod" dxfId="248" priority="186" stopIfTrue="1" timePeriod="yesterday">
      <formula>FLOOR(D86,1)=TODAY()-1</formula>
    </cfRule>
  </conditionalFormatting>
  <conditionalFormatting sqref="D71:D77 D82:D87 D89:D90">
    <cfRule type="duplicateValues" dxfId="247" priority="161"/>
    <cfRule type="duplicateValues" dxfId="246" priority="180"/>
  </conditionalFormatting>
  <conditionalFormatting sqref="D84">
    <cfRule type="duplicateValues" dxfId="245" priority="174" stopIfTrue="1"/>
    <cfRule type="duplicateValues" dxfId="244" priority="175" stopIfTrue="1"/>
    <cfRule type="duplicateValues" dxfId="243" priority="176" stopIfTrue="1"/>
    <cfRule type="duplicateValues" dxfId="242" priority="177" stopIfTrue="1"/>
    <cfRule type="duplicateValues" dxfId="241" priority="178" stopIfTrue="1"/>
    <cfRule type="timePeriod" dxfId="240" priority="179" stopIfTrue="1" timePeriod="yesterday">
      <formula>FLOOR(D84,1)=TODAY()-1</formula>
    </cfRule>
  </conditionalFormatting>
  <conditionalFormatting sqref="D85">
    <cfRule type="duplicateValues" dxfId="239" priority="168" stopIfTrue="1"/>
    <cfRule type="duplicateValues" dxfId="238" priority="169" stopIfTrue="1"/>
    <cfRule type="duplicateValues" dxfId="237" priority="170" stopIfTrue="1"/>
    <cfRule type="duplicateValues" dxfId="236" priority="171" stopIfTrue="1"/>
    <cfRule type="duplicateValues" dxfId="235" priority="172" stopIfTrue="1"/>
    <cfRule type="timePeriod" dxfId="234" priority="173" stopIfTrue="1" timePeriod="yesterday">
      <formula>FLOOR(D85,1)=TODAY()-1</formula>
    </cfRule>
  </conditionalFormatting>
  <conditionalFormatting sqref="D87">
    <cfRule type="duplicateValues" dxfId="233" priority="162" stopIfTrue="1"/>
    <cfRule type="duplicateValues" dxfId="232" priority="163" stopIfTrue="1"/>
    <cfRule type="duplicateValues" dxfId="231" priority="164" stopIfTrue="1"/>
    <cfRule type="duplicateValues" dxfId="230" priority="165" stopIfTrue="1"/>
    <cfRule type="duplicateValues" dxfId="229" priority="166" stopIfTrue="1"/>
    <cfRule type="timePeriod" dxfId="228" priority="167" stopIfTrue="1" timePeriod="yesterday">
      <formula>FLOOR(D87,1)=TODAY()-1</formula>
    </cfRule>
  </conditionalFormatting>
  <conditionalFormatting sqref="D83">
    <cfRule type="duplicateValues" dxfId="227" priority="159"/>
  </conditionalFormatting>
  <conditionalFormatting sqref="D83">
    <cfRule type="duplicateValues" dxfId="226" priority="158"/>
  </conditionalFormatting>
  <conditionalFormatting sqref="D83">
    <cfRule type="duplicateValues" dxfId="225" priority="157"/>
  </conditionalFormatting>
  <conditionalFormatting sqref="D83">
    <cfRule type="duplicateValues" dxfId="224" priority="156"/>
  </conditionalFormatting>
  <conditionalFormatting sqref="D83">
    <cfRule type="duplicateValues" dxfId="223" priority="160"/>
  </conditionalFormatting>
  <conditionalFormatting sqref="D84">
    <cfRule type="duplicateValues" dxfId="222" priority="150" stopIfTrue="1"/>
    <cfRule type="duplicateValues" dxfId="221" priority="151" stopIfTrue="1"/>
    <cfRule type="duplicateValues" dxfId="220" priority="152" stopIfTrue="1"/>
    <cfRule type="duplicateValues" dxfId="219" priority="153" stopIfTrue="1"/>
    <cfRule type="duplicateValues" dxfId="218" priority="154" stopIfTrue="1"/>
    <cfRule type="timePeriod" dxfId="217" priority="155" stopIfTrue="1" timePeriod="yesterday">
      <formula>FLOOR(D84,1)=TODAY()-1</formula>
    </cfRule>
  </conditionalFormatting>
  <conditionalFormatting sqref="D85">
    <cfRule type="duplicateValues" dxfId="216" priority="144" stopIfTrue="1"/>
    <cfRule type="duplicateValues" dxfId="215" priority="145" stopIfTrue="1"/>
    <cfRule type="duplicateValues" dxfId="214" priority="146" stopIfTrue="1"/>
    <cfRule type="duplicateValues" dxfId="213" priority="147" stopIfTrue="1"/>
    <cfRule type="duplicateValues" dxfId="212" priority="148" stopIfTrue="1"/>
    <cfRule type="timePeriod" dxfId="211" priority="149" stopIfTrue="1" timePeriod="yesterday">
      <formula>FLOOR(D85,1)=TODAY()-1</formula>
    </cfRule>
  </conditionalFormatting>
  <conditionalFormatting sqref="D87">
    <cfRule type="duplicateValues" dxfId="210" priority="138" stopIfTrue="1"/>
    <cfRule type="duplicateValues" dxfId="209" priority="139" stopIfTrue="1"/>
    <cfRule type="duplicateValues" dxfId="208" priority="140" stopIfTrue="1"/>
    <cfRule type="duplicateValues" dxfId="207" priority="141" stopIfTrue="1"/>
    <cfRule type="duplicateValues" dxfId="206" priority="142" stopIfTrue="1"/>
    <cfRule type="timePeriod" dxfId="205" priority="143" stopIfTrue="1" timePeriod="yesterday">
      <formula>FLOOR(D87,1)=TODAY()-1</formula>
    </cfRule>
  </conditionalFormatting>
  <conditionalFormatting sqref="D84">
    <cfRule type="duplicateValues" dxfId="204" priority="132" stopIfTrue="1"/>
    <cfRule type="duplicateValues" dxfId="203" priority="133" stopIfTrue="1"/>
    <cfRule type="duplicateValues" dxfId="202" priority="134" stopIfTrue="1"/>
    <cfRule type="duplicateValues" dxfId="201" priority="135" stopIfTrue="1"/>
    <cfRule type="duplicateValues" dxfId="200" priority="136" stopIfTrue="1"/>
    <cfRule type="timePeriod" dxfId="199" priority="137" stopIfTrue="1" timePeriod="yesterday">
      <formula>FLOOR(D84,1)=TODAY()-1</formula>
    </cfRule>
  </conditionalFormatting>
  <conditionalFormatting sqref="D85">
    <cfRule type="duplicateValues" dxfId="198" priority="126" stopIfTrue="1"/>
    <cfRule type="duplicateValues" dxfId="197" priority="127" stopIfTrue="1"/>
    <cfRule type="duplicateValues" dxfId="196" priority="128" stopIfTrue="1"/>
    <cfRule type="duplicateValues" dxfId="195" priority="129" stopIfTrue="1"/>
    <cfRule type="duplicateValues" dxfId="194" priority="130" stopIfTrue="1"/>
    <cfRule type="timePeriod" dxfId="193" priority="131" stopIfTrue="1" timePeriod="yesterday">
      <formula>FLOOR(D85,1)=TODAY()-1</formula>
    </cfRule>
  </conditionalFormatting>
  <conditionalFormatting sqref="D90">
    <cfRule type="duplicateValues" dxfId="192" priority="120" stopIfTrue="1"/>
    <cfRule type="duplicateValues" dxfId="191" priority="121" stopIfTrue="1"/>
    <cfRule type="duplicateValues" dxfId="190" priority="122" stopIfTrue="1"/>
    <cfRule type="duplicateValues" dxfId="189" priority="123" stopIfTrue="1"/>
    <cfRule type="duplicateValues" dxfId="188" priority="124" stopIfTrue="1"/>
    <cfRule type="timePeriod" dxfId="187" priority="125" stopIfTrue="1" timePeriod="yesterday">
      <formula>FLOOR(D90,1)=TODAY()-1</formula>
    </cfRule>
  </conditionalFormatting>
  <conditionalFormatting sqref="D86">
    <cfRule type="duplicateValues" dxfId="186" priority="118"/>
  </conditionalFormatting>
  <conditionalFormatting sqref="D86">
    <cfRule type="duplicateValues" dxfId="185" priority="117"/>
  </conditionalFormatting>
  <conditionalFormatting sqref="D86">
    <cfRule type="duplicateValues" dxfId="184" priority="116"/>
  </conditionalFormatting>
  <conditionalFormatting sqref="D86">
    <cfRule type="duplicateValues" dxfId="183" priority="115"/>
  </conditionalFormatting>
  <conditionalFormatting sqref="D86">
    <cfRule type="duplicateValues" dxfId="182" priority="119"/>
  </conditionalFormatting>
  <conditionalFormatting sqref="D78:D81">
    <cfRule type="duplicateValues" dxfId="181" priority="112"/>
  </conditionalFormatting>
  <conditionalFormatting sqref="D78:D81">
    <cfRule type="duplicateValues" dxfId="180" priority="111"/>
  </conditionalFormatting>
  <conditionalFormatting sqref="D78:D81">
    <cfRule type="duplicateValues" dxfId="179" priority="113"/>
    <cfRule type="duplicateValues" dxfId="178" priority="114"/>
  </conditionalFormatting>
  <conditionalFormatting sqref="D78:D81">
    <cfRule type="duplicateValues" dxfId="177" priority="110"/>
  </conditionalFormatting>
  <conditionalFormatting sqref="D78:D81">
    <cfRule type="duplicateValues" dxfId="176" priority="109"/>
  </conditionalFormatting>
  <conditionalFormatting sqref="D83">
    <cfRule type="duplicateValues" dxfId="175" priority="103" stopIfTrue="1"/>
    <cfRule type="duplicateValues" dxfId="174" priority="104" stopIfTrue="1"/>
    <cfRule type="duplicateValues" dxfId="173" priority="105" stopIfTrue="1"/>
    <cfRule type="duplicateValues" dxfId="172" priority="106" stopIfTrue="1"/>
    <cfRule type="duplicateValues" dxfId="171" priority="107" stopIfTrue="1"/>
    <cfRule type="timePeriod" dxfId="170" priority="108" stopIfTrue="1" timePeriod="yesterday">
      <formula>FLOOR(D83,1)=TODAY()-1</formula>
    </cfRule>
  </conditionalFormatting>
  <conditionalFormatting sqref="D84">
    <cfRule type="duplicateValues" dxfId="169" priority="97" stopIfTrue="1"/>
    <cfRule type="duplicateValues" dxfId="168" priority="98" stopIfTrue="1"/>
    <cfRule type="duplicateValues" dxfId="167" priority="99" stopIfTrue="1"/>
    <cfRule type="duplicateValues" dxfId="166" priority="100" stopIfTrue="1"/>
    <cfRule type="duplicateValues" dxfId="165" priority="101" stopIfTrue="1"/>
    <cfRule type="timePeriod" dxfId="164" priority="102" stopIfTrue="1" timePeriod="yesterday">
      <formula>FLOOR(D84,1)=TODAY()-1</formula>
    </cfRule>
  </conditionalFormatting>
  <conditionalFormatting sqref="D86">
    <cfRule type="duplicateValues" dxfId="163" priority="91" stopIfTrue="1"/>
    <cfRule type="duplicateValues" dxfId="162" priority="92" stopIfTrue="1"/>
    <cfRule type="duplicateValues" dxfId="161" priority="93" stopIfTrue="1"/>
    <cfRule type="duplicateValues" dxfId="160" priority="94" stopIfTrue="1"/>
    <cfRule type="duplicateValues" dxfId="159" priority="95" stopIfTrue="1"/>
    <cfRule type="timePeriod" dxfId="158" priority="96" stopIfTrue="1" timePeriod="yesterday">
      <formula>FLOOR(D86,1)=TODAY()-1</formula>
    </cfRule>
  </conditionalFormatting>
  <conditionalFormatting sqref="D83">
    <cfRule type="duplicateValues" dxfId="157" priority="85" stopIfTrue="1"/>
    <cfRule type="duplicateValues" dxfId="156" priority="86" stopIfTrue="1"/>
    <cfRule type="duplicateValues" dxfId="155" priority="87" stopIfTrue="1"/>
    <cfRule type="duplicateValues" dxfId="154" priority="88" stopIfTrue="1"/>
    <cfRule type="duplicateValues" dxfId="153" priority="89" stopIfTrue="1"/>
    <cfRule type="timePeriod" dxfId="152" priority="90" stopIfTrue="1" timePeriod="yesterday">
      <formula>FLOOR(D83,1)=TODAY()-1</formula>
    </cfRule>
  </conditionalFormatting>
  <conditionalFormatting sqref="D84">
    <cfRule type="duplicateValues" dxfId="151" priority="79" stopIfTrue="1"/>
    <cfRule type="duplicateValues" dxfId="150" priority="80" stopIfTrue="1"/>
    <cfRule type="duplicateValues" dxfId="149" priority="81" stopIfTrue="1"/>
    <cfRule type="duplicateValues" dxfId="148" priority="82" stopIfTrue="1"/>
    <cfRule type="duplicateValues" dxfId="147" priority="83" stopIfTrue="1"/>
    <cfRule type="timePeriod" dxfId="146" priority="84" stopIfTrue="1" timePeriod="yesterday">
      <formula>FLOOR(D84,1)=TODAY()-1</formula>
    </cfRule>
  </conditionalFormatting>
  <conditionalFormatting sqref="D86">
    <cfRule type="duplicateValues" dxfId="145" priority="73" stopIfTrue="1"/>
    <cfRule type="duplicateValues" dxfId="144" priority="74" stopIfTrue="1"/>
    <cfRule type="duplicateValues" dxfId="143" priority="75" stopIfTrue="1"/>
    <cfRule type="duplicateValues" dxfId="142" priority="76" stopIfTrue="1"/>
    <cfRule type="duplicateValues" dxfId="141" priority="77" stopIfTrue="1"/>
    <cfRule type="timePeriod" dxfId="140" priority="78" stopIfTrue="1" timePeriod="yesterday">
      <formula>FLOOR(D86,1)=TODAY()-1</formula>
    </cfRule>
  </conditionalFormatting>
  <conditionalFormatting sqref="D90">
    <cfRule type="duplicateValues" dxfId="139" priority="67" stopIfTrue="1"/>
    <cfRule type="duplicateValues" dxfId="138" priority="68" stopIfTrue="1"/>
    <cfRule type="duplicateValues" dxfId="137" priority="69" stopIfTrue="1"/>
    <cfRule type="duplicateValues" dxfId="136" priority="70" stopIfTrue="1"/>
    <cfRule type="duplicateValues" dxfId="135" priority="71" stopIfTrue="1"/>
    <cfRule type="timePeriod" dxfId="134" priority="72" stopIfTrue="1" timePeriod="yesterday">
      <formula>FLOOR(D90,1)=TODAY()-1</formula>
    </cfRule>
  </conditionalFormatting>
  <conditionalFormatting sqref="D82">
    <cfRule type="duplicateValues" dxfId="133" priority="65"/>
  </conditionalFormatting>
  <conditionalFormatting sqref="D82">
    <cfRule type="duplicateValues" dxfId="132" priority="64"/>
  </conditionalFormatting>
  <conditionalFormatting sqref="D82">
    <cfRule type="duplicateValues" dxfId="131" priority="63"/>
  </conditionalFormatting>
  <conditionalFormatting sqref="D82">
    <cfRule type="duplicateValues" dxfId="130" priority="62"/>
  </conditionalFormatting>
  <conditionalFormatting sqref="D82">
    <cfRule type="duplicateValues" dxfId="129" priority="66"/>
  </conditionalFormatting>
  <conditionalFormatting sqref="D83">
    <cfRule type="duplicateValues" dxfId="128" priority="56" stopIfTrue="1"/>
    <cfRule type="duplicateValues" dxfId="127" priority="57" stopIfTrue="1"/>
    <cfRule type="duplicateValues" dxfId="126" priority="58" stopIfTrue="1"/>
    <cfRule type="duplicateValues" dxfId="125" priority="59" stopIfTrue="1"/>
    <cfRule type="duplicateValues" dxfId="124" priority="60" stopIfTrue="1"/>
    <cfRule type="timePeriod" dxfId="123" priority="61" stopIfTrue="1" timePeriod="yesterday">
      <formula>FLOOR(D83,1)=TODAY()-1</formula>
    </cfRule>
  </conditionalFormatting>
  <conditionalFormatting sqref="D84">
    <cfRule type="duplicateValues" dxfId="122" priority="50" stopIfTrue="1"/>
    <cfRule type="duplicateValues" dxfId="121" priority="51" stopIfTrue="1"/>
    <cfRule type="duplicateValues" dxfId="120" priority="52" stopIfTrue="1"/>
    <cfRule type="duplicateValues" dxfId="119" priority="53" stopIfTrue="1"/>
    <cfRule type="duplicateValues" dxfId="118" priority="54" stopIfTrue="1"/>
    <cfRule type="timePeriod" dxfId="117" priority="55" stopIfTrue="1" timePeriod="yesterday">
      <formula>FLOOR(D84,1)=TODAY()-1</formula>
    </cfRule>
  </conditionalFormatting>
  <conditionalFormatting sqref="D86">
    <cfRule type="duplicateValues" dxfId="116" priority="44" stopIfTrue="1"/>
    <cfRule type="duplicateValues" dxfId="115" priority="45" stopIfTrue="1"/>
    <cfRule type="duplicateValues" dxfId="114" priority="46" stopIfTrue="1"/>
    <cfRule type="duplicateValues" dxfId="113" priority="47" stopIfTrue="1"/>
    <cfRule type="duplicateValues" dxfId="112" priority="48" stopIfTrue="1"/>
    <cfRule type="timePeriod" dxfId="111" priority="49" stopIfTrue="1" timePeriod="yesterday">
      <formula>FLOOR(D86,1)=TODAY()-1</formula>
    </cfRule>
  </conditionalFormatting>
  <conditionalFormatting sqref="D83">
    <cfRule type="duplicateValues" dxfId="110" priority="38" stopIfTrue="1"/>
    <cfRule type="duplicateValues" dxfId="109" priority="39" stopIfTrue="1"/>
    <cfRule type="duplicateValues" dxfId="108" priority="40" stopIfTrue="1"/>
    <cfRule type="duplicateValues" dxfId="107" priority="41" stopIfTrue="1"/>
    <cfRule type="duplicateValues" dxfId="106" priority="42" stopIfTrue="1"/>
    <cfRule type="timePeriod" dxfId="105" priority="43" stopIfTrue="1" timePeriod="yesterday">
      <formula>FLOOR(D83,1)=TODAY()-1</formula>
    </cfRule>
  </conditionalFormatting>
  <conditionalFormatting sqref="D84">
    <cfRule type="duplicateValues" dxfId="104" priority="32" stopIfTrue="1"/>
    <cfRule type="duplicateValues" dxfId="103" priority="33" stopIfTrue="1"/>
    <cfRule type="duplicateValues" dxfId="102" priority="34" stopIfTrue="1"/>
    <cfRule type="duplicateValues" dxfId="101" priority="35" stopIfTrue="1"/>
    <cfRule type="duplicateValues" dxfId="100" priority="36" stopIfTrue="1"/>
    <cfRule type="timePeriod" dxfId="99" priority="37" stopIfTrue="1" timePeriod="yesterday">
      <formula>FLOOR(D84,1)=TODAY()-1</formula>
    </cfRule>
  </conditionalFormatting>
  <conditionalFormatting sqref="D89">
    <cfRule type="duplicateValues" dxfId="98" priority="26" stopIfTrue="1"/>
    <cfRule type="duplicateValues" dxfId="97" priority="27" stopIfTrue="1"/>
    <cfRule type="duplicateValues" dxfId="96" priority="28" stopIfTrue="1"/>
    <cfRule type="duplicateValues" dxfId="95" priority="29" stopIfTrue="1"/>
    <cfRule type="duplicateValues" dxfId="94" priority="30" stopIfTrue="1"/>
    <cfRule type="timePeriod" dxfId="93" priority="31" stopIfTrue="1" timePeriod="yesterday">
      <formula>FLOOR(D89,1)=TODAY()-1</formula>
    </cfRule>
  </conditionalFormatting>
  <conditionalFormatting sqref="D90">
    <cfRule type="duplicateValues" dxfId="92" priority="20" stopIfTrue="1"/>
    <cfRule type="duplicateValues" dxfId="91" priority="21" stopIfTrue="1"/>
    <cfRule type="duplicateValues" dxfId="90" priority="22" stopIfTrue="1"/>
    <cfRule type="duplicateValues" dxfId="89" priority="23" stopIfTrue="1"/>
    <cfRule type="duplicateValues" dxfId="88" priority="24" stopIfTrue="1"/>
    <cfRule type="timePeriod" dxfId="87" priority="25" stopIfTrue="1" timePeriod="yesterday">
      <formula>FLOOR(D90,1)=TODAY()-1</formula>
    </cfRule>
  </conditionalFormatting>
  <conditionalFormatting sqref="D90">
    <cfRule type="duplicateValues" dxfId="86" priority="12"/>
    <cfRule type="duplicateValues" dxfId="85" priority="19"/>
  </conditionalFormatting>
  <conditionalFormatting sqref="D90">
    <cfRule type="duplicateValues" dxfId="84" priority="13" stopIfTrue="1"/>
    <cfRule type="duplicateValues" dxfId="83" priority="14" stopIfTrue="1"/>
    <cfRule type="duplicateValues" dxfId="82" priority="15" stopIfTrue="1"/>
    <cfRule type="duplicateValues" dxfId="81" priority="16" stopIfTrue="1"/>
    <cfRule type="duplicateValues" dxfId="80" priority="17" stopIfTrue="1"/>
    <cfRule type="timePeriod" dxfId="79" priority="18" stopIfTrue="1" timePeriod="yesterday">
      <formula>FLOOR(D90,1)=TODAY()-1</formula>
    </cfRule>
  </conditionalFormatting>
  <conditionalFormatting sqref="D85">
    <cfRule type="duplicateValues" dxfId="78" priority="10"/>
  </conditionalFormatting>
  <conditionalFormatting sqref="D85">
    <cfRule type="duplicateValues" dxfId="77" priority="9"/>
  </conditionalFormatting>
  <conditionalFormatting sqref="D85">
    <cfRule type="duplicateValues" dxfId="76" priority="8"/>
  </conditionalFormatting>
  <conditionalFormatting sqref="D85">
    <cfRule type="duplicateValues" dxfId="75" priority="7"/>
  </conditionalFormatting>
  <conditionalFormatting sqref="D85">
    <cfRule type="duplicateValues" dxfId="74" priority="11"/>
  </conditionalFormatting>
  <conditionalFormatting sqref="D88">
    <cfRule type="duplicateValues" dxfId="73" priority="5"/>
  </conditionalFormatting>
  <conditionalFormatting sqref="D88">
    <cfRule type="duplicateValues" dxfId="72" priority="4"/>
  </conditionalFormatting>
  <conditionalFormatting sqref="D88">
    <cfRule type="duplicateValues" dxfId="71" priority="3"/>
  </conditionalFormatting>
  <conditionalFormatting sqref="D88">
    <cfRule type="duplicateValues" dxfId="70" priority="6"/>
  </conditionalFormatting>
  <conditionalFormatting sqref="D88">
    <cfRule type="duplicateValues" dxfId="69" priority="2"/>
  </conditionalFormatting>
  <conditionalFormatting sqref="D1:D1048576">
    <cfRule type="duplicateValues" dxfId="68" priority="1"/>
  </conditionalFormatting>
  <conditionalFormatting sqref="D1:D67">
    <cfRule type="duplicateValues" dxfId="67" priority="1886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S71"/>
  <sheetViews>
    <sheetView workbookViewId="0">
      <pane xSplit="1" ySplit="2" topLeftCell="D36" activePane="bottomRight" state="frozen"/>
      <selection pane="topRight" activeCell="B1" sqref="B1"/>
      <selection pane="bottomLeft" activeCell="A3" sqref="A3"/>
      <selection pane="bottomRight" activeCell="R41" sqref="R41"/>
    </sheetView>
  </sheetViews>
  <sheetFormatPr defaultRowHeight="18" customHeight="1" x14ac:dyDescent="0.25"/>
  <cols>
    <col min="1" max="1" width="6.42578125" customWidth="1"/>
    <col min="2" max="2" width="26.28515625" customWidth="1"/>
    <col min="3" max="3" width="12" customWidth="1"/>
    <col min="4" max="4" width="26.7109375" bestFit="1" customWidth="1"/>
    <col min="6" max="6" width="11" customWidth="1"/>
    <col min="7" max="7" width="11" style="58" customWidth="1"/>
    <col min="8" max="8" width="11.42578125" customWidth="1"/>
    <col min="10" max="10" width="9" customWidth="1"/>
    <col min="11" max="11" width="11.7109375" customWidth="1"/>
    <col min="12" max="12" width="10.7109375" customWidth="1"/>
    <col min="13" max="13" width="9.42578125" customWidth="1"/>
    <col min="19" max="19" width="34.7109375" customWidth="1"/>
  </cols>
  <sheetData>
    <row r="1" spans="1:19" s="58" customFormat="1" ht="65.25" customHeight="1" x14ac:dyDescent="0.25">
      <c r="A1" s="34" t="s">
        <v>4</v>
      </c>
      <c r="B1" s="35" t="s">
        <v>5</v>
      </c>
      <c r="C1" s="35" t="s">
        <v>6</v>
      </c>
      <c r="D1" s="35" t="s">
        <v>7</v>
      </c>
      <c r="E1" s="35" t="s">
        <v>8</v>
      </c>
      <c r="F1" s="35" t="s">
        <v>857</v>
      </c>
      <c r="G1" s="35"/>
      <c r="H1" s="310" t="s">
        <v>10</v>
      </c>
      <c r="I1" s="310"/>
      <c r="J1" s="310"/>
      <c r="K1" s="311" t="s">
        <v>11</v>
      </c>
      <c r="L1" s="311"/>
      <c r="M1" s="311"/>
      <c r="N1" s="113" t="s">
        <v>12</v>
      </c>
      <c r="O1" s="53" t="s">
        <v>13</v>
      </c>
      <c r="P1" s="113" t="s">
        <v>14</v>
      </c>
    </row>
    <row r="2" spans="1:19" s="58" customFormat="1" ht="18" customHeight="1" x14ac:dyDescent="0.25">
      <c r="A2" s="34"/>
      <c r="B2" s="35"/>
      <c r="C2" s="35"/>
      <c r="D2" s="36"/>
      <c r="E2" s="36"/>
      <c r="F2" s="36"/>
      <c r="G2" s="36"/>
      <c r="H2" s="52" t="s">
        <v>59</v>
      </c>
      <c r="I2" s="37" t="s">
        <v>60</v>
      </c>
      <c r="J2" s="37" t="s">
        <v>61</v>
      </c>
      <c r="K2" s="37" t="s">
        <v>59</v>
      </c>
      <c r="L2" s="37" t="s">
        <v>60</v>
      </c>
      <c r="M2" s="37" t="s">
        <v>62</v>
      </c>
      <c r="N2" s="37" t="s">
        <v>59</v>
      </c>
      <c r="O2" s="37" t="s">
        <v>59</v>
      </c>
      <c r="P2" s="37" t="s">
        <v>59</v>
      </c>
    </row>
    <row r="3" spans="1:19" ht="18" customHeight="1" x14ac:dyDescent="0.25">
      <c r="A3" s="38">
        <v>1</v>
      </c>
      <c r="B3" s="18" t="s">
        <v>220</v>
      </c>
      <c r="C3" s="18">
        <v>84122965</v>
      </c>
      <c r="D3" s="38" t="s">
        <v>212</v>
      </c>
      <c r="E3" s="18" t="s">
        <v>68</v>
      </c>
      <c r="F3" s="39" t="s">
        <v>256</v>
      </c>
      <c r="G3" s="39"/>
      <c r="H3" s="19">
        <v>46003</v>
      </c>
      <c r="I3" s="19">
        <v>46003</v>
      </c>
      <c r="J3" s="7">
        <v>47099</v>
      </c>
      <c r="K3" s="20">
        <v>42146</v>
      </c>
      <c r="L3" s="45">
        <v>46001</v>
      </c>
      <c r="M3" s="9">
        <v>47097</v>
      </c>
      <c r="N3" s="45">
        <v>45999</v>
      </c>
      <c r="O3" s="57"/>
      <c r="P3" s="45">
        <v>46000</v>
      </c>
      <c r="R3" s="133"/>
      <c r="S3" t="s">
        <v>867</v>
      </c>
    </row>
    <row r="4" spans="1:19" ht="18" customHeight="1" x14ac:dyDescent="0.25">
      <c r="A4" s="38">
        <v>2</v>
      </c>
      <c r="B4" s="18" t="s">
        <v>221</v>
      </c>
      <c r="C4" s="18">
        <v>83105168</v>
      </c>
      <c r="D4" s="38" t="s">
        <v>212</v>
      </c>
      <c r="E4" s="18" t="s">
        <v>68</v>
      </c>
      <c r="F4" s="39" t="s">
        <v>256</v>
      </c>
      <c r="G4" s="39"/>
      <c r="H4" s="19">
        <v>42548</v>
      </c>
      <c r="I4" s="19">
        <v>45709</v>
      </c>
      <c r="J4" s="7">
        <v>46804</v>
      </c>
      <c r="K4" s="19">
        <v>45351</v>
      </c>
      <c r="L4" s="19">
        <v>45706</v>
      </c>
      <c r="M4" s="21">
        <v>46801</v>
      </c>
      <c r="N4" s="16">
        <v>45707</v>
      </c>
      <c r="O4" s="76"/>
      <c r="P4" s="16">
        <v>45705</v>
      </c>
      <c r="R4" s="134"/>
      <c r="S4" t="s">
        <v>868</v>
      </c>
    </row>
    <row r="5" spans="1:19" ht="18" customHeight="1" x14ac:dyDescent="0.25">
      <c r="A5" s="38">
        <v>3</v>
      </c>
      <c r="B5" s="18" t="s">
        <v>230</v>
      </c>
      <c r="C5" s="18">
        <v>83040124</v>
      </c>
      <c r="D5" s="38" t="s">
        <v>836</v>
      </c>
      <c r="E5" s="18" t="s">
        <v>68</v>
      </c>
      <c r="F5" s="39" t="s">
        <v>256</v>
      </c>
      <c r="G5" s="39"/>
      <c r="H5" s="76"/>
      <c r="I5" s="57"/>
      <c r="J5" s="97"/>
      <c r="K5" s="19">
        <v>45989</v>
      </c>
      <c r="L5" s="19">
        <v>45989</v>
      </c>
      <c r="M5" s="21">
        <v>47085</v>
      </c>
      <c r="N5" s="76"/>
      <c r="O5" s="76"/>
      <c r="P5" s="27">
        <v>46006</v>
      </c>
      <c r="R5" s="255"/>
      <c r="S5" t="s">
        <v>869</v>
      </c>
    </row>
    <row r="6" spans="1:19" ht="18" customHeight="1" x14ac:dyDescent="0.25">
      <c r="A6" s="38">
        <v>4</v>
      </c>
      <c r="B6" s="18" t="s">
        <v>234</v>
      </c>
      <c r="C6" s="18">
        <v>140219</v>
      </c>
      <c r="D6" s="38" t="s">
        <v>212</v>
      </c>
      <c r="E6" s="18" t="s">
        <v>68</v>
      </c>
      <c r="F6" s="39" t="s">
        <v>256</v>
      </c>
      <c r="G6" s="39"/>
      <c r="H6" s="19">
        <v>46003</v>
      </c>
      <c r="I6" s="19">
        <v>46003</v>
      </c>
      <c r="J6" s="19">
        <v>47099</v>
      </c>
      <c r="K6" s="19">
        <v>46001</v>
      </c>
      <c r="L6" s="19">
        <v>46001</v>
      </c>
      <c r="M6" s="19">
        <v>47097</v>
      </c>
      <c r="N6" s="89">
        <v>45999</v>
      </c>
      <c r="O6" s="76"/>
      <c r="P6" s="19">
        <v>46000</v>
      </c>
    </row>
    <row r="7" spans="1:19" ht="18" customHeight="1" x14ac:dyDescent="0.25">
      <c r="A7" s="38">
        <v>5</v>
      </c>
      <c r="B7" s="18" t="s">
        <v>239</v>
      </c>
      <c r="C7" s="18">
        <v>83086322</v>
      </c>
      <c r="D7" s="38" t="s">
        <v>212</v>
      </c>
      <c r="E7" s="18" t="s">
        <v>68</v>
      </c>
      <c r="F7" s="39" t="s">
        <v>256</v>
      </c>
      <c r="G7" s="39"/>
      <c r="H7" s="19">
        <v>46003</v>
      </c>
      <c r="I7" s="19">
        <v>46003</v>
      </c>
      <c r="J7" s="7">
        <v>47099</v>
      </c>
      <c r="K7" s="20">
        <v>42146</v>
      </c>
      <c r="L7" s="45">
        <v>46001</v>
      </c>
      <c r="M7" s="9">
        <v>47097</v>
      </c>
      <c r="N7" s="19">
        <v>45999</v>
      </c>
      <c r="O7" s="72"/>
      <c r="P7" s="45">
        <v>46000</v>
      </c>
    </row>
    <row r="8" spans="1:19" ht="18" customHeight="1" x14ac:dyDescent="0.25">
      <c r="A8" s="38">
        <v>12</v>
      </c>
      <c r="B8" s="47" t="s">
        <v>322</v>
      </c>
      <c r="C8" s="48">
        <v>152587</v>
      </c>
      <c r="D8" s="38" t="s">
        <v>212</v>
      </c>
      <c r="E8" s="38" t="s">
        <v>68</v>
      </c>
      <c r="F8" s="39" t="s">
        <v>256</v>
      </c>
      <c r="G8" s="39"/>
      <c r="H8" s="49">
        <v>46199</v>
      </c>
      <c r="I8" s="49">
        <v>46199</v>
      </c>
      <c r="J8" s="91">
        <v>47295</v>
      </c>
      <c r="K8" s="90">
        <v>46198</v>
      </c>
      <c r="L8" s="90">
        <v>46198</v>
      </c>
      <c r="M8" s="42">
        <v>47294</v>
      </c>
      <c r="N8" s="106"/>
      <c r="O8" s="50">
        <v>46196</v>
      </c>
      <c r="P8" s="50">
        <v>46197</v>
      </c>
    </row>
    <row r="9" spans="1:19" ht="18" customHeight="1" x14ac:dyDescent="0.25">
      <c r="A9" s="38">
        <v>16</v>
      </c>
      <c r="B9" s="47" t="s">
        <v>329</v>
      </c>
      <c r="C9" s="48">
        <v>134566</v>
      </c>
      <c r="D9" s="38" t="s">
        <v>212</v>
      </c>
      <c r="E9" s="38" t="s">
        <v>68</v>
      </c>
      <c r="F9" s="39" t="s">
        <v>256</v>
      </c>
      <c r="G9" s="39"/>
      <c r="H9" s="49">
        <v>46164</v>
      </c>
      <c r="I9" s="49">
        <v>46164</v>
      </c>
      <c r="J9" s="91">
        <v>47259</v>
      </c>
      <c r="K9" s="50">
        <v>46163</v>
      </c>
      <c r="L9" s="50">
        <v>46163</v>
      </c>
      <c r="M9" s="42">
        <v>47259</v>
      </c>
      <c r="N9" s="50">
        <v>46167</v>
      </c>
      <c r="O9" s="106" t="s">
        <v>69</v>
      </c>
      <c r="P9" s="50">
        <v>46162</v>
      </c>
    </row>
    <row r="10" spans="1:19" ht="18" customHeight="1" x14ac:dyDescent="0.25">
      <c r="A10" s="38">
        <v>17</v>
      </c>
      <c r="B10" s="47" t="s">
        <v>332</v>
      </c>
      <c r="C10" s="48">
        <v>134362</v>
      </c>
      <c r="D10" s="38" t="s">
        <v>212</v>
      </c>
      <c r="E10" s="38" t="s">
        <v>68</v>
      </c>
      <c r="F10" s="39" t="s">
        <v>256</v>
      </c>
      <c r="G10" s="39"/>
      <c r="H10" s="49">
        <v>41561</v>
      </c>
      <c r="I10" s="49">
        <v>45863</v>
      </c>
      <c r="J10" s="91">
        <v>46958</v>
      </c>
      <c r="K10" s="50">
        <v>43018</v>
      </c>
      <c r="L10" s="50">
        <v>45862</v>
      </c>
      <c r="M10" s="42">
        <v>46958</v>
      </c>
      <c r="N10" s="50">
        <v>45829</v>
      </c>
      <c r="O10" s="50">
        <v>45860</v>
      </c>
      <c r="P10" s="55"/>
    </row>
    <row r="11" spans="1:19" ht="18" customHeight="1" x14ac:dyDescent="0.25">
      <c r="A11" s="38">
        <v>24</v>
      </c>
      <c r="B11" s="47" t="s">
        <v>392</v>
      </c>
      <c r="C11" s="48">
        <v>152573</v>
      </c>
      <c r="D11" s="38" t="s">
        <v>212</v>
      </c>
      <c r="E11" s="38" t="s">
        <v>384</v>
      </c>
      <c r="F11" s="39" t="s">
        <v>256</v>
      </c>
      <c r="G11" s="39"/>
      <c r="H11" s="106"/>
      <c r="I11" s="107"/>
      <c r="J11" s="108"/>
      <c r="K11" s="51" t="s">
        <v>347</v>
      </c>
      <c r="L11" s="50">
        <v>45678</v>
      </c>
      <c r="M11" s="42">
        <v>46773</v>
      </c>
      <c r="N11" s="55"/>
      <c r="O11" s="50">
        <v>46184</v>
      </c>
      <c r="P11" s="55"/>
    </row>
    <row r="12" spans="1:19" ht="18" customHeight="1" x14ac:dyDescent="0.25">
      <c r="A12" s="38">
        <v>26</v>
      </c>
      <c r="B12" s="47" t="s">
        <v>425</v>
      </c>
      <c r="C12" s="48">
        <v>153242</v>
      </c>
      <c r="D12" s="38" t="s">
        <v>212</v>
      </c>
      <c r="E12" s="38" t="s">
        <v>414</v>
      </c>
      <c r="F12" s="39" t="s">
        <v>256</v>
      </c>
      <c r="G12" s="39"/>
      <c r="H12" s="49">
        <v>42326</v>
      </c>
      <c r="I12" s="49">
        <v>45926</v>
      </c>
      <c r="J12" s="91">
        <v>47021</v>
      </c>
      <c r="K12" s="50">
        <v>42326</v>
      </c>
      <c r="L12" s="50">
        <v>45925</v>
      </c>
      <c r="M12" s="42">
        <v>47021</v>
      </c>
      <c r="N12" s="50">
        <v>45924</v>
      </c>
      <c r="O12" s="254"/>
      <c r="P12" s="50">
        <v>45922</v>
      </c>
    </row>
    <row r="13" spans="1:19" ht="18" customHeight="1" x14ac:dyDescent="0.25">
      <c r="A13" s="38">
        <v>29</v>
      </c>
      <c r="B13" s="47" t="s">
        <v>499</v>
      </c>
      <c r="C13" s="48">
        <v>84124081</v>
      </c>
      <c r="D13" s="38" t="s">
        <v>212</v>
      </c>
      <c r="E13" s="38" t="s">
        <v>480</v>
      </c>
      <c r="F13" s="39" t="s">
        <v>256</v>
      </c>
      <c r="G13" s="39"/>
      <c r="H13" s="49">
        <v>42555</v>
      </c>
      <c r="I13" s="49">
        <v>46134</v>
      </c>
      <c r="J13" s="91">
        <v>47230</v>
      </c>
      <c r="K13" s="49">
        <v>46282</v>
      </c>
      <c r="L13" s="49">
        <v>46282</v>
      </c>
      <c r="M13" s="49">
        <v>47378</v>
      </c>
      <c r="N13" s="50">
        <v>46130</v>
      </c>
      <c r="O13" s="50">
        <v>46131</v>
      </c>
      <c r="P13" s="50">
        <v>46132</v>
      </c>
    </row>
    <row r="14" spans="1:19" ht="18" customHeight="1" x14ac:dyDescent="0.25">
      <c r="A14" s="38">
        <v>30</v>
      </c>
      <c r="B14" s="38" t="s">
        <v>654</v>
      </c>
      <c r="C14" s="38">
        <v>135259</v>
      </c>
      <c r="D14" s="38" t="s">
        <v>212</v>
      </c>
      <c r="E14" s="38" t="s">
        <v>573</v>
      </c>
      <c r="F14" s="39" t="s">
        <v>256</v>
      </c>
      <c r="G14" s="39"/>
      <c r="H14" s="14">
        <v>46003</v>
      </c>
      <c r="I14" s="14">
        <v>46003</v>
      </c>
      <c r="J14" s="14">
        <v>46733</v>
      </c>
      <c r="K14" s="49">
        <v>46282</v>
      </c>
      <c r="L14" s="49">
        <v>46282</v>
      </c>
      <c r="M14" s="49">
        <v>47378</v>
      </c>
      <c r="N14" s="284"/>
      <c r="O14" s="14">
        <v>46002</v>
      </c>
      <c r="P14" s="14">
        <v>46280</v>
      </c>
    </row>
    <row r="15" spans="1:19" ht="18" customHeight="1" x14ac:dyDescent="0.25">
      <c r="A15" s="38">
        <v>31</v>
      </c>
      <c r="B15" s="38" t="s">
        <v>676</v>
      </c>
      <c r="C15" s="38">
        <v>148194</v>
      </c>
      <c r="D15" s="38" t="s">
        <v>212</v>
      </c>
      <c r="E15" s="38" t="s">
        <v>443</v>
      </c>
      <c r="F15" s="39" t="s">
        <v>256</v>
      </c>
      <c r="G15" s="39"/>
      <c r="H15" s="85"/>
      <c r="I15" s="79"/>
      <c r="J15" s="97" t="s">
        <v>856</v>
      </c>
      <c r="K15" s="79"/>
      <c r="L15" s="79"/>
      <c r="M15" s="83"/>
      <c r="N15" s="43">
        <v>46171</v>
      </c>
      <c r="O15" s="79"/>
      <c r="P15" s="43">
        <v>46170</v>
      </c>
    </row>
    <row r="16" spans="1:19" ht="18" customHeight="1" x14ac:dyDescent="0.25">
      <c r="A16" s="38">
        <v>32</v>
      </c>
      <c r="B16" s="38" t="s">
        <v>690</v>
      </c>
      <c r="C16" s="38">
        <v>162512</v>
      </c>
      <c r="D16" s="38" t="s">
        <v>212</v>
      </c>
      <c r="E16" s="38" t="s">
        <v>443</v>
      </c>
      <c r="F16" s="39" t="s">
        <v>256</v>
      </c>
      <c r="G16" s="39"/>
      <c r="H16" s="85"/>
      <c r="I16" s="79"/>
      <c r="J16" s="97" t="s">
        <v>856</v>
      </c>
      <c r="K16" s="76"/>
      <c r="L16" s="76"/>
      <c r="M16" s="83"/>
      <c r="N16" s="16">
        <v>46167</v>
      </c>
      <c r="O16" s="76"/>
      <c r="P16" s="76"/>
    </row>
    <row r="17" spans="1:16" ht="18" customHeight="1" x14ac:dyDescent="0.25">
      <c r="A17" s="38">
        <v>33</v>
      </c>
      <c r="B17" s="38" t="s">
        <v>694</v>
      </c>
      <c r="C17" s="38">
        <v>183490</v>
      </c>
      <c r="D17" s="38" t="s">
        <v>212</v>
      </c>
      <c r="E17" s="38" t="s">
        <v>397</v>
      </c>
      <c r="F17" s="39" t="s">
        <v>256</v>
      </c>
      <c r="G17" s="39"/>
      <c r="H17" s="85"/>
      <c r="I17" s="76"/>
      <c r="J17" s="97" t="s">
        <v>856</v>
      </c>
      <c r="K17" s="14">
        <v>45989</v>
      </c>
      <c r="L17" s="14">
        <v>45989</v>
      </c>
      <c r="M17" s="9">
        <v>47085</v>
      </c>
      <c r="N17" s="16">
        <v>45985</v>
      </c>
      <c r="O17" s="16">
        <v>45987</v>
      </c>
      <c r="P17" s="27">
        <v>46006</v>
      </c>
    </row>
    <row r="18" spans="1:16" ht="18" customHeight="1" x14ac:dyDescent="0.25">
      <c r="A18" s="38">
        <v>34</v>
      </c>
      <c r="B18" s="38" t="s">
        <v>696</v>
      </c>
      <c r="C18" s="38">
        <v>183517</v>
      </c>
      <c r="D18" s="38" t="s">
        <v>212</v>
      </c>
      <c r="E18" s="38" t="s">
        <v>397</v>
      </c>
      <c r="F18" s="39" t="s">
        <v>256</v>
      </c>
      <c r="G18" s="39"/>
      <c r="H18" s="85"/>
      <c r="I18" s="79"/>
      <c r="J18" s="97"/>
      <c r="K18" s="79"/>
      <c r="L18" s="79"/>
      <c r="M18" s="83"/>
      <c r="N18" s="43">
        <v>46167</v>
      </c>
      <c r="O18" s="81" t="s">
        <v>69</v>
      </c>
      <c r="P18" s="81" t="s">
        <v>69</v>
      </c>
    </row>
    <row r="19" spans="1:16" ht="18" customHeight="1" x14ac:dyDescent="0.25">
      <c r="A19" s="38">
        <v>35</v>
      </c>
      <c r="B19" s="38" t="s">
        <v>697</v>
      </c>
      <c r="C19" s="38">
        <v>183523</v>
      </c>
      <c r="D19" s="38" t="s">
        <v>212</v>
      </c>
      <c r="E19" s="38" t="s">
        <v>397</v>
      </c>
      <c r="F19" s="39" t="s">
        <v>256</v>
      </c>
      <c r="G19" s="39"/>
      <c r="H19" s="85"/>
      <c r="I19" s="79"/>
      <c r="J19" s="97"/>
      <c r="K19" s="79"/>
      <c r="L19" s="79"/>
      <c r="M19" s="83"/>
      <c r="N19" s="30">
        <v>46167</v>
      </c>
      <c r="O19" s="43">
        <v>46161</v>
      </c>
      <c r="P19" s="43">
        <v>46162</v>
      </c>
    </row>
    <row r="20" spans="1:16" ht="18" customHeight="1" x14ac:dyDescent="0.25">
      <c r="A20" s="38">
        <v>36</v>
      </c>
      <c r="B20" s="38" t="s">
        <v>699</v>
      </c>
      <c r="C20" s="38">
        <v>83101972</v>
      </c>
      <c r="D20" s="38" t="s">
        <v>212</v>
      </c>
      <c r="E20" s="38" t="s">
        <v>480</v>
      </c>
      <c r="F20" s="39" t="s">
        <v>256</v>
      </c>
      <c r="G20" s="39"/>
      <c r="H20" s="19">
        <v>45926</v>
      </c>
      <c r="I20" s="19">
        <v>45926</v>
      </c>
      <c r="J20" s="7">
        <v>47022</v>
      </c>
      <c r="K20" s="19">
        <v>45925</v>
      </c>
      <c r="L20" s="19">
        <v>45925</v>
      </c>
      <c r="M20" s="9">
        <v>47021</v>
      </c>
      <c r="N20" s="19">
        <v>46279</v>
      </c>
      <c r="O20" s="16">
        <v>45923</v>
      </c>
      <c r="P20" s="16">
        <v>45922</v>
      </c>
    </row>
    <row r="21" spans="1:16" ht="18" customHeight="1" x14ac:dyDescent="0.25">
      <c r="A21" s="38">
        <v>37</v>
      </c>
      <c r="B21" s="38" t="s">
        <v>704</v>
      </c>
      <c r="C21" s="38">
        <v>83103566</v>
      </c>
      <c r="D21" s="38" t="s">
        <v>212</v>
      </c>
      <c r="E21" s="38" t="s">
        <v>397</v>
      </c>
      <c r="F21" s="39" t="s">
        <v>256</v>
      </c>
      <c r="G21" s="39"/>
      <c r="H21" s="85"/>
      <c r="I21" s="79"/>
      <c r="J21" s="97" t="s">
        <v>856</v>
      </c>
      <c r="K21" s="80"/>
      <c r="L21" s="79"/>
      <c r="M21" s="83"/>
      <c r="N21" s="79"/>
      <c r="O21" s="43">
        <v>46171</v>
      </c>
      <c r="P21" s="43">
        <v>46170</v>
      </c>
    </row>
    <row r="22" spans="1:16" ht="18" customHeight="1" x14ac:dyDescent="0.25">
      <c r="A22" s="38">
        <v>39</v>
      </c>
      <c r="B22" s="38" t="s">
        <v>718</v>
      </c>
      <c r="C22" s="38">
        <v>84088184</v>
      </c>
      <c r="D22" s="38" t="s">
        <v>212</v>
      </c>
      <c r="E22" s="38" t="s">
        <v>397</v>
      </c>
      <c r="F22" s="39" t="s">
        <v>256</v>
      </c>
      <c r="G22" s="39"/>
      <c r="H22" s="19">
        <v>45926</v>
      </c>
      <c r="I22" s="19">
        <v>45926</v>
      </c>
      <c r="J22" s="7">
        <v>47022</v>
      </c>
      <c r="K22" s="19">
        <v>45925</v>
      </c>
      <c r="L22" s="19">
        <v>45925</v>
      </c>
      <c r="M22" s="9">
        <v>47021</v>
      </c>
      <c r="N22" s="16">
        <v>45924</v>
      </c>
      <c r="O22" s="16">
        <v>45923</v>
      </c>
      <c r="P22" s="76"/>
    </row>
    <row r="23" spans="1:16" ht="18" customHeight="1" x14ac:dyDescent="0.25">
      <c r="A23" s="38">
        <v>40</v>
      </c>
      <c r="B23" s="38" t="s">
        <v>719</v>
      </c>
      <c r="C23" s="38">
        <v>84120249</v>
      </c>
      <c r="D23" s="38" t="s">
        <v>212</v>
      </c>
      <c r="E23" s="38" t="s">
        <v>397</v>
      </c>
      <c r="F23" s="39" t="s">
        <v>256</v>
      </c>
      <c r="G23" s="39"/>
      <c r="H23" s="85"/>
      <c r="I23" s="79"/>
      <c r="J23" s="97" t="s">
        <v>856</v>
      </c>
      <c r="K23" s="80"/>
      <c r="L23" s="80"/>
      <c r="M23" s="83"/>
      <c r="N23" s="43">
        <v>46171</v>
      </c>
      <c r="O23" s="81" t="s">
        <v>69</v>
      </c>
      <c r="P23" s="81"/>
    </row>
    <row r="24" spans="1:16" ht="18" customHeight="1" x14ac:dyDescent="0.25">
      <c r="A24" s="38">
        <v>41</v>
      </c>
      <c r="B24" s="38" t="s">
        <v>720</v>
      </c>
      <c r="C24" s="38">
        <v>84122168</v>
      </c>
      <c r="D24" s="38" t="s">
        <v>212</v>
      </c>
      <c r="E24" s="38" t="s">
        <v>397</v>
      </c>
      <c r="F24" s="39" t="s">
        <v>256</v>
      </c>
      <c r="G24" s="39"/>
      <c r="H24" s="29">
        <v>46136</v>
      </c>
      <c r="I24" s="29">
        <v>46136</v>
      </c>
      <c r="J24" s="7">
        <v>47232</v>
      </c>
      <c r="K24" s="80"/>
      <c r="L24" s="79"/>
      <c r="M24" s="83" t="s">
        <v>856</v>
      </c>
      <c r="N24" s="25">
        <v>46132</v>
      </c>
      <c r="O24" s="43">
        <v>46133</v>
      </c>
      <c r="P24" s="25">
        <v>46133</v>
      </c>
    </row>
    <row r="25" spans="1:16" ht="18" customHeight="1" x14ac:dyDescent="0.25">
      <c r="A25" s="38">
        <v>42</v>
      </c>
      <c r="B25" s="38" t="s">
        <v>722</v>
      </c>
      <c r="C25" s="38">
        <v>84124047</v>
      </c>
      <c r="D25" s="38" t="s">
        <v>212</v>
      </c>
      <c r="E25" s="38" t="s">
        <v>397</v>
      </c>
      <c r="F25" s="39" t="s">
        <v>256</v>
      </c>
      <c r="G25" s="39"/>
      <c r="H25" s="19">
        <v>46003</v>
      </c>
      <c r="I25" s="19">
        <v>46003</v>
      </c>
      <c r="J25" s="7">
        <v>47099</v>
      </c>
      <c r="K25" s="20">
        <v>42146</v>
      </c>
      <c r="L25" s="45">
        <v>46001</v>
      </c>
      <c r="M25" s="9">
        <v>47097</v>
      </c>
      <c r="N25" s="44">
        <v>45999</v>
      </c>
      <c r="O25" s="85"/>
      <c r="P25" s="44">
        <v>46000</v>
      </c>
    </row>
    <row r="26" spans="1:16" ht="18" customHeight="1" x14ac:dyDescent="0.25">
      <c r="A26" s="38">
        <v>43</v>
      </c>
      <c r="B26" s="38" t="s">
        <v>726</v>
      </c>
      <c r="C26" s="38">
        <v>83117892</v>
      </c>
      <c r="D26" s="18" t="s">
        <v>727</v>
      </c>
      <c r="E26" s="38" t="s">
        <v>480</v>
      </c>
      <c r="F26" s="39" t="s">
        <v>256</v>
      </c>
      <c r="G26" s="39"/>
      <c r="H26" s="44">
        <v>40744</v>
      </c>
      <c r="I26" s="14">
        <v>46136</v>
      </c>
      <c r="J26" s="7">
        <v>47232</v>
      </c>
      <c r="K26" s="27" t="s">
        <v>728</v>
      </c>
      <c r="L26" s="14">
        <v>46135</v>
      </c>
      <c r="M26" s="9">
        <v>47231</v>
      </c>
      <c r="N26" s="14">
        <v>46279</v>
      </c>
      <c r="O26" s="43">
        <v>46131</v>
      </c>
      <c r="P26" s="43">
        <v>46132</v>
      </c>
    </row>
    <row r="27" spans="1:16" ht="18" customHeight="1" x14ac:dyDescent="0.25">
      <c r="A27" s="38">
        <v>44</v>
      </c>
      <c r="B27" s="38" t="s">
        <v>729</v>
      </c>
      <c r="C27" s="38">
        <v>84088198</v>
      </c>
      <c r="D27" s="18" t="s">
        <v>730</v>
      </c>
      <c r="E27" s="38" t="s">
        <v>397</v>
      </c>
      <c r="F27" s="39" t="s">
        <v>256</v>
      </c>
      <c r="G27" s="39"/>
      <c r="H27" s="44">
        <v>45988</v>
      </c>
      <c r="I27" s="44">
        <v>45988</v>
      </c>
      <c r="J27" s="7">
        <v>47084</v>
      </c>
      <c r="K27" s="14">
        <v>45989</v>
      </c>
      <c r="L27" s="14">
        <v>45989</v>
      </c>
      <c r="M27" s="9">
        <v>47085</v>
      </c>
      <c r="N27" s="16">
        <v>45985</v>
      </c>
      <c r="O27" s="16">
        <v>45987</v>
      </c>
      <c r="P27" s="80"/>
    </row>
    <row r="28" spans="1:16" ht="18" customHeight="1" x14ac:dyDescent="0.25">
      <c r="A28" s="38">
        <v>52</v>
      </c>
      <c r="B28" s="38" t="s">
        <v>790</v>
      </c>
      <c r="C28" s="38">
        <v>242184</v>
      </c>
      <c r="D28" s="38" t="s">
        <v>212</v>
      </c>
      <c r="E28" s="38" t="s">
        <v>68</v>
      </c>
      <c r="F28" s="39" t="s">
        <v>256</v>
      </c>
      <c r="G28" s="39"/>
      <c r="H28" s="84"/>
      <c r="I28" s="84"/>
      <c r="J28" s="114" t="s">
        <v>856</v>
      </c>
      <c r="K28" s="56"/>
      <c r="L28" s="56"/>
      <c r="M28" s="57" t="s">
        <v>856</v>
      </c>
      <c r="N28" s="8">
        <v>45597</v>
      </c>
      <c r="O28" s="56"/>
      <c r="P28" s="8">
        <v>45593</v>
      </c>
    </row>
    <row r="29" spans="1:16" ht="18" customHeight="1" x14ac:dyDescent="0.25">
      <c r="A29" s="117">
        <v>1</v>
      </c>
      <c r="B29" s="115" t="s">
        <v>324</v>
      </c>
      <c r="C29" s="48">
        <v>84122948</v>
      </c>
      <c r="D29" s="38" t="s">
        <v>212</v>
      </c>
      <c r="E29" s="38" t="s">
        <v>68</v>
      </c>
      <c r="F29" s="39" t="s">
        <v>256</v>
      </c>
      <c r="G29" s="39"/>
      <c r="H29" s="49">
        <v>42076</v>
      </c>
      <c r="I29" s="49">
        <v>46134</v>
      </c>
      <c r="J29" s="45">
        <v>46865</v>
      </c>
      <c r="K29" s="40">
        <v>45590</v>
      </c>
      <c r="L29" s="50">
        <v>46133</v>
      </c>
      <c r="M29" s="42">
        <v>46864</v>
      </c>
      <c r="N29" s="55"/>
      <c r="O29" s="50">
        <v>46131</v>
      </c>
      <c r="P29" s="50">
        <v>46132</v>
      </c>
    </row>
    <row r="30" spans="1:16" ht="18" customHeight="1" x14ac:dyDescent="0.25">
      <c r="A30" s="117">
        <v>2</v>
      </c>
      <c r="B30" s="116" t="s">
        <v>795</v>
      </c>
      <c r="C30" s="38">
        <v>242186</v>
      </c>
      <c r="D30" s="38" t="s">
        <v>212</v>
      </c>
      <c r="E30" s="38" t="s">
        <v>68</v>
      </c>
      <c r="F30" s="39" t="s">
        <v>256</v>
      </c>
      <c r="G30" s="39"/>
      <c r="H30" s="44" t="s">
        <v>792</v>
      </c>
      <c r="I30" s="41">
        <v>45595</v>
      </c>
      <c r="J30" s="41">
        <v>46325</v>
      </c>
      <c r="K30" s="40">
        <v>46157</v>
      </c>
      <c r="L30" s="40">
        <v>46157</v>
      </c>
      <c r="M30" s="40">
        <v>46888</v>
      </c>
      <c r="N30" s="40">
        <v>45597</v>
      </c>
      <c r="O30" s="56"/>
      <c r="P30" s="43" t="s">
        <v>794</v>
      </c>
    </row>
    <row r="31" spans="1:16" ht="18" customHeight="1" x14ac:dyDescent="0.25">
      <c r="A31" s="117">
        <v>3</v>
      </c>
      <c r="B31" s="115" t="s">
        <v>292</v>
      </c>
      <c r="C31" s="48">
        <v>83074917</v>
      </c>
      <c r="D31" s="39" t="s">
        <v>293</v>
      </c>
      <c r="E31" s="38" t="s">
        <v>68</v>
      </c>
      <c r="F31" s="39" t="s">
        <v>256</v>
      </c>
      <c r="G31" s="39"/>
      <c r="H31" s="49">
        <v>45988</v>
      </c>
      <c r="I31" s="49">
        <v>45988</v>
      </c>
      <c r="J31" s="45">
        <v>46718</v>
      </c>
      <c r="K31" s="49">
        <v>46220</v>
      </c>
      <c r="L31" s="49">
        <v>46220</v>
      </c>
      <c r="M31" s="49">
        <v>46951</v>
      </c>
      <c r="N31" s="49">
        <v>46219</v>
      </c>
      <c r="O31" s="49">
        <v>46216</v>
      </c>
      <c r="P31" s="54">
        <v>46217</v>
      </c>
    </row>
    <row r="32" spans="1:16" ht="18" customHeight="1" x14ac:dyDescent="0.25">
      <c r="A32" s="117">
        <v>4</v>
      </c>
      <c r="B32" s="115" t="s">
        <v>301</v>
      </c>
      <c r="C32" s="48">
        <v>132527</v>
      </c>
      <c r="D32" s="38" t="s">
        <v>212</v>
      </c>
      <c r="E32" s="38" t="s">
        <v>68</v>
      </c>
      <c r="F32" s="39" t="s">
        <v>256</v>
      </c>
      <c r="G32" s="39"/>
      <c r="H32" s="49">
        <v>45679</v>
      </c>
      <c r="I32" s="49">
        <v>45679</v>
      </c>
      <c r="J32" s="45">
        <v>46409</v>
      </c>
      <c r="K32" s="40">
        <v>46157</v>
      </c>
      <c r="L32" s="40">
        <v>46157</v>
      </c>
      <c r="M32" s="40">
        <v>46888</v>
      </c>
      <c r="N32" s="49">
        <v>46171</v>
      </c>
      <c r="O32" s="55"/>
      <c r="P32" s="49">
        <v>46170</v>
      </c>
    </row>
    <row r="33" spans="1:16" ht="18" customHeight="1" x14ac:dyDescent="0.25">
      <c r="A33" s="117">
        <v>5</v>
      </c>
      <c r="B33" s="115" t="s">
        <v>314</v>
      </c>
      <c r="C33" s="48">
        <v>132522</v>
      </c>
      <c r="D33" s="38" t="s">
        <v>212</v>
      </c>
      <c r="E33" s="38" t="s">
        <v>68</v>
      </c>
      <c r="F33" s="39" t="s">
        <v>256</v>
      </c>
      <c r="G33" s="39"/>
      <c r="H33" s="54" t="s">
        <v>315</v>
      </c>
      <c r="I33" s="49">
        <v>45679</v>
      </c>
      <c r="J33" s="45">
        <v>46409</v>
      </c>
      <c r="K33" s="55"/>
      <c r="L33" s="55"/>
      <c r="M33" s="57"/>
      <c r="N33" s="55"/>
      <c r="O33" s="55"/>
      <c r="P33" s="49">
        <v>46181</v>
      </c>
    </row>
    <row r="34" spans="1:16" ht="18" customHeight="1" x14ac:dyDescent="0.25">
      <c r="A34" s="117">
        <v>10</v>
      </c>
      <c r="B34" s="115" t="s">
        <v>385</v>
      </c>
      <c r="C34" s="48">
        <v>154599</v>
      </c>
      <c r="D34" s="38" t="s">
        <v>212</v>
      </c>
      <c r="E34" s="38" t="s">
        <v>384</v>
      </c>
      <c r="F34" s="39" t="s">
        <v>256</v>
      </c>
      <c r="G34" s="39"/>
      <c r="H34" s="49">
        <v>46183</v>
      </c>
      <c r="I34" s="49">
        <v>46183</v>
      </c>
      <c r="J34" s="49">
        <v>46183</v>
      </c>
      <c r="K34" s="51" t="s">
        <v>347</v>
      </c>
      <c r="L34" s="50">
        <v>45678</v>
      </c>
      <c r="M34" s="42">
        <v>46408</v>
      </c>
      <c r="N34" s="49">
        <v>46245</v>
      </c>
      <c r="O34" s="49">
        <v>46258</v>
      </c>
      <c r="P34" s="254"/>
    </row>
    <row r="35" spans="1:16" ht="18" customHeight="1" x14ac:dyDescent="0.25">
      <c r="A35" s="117">
        <v>11</v>
      </c>
      <c r="B35" s="115" t="s">
        <v>389</v>
      </c>
      <c r="C35" s="48">
        <v>134571</v>
      </c>
      <c r="D35" s="38" t="s">
        <v>212</v>
      </c>
      <c r="E35" s="38" t="s">
        <v>384</v>
      </c>
      <c r="F35" s="39" t="s">
        <v>256</v>
      </c>
      <c r="G35" s="39"/>
      <c r="H35" s="54" t="s">
        <v>315</v>
      </c>
      <c r="I35" s="49">
        <v>45679</v>
      </c>
      <c r="J35" s="45">
        <v>46409</v>
      </c>
      <c r="K35" s="51" t="s">
        <v>347</v>
      </c>
      <c r="L35" s="50">
        <v>45678</v>
      </c>
      <c r="M35" s="42">
        <v>46408</v>
      </c>
      <c r="N35" s="49">
        <v>42627</v>
      </c>
      <c r="O35" s="55"/>
      <c r="P35" s="55"/>
    </row>
    <row r="36" spans="1:16" ht="18" customHeight="1" x14ac:dyDescent="0.25">
      <c r="A36" s="117">
        <v>12</v>
      </c>
      <c r="B36" s="115" t="s">
        <v>390</v>
      </c>
      <c r="C36" s="48">
        <v>83040081</v>
      </c>
      <c r="D36" s="39" t="s">
        <v>391</v>
      </c>
      <c r="E36" s="38" t="s">
        <v>384</v>
      </c>
      <c r="F36" s="39" t="s">
        <v>256</v>
      </c>
      <c r="G36" s="39"/>
      <c r="H36" s="54">
        <v>46248</v>
      </c>
      <c r="I36" s="54">
        <v>46248</v>
      </c>
      <c r="J36" s="54">
        <v>47344</v>
      </c>
      <c r="K36" s="51" t="s">
        <v>347</v>
      </c>
      <c r="L36" s="50">
        <v>45678</v>
      </c>
      <c r="M36" s="42">
        <v>46408</v>
      </c>
      <c r="N36" s="49">
        <v>46185</v>
      </c>
      <c r="O36" s="254"/>
      <c r="P36" s="55"/>
    </row>
    <row r="37" spans="1:16" ht="18" customHeight="1" x14ac:dyDescent="0.25">
      <c r="A37" s="117">
        <v>13</v>
      </c>
      <c r="B37" s="115" t="s">
        <v>493</v>
      </c>
      <c r="C37" s="48">
        <v>83103340</v>
      </c>
      <c r="D37" s="38" t="s">
        <v>212</v>
      </c>
      <c r="E37" s="38" t="s">
        <v>480</v>
      </c>
      <c r="F37" s="39" t="s">
        <v>256</v>
      </c>
      <c r="G37" s="39"/>
      <c r="H37" s="49">
        <v>42555</v>
      </c>
      <c r="I37" s="49">
        <v>45709</v>
      </c>
      <c r="J37" s="45">
        <v>46439</v>
      </c>
      <c r="K37" s="50">
        <v>42555</v>
      </c>
      <c r="L37" s="50">
        <v>45706</v>
      </c>
      <c r="M37" s="42">
        <v>46436</v>
      </c>
      <c r="N37" s="50">
        <v>45707</v>
      </c>
      <c r="O37" s="71"/>
      <c r="P37" s="50">
        <v>45705</v>
      </c>
    </row>
    <row r="38" spans="1:16" ht="18" customHeight="1" x14ac:dyDescent="0.25">
      <c r="A38" s="117">
        <v>14</v>
      </c>
      <c r="B38" s="115" t="s">
        <v>254</v>
      </c>
      <c r="C38" s="48">
        <v>83075877</v>
      </c>
      <c r="D38" s="39" t="s">
        <v>255</v>
      </c>
      <c r="E38" s="38" t="s">
        <v>68</v>
      </c>
      <c r="F38" s="39" t="s">
        <v>256</v>
      </c>
      <c r="G38" s="39"/>
      <c r="H38" s="49">
        <v>46218</v>
      </c>
      <c r="I38" s="49">
        <v>46218</v>
      </c>
      <c r="J38" s="49">
        <v>46949</v>
      </c>
      <c r="K38" s="302" t="s">
        <v>873</v>
      </c>
      <c r="L38" s="302" t="s">
        <v>873</v>
      </c>
      <c r="M38" s="302" t="s">
        <v>873</v>
      </c>
      <c r="N38" s="50">
        <v>45681</v>
      </c>
      <c r="O38" s="302" t="s">
        <v>873</v>
      </c>
      <c r="P38" s="49">
        <v>46217</v>
      </c>
    </row>
    <row r="39" spans="1:16" ht="18" customHeight="1" x14ac:dyDescent="0.25">
      <c r="A39" s="117">
        <v>15</v>
      </c>
      <c r="B39" s="115" t="s">
        <v>307</v>
      </c>
      <c r="C39" s="48">
        <v>83120032</v>
      </c>
      <c r="D39" s="38" t="s">
        <v>212</v>
      </c>
      <c r="E39" s="38" t="s">
        <v>68</v>
      </c>
      <c r="F39" s="39" t="s">
        <v>256</v>
      </c>
      <c r="G39" s="39"/>
      <c r="H39" s="49">
        <v>46155</v>
      </c>
      <c r="I39" s="49">
        <v>46155</v>
      </c>
      <c r="J39" s="49">
        <v>46886</v>
      </c>
      <c r="K39" s="49">
        <v>46157</v>
      </c>
      <c r="L39" s="49">
        <v>46157</v>
      </c>
      <c r="M39" s="49">
        <v>46888</v>
      </c>
      <c r="N39" s="50">
        <v>45681</v>
      </c>
      <c r="O39" s="55"/>
      <c r="P39" s="55"/>
    </row>
    <row r="40" spans="1:16" ht="18" customHeight="1" x14ac:dyDescent="0.25">
      <c r="A40" s="117">
        <v>16</v>
      </c>
      <c r="B40" s="115" t="s">
        <v>326</v>
      </c>
      <c r="C40" s="48">
        <v>221929</v>
      </c>
      <c r="D40" s="38" t="s">
        <v>212</v>
      </c>
      <c r="E40" s="38" t="s">
        <v>68</v>
      </c>
      <c r="F40" s="39" t="s">
        <v>256</v>
      </c>
      <c r="G40" s="39"/>
      <c r="H40" s="49">
        <v>46155</v>
      </c>
      <c r="I40" s="49">
        <v>46155</v>
      </c>
      <c r="J40" s="49">
        <v>46886</v>
      </c>
      <c r="K40" s="49">
        <v>46157</v>
      </c>
      <c r="L40" s="49">
        <v>46157</v>
      </c>
      <c r="M40" s="49">
        <v>46888</v>
      </c>
      <c r="N40" s="49">
        <v>46185</v>
      </c>
      <c r="O40" s="55"/>
      <c r="P40" s="51" t="s">
        <v>327</v>
      </c>
    </row>
    <row r="41" spans="1:16" ht="18" customHeight="1" x14ac:dyDescent="0.25">
      <c r="A41" s="117">
        <v>17</v>
      </c>
      <c r="B41" s="115" t="s">
        <v>356</v>
      </c>
      <c r="C41" s="48">
        <v>221927</v>
      </c>
      <c r="D41" s="38" t="s">
        <v>212</v>
      </c>
      <c r="E41" s="38" t="s">
        <v>68</v>
      </c>
      <c r="F41" s="39" t="s">
        <v>256</v>
      </c>
      <c r="G41" s="39"/>
      <c r="H41" s="49">
        <v>46167</v>
      </c>
      <c r="I41" s="49">
        <v>46167</v>
      </c>
      <c r="J41" s="49">
        <v>46898</v>
      </c>
      <c r="K41" s="49">
        <v>46220</v>
      </c>
      <c r="L41" s="49">
        <v>46220</v>
      </c>
      <c r="M41" s="49">
        <v>46951</v>
      </c>
      <c r="N41" s="49">
        <v>46219</v>
      </c>
      <c r="O41" s="71"/>
      <c r="P41" s="51" t="s">
        <v>327</v>
      </c>
    </row>
    <row r="42" spans="1:16" ht="18" customHeight="1" x14ac:dyDescent="0.25">
      <c r="A42" s="117">
        <v>18</v>
      </c>
      <c r="B42" s="115" t="s">
        <v>380</v>
      </c>
      <c r="C42" s="48">
        <v>221918</v>
      </c>
      <c r="D42" s="38" t="s">
        <v>212</v>
      </c>
      <c r="E42" s="38" t="s">
        <v>68</v>
      </c>
      <c r="F42" s="39" t="s">
        <v>256</v>
      </c>
      <c r="G42" s="39"/>
      <c r="H42" s="49">
        <v>46155</v>
      </c>
      <c r="I42" s="49">
        <v>46155</v>
      </c>
      <c r="J42" s="49">
        <v>46886</v>
      </c>
      <c r="K42" s="49">
        <v>46157</v>
      </c>
      <c r="L42" s="49">
        <v>46157</v>
      </c>
      <c r="M42" s="49">
        <v>46888</v>
      </c>
      <c r="N42" s="55"/>
      <c r="O42" s="55"/>
      <c r="P42" s="51" t="s">
        <v>327</v>
      </c>
    </row>
    <row r="43" spans="1:16" ht="18" customHeight="1" x14ac:dyDescent="0.25">
      <c r="A43" s="117">
        <v>19</v>
      </c>
      <c r="B43" s="116" t="s">
        <v>748</v>
      </c>
      <c r="C43" s="38">
        <v>240740</v>
      </c>
      <c r="D43" s="11" t="s">
        <v>749</v>
      </c>
      <c r="E43" s="38" t="s">
        <v>68</v>
      </c>
      <c r="F43" s="39" t="s">
        <v>256</v>
      </c>
      <c r="G43" s="39"/>
      <c r="H43" s="41">
        <v>46218</v>
      </c>
      <c r="I43" s="41">
        <v>46218</v>
      </c>
      <c r="J43" s="41">
        <v>46949</v>
      </c>
      <c r="K43" s="41">
        <v>46198</v>
      </c>
      <c r="L43" s="41">
        <v>46198</v>
      </c>
      <c r="M43" s="41">
        <v>46929</v>
      </c>
      <c r="N43" s="79" t="s">
        <v>69</v>
      </c>
      <c r="O43" s="40">
        <v>45625</v>
      </c>
      <c r="P43" s="40">
        <v>45628</v>
      </c>
    </row>
    <row r="44" spans="1:16" ht="18" customHeight="1" x14ac:dyDescent="0.25">
      <c r="A44" s="117">
        <v>23</v>
      </c>
      <c r="B44" s="116" t="s">
        <v>753</v>
      </c>
      <c r="C44" s="38">
        <v>240739</v>
      </c>
      <c r="D44" s="11" t="s">
        <v>749</v>
      </c>
      <c r="E44" s="38" t="s">
        <v>68</v>
      </c>
      <c r="F44" s="39" t="s">
        <v>256</v>
      </c>
      <c r="G44" s="39"/>
      <c r="H44" s="41">
        <v>46282</v>
      </c>
      <c r="I44" s="41">
        <v>46282</v>
      </c>
      <c r="J44" s="41">
        <v>47378</v>
      </c>
      <c r="K44" s="41">
        <v>46198</v>
      </c>
      <c r="L44" s="41">
        <v>46198</v>
      </c>
      <c r="M44" s="41">
        <v>46929</v>
      </c>
      <c r="N44" s="40">
        <v>45621</v>
      </c>
      <c r="O44" s="40">
        <v>45625</v>
      </c>
      <c r="P44" s="40">
        <v>45628</v>
      </c>
    </row>
    <row r="45" spans="1:16" ht="18" customHeight="1" x14ac:dyDescent="0.25">
      <c r="A45" s="117">
        <v>24</v>
      </c>
      <c r="B45" s="116" t="s">
        <v>754</v>
      </c>
      <c r="C45" s="38">
        <v>241923</v>
      </c>
      <c r="D45" s="11" t="s">
        <v>749</v>
      </c>
      <c r="E45" s="38" t="s">
        <v>68</v>
      </c>
      <c r="F45" s="39" t="s">
        <v>256</v>
      </c>
      <c r="G45" s="39"/>
      <c r="H45" s="21">
        <v>45624</v>
      </c>
      <c r="I45" s="21">
        <v>45624</v>
      </c>
      <c r="J45" s="21">
        <v>46354</v>
      </c>
      <c r="K45" s="21">
        <v>45622</v>
      </c>
      <c r="L45" s="21">
        <v>45622</v>
      </c>
      <c r="M45" s="21">
        <v>46352</v>
      </c>
      <c r="N45" s="21">
        <v>46223</v>
      </c>
      <c r="O45" s="21">
        <v>46196</v>
      </c>
      <c r="P45" s="21">
        <v>46280</v>
      </c>
    </row>
    <row r="46" spans="1:16" ht="18" customHeight="1" x14ac:dyDescent="0.25">
      <c r="A46" s="117">
        <v>26</v>
      </c>
      <c r="B46" s="116" t="s">
        <v>756</v>
      </c>
      <c r="C46" s="38">
        <v>241925</v>
      </c>
      <c r="D46" s="11" t="s">
        <v>749</v>
      </c>
      <c r="E46" s="38" t="s">
        <v>68</v>
      </c>
      <c r="F46" s="39" t="s">
        <v>256</v>
      </c>
      <c r="G46" s="39"/>
      <c r="H46" s="21">
        <v>45624</v>
      </c>
      <c r="I46" s="21">
        <v>45624</v>
      </c>
      <c r="J46" s="21">
        <v>46354</v>
      </c>
      <c r="K46" s="21">
        <v>45622</v>
      </c>
      <c r="L46" s="21">
        <v>45622</v>
      </c>
      <c r="M46" s="21">
        <v>46352</v>
      </c>
      <c r="N46" s="56"/>
      <c r="O46" s="40">
        <v>46258</v>
      </c>
      <c r="P46" s="40">
        <v>46246</v>
      </c>
    </row>
    <row r="47" spans="1:16" ht="18" customHeight="1" x14ac:dyDescent="0.25">
      <c r="A47" s="117">
        <v>27</v>
      </c>
      <c r="B47" s="116" t="s">
        <v>757</v>
      </c>
      <c r="C47" s="38">
        <v>241926</v>
      </c>
      <c r="D47" s="11" t="s">
        <v>749</v>
      </c>
      <c r="E47" s="38" t="s">
        <v>68</v>
      </c>
      <c r="F47" s="39" t="s">
        <v>256</v>
      </c>
      <c r="G47" s="39"/>
      <c r="H47" s="21">
        <v>45624</v>
      </c>
      <c r="I47" s="21">
        <v>45624</v>
      </c>
      <c r="J47" s="21">
        <v>46354</v>
      </c>
      <c r="K47" s="21">
        <v>45622</v>
      </c>
      <c r="L47" s="21">
        <v>45622</v>
      </c>
      <c r="M47" s="21">
        <v>46352</v>
      </c>
      <c r="N47" s="56"/>
      <c r="O47" s="40">
        <v>46258</v>
      </c>
      <c r="P47" s="40">
        <v>46246</v>
      </c>
    </row>
    <row r="48" spans="1:16" ht="18" customHeight="1" x14ac:dyDescent="0.25">
      <c r="A48" s="117">
        <v>29</v>
      </c>
      <c r="B48" s="116" t="s">
        <v>698</v>
      </c>
      <c r="C48" s="38">
        <v>83088944</v>
      </c>
      <c r="D48" s="38" t="s">
        <v>212</v>
      </c>
      <c r="E48" s="38" t="s">
        <v>397</v>
      </c>
      <c r="F48" s="39" t="s">
        <v>256</v>
      </c>
      <c r="G48" s="39"/>
      <c r="H48" s="44">
        <v>46218</v>
      </c>
      <c r="I48" s="44">
        <v>46218</v>
      </c>
      <c r="J48" s="44">
        <v>46949</v>
      </c>
      <c r="K48" s="14">
        <v>46220</v>
      </c>
      <c r="L48" s="14">
        <v>46220</v>
      </c>
      <c r="M48" s="14">
        <v>46951</v>
      </c>
      <c r="N48" s="258"/>
      <c r="O48" s="81"/>
      <c r="P48" s="81"/>
    </row>
    <row r="49" spans="1:71" s="58" customFormat="1" ht="19.5" customHeight="1" x14ac:dyDescent="0.25">
      <c r="A49" s="117">
        <v>30</v>
      </c>
      <c r="B49" s="38" t="s">
        <v>772</v>
      </c>
      <c r="C49" s="38">
        <v>241556</v>
      </c>
      <c r="D49" s="38" t="s">
        <v>212</v>
      </c>
      <c r="E49" s="38" t="s">
        <v>68</v>
      </c>
      <c r="F49" s="39" t="s">
        <v>256</v>
      </c>
      <c r="G49" s="259"/>
      <c r="H49" s="32" t="s">
        <v>767</v>
      </c>
      <c r="I49" s="40">
        <v>45525</v>
      </c>
      <c r="J49" s="91">
        <f t="shared" ref="J49" si="0">IF(I49="", "", DATE(YEAR(I49)+3, MONTH(I49), DAY(L49)))</f>
        <v>46619</v>
      </c>
      <c r="K49" s="14" t="s">
        <v>768</v>
      </c>
      <c r="L49" s="8">
        <v>45524</v>
      </c>
      <c r="M49" s="42">
        <f t="shared" ref="M49" si="1">IF(L49="", "", DATE(YEAR(L49)+3, MONTH(L49), DAY(L49)))</f>
        <v>46619</v>
      </c>
      <c r="N49" s="43">
        <v>46205</v>
      </c>
      <c r="O49" s="43">
        <v>46205</v>
      </c>
      <c r="P49" s="118"/>
    </row>
    <row r="50" spans="1:71" s="58" customFormat="1" ht="19.5" customHeight="1" x14ac:dyDescent="0.25">
      <c r="A50" s="38">
        <v>603</v>
      </c>
      <c r="B50" s="12" t="s">
        <v>761</v>
      </c>
      <c r="C50" s="12">
        <v>241133</v>
      </c>
      <c r="D50" s="38" t="s">
        <v>212</v>
      </c>
      <c r="E50" s="38" t="s">
        <v>68</v>
      </c>
      <c r="F50" s="39" t="s">
        <v>256</v>
      </c>
      <c r="G50" s="39"/>
      <c r="H50" s="14" t="s">
        <v>504</v>
      </c>
      <c r="I50" s="41">
        <v>45483</v>
      </c>
      <c r="J50" s="95">
        <f t="shared" ref="J50" si="2">IF(I50="", "", DATE(YEAR(I50)+3, MONTH(I50), DAY(L50)))</f>
        <v>46577</v>
      </c>
      <c r="K50" s="43" t="s">
        <v>505</v>
      </c>
      <c r="L50" s="8">
        <v>45482</v>
      </c>
      <c r="M50" s="42">
        <f t="shared" ref="M50" si="3">IF(L50="", "", DATE(YEAR(L50)+3, MONTH(L50), DAY(L50)))</f>
        <v>46577</v>
      </c>
      <c r="N50" s="94">
        <v>46181</v>
      </c>
      <c r="O50" s="94">
        <v>46181</v>
      </c>
      <c r="P50" s="285"/>
    </row>
    <row r="51" spans="1:71" s="58" customFormat="1" ht="19.5" customHeight="1" x14ac:dyDescent="0.25">
      <c r="A51" s="38">
        <v>417</v>
      </c>
      <c r="B51" s="110" t="s">
        <v>548</v>
      </c>
      <c r="C51" s="11">
        <v>83104214</v>
      </c>
      <c r="D51" s="38" t="s">
        <v>73</v>
      </c>
      <c r="E51" s="15" t="s">
        <v>549</v>
      </c>
      <c r="F51" s="39" t="s">
        <v>256</v>
      </c>
      <c r="G51" s="39"/>
      <c r="H51" s="41">
        <v>45370</v>
      </c>
      <c r="I51" s="41">
        <v>45544</v>
      </c>
      <c r="J51" s="7">
        <v>46274</v>
      </c>
      <c r="K51" s="40">
        <v>42551</v>
      </c>
      <c r="L51" s="40">
        <v>46246</v>
      </c>
      <c r="M51" s="21">
        <v>46977</v>
      </c>
      <c r="N51" s="80"/>
      <c r="O51" s="19">
        <v>45370</v>
      </c>
      <c r="P51" s="40">
        <v>42549</v>
      </c>
      <c r="Q51" s="33"/>
    </row>
    <row r="52" spans="1:71" s="33" customFormat="1" ht="20.25" customHeight="1" x14ac:dyDescent="0.25">
      <c r="A52" s="117">
        <v>207</v>
      </c>
      <c r="B52" s="121" t="s">
        <v>303</v>
      </c>
      <c r="C52" s="122">
        <v>83086320</v>
      </c>
      <c r="D52" s="117" t="s">
        <v>212</v>
      </c>
      <c r="E52" s="117" t="s">
        <v>68</v>
      </c>
      <c r="F52" s="123" t="s">
        <v>256</v>
      </c>
      <c r="G52" s="260"/>
      <c r="H52" s="49">
        <v>46248</v>
      </c>
      <c r="I52" s="49">
        <v>46248</v>
      </c>
      <c r="J52" s="95">
        <f>IF(I52="", "", DATE(YEAR(I52)+3, MONTH(I52), DAY(I52)))</f>
        <v>47344</v>
      </c>
      <c r="K52" s="50">
        <v>46247</v>
      </c>
      <c r="L52" s="50">
        <v>46247</v>
      </c>
      <c r="M52" s="42">
        <f>IF(L52="", "", DATE(YEAR(L52)+3, MONTH(L52), DAY(L52)))</f>
        <v>47343</v>
      </c>
      <c r="N52" s="50">
        <v>46245</v>
      </c>
      <c r="O52" s="71"/>
      <c r="P52" s="50">
        <v>46246</v>
      </c>
    </row>
    <row r="53" spans="1:71" s="252" customFormat="1" ht="24.75" customHeight="1" x14ac:dyDescent="0.25">
      <c r="A53" s="38">
        <v>160</v>
      </c>
      <c r="B53" s="18" t="s">
        <v>246</v>
      </c>
      <c r="C53" s="46">
        <v>84122960</v>
      </c>
      <c r="D53" s="38" t="s">
        <v>86</v>
      </c>
      <c r="E53" s="18" t="s">
        <v>68</v>
      </c>
      <c r="F53" s="39" t="s">
        <v>256</v>
      </c>
      <c r="G53" s="261"/>
      <c r="H53" s="126">
        <v>42349</v>
      </c>
      <c r="I53" s="250">
        <v>46077</v>
      </c>
      <c r="J53" s="127">
        <f t="shared" ref="J53" si="4">IF(ISNUMBER(I53),EDATE(I53,24),IF(ISNUMBER(H53),EDATE(H53,24),""))</f>
        <v>46807</v>
      </c>
      <c r="K53" s="126">
        <v>42348</v>
      </c>
      <c r="L53" s="251">
        <v>46064</v>
      </c>
      <c r="M53" s="127">
        <f t="shared" ref="M53" si="5">IF(ISNUMBER(L53),EDATE(L53,24),IF(ISNUMBER(K53),EDATE(K53,24),""))</f>
        <v>46794</v>
      </c>
      <c r="N53" s="19">
        <v>42345</v>
      </c>
      <c r="O53" s="19">
        <v>42346</v>
      </c>
      <c r="P53" s="25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</row>
    <row r="54" spans="1:71" s="151" customFormat="1" ht="19.5" customHeight="1" x14ac:dyDescent="0.2">
      <c r="A54" s="117">
        <v>276</v>
      </c>
      <c r="B54" s="121" t="s">
        <v>324</v>
      </c>
      <c r="C54" s="122">
        <v>84122948</v>
      </c>
      <c r="D54" s="117" t="s">
        <v>212</v>
      </c>
      <c r="E54" s="117" t="s">
        <v>68</v>
      </c>
      <c r="F54" s="146" t="s">
        <v>256</v>
      </c>
      <c r="G54" s="146"/>
      <c r="H54" s="93">
        <v>42076</v>
      </c>
      <c r="I54" s="93">
        <v>46134</v>
      </c>
      <c r="J54" s="92">
        <f>IF(I54="", "", DATE(YEAR(I54)+3, MONTH(I54), DAY(L54)))</f>
        <v>47229</v>
      </c>
      <c r="K54" s="111">
        <v>45590</v>
      </c>
      <c r="L54" s="93">
        <v>46133</v>
      </c>
      <c r="M54" s="140">
        <f t="shared" ref="M54:M56" si="6">IF(L54="", "", DATE(YEAR(L54)+3, MONTH(L54), DAY(L54)))</f>
        <v>47229</v>
      </c>
      <c r="N54" s="283"/>
      <c r="O54" s="93">
        <v>46131</v>
      </c>
      <c r="P54" s="93">
        <v>46132</v>
      </c>
      <c r="Q54" s="167" t="s">
        <v>70</v>
      </c>
      <c r="R54" s="167" t="s">
        <v>70</v>
      </c>
      <c r="S54" s="167" t="s">
        <v>70</v>
      </c>
      <c r="T54" s="167" t="s">
        <v>70</v>
      </c>
      <c r="U54" s="167" t="s">
        <v>70</v>
      </c>
      <c r="V54" s="167" t="s">
        <v>70</v>
      </c>
      <c r="W54" s="167" t="s">
        <v>70</v>
      </c>
      <c r="X54" s="167" t="s">
        <v>70</v>
      </c>
      <c r="Y54" s="167" t="s">
        <v>70</v>
      </c>
      <c r="Z54" s="167" t="s">
        <v>70</v>
      </c>
      <c r="AA54" s="167" t="s">
        <v>70</v>
      </c>
      <c r="AB54" s="167" t="s">
        <v>70</v>
      </c>
      <c r="AC54" s="167" t="s">
        <v>70</v>
      </c>
      <c r="AD54" s="167" t="s">
        <v>70</v>
      </c>
      <c r="AE54" s="167" t="s">
        <v>70</v>
      </c>
      <c r="AF54" s="167" t="s">
        <v>70</v>
      </c>
      <c r="AG54" s="167" t="s">
        <v>70</v>
      </c>
      <c r="AH54" s="167" t="s">
        <v>70</v>
      </c>
      <c r="AI54" s="181">
        <v>46175</v>
      </c>
      <c r="AJ54" s="163">
        <v>45341</v>
      </c>
      <c r="AK54" s="167" t="s">
        <v>70</v>
      </c>
      <c r="AL54" s="167" t="s">
        <v>70</v>
      </c>
      <c r="AM54" s="167"/>
      <c r="AN54" s="167" t="s">
        <v>70</v>
      </c>
      <c r="AO54" s="168">
        <v>46034</v>
      </c>
      <c r="AP54" s="167" t="s">
        <v>70</v>
      </c>
      <c r="AQ54" s="167" t="s">
        <v>70</v>
      </c>
      <c r="AR54" s="167" t="s">
        <v>70</v>
      </c>
      <c r="AS54" s="167" t="s">
        <v>70</v>
      </c>
      <c r="AT54" s="167" t="s">
        <v>70</v>
      </c>
      <c r="AU54" s="167" t="s">
        <v>70</v>
      </c>
      <c r="AV54" s="167" t="s">
        <v>70</v>
      </c>
      <c r="AW54" s="167" t="s">
        <v>70</v>
      </c>
      <c r="AX54" s="167" t="s">
        <v>70</v>
      </c>
      <c r="AY54" s="167" t="s">
        <v>70</v>
      </c>
      <c r="AZ54" s="167" t="s">
        <v>70</v>
      </c>
      <c r="BA54" s="167" t="s">
        <v>70</v>
      </c>
      <c r="BB54" s="167" t="s">
        <v>70</v>
      </c>
      <c r="BC54" s="167" t="s">
        <v>70</v>
      </c>
      <c r="BD54" s="167" t="s">
        <v>70</v>
      </c>
      <c r="BE54" s="167" t="s">
        <v>70</v>
      </c>
      <c r="BF54" s="167" t="s">
        <v>70</v>
      </c>
      <c r="BG54" s="167" t="s">
        <v>70</v>
      </c>
      <c r="BH54" s="167" t="s">
        <v>70</v>
      </c>
      <c r="BI54" s="167" t="s">
        <v>70</v>
      </c>
      <c r="BJ54" s="167" t="s">
        <v>70</v>
      </c>
      <c r="BK54" s="167" t="s">
        <v>70</v>
      </c>
      <c r="BL54" s="167" t="s">
        <v>70</v>
      </c>
      <c r="BM54" s="167" t="s">
        <v>70</v>
      </c>
      <c r="BN54" s="167" t="s">
        <v>70</v>
      </c>
      <c r="BO54" s="167" t="s">
        <v>70</v>
      </c>
      <c r="BP54" s="167" t="s">
        <v>70</v>
      </c>
    </row>
    <row r="55" spans="1:71" s="151" customFormat="1" ht="19.5" customHeight="1" x14ac:dyDescent="0.2">
      <c r="A55" s="117">
        <v>311</v>
      </c>
      <c r="B55" s="117" t="s">
        <v>788</v>
      </c>
      <c r="C55" s="117">
        <v>242165</v>
      </c>
      <c r="D55" s="117" t="s">
        <v>212</v>
      </c>
      <c r="E55" s="117" t="s">
        <v>68</v>
      </c>
      <c r="F55" s="146" t="s">
        <v>256</v>
      </c>
      <c r="G55" s="124" t="s">
        <v>69</v>
      </c>
      <c r="H55" s="172">
        <v>45581</v>
      </c>
      <c r="I55" s="172">
        <v>45581</v>
      </c>
      <c r="J55" s="92">
        <f t="shared" ref="J55" si="7">IF(I55="", "", DATE(YEAR(I55)+3, MONTH(I55), DAY(L55)))</f>
        <v>46675</v>
      </c>
      <c r="K55" s="111">
        <v>45580</v>
      </c>
      <c r="L55" s="111">
        <v>45580</v>
      </c>
      <c r="M55" s="140">
        <f t="shared" si="6"/>
        <v>46675</v>
      </c>
      <c r="N55" s="111">
        <v>45583</v>
      </c>
      <c r="O55" s="111">
        <v>45582</v>
      </c>
      <c r="P55" s="118"/>
      <c r="Q55" s="111"/>
      <c r="R55" s="167" t="s">
        <v>70</v>
      </c>
      <c r="S55" s="167" t="s">
        <v>70</v>
      </c>
      <c r="T55" s="167" t="s">
        <v>70</v>
      </c>
      <c r="U55" s="167" t="s">
        <v>70</v>
      </c>
      <c r="V55" s="167" t="s">
        <v>70</v>
      </c>
      <c r="W55" s="167" t="s">
        <v>70</v>
      </c>
      <c r="X55" s="167" t="s">
        <v>70</v>
      </c>
      <c r="Y55" s="167" t="s">
        <v>70</v>
      </c>
      <c r="Z55" s="167" t="s">
        <v>70</v>
      </c>
      <c r="AA55" s="167" t="s">
        <v>70</v>
      </c>
      <c r="AB55" s="167" t="s">
        <v>70</v>
      </c>
      <c r="AC55" s="167" t="s">
        <v>70</v>
      </c>
      <c r="AD55" s="167" t="s">
        <v>70</v>
      </c>
      <c r="AE55" s="167" t="s">
        <v>70</v>
      </c>
      <c r="AF55" s="167" t="s">
        <v>70</v>
      </c>
      <c r="AG55" s="167" t="s">
        <v>70</v>
      </c>
      <c r="AH55" s="167" t="s">
        <v>70</v>
      </c>
      <c r="AI55" s="167" t="s">
        <v>70</v>
      </c>
      <c r="AJ55" s="111">
        <v>45673</v>
      </c>
      <c r="AK55" s="166" t="s">
        <v>69</v>
      </c>
      <c r="AL55" s="167" t="s">
        <v>70</v>
      </c>
      <c r="AM55" s="167" t="s">
        <v>70</v>
      </c>
      <c r="AN55" s="167"/>
      <c r="AO55" s="167" t="s">
        <v>70</v>
      </c>
      <c r="AP55" s="166" t="s">
        <v>69</v>
      </c>
      <c r="AQ55" s="167" t="s">
        <v>70</v>
      </c>
      <c r="AR55" s="167" t="s">
        <v>70</v>
      </c>
      <c r="AS55" s="167" t="s">
        <v>70</v>
      </c>
      <c r="AT55" s="167" t="s">
        <v>70</v>
      </c>
      <c r="AU55" s="167" t="s">
        <v>70</v>
      </c>
      <c r="AV55" s="167" t="s">
        <v>70</v>
      </c>
      <c r="AW55" s="167" t="s">
        <v>70</v>
      </c>
      <c r="AX55" s="167" t="s">
        <v>70</v>
      </c>
      <c r="AY55" s="167" t="s">
        <v>70</v>
      </c>
      <c r="AZ55" s="167" t="s">
        <v>70</v>
      </c>
      <c r="BA55" s="167" t="s">
        <v>70</v>
      </c>
      <c r="BB55" s="167" t="s">
        <v>70</v>
      </c>
      <c r="BC55" s="167" t="s">
        <v>70</v>
      </c>
      <c r="BD55" s="167" t="s">
        <v>70</v>
      </c>
      <c r="BE55" s="167" t="s">
        <v>70</v>
      </c>
      <c r="BF55" s="167" t="s">
        <v>70</v>
      </c>
      <c r="BG55" s="167" t="s">
        <v>70</v>
      </c>
      <c r="BH55" s="167" t="s">
        <v>70</v>
      </c>
      <c r="BI55" s="167" t="s">
        <v>70</v>
      </c>
      <c r="BJ55" s="167" t="s">
        <v>70</v>
      </c>
      <c r="BK55" s="167" t="s">
        <v>70</v>
      </c>
      <c r="BL55" s="167" t="s">
        <v>70</v>
      </c>
      <c r="BM55" s="167" t="s">
        <v>70</v>
      </c>
      <c r="BN55" s="167" t="s">
        <v>70</v>
      </c>
      <c r="BO55" s="167" t="s">
        <v>70</v>
      </c>
      <c r="BP55" s="167" t="s">
        <v>70</v>
      </c>
      <c r="BQ55" s="167" t="s">
        <v>70</v>
      </c>
    </row>
    <row r="56" spans="1:71" s="58" customFormat="1" ht="19.5" customHeight="1" x14ac:dyDescent="0.25">
      <c r="A56" s="117">
        <v>316</v>
      </c>
      <c r="B56" s="117" t="s">
        <v>796</v>
      </c>
      <c r="C56" s="117">
        <v>242209</v>
      </c>
      <c r="D56" s="117" t="s">
        <v>212</v>
      </c>
      <c r="E56" s="117" t="s">
        <v>68</v>
      </c>
      <c r="F56" s="146" t="s">
        <v>256</v>
      </c>
      <c r="G56" s="124" t="s">
        <v>69</v>
      </c>
      <c r="H56" s="124" t="s">
        <v>792</v>
      </c>
      <c r="I56" s="172">
        <v>45595</v>
      </c>
      <c r="J56" s="92">
        <f>IF(I56="", "", DATE(YEAR(I56)+3, MONTH(I56), DAY(I56)))</f>
        <v>46690</v>
      </c>
      <c r="K56" s="111">
        <v>45594</v>
      </c>
      <c r="L56" s="111">
        <v>45594</v>
      </c>
      <c r="M56" s="140">
        <f t="shared" si="6"/>
        <v>46689</v>
      </c>
      <c r="N56" s="262"/>
      <c r="O56" s="112">
        <v>46273</v>
      </c>
      <c r="P56" s="112">
        <v>46273</v>
      </c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</row>
    <row r="57" spans="1:71" s="58" customFormat="1" ht="19.5" customHeight="1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</row>
    <row r="58" spans="1:71" s="58" customFormat="1" ht="19.5" customHeight="1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</row>
    <row r="59" spans="1:71" s="58" customFormat="1" ht="19.5" customHeight="1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</row>
    <row r="60" spans="1:71" s="58" customFormat="1" ht="19.5" customHeight="1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</row>
    <row r="61" spans="1:71" s="58" customFormat="1" ht="19.5" customHeight="1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</row>
    <row r="62" spans="1:71" s="58" customFormat="1" ht="19.5" customHeight="1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</row>
    <row r="63" spans="1:71" s="58" customFormat="1" ht="19.5" customHeight="1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</row>
    <row r="64" spans="1:71" s="58" customFormat="1" ht="19.5" customHeight="1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</row>
    <row r="65" spans="1:54" s="58" customFormat="1" ht="19.5" customHeight="1" x14ac:dyDescent="0.25"/>
    <row r="66" spans="1:54" s="58" customFormat="1" ht="19.5" customHeight="1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</row>
    <row r="67" spans="1:54" s="58" customFormat="1" ht="19.5" customHeight="1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</row>
    <row r="68" spans="1:54" s="58" customFormat="1" ht="19.5" customHeight="1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</row>
    <row r="69" spans="1:54" s="58" customFormat="1" ht="19.5" customHeight="1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</row>
    <row r="70" spans="1:54" s="58" customFormat="1" ht="19.5" customHeight="1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</row>
    <row r="71" spans="1:54" s="58" customFormat="1" ht="19.5" customHeight="1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</row>
  </sheetData>
  <mergeCells count="2">
    <mergeCell ref="H1:J1"/>
    <mergeCell ref="K1:M1"/>
  </mergeCells>
  <conditionalFormatting sqref="C1:C2">
    <cfRule type="duplicateValues" dxfId="66" priority="74"/>
  </conditionalFormatting>
  <conditionalFormatting sqref="C3:C4">
    <cfRule type="duplicateValues" dxfId="65" priority="73"/>
  </conditionalFormatting>
  <conditionalFormatting sqref="C5">
    <cfRule type="duplicateValues" dxfId="64" priority="72"/>
  </conditionalFormatting>
  <conditionalFormatting sqref="C6">
    <cfRule type="duplicateValues" dxfId="63" priority="71"/>
  </conditionalFormatting>
  <conditionalFormatting sqref="C7">
    <cfRule type="duplicateValues" dxfId="62" priority="70"/>
  </conditionalFormatting>
  <conditionalFormatting sqref="C8">
    <cfRule type="duplicateValues" dxfId="61" priority="64"/>
  </conditionalFormatting>
  <conditionalFormatting sqref="C9">
    <cfRule type="duplicateValues" dxfId="60" priority="62"/>
  </conditionalFormatting>
  <conditionalFormatting sqref="C10">
    <cfRule type="duplicateValues" dxfId="59" priority="61"/>
  </conditionalFormatting>
  <conditionalFormatting sqref="C12">
    <cfRule type="duplicateValues" dxfId="58" priority="54"/>
  </conditionalFormatting>
  <conditionalFormatting sqref="C13:C14">
    <cfRule type="duplicateValues" dxfId="57" priority="51"/>
  </conditionalFormatting>
  <conditionalFormatting sqref="C15">
    <cfRule type="duplicateValues" dxfId="56" priority="50"/>
  </conditionalFormatting>
  <conditionalFormatting sqref="C16">
    <cfRule type="duplicateValues" dxfId="55" priority="49"/>
  </conditionalFormatting>
  <conditionalFormatting sqref="C17:C19">
    <cfRule type="duplicateValues" dxfId="54" priority="48"/>
  </conditionalFormatting>
  <conditionalFormatting sqref="C20">
    <cfRule type="duplicateValues" dxfId="53" priority="47"/>
  </conditionalFormatting>
  <conditionalFormatting sqref="C21">
    <cfRule type="duplicateValues" dxfId="52" priority="46"/>
  </conditionalFormatting>
  <conditionalFormatting sqref="C26:C27">
    <cfRule type="duplicateValues" dxfId="51" priority="44"/>
  </conditionalFormatting>
  <conditionalFormatting sqref="C72:C1048576 C1:C48">
    <cfRule type="duplicateValues" dxfId="50" priority="39"/>
  </conditionalFormatting>
  <conditionalFormatting sqref="C28">
    <cfRule type="duplicateValues" dxfId="49" priority="855"/>
  </conditionalFormatting>
  <conditionalFormatting sqref="C11">
    <cfRule type="duplicateValues" dxfId="48" priority="862"/>
  </conditionalFormatting>
  <conditionalFormatting sqref="C49">
    <cfRule type="duplicateValues" dxfId="47" priority="38"/>
  </conditionalFormatting>
  <conditionalFormatting sqref="C50">
    <cfRule type="duplicateValues" dxfId="46" priority="36"/>
  </conditionalFormatting>
  <conditionalFormatting sqref="C51">
    <cfRule type="duplicateValues" dxfId="45" priority="34"/>
  </conditionalFormatting>
  <conditionalFormatting sqref="C52">
    <cfRule type="duplicateValues" dxfId="44" priority="30" stopIfTrue="1"/>
  </conditionalFormatting>
  <conditionalFormatting sqref="C52">
    <cfRule type="duplicateValues" dxfId="43" priority="29" stopIfTrue="1"/>
  </conditionalFormatting>
  <conditionalFormatting sqref="C52">
    <cfRule type="duplicateValues" dxfId="42" priority="31" stopIfTrue="1"/>
    <cfRule type="duplicateValues" dxfId="41" priority="32" stopIfTrue="1"/>
  </conditionalFormatting>
  <conditionalFormatting sqref="C72:C1048576 C1:C53">
    <cfRule type="duplicateValues" dxfId="40" priority="16"/>
  </conditionalFormatting>
  <conditionalFormatting sqref="C53">
    <cfRule type="duplicateValues" dxfId="39" priority="1023"/>
  </conditionalFormatting>
  <conditionalFormatting sqref="C48">
    <cfRule type="duplicateValues" dxfId="38" priority="1193"/>
  </conditionalFormatting>
  <conditionalFormatting sqref="C22:C25">
    <cfRule type="duplicateValues" dxfId="37" priority="1202"/>
  </conditionalFormatting>
  <conditionalFormatting sqref="C29:C47">
    <cfRule type="duplicateValues" dxfId="36" priority="1207"/>
  </conditionalFormatting>
  <conditionalFormatting sqref="C54">
    <cfRule type="duplicateValues" dxfId="35" priority="11"/>
    <cfRule type="duplicateValues" dxfId="34" priority="12"/>
  </conditionalFormatting>
  <conditionalFormatting sqref="C54">
    <cfRule type="duplicateValues" dxfId="33" priority="13"/>
  </conditionalFormatting>
  <conditionalFormatting sqref="C54">
    <cfRule type="duplicateValues" dxfId="32" priority="14"/>
  </conditionalFormatting>
  <conditionalFormatting sqref="C54">
    <cfRule type="duplicateValues" dxfId="31" priority="15"/>
  </conditionalFormatting>
  <conditionalFormatting sqref="C55">
    <cfRule type="duplicateValues" dxfId="30" priority="6"/>
    <cfRule type="duplicateValues" dxfId="29" priority="7"/>
  </conditionalFormatting>
  <conditionalFormatting sqref="C55">
    <cfRule type="duplicateValues" dxfId="28" priority="8"/>
  </conditionalFormatting>
  <conditionalFormatting sqref="C55">
    <cfRule type="duplicateValues" dxfId="27" priority="9"/>
  </conditionalFormatting>
  <conditionalFormatting sqref="C55">
    <cfRule type="duplicateValues" dxfId="26" priority="10"/>
  </conditionalFormatting>
  <conditionalFormatting sqref="C56">
    <cfRule type="duplicateValues" dxfId="25" priority="1"/>
    <cfRule type="duplicateValues" dxfId="24" priority="2"/>
  </conditionalFormatting>
  <conditionalFormatting sqref="C56">
    <cfRule type="duplicateValues" dxfId="23" priority="3"/>
  </conditionalFormatting>
  <conditionalFormatting sqref="C56">
    <cfRule type="duplicateValues" dxfId="22" priority="4"/>
  </conditionalFormatting>
  <conditionalFormatting sqref="C56">
    <cfRule type="duplicateValues" dxfId="21" priority="5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0"/>
  <sheetViews>
    <sheetView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E14" sqref="E14"/>
    </sheetView>
  </sheetViews>
  <sheetFormatPr defaultRowHeight="15" x14ac:dyDescent="0.25"/>
  <cols>
    <col min="1" max="1" width="6.42578125" customWidth="1"/>
    <col min="2" max="2" width="24.7109375" customWidth="1"/>
    <col min="3" max="3" width="12.85546875" customWidth="1"/>
    <col min="4" max="4" width="28.5703125" customWidth="1"/>
    <col min="6" max="6" width="11.140625" customWidth="1"/>
    <col min="7" max="7" width="16.5703125" hidden="1" customWidth="1"/>
    <col min="8" max="12" width="0" hidden="1" customWidth="1"/>
    <col min="13" max="13" width="1" hidden="1" customWidth="1"/>
    <col min="14" max="16" width="13.28515625" customWidth="1"/>
    <col min="18" max="18" width="11.5703125" customWidth="1"/>
    <col min="19" max="19" width="9.140625" customWidth="1"/>
  </cols>
  <sheetData>
    <row r="1" spans="1:19" s="58" customFormat="1" ht="177" x14ac:dyDescent="0.25">
      <c r="A1" s="34" t="s">
        <v>4</v>
      </c>
      <c r="B1" s="35" t="s">
        <v>5</v>
      </c>
      <c r="C1" s="35" t="s">
        <v>6</v>
      </c>
      <c r="D1" s="35" t="s">
        <v>7</v>
      </c>
      <c r="E1" s="35" t="s">
        <v>8</v>
      </c>
      <c r="F1" s="35" t="s">
        <v>857</v>
      </c>
      <c r="G1" s="125" t="s">
        <v>9</v>
      </c>
      <c r="H1" s="310" t="s">
        <v>10</v>
      </c>
      <c r="I1" s="310"/>
      <c r="J1" s="310"/>
      <c r="K1" s="311" t="s">
        <v>11</v>
      </c>
      <c r="L1" s="311"/>
      <c r="M1" s="311"/>
      <c r="N1" s="125" t="s">
        <v>12</v>
      </c>
      <c r="O1" s="53" t="s">
        <v>13</v>
      </c>
      <c r="P1" s="125" t="s">
        <v>14</v>
      </c>
    </row>
    <row r="2" spans="1:19" s="58" customFormat="1" ht="23.25" customHeight="1" x14ac:dyDescent="0.25">
      <c r="A2" s="34"/>
      <c r="B2" s="35"/>
      <c r="C2" s="35"/>
      <c r="D2" s="36"/>
      <c r="E2" s="36"/>
      <c r="F2" s="36"/>
      <c r="G2" s="37" t="s">
        <v>59</v>
      </c>
      <c r="H2" s="52" t="s">
        <v>59</v>
      </c>
      <c r="I2" s="37" t="s">
        <v>60</v>
      </c>
      <c r="J2" s="37" t="s">
        <v>61</v>
      </c>
      <c r="K2" s="37" t="s">
        <v>59</v>
      </c>
      <c r="L2" s="37" t="s">
        <v>60</v>
      </c>
      <c r="M2" s="37" t="s">
        <v>62</v>
      </c>
      <c r="N2" s="37" t="s">
        <v>59</v>
      </c>
      <c r="O2" s="37" t="s">
        <v>59</v>
      </c>
      <c r="P2" s="37" t="s">
        <v>59</v>
      </c>
    </row>
    <row r="3" spans="1:19" x14ac:dyDescent="0.25">
      <c r="A3" s="38">
        <v>1</v>
      </c>
      <c r="B3" s="38" t="s">
        <v>138</v>
      </c>
      <c r="C3" s="38">
        <v>145323</v>
      </c>
      <c r="D3" s="38" t="s">
        <v>139</v>
      </c>
      <c r="E3" s="15" t="s">
        <v>83</v>
      </c>
      <c r="F3" s="39" t="s">
        <v>208</v>
      </c>
      <c r="G3" s="41">
        <v>42302</v>
      </c>
      <c r="H3" s="41">
        <v>42193</v>
      </c>
      <c r="I3" s="41">
        <v>46041</v>
      </c>
      <c r="J3" s="7">
        <f t="shared" ref="J3:J12" si="0">IF(I3="", "", DATE(YEAR(I3)+2, MONTH(I3), DAY(I3)))</f>
        <v>46771</v>
      </c>
      <c r="K3" s="8">
        <v>42174</v>
      </c>
      <c r="L3" s="8">
        <v>46246</v>
      </c>
      <c r="M3" s="9">
        <f t="shared" ref="M3:M12" si="1">IF(L3="", "", DATE(YEAR(L3)+2, MONTH(L3), DAY(L3)))</f>
        <v>46977</v>
      </c>
      <c r="N3" s="81" t="s">
        <v>69</v>
      </c>
      <c r="O3" s="128">
        <v>42160</v>
      </c>
      <c r="P3" s="130">
        <v>42174</v>
      </c>
    </row>
    <row r="4" spans="1:19" x14ac:dyDescent="0.25">
      <c r="A4" s="38">
        <v>2</v>
      </c>
      <c r="B4" s="38" t="s">
        <v>156</v>
      </c>
      <c r="C4" s="38">
        <v>83086308</v>
      </c>
      <c r="D4" s="38" t="s">
        <v>73</v>
      </c>
      <c r="E4" s="15" t="s">
        <v>83</v>
      </c>
      <c r="F4" s="39" t="s">
        <v>208</v>
      </c>
      <c r="G4" s="44">
        <v>42670</v>
      </c>
      <c r="H4" s="41">
        <v>45343</v>
      </c>
      <c r="I4" s="41">
        <v>46147</v>
      </c>
      <c r="J4" s="7">
        <f t="shared" si="0"/>
        <v>46878</v>
      </c>
      <c r="K4" s="8">
        <v>45344</v>
      </c>
      <c r="L4" s="8">
        <v>46083</v>
      </c>
      <c r="M4" s="9">
        <f t="shared" si="1"/>
        <v>46814</v>
      </c>
      <c r="N4" s="81" t="s">
        <v>69</v>
      </c>
      <c r="O4" s="8">
        <v>42325</v>
      </c>
      <c r="P4" s="129" t="s">
        <v>69</v>
      </c>
    </row>
    <row r="5" spans="1:19" x14ac:dyDescent="0.25">
      <c r="A5" s="38">
        <v>3</v>
      </c>
      <c r="B5" s="38" t="s">
        <v>607</v>
      </c>
      <c r="C5" s="38">
        <v>83119342</v>
      </c>
      <c r="D5" s="38" t="s">
        <v>844</v>
      </c>
      <c r="E5" s="11" t="s">
        <v>606</v>
      </c>
      <c r="F5" s="39" t="s">
        <v>208</v>
      </c>
      <c r="G5" s="19">
        <v>44889</v>
      </c>
      <c r="H5" s="19">
        <v>45883</v>
      </c>
      <c r="I5" s="19">
        <v>45883</v>
      </c>
      <c r="J5" s="7">
        <f t="shared" si="0"/>
        <v>46613</v>
      </c>
      <c r="K5" s="16">
        <v>44855</v>
      </c>
      <c r="L5" s="16">
        <v>46246</v>
      </c>
      <c r="M5" s="9">
        <f t="shared" si="1"/>
        <v>46977</v>
      </c>
      <c r="N5" s="80" t="s">
        <v>69</v>
      </c>
      <c r="O5" s="16">
        <v>45349</v>
      </c>
      <c r="P5" s="76"/>
    </row>
    <row r="6" spans="1:19" x14ac:dyDescent="0.25">
      <c r="A6" s="38">
        <v>4</v>
      </c>
      <c r="B6" s="38" t="s">
        <v>620</v>
      </c>
      <c r="C6" s="38">
        <v>83123697</v>
      </c>
      <c r="D6" s="38" t="s">
        <v>73</v>
      </c>
      <c r="E6" s="11" t="s">
        <v>480</v>
      </c>
      <c r="F6" s="39" t="s">
        <v>208</v>
      </c>
      <c r="G6" s="19">
        <v>42270</v>
      </c>
      <c r="H6" s="19">
        <v>41586</v>
      </c>
      <c r="I6" s="19">
        <v>46077</v>
      </c>
      <c r="J6" s="7">
        <f t="shared" si="0"/>
        <v>46807</v>
      </c>
      <c r="K6" s="16">
        <v>41439</v>
      </c>
      <c r="L6" s="16">
        <v>46083</v>
      </c>
      <c r="M6" s="9">
        <f t="shared" si="1"/>
        <v>46814</v>
      </c>
      <c r="N6" s="28" t="s">
        <v>69</v>
      </c>
      <c r="O6" s="28" t="s">
        <v>69</v>
      </c>
      <c r="P6" s="28" t="s">
        <v>69</v>
      </c>
    </row>
    <row r="7" spans="1:19" x14ac:dyDescent="0.25">
      <c r="A7" s="38">
        <v>5</v>
      </c>
      <c r="B7" s="96" t="s">
        <v>623</v>
      </c>
      <c r="C7" s="138">
        <v>83123700</v>
      </c>
      <c r="D7" s="96" t="s">
        <v>73</v>
      </c>
      <c r="E7" s="132" t="s">
        <v>480</v>
      </c>
      <c r="F7" s="39" t="s">
        <v>208</v>
      </c>
      <c r="G7" s="19">
        <v>42258</v>
      </c>
      <c r="H7" s="19">
        <v>44503</v>
      </c>
      <c r="I7" s="19">
        <v>46107</v>
      </c>
      <c r="J7" s="7">
        <f t="shared" si="0"/>
        <v>46838</v>
      </c>
      <c r="K7" s="16">
        <v>42297</v>
      </c>
      <c r="L7" s="9">
        <v>46148</v>
      </c>
      <c r="M7" s="9">
        <f t="shared" si="1"/>
        <v>46879</v>
      </c>
      <c r="N7" s="75">
        <v>40690</v>
      </c>
      <c r="O7" s="75">
        <v>40690</v>
      </c>
      <c r="P7" s="75">
        <v>40690</v>
      </c>
    </row>
    <row r="8" spans="1:19" x14ac:dyDescent="0.25">
      <c r="A8" s="38">
        <v>6</v>
      </c>
      <c r="B8" s="96" t="s">
        <v>624</v>
      </c>
      <c r="C8" s="138">
        <v>83123701</v>
      </c>
      <c r="D8" s="96" t="s">
        <v>73</v>
      </c>
      <c r="E8" s="132" t="s">
        <v>480</v>
      </c>
      <c r="F8" s="39" t="s">
        <v>208</v>
      </c>
      <c r="G8" s="44" t="s">
        <v>69</v>
      </c>
      <c r="H8" s="19">
        <v>44888</v>
      </c>
      <c r="I8" s="19">
        <v>45936</v>
      </c>
      <c r="J8" s="7">
        <f t="shared" si="0"/>
        <v>46666</v>
      </c>
      <c r="K8" s="26" t="s">
        <v>69</v>
      </c>
      <c r="L8" s="16">
        <v>46120</v>
      </c>
      <c r="M8" s="9">
        <f t="shared" si="1"/>
        <v>46851</v>
      </c>
      <c r="N8" s="75">
        <v>40727</v>
      </c>
      <c r="O8" s="75">
        <v>40697</v>
      </c>
      <c r="P8" s="75">
        <v>40697</v>
      </c>
    </row>
    <row r="9" spans="1:19" x14ac:dyDescent="0.25">
      <c r="A9" s="38">
        <v>7</v>
      </c>
      <c r="B9" s="96" t="s">
        <v>625</v>
      </c>
      <c r="C9" s="138">
        <v>83123703</v>
      </c>
      <c r="D9" s="96" t="s">
        <v>73</v>
      </c>
      <c r="E9" s="132" t="s">
        <v>480</v>
      </c>
      <c r="F9" s="39" t="s">
        <v>208</v>
      </c>
      <c r="G9" s="19">
        <v>42670</v>
      </c>
      <c r="H9" s="19">
        <v>42593</v>
      </c>
      <c r="I9" s="19">
        <v>45954</v>
      </c>
      <c r="J9" s="7">
        <f t="shared" si="0"/>
        <v>46684</v>
      </c>
      <c r="K9" s="16">
        <v>43157</v>
      </c>
      <c r="L9" s="16">
        <v>46120</v>
      </c>
      <c r="M9" s="9">
        <f t="shared" si="1"/>
        <v>46851</v>
      </c>
      <c r="N9" s="80">
        <v>40669</v>
      </c>
      <c r="O9" s="80">
        <v>40670</v>
      </c>
      <c r="P9" s="80">
        <v>40670</v>
      </c>
    </row>
    <row r="10" spans="1:19" x14ac:dyDescent="0.25">
      <c r="A10" s="38">
        <v>8</v>
      </c>
      <c r="B10" s="38" t="s">
        <v>626</v>
      </c>
      <c r="C10" s="38">
        <v>83123706</v>
      </c>
      <c r="D10" s="38" t="s">
        <v>73</v>
      </c>
      <c r="E10" s="11" t="s">
        <v>480</v>
      </c>
      <c r="F10" s="39" t="s">
        <v>208</v>
      </c>
      <c r="G10" s="19">
        <v>42499</v>
      </c>
      <c r="H10" s="19">
        <v>41586</v>
      </c>
      <c r="I10" s="19">
        <v>46105</v>
      </c>
      <c r="J10" s="7">
        <f t="shared" si="0"/>
        <v>46836</v>
      </c>
      <c r="K10" s="16">
        <v>41443</v>
      </c>
      <c r="L10" s="16">
        <v>46140</v>
      </c>
      <c r="M10" s="9">
        <f t="shared" si="1"/>
        <v>46871</v>
      </c>
      <c r="N10" s="80">
        <v>40704</v>
      </c>
      <c r="O10" s="80">
        <v>40705</v>
      </c>
      <c r="P10" s="80">
        <v>40705</v>
      </c>
    </row>
    <row r="11" spans="1:19" x14ac:dyDescent="0.25">
      <c r="A11" s="38">
        <v>9</v>
      </c>
      <c r="B11" s="96" t="s">
        <v>588</v>
      </c>
      <c r="C11" s="138">
        <v>83123708</v>
      </c>
      <c r="D11" s="133" t="s">
        <v>839</v>
      </c>
      <c r="E11" s="132" t="s">
        <v>586</v>
      </c>
      <c r="F11" s="39" t="s">
        <v>208</v>
      </c>
      <c r="G11" s="19">
        <v>42129</v>
      </c>
      <c r="H11" s="19">
        <v>42103</v>
      </c>
      <c r="I11" s="19">
        <v>46079</v>
      </c>
      <c r="J11" s="7">
        <f t="shared" si="0"/>
        <v>46809</v>
      </c>
      <c r="K11" s="16">
        <v>42312</v>
      </c>
      <c r="L11" s="16">
        <v>45917</v>
      </c>
      <c r="M11" s="9">
        <f t="shared" si="1"/>
        <v>46647</v>
      </c>
      <c r="N11" s="73">
        <v>41927</v>
      </c>
      <c r="O11" s="10">
        <v>45469</v>
      </c>
      <c r="P11" s="74">
        <v>41929</v>
      </c>
      <c r="R11" s="134"/>
      <c r="S11" t="s">
        <v>860</v>
      </c>
    </row>
    <row r="12" spans="1:19" x14ac:dyDescent="0.25">
      <c r="A12" s="38">
        <v>10</v>
      </c>
      <c r="B12" s="96" t="s">
        <v>585</v>
      </c>
      <c r="C12" s="138">
        <v>145074</v>
      </c>
      <c r="D12" s="96" t="s">
        <v>73</v>
      </c>
      <c r="E12" s="132" t="s">
        <v>586</v>
      </c>
      <c r="F12" s="39" t="s">
        <v>208</v>
      </c>
      <c r="G12" s="19">
        <v>42111</v>
      </c>
      <c r="H12" s="19">
        <v>42446</v>
      </c>
      <c r="I12" s="19">
        <v>46076</v>
      </c>
      <c r="J12" s="7">
        <f t="shared" si="0"/>
        <v>46806</v>
      </c>
      <c r="K12" s="16">
        <v>42124</v>
      </c>
      <c r="L12" s="16">
        <v>45923</v>
      </c>
      <c r="M12" s="9">
        <f t="shared" si="1"/>
        <v>46653</v>
      </c>
      <c r="N12" s="257"/>
      <c r="O12" s="10">
        <v>45469</v>
      </c>
      <c r="P12" s="40">
        <v>41929</v>
      </c>
      <c r="R12" s="135"/>
      <c r="S12" t="s">
        <v>861</v>
      </c>
    </row>
    <row r="13" spans="1:19" x14ac:dyDescent="0.25">
      <c r="A13" s="38">
        <v>11</v>
      </c>
      <c r="B13" s="47" t="s">
        <v>404</v>
      </c>
      <c r="C13" s="48">
        <v>146656</v>
      </c>
      <c r="D13" s="39" t="s">
        <v>73</v>
      </c>
      <c r="E13" s="38" t="s">
        <v>854</v>
      </c>
      <c r="F13" s="39" t="s">
        <v>256</v>
      </c>
      <c r="G13" s="44" t="s">
        <v>69</v>
      </c>
      <c r="H13" s="54" t="s">
        <v>315</v>
      </c>
      <c r="I13" s="49">
        <v>45679</v>
      </c>
      <c r="J13" s="91">
        <v>46754</v>
      </c>
      <c r="K13" s="50">
        <v>46175</v>
      </c>
      <c r="L13" s="50">
        <v>46175</v>
      </c>
      <c r="M13" s="42">
        <v>47271</v>
      </c>
      <c r="N13" s="55"/>
      <c r="O13" s="49">
        <v>46258</v>
      </c>
      <c r="P13" s="49">
        <v>46246</v>
      </c>
      <c r="R13" s="255"/>
      <c r="S13" t="s">
        <v>870</v>
      </c>
    </row>
    <row r="14" spans="1:19" x14ac:dyDescent="0.25">
      <c r="A14" s="38">
        <v>12</v>
      </c>
      <c r="B14" s="96" t="s">
        <v>587</v>
      </c>
      <c r="C14" s="138">
        <v>83123707</v>
      </c>
      <c r="D14" s="96" t="s">
        <v>73</v>
      </c>
      <c r="E14" s="132" t="s">
        <v>586</v>
      </c>
      <c r="F14" s="39" t="s">
        <v>208</v>
      </c>
      <c r="G14" s="44" t="s">
        <v>69</v>
      </c>
      <c r="H14" s="19">
        <v>42102</v>
      </c>
      <c r="I14" s="19">
        <v>46077</v>
      </c>
      <c r="J14" s="7">
        <v>46807</v>
      </c>
      <c r="K14" s="43">
        <v>45135</v>
      </c>
      <c r="L14" s="16">
        <v>45917</v>
      </c>
      <c r="M14" s="9">
        <v>46647</v>
      </c>
      <c r="N14" s="75">
        <v>41927</v>
      </c>
      <c r="O14" s="10">
        <v>45433</v>
      </c>
      <c r="P14" s="74">
        <v>41929</v>
      </c>
    </row>
    <row r="15" spans="1:19" x14ac:dyDescent="0.25">
      <c r="A15" s="38">
        <v>13</v>
      </c>
      <c r="B15" s="38" t="s">
        <v>591</v>
      </c>
      <c r="C15" s="38">
        <v>135037</v>
      </c>
      <c r="D15" s="38" t="s">
        <v>73</v>
      </c>
      <c r="E15" s="11" t="s">
        <v>384</v>
      </c>
      <c r="F15" s="39" t="s">
        <v>208</v>
      </c>
      <c r="G15" s="44" t="s">
        <v>69</v>
      </c>
      <c r="H15" s="19">
        <v>43370</v>
      </c>
      <c r="I15" s="19">
        <v>45995</v>
      </c>
      <c r="J15" s="7">
        <v>46725</v>
      </c>
      <c r="K15" s="16">
        <v>42136</v>
      </c>
      <c r="L15" s="16">
        <v>45677</v>
      </c>
      <c r="M15" s="9">
        <v>46407</v>
      </c>
      <c r="N15" s="81" t="s">
        <v>69</v>
      </c>
      <c r="O15" s="16">
        <v>42153</v>
      </c>
      <c r="P15" s="16">
        <v>42153</v>
      </c>
    </row>
    <row r="16" spans="1:19" x14ac:dyDescent="0.25">
      <c r="A16" s="38">
        <v>14</v>
      </c>
      <c r="B16" s="96" t="s">
        <v>614</v>
      </c>
      <c r="C16" s="138">
        <v>83123693</v>
      </c>
      <c r="D16" s="137" t="s">
        <v>615</v>
      </c>
      <c r="E16" s="132" t="s">
        <v>480</v>
      </c>
      <c r="F16" s="39" t="s">
        <v>208</v>
      </c>
      <c r="G16" s="19">
        <v>42499</v>
      </c>
      <c r="H16" s="19">
        <v>44545</v>
      </c>
      <c r="I16" s="19">
        <v>46107</v>
      </c>
      <c r="J16" s="7">
        <v>46838</v>
      </c>
      <c r="K16" s="16">
        <v>42324</v>
      </c>
      <c r="L16" s="16">
        <v>46083</v>
      </c>
      <c r="M16" s="9">
        <v>46814</v>
      </c>
      <c r="N16" s="75">
        <v>40707</v>
      </c>
      <c r="O16" s="75">
        <v>40707</v>
      </c>
      <c r="P16" s="75">
        <v>40707</v>
      </c>
    </row>
    <row r="17" spans="1:16" x14ac:dyDescent="0.25">
      <c r="A17" s="38">
        <v>15</v>
      </c>
      <c r="B17" s="38" t="s">
        <v>642</v>
      </c>
      <c r="C17" s="38">
        <v>83123157</v>
      </c>
      <c r="D17" s="38" t="s">
        <v>643</v>
      </c>
      <c r="E17" s="11" t="s">
        <v>644</v>
      </c>
      <c r="F17" s="39" t="s">
        <v>208</v>
      </c>
      <c r="G17" s="19">
        <v>42164</v>
      </c>
      <c r="H17" s="19">
        <v>42264</v>
      </c>
      <c r="I17" s="19">
        <v>45572</v>
      </c>
      <c r="J17" s="7">
        <v>46302</v>
      </c>
      <c r="K17" s="16">
        <v>41443</v>
      </c>
      <c r="L17" s="16">
        <v>45917</v>
      </c>
      <c r="M17" s="9">
        <v>46647</v>
      </c>
      <c r="N17" s="80" t="s">
        <v>69</v>
      </c>
      <c r="O17" s="27">
        <v>45553</v>
      </c>
      <c r="P17" s="27">
        <v>44517</v>
      </c>
    </row>
    <row r="18" spans="1:16" x14ac:dyDescent="0.25">
      <c r="A18" s="38">
        <v>16</v>
      </c>
      <c r="B18" s="131" t="s">
        <v>648</v>
      </c>
      <c r="C18" s="139">
        <v>83117855</v>
      </c>
      <c r="D18" s="96" t="s">
        <v>73</v>
      </c>
      <c r="E18" s="96" t="s">
        <v>646</v>
      </c>
      <c r="F18" s="39" t="s">
        <v>208</v>
      </c>
      <c r="G18" s="7">
        <v>40779</v>
      </c>
      <c r="H18" s="41">
        <v>41026</v>
      </c>
      <c r="I18" s="41">
        <v>45995</v>
      </c>
      <c r="J18" s="7">
        <v>46725</v>
      </c>
      <c r="K18" s="8">
        <v>40994</v>
      </c>
      <c r="L18" s="13">
        <v>45982</v>
      </c>
      <c r="M18" s="9">
        <v>46712</v>
      </c>
      <c r="N18" s="73">
        <v>43228</v>
      </c>
      <c r="O18" s="8">
        <v>45587</v>
      </c>
      <c r="P18" s="8">
        <v>41809</v>
      </c>
    </row>
    <row r="19" spans="1:16" x14ac:dyDescent="0.25">
      <c r="A19" s="38">
        <v>17</v>
      </c>
      <c r="B19" s="38" t="s">
        <v>743</v>
      </c>
      <c r="C19" s="38">
        <v>222340</v>
      </c>
      <c r="D19" s="38" t="s">
        <v>73</v>
      </c>
      <c r="E19" s="11" t="s">
        <v>443</v>
      </c>
      <c r="F19" s="39" t="s">
        <v>208</v>
      </c>
      <c r="G19" s="41">
        <v>42111</v>
      </c>
      <c r="H19" s="41">
        <v>41407</v>
      </c>
      <c r="I19" s="41">
        <v>45994</v>
      </c>
      <c r="J19" s="7">
        <v>46724</v>
      </c>
      <c r="K19" s="8">
        <v>42124</v>
      </c>
      <c r="L19" s="8">
        <v>45722</v>
      </c>
      <c r="M19" s="9">
        <v>46452</v>
      </c>
      <c r="N19" s="80">
        <v>40471</v>
      </c>
      <c r="O19" s="80">
        <v>42703</v>
      </c>
      <c r="P19" s="80">
        <v>44670</v>
      </c>
    </row>
    <row r="20" spans="1:16" x14ac:dyDescent="0.25">
      <c r="A20" s="117">
        <v>487</v>
      </c>
      <c r="B20" s="174" t="s">
        <v>637</v>
      </c>
      <c r="C20" s="144">
        <v>132911</v>
      </c>
      <c r="D20" s="117" t="s">
        <v>73</v>
      </c>
      <c r="E20" s="146" t="s">
        <v>638</v>
      </c>
      <c r="F20" s="146" t="s">
        <v>208</v>
      </c>
      <c r="G20" s="162">
        <v>44985</v>
      </c>
      <c r="H20" s="162">
        <v>45005</v>
      </c>
      <c r="I20" s="162">
        <v>45777</v>
      </c>
      <c r="J20" s="162">
        <f t="shared" ref="J20" si="2">IF(I20="", "", DATE(YEAR(I20)+2, MONTH(I20), DAY(I20)))</f>
        <v>46507</v>
      </c>
      <c r="K20" s="111">
        <v>45223</v>
      </c>
      <c r="L20" s="111">
        <v>45867</v>
      </c>
      <c r="M20" s="163">
        <f t="shared" ref="M20" si="3">IF(L20="", "", DATE(YEAR(L20)+2, MONTH(L20), DAY(L20)))</f>
        <v>46597</v>
      </c>
      <c r="N20" s="162">
        <v>44438</v>
      </c>
      <c r="O20" s="111">
        <v>46273</v>
      </c>
      <c r="P20" s="175" t="s">
        <v>69</v>
      </c>
    </row>
  </sheetData>
  <autoFilter ref="A2:P19"/>
  <mergeCells count="2">
    <mergeCell ref="H1:J1"/>
    <mergeCell ref="K1:M1"/>
  </mergeCells>
  <conditionalFormatting sqref="C3">
    <cfRule type="duplicateValues" dxfId="20" priority="20"/>
  </conditionalFormatting>
  <conditionalFormatting sqref="C4">
    <cfRule type="duplicateValues" dxfId="19" priority="19"/>
  </conditionalFormatting>
  <conditionalFormatting sqref="C5">
    <cfRule type="duplicateValues" dxfId="18" priority="18"/>
  </conditionalFormatting>
  <conditionalFormatting sqref="C6">
    <cfRule type="duplicateValues" dxfId="17" priority="17"/>
  </conditionalFormatting>
  <conditionalFormatting sqref="C7">
    <cfRule type="duplicateValues" dxfId="16" priority="16"/>
  </conditionalFormatting>
  <conditionalFormatting sqref="C8">
    <cfRule type="duplicateValues" dxfId="15" priority="15"/>
  </conditionalFormatting>
  <conditionalFormatting sqref="C9">
    <cfRule type="duplicateValues" dxfId="14" priority="14"/>
  </conditionalFormatting>
  <conditionalFormatting sqref="C10">
    <cfRule type="duplicateValues" dxfId="13" priority="13"/>
  </conditionalFormatting>
  <conditionalFormatting sqref="C11">
    <cfRule type="duplicateValues" dxfId="12" priority="12"/>
  </conditionalFormatting>
  <conditionalFormatting sqref="C12">
    <cfRule type="duplicateValues" dxfId="11" priority="11"/>
  </conditionalFormatting>
  <conditionalFormatting sqref="C13:C19">
    <cfRule type="duplicateValues" dxfId="10" priority="22"/>
  </conditionalFormatting>
  <conditionalFormatting sqref="C1:C2">
    <cfRule type="duplicateValues" dxfId="9" priority="9"/>
  </conditionalFormatting>
  <conditionalFormatting sqref="C1:C2">
    <cfRule type="duplicateValues" dxfId="8" priority="8"/>
  </conditionalFormatting>
  <conditionalFormatting sqref="C1:C2">
    <cfRule type="duplicateValues" dxfId="7" priority="7"/>
  </conditionalFormatting>
  <conditionalFormatting sqref="C3:C19">
    <cfRule type="duplicateValues" dxfId="6" priority="1015"/>
  </conditionalFormatting>
  <conditionalFormatting sqref="C20">
    <cfRule type="duplicateValues" dxfId="5" priority="1"/>
    <cfRule type="duplicateValues" dxfId="4" priority="2"/>
  </conditionalFormatting>
  <conditionalFormatting sqref="C20">
    <cfRule type="duplicateValues" dxfId="3" priority="3"/>
  </conditionalFormatting>
  <conditionalFormatting sqref="C20">
    <cfRule type="duplicateValues" dxfId="2" priority="4"/>
  </conditionalFormatting>
  <conditionalFormatting sqref="C20">
    <cfRule type="duplicateValues" dxfId="1" priority="5"/>
  </conditionalFormatting>
  <conditionalFormatting sqref="C20">
    <cfRule type="duplicateValues" dxfId="0" priority="6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MATRIX</vt:lpstr>
      <vt:lpstr>AIRCRAFT PERFORMEN TRAINING (2</vt:lpstr>
      <vt:lpstr>BMSS</vt:lpstr>
      <vt:lpstr>schedule</vt:lpstr>
      <vt:lpstr>unschedule</vt:lpstr>
      <vt:lpstr>BAT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LESTARI</dc:creator>
  <cp:lastModifiedBy>DWI LESTARI</cp:lastModifiedBy>
  <dcterms:created xsi:type="dcterms:W3CDTF">2026-05-11T08:38:16Z</dcterms:created>
  <dcterms:modified xsi:type="dcterms:W3CDTF">2026-10-13T04:37:56Z</dcterms:modified>
</cp:coreProperties>
</file>