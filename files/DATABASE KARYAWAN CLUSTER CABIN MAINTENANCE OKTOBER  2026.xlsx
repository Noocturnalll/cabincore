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\CABIN MAINTENANCE\DATABASE KARYAWAN\UPDATE\UPDATE\2026\"/>
    </mc:Choice>
  </mc:AlternateContent>
  <bookViews>
    <workbookView xWindow="0" yWindow="0" windowWidth="20490" windowHeight="7500" firstSheet="8" activeTab="11"/>
  </bookViews>
  <sheets>
    <sheet name="Sheet4" sheetId="16" state="hidden" r:id="rId1"/>
    <sheet name="STRUKTURAL" sheetId="38" r:id="rId2"/>
    <sheet name="PIVOT " sheetId="35" r:id="rId3"/>
    <sheet name="DATABASE " sheetId="1" r:id="rId4"/>
    <sheet name="DMK " sheetId="29" r:id="rId5"/>
    <sheet name="KUL " sheetId="30" r:id="rId6"/>
    <sheet name="LIST KARYAWAN REPLACEMENT " sheetId="28" r:id="rId7"/>
    <sheet name="RISIGN, MUTASI, PHK 2025 - 2026" sheetId="20" r:id="rId8"/>
    <sheet name="Calculation Domestik " sheetId="24" r:id="rId9"/>
    <sheet name="Eksekutor Domestik" sheetId="31" r:id="rId10"/>
    <sheet name="Calculation All " sheetId="32" r:id="rId11"/>
    <sheet name="Eksekutor All " sheetId="33" r:id="rId12"/>
    <sheet name="Sheet2" sheetId="13" state="hidden" r:id="rId13"/>
  </sheets>
  <definedNames>
    <definedName name="_xlnm._FilterDatabase" localSheetId="3" hidden="1">'DATABASE '!$A$4:$J$645</definedName>
    <definedName name="_xlnm._FilterDatabase" localSheetId="6" hidden="1">'LIST KARYAWAN REPLACEMENT '!$A$1:$G$80</definedName>
    <definedName name="_xlnm._FilterDatabase" localSheetId="7" hidden="1">'RISIGN, MUTASI, PHK 2025 - 2026'!$A$1:$G$58</definedName>
    <definedName name="_xlnm._FilterDatabase" localSheetId="0" hidden="1">Sheet4!$D$4:$H$625</definedName>
    <definedName name="_xlnm.Print_Area" localSheetId="10">'Calculation All '!$A$1:$AO$41</definedName>
    <definedName name="_xlnm.Print_Area" localSheetId="8">'Calculation Domestik '!$A$1:$AO$41</definedName>
    <definedName name="_xlnm.Print_Area" localSheetId="3">'DATABASE '!$B$4:$E$363</definedName>
    <definedName name="_xlnm.Print_Area" localSheetId="11">'Eksekutor All '!$A$1:$AL$33</definedName>
    <definedName name="_xlnm.Print_Area" localSheetId="9">'Eksekutor Domestik'!$A$1:$AL$33</definedName>
    <definedName name="_xlnm.Print_Area" localSheetId="7">'RISIGN, MUTASI, PHK 2025 - 2026'!$A$1:$G$42</definedName>
  </definedNames>
  <calcPr calcId="162913"/>
  <pivotCaches>
    <pivotCache cacheId="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9" i="32" l="1"/>
  <c r="AI19" i="32" s="1"/>
  <c r="AB19" i="24" l="1"/>
  <c r="AI19" i="24"/>
  <c r="AA30" i="31" l="1"/>
  <c r="R30" i="31"/>
  <c r="S30" i="31"/>
  <c r="T30" i="31"/>
  <c r="U30" i="31"/>
  <c r="V30" i="31"/>
  <c r="W30" i="31"/>
  <c r="X30" i="31"/>
  <c r="Y30" i="31"/>
  <c r="Z30" i="31"/>
  <c r="Q30" i="31"/>
  <c r="N30" i="31"/>
  <c r="O30" i="31"/>
  <c r="M30" i="31"/>
  <c r="K30" i="31"/>
  <c r="J30" i="31"/>
  <c r="K30" i="33"/>
  <c r="AB30" i="33"/>
  <c r="Z30" i="33"/>
  <c r="Y30" i="33"/>
  <c r="X30" i="33"/>
  <c r="V30" i="33"/>
  <c r="U30" i="33"/>
  <c r="S30" i="33"/>
  <c r="R30" i="33"/>
  <c r="Q30" i="33"/>
  <c r="P30" i="33"/>
  <c r="O30" i="33"/>
  <c r="N30" i="33"/>
  <c r="M30" i="33"/>
  <c r="M32" i="33" s="1"/>
  <c r="J30" i="33"/>
  <c r="AA28" i="33"/>
  <c r="W28" i="33"/>
  <c r="T28" i="33"/>
  <c r="T27" i="33"/>
  <c r="AA26" i="33"/>
  <c r="W26" i="33"/>
  <c r="T26" i="33"/>
  <c r="AA25" i="33"/>
  <c r="W25" i="33"/>
  <c r="T25" i="33"/>
  <c r="AA24" i="33"/>
  <c r="W24" i="33"/>
  <c r="T24" i="33"/>
  <c r="AA23" i="33"/>
  <c r="W23" i="33"/>
  <c r="T23" i="33"/>
  <c r="AA22" i="33"/>
  <c r="W22" i="33"/>
  <c r="T22" i="33"/>
  <c r="AA21" i="33"/>
  <c r="T21" i="33"/>
  <c r="AA20" i="33"/>
  <c r="W20" i="33"/>
  <c r="T20" i="33"/>
  <c r="AA19" i="33"/>
  <c r="W19" i="33"/>
  <c r="T19" i="33"/>
  <c r="AA18" i="33"/>
  <c r="W18" i="33"/>
  <c r="T18" i="33"/>
  <c r="AA17" i="33"/>
  <c r="W17" i="33"/>
  <c r="T17" i="33"/>
  <c r="AA16" i="33"/>
  <c r="W16" i="33"/>
  <c r="T16" i="33"/>
  <c r="AA15" i="33"/>
  <c r="W15" i="33"/>
  <c r="T15" i="33"/>
  <c r="AA14" i="33"/>
  <c r="T14" i="33"/>
  <c r="AA13" i="33"/>
  <c r="W13" i="33"/>
  <c r="T13" i="33"/>
  <c r="AA12" i="33"/>
  <c r="W12" i="33"/>
  <c r="T12" i="33"/>
  <c r="AA11" i="33"/>
  <c r="AA30" i="33" s="1"/>
  <c r="W11" i="33"/>
  <c r="T11" i="33"/>
  <c r="AA10" i="33"/>
  <c r="W10" i="33"/>
  <c r="W30" i="33" s="1"/>
  <c r="T10" i="33"/>
  <c r="AA9" i="33"/>
  <c r="W9" i="33"/>
  <c r="T9" i="33"/>
  <c r="T30" i="33" s="1"/>
  <c r="T20" i="31"/>
  <c r="W20" i="31"/>
  <c r="AA20" i="3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G33" i="24"/>
  <c r="AH33" i="24"/>
  <c r="AI33" i="24"/>
  <c r="AJ33" i="24"/>
  <c r="AK33" i="24"/>
  <c r="AF33" i="24"/>
  <c r="Z33" i="24"/>
  <c r="AA33" i="24"/>
  <c r="AB33" i="24"/>
  <c r="AC33" i="24"/>
  <c r="AD33" i="24"/>
  <c r="Y33" i="24"/>
  <c r="U33" i="24"/>
  <c r="S33" i="24"/>
  <c r="T33" i="24"/>
  <c r="V33" i="24"/>
  <c r="W33" i="24"/>
  <c r="R33" i="24"/>
  <c r="L33" i="24"/>
  <c r="M33" i="24"/>
  <c r="N33" i="24"/>
  <c r="O33" i="24"/>
  <c r="P33" i="24"/>
  <c r="K33" i="24"/>
  <c r="W33" i="32"/>
  <c r="V33" i="32"/>
  <c r="U33" i="32"/>
  <c r="T33" i="32"/>
  <c r="S33" i="32"/>
  <c r="R33" i="32"/>
  <c r="P33" i="32"/>
  <c r="O33" i="32"/>
  <c r="N33" i="32"/>
  <c r="M33" i="32"/>
  <c r="L33" i="32"/>
  <c r="K33" i="32"/>
  <c r="I33" i="32"/>
  <c r="H33" i="32"/>
  <c r="AD31" i="32"/>
  <c r="AK31" i="32" s="1"/>
  <c r="AK30" i="32"/>
  <c r="AI30" i="32"/>
  <c r="AD30" i="32"/>
  <c r="AB30" i="32"/>
  <c r="AK29" i="32"/>
  <c r="AD29" i="32"/>
  <c r="AB29" i="32"/>
  <c r="AI29" i="32" s="1"/>
  <c r="AK28" i="32"/>
  <c r="AI28" i="32"/>
  <c r="AD28" i="32"/>
  <c r="AB28" i="32"/>
  <c r="AK27" i="32"/>
  <c r="AI27" i="32"/>
  <c r="AD27" i="32"/>
  <c r="AB27" i="32"/>
  <c r="AK26" i="32"/>
  <c r="AI26" i="32"/>
  <c r="AD26" i="32"/>
  <c r="AB26" i="32"/>
  <c r="AK25" i="32"/>
  <c r="AD25" i="32"/>
  <c r="AC25" i="32"/>
  <c r="AJ25" i="32" s="1"/>
  <c r="AB25" i="32"/>
  <c r="AI25" i="32" s="1"/>
  <c r="AD23" i="32"/>
  <c r="AK23" i="32" s="1"/>
  <c r="AB23" i="32"/>
  <c r="AI23" i="32" s="1"/>
  <c r="AB22" i="32"/>
  <c r="AI22" i="32" s="1"/>
  <c r="AK21" i="32"/>
  <c r="AI21" i="32"/>
  <c r="AD21" i="32"/>
  <c r="AB21" i="32"/>
  <c r="AI18" i="32"/>
  <c r="AB18" i="32"/>
  <c r="AB17" i="32"/>
  <c r="AI17" i="32" s="1"/>
  <c r="AK16" i="32"/>
  <c r="AD16" i="32"/>
  <c r="AC16" i="32"/>
  <c r="AJ16" i="32" s="1"/>
  <c r="AB16" i="32"/>
  <c r="AI16" i="32" s="1"/>
  <c r="AB15" i="32"/>
  <c r="AI15" i="32" s="1"/>
  <c r="AI14" i="32"/>
  <c r="AB14" i="32"/>
  <c r="AB13" i="32"/>
  <c r="AI13" i="32" s="1"/>
  <c r="AK12" i="32"/>
  <c r="AI12" i="32"/>
  <c r="AD12" i="32"/>
  <c r="AB12" i="32"/>
  <c r="AK11" i="32"/>
  <c r="AD11" i="32"/>
  <c r="AC11" i="32"/>
  <c r="AJ11" i="32" s="1"/>
  <c r="AB11" i="32"/>
  <c r="AI11" i="32" s="1"/>
  <c r="AD10" i="32"/>
  <c r="AK10" i="32" s="1"/>
  <c r="AB10" i="32"/>
  <c r="AI10" i="32" s="1"/>
  <c r="AI9" i="32"/>
  <c r="AD9" i="32"/>
  <c r="AK9" i="32" s="1"/>
  <c r="AC9" i="32"/>
  <c r="AJ9" i="32" s="1"/>
  <c r="AB9" i="32"/>
  <c r="AK8" i="32"/>
  <c r="AJ8" i="32"/>
  <c r="AG8" i="32"/>
  <c r="AG33" i="32" s="1"/>
  <c r="AF8" i="32"/>
  <c r="AF33" i="32" s="1"/>
  <c r="AD8" i="32"/>
  <c r="AD33" i="32" s="1"/>
  <c r="AC8" i="32"/>
  <c r="AC33" i="32" s="1"/>
  <c r="AB8" i="32"/>
  <c r="AI8" i="32" s="1"/>
  <c r="AA8" i="32"/>
  <c r="AA33" i="32" s="1"/>
  <c r="Z8" i="32"/>
  <c r="Z33" i="32" s="1"/>
  <c r="Y8" i="32"/>
  <c r="Y33" i="32" s="1"/>
  <c r="AD31" i="24"/>
  <c r="AK31" i="24" s="1"/>
  <c r="AI30" i="24"/>
  <c r="AD30" i="24"/>
  <c r="AK30" i="24" s="1"/>
  <c r="AB30" i="24"/>
  <c r="AD29" i="24"/>
  <c r="AB29" i="24"/>
  <c r="AI29" i="24" s="1"/>
  <c r="K35" i="32" l="1"/>
  <c r="Q32" i="33"/>
  <c r="R35" i="32"/>
  <c r="AK33" i="32"/>
  <c r="AK29" i="24"/>
  <c r="AI33" i="32"/>
  <c r="AJ33" i="32"/>
  <c r="AH8" i="32"/>
  <c r="AH33" i="32" s="1"/>
  <c r="AB33" i="32"/>
  <c r="Y35" i="32" s="1"/>
  <c r="AF35" i="32" l="1"/>
  <c r="J454" i="1" l="1"/>
  <c r="J55" i="1"/>
  <c r="K35" i="24" l="1"/>
  <c r="R35" i="24"/>
  <c r="AB30" i="31" l="1"/>
  <c r="AA28" i="31"/>
  <c r="W28" i="31"/>
  <c r="T28" i="31"/>
  <c r="T27" i="31"/>
  <c r="AA26" i="31"/>
  <c r="W26" i="31"/>
  <c r="T26" i="31"/>
  <c r="AA25" i="31"/>
  <c r="W25" i="31"/>
  <c r="T25" i="31"/>
  <c r="AA24" i="31"/>
  <c r="W24" i="31"/>
  <c r="T24" i="31"/>
  <c r="AA23" i="31"/>
  <c r="W23" i="31"/>
  <c r="T23" i="31"/>
  <c r="AA22" i="31"/>
  <c r="W22" i="31"/>
  <c r="T22" i="31"/>
  <c r="AA21" i="31"/>
  <c r="T21" i="31"/>
  <c r="AA19" i="31"/>
  <c r="W19" i="31"/>
  <c r="T19" i="31"/>
  <c r="AA18" i="31"/>
  <c r="W18" i="31"/>
  <c r="T18" i="31"/>
  <c r="AA17" i="31"/>
  <c r="W17" i="31"/>
  <c r="T17" i="31"/>
  <c r="AA16" i="31"/>
  <c r="W16" i="31"/>
  <c r="T16" i="31"/>
  <c r="AA15" i="31"/>
  <c r="W15" i="31"/>
  <c r="T15" i="31"/>
  <c r="AA14" i="31"/>
  <c r="T14" i="31"/>
  <c r="AA13" i="31"/>
  <c r="W13" i="31"/>
  <c r="T13" i="31"/>
  <c r="AA12" i="31"/>
  <c r="W12" i="31"/>
  <c r="T12" i="31"/>
  <c r="AA11" i="31"/>
  <c r="W11" i="31"/>
  <c r="T11" i="31"/>
  <c r="AA10" i="31"/>
  <c r="W10" i="31"/>
  <c r="T10" i="31"/>
  <c r="AA9" i="31"/>
  <c r="W9" i="31"/>
  <c r="T9" i="31"/>
  <c r="M32" i="31" l="1"/>
  <c r="Q32" i="31" l="1"/>
  <c r="J452" i="1"/>
  <c r="J607" i="1"/>
  <c r="J606" i="1"/>
  <c r="J605" i="1"/>
  <c r="J526" i="1"/>
  <c r="J525" i="1"/>
  <c r="J524" i="1"/>
  <c r="J523" i="1"/>
  <c r="J522" i="1"/>
  <c r="J507" i="1"/>
  <c r="J501" i="1"/>
  <c r="J500" i="1"/>
  <c r="J499" i="1"/>
  <c r="J498" i="1"/>
  <c r="J645" i="1"/>
  <c r="J495" i="1"/>
  <c r="J494" i="1"/>
  <c r="J493" i="1"/>
  <c r="J491" i="1"/>
  <c r="J490" i="1"/>
  <c r="J489" i="1"/>
  <c r="J488" i="1"/>
  <c r="J484" i="1"/>
  <c r="J483" i="1"/>
  <c r="J482" i="1"/>
  <c r="J471" i="1"/>
  <c r="J464" i="1"/>
  <c r="J463" i="1"/>
  <c r="J462" i="1"/>
  <c r="J453" i="1"/>
  <c r="J404" i="1"/>
  <c r="J396" i="1"/>
  <c r="J395" i="1"/>
  <c r="J391" i="1"/>
  <c r="J390" i="1"/>
  <c r="J381" i="1"/>
  <c r="J378" i="1"/>
  <c r="J372" i="1"/>
  <c r="J367" i="1"/>
  <c r="J181" i="1"/>
  <c r="J173" i="1"/>
  <c r="J172" i="1"/>
  <c r="J171" i="1"/>
  <c r="J118" i="1"/>
  <c r="J77" i="1"/>
  <c r="J76" i="1"/>
  <c r="J52" i="1"/>
  <c r="J49" i="1"/>
  <c r="J45" i="1"/>
  <c r="J34" i="1"/>
  <c r="J33" i="1"/>
  <c r="J25" i="1"/>
  <c r="J18" i="1"/>
  <c r="J16" i="1"/>
  <c r="J15" i="1"/>
  <c r="J177" i="1"/>
  <c r="AB15" i="24" l="1"/>
  <c r="AI15" i="24" s="1"/>
  <c r="A6" i="1" l="1"/>
  <c r="J20" i="1" l="1"/>
  <c r="J21" i="1"/>
  <c r="J487" i="1"/>
  <c r="AD10" i="24" l="1"/>
  <c r="AK10" i="24" s="1"/>
  <c r="I33" i="24" l="1"/>
  <c r="H33" i="24"/>
  <c r="AD12" i="24"/>
  <c r="AK12" i="24" s="1"/>
  <c r="AB12" i="24"/>
  <c r="AI12" i="24" s="1"/>
  <c r="AB14" i="24"/>
  <c r="AI14" i="24" s="1"/>
  <c r="AB13" i="24"/>
  <c r="AI13" i="24" s="1"/>
  <c r="AD23" i="24"/>
  <c r="AK23" i="24" s="1"/>
  <c r="AB23" i="24"/>
  <c r="AI23" i="24" s="1"/>
  <c r="AD21" i="24"/>
  <c r="AK21" i="24" s="1"/>
  <c r="AB21" i="24"/>
  <c r="AI21" i="24" s="1"/>
  <c r="AD11" i="24"/>
  <c r="AC11" i="24"/>
  <c r="AJ11" i="24" s="1"/>
  <c r="AB11" i="24"/>
  <c r="AI11" i="24" s="1"/>
  <c r="AB22" i="24"/>
  <c r="AI22" i="24" s="1"/>
  <c r="AB18" i="24"/>
  <c r="AI18" i="24" s="1"/>
  <c r="AD28" i="24"/>
  <c r="AK28" i="24" s="1"/>
  <c r="AB28" i="24"/>
  <c r="AI28" i="24" s="1"/>
  <c r="AD27" i="24"/>
  <c r="AK27" i="24" s="1"/>
  <c r="AB27" i="24"/>
  <c r="AI27" i="24" s="1"/>
  <c r="AD26" i="24"/>
  <c r="AK26" i="24" s="1"/>
  <c r="AB26" i="24"/>
  <c r="AD25" i="24"/>
  <c r="AK25" i="24" s="1"/>
  <c r="AC25" i="24"/>
  <c r="AJ25" i="24" s="1"/>
  <c r="AB25" i="24"/>
  <c r="AI25" i="24" s="1"/>
  <c r="AB17" i="24"/>
  <c r="AI17" i="24" s="1"/>
  <c r="AD16" i="24"/>
  <c r="AK16" i="24" s="1"/>
  <c r="AC16" i="24"/>
  <c r="AJ16" i="24" s="1"/>
  <c r="AB16" i="24"/>
  <c r="AI16" i="24" s="1"/>
  <c r="AB10" i="24"/>
  <c r="AI10" i="24" s="1"/>
  <c r="AD9" i="24"/>
  <c r="AK9" i="24" s="1"/>
  <c r="AC9" i="24"/>
  <c r="AJ9" i="24" s="1"/>
  <c r="AB9" i="24"/>
  <c r="AI9" i="24" s="1"/>
  <c r="AD8" i="24"/>
  <c r="AK8" i="24" s="1"/>
  <c r="AC8" i="24"/>
  <c r="AJ8" i="24" s="1"/>
  <c r="AB8" i="24"/>
  <c r="AA8" i="24"/>
  <c r="Z8" i="24"/>
  <c r="Y8" i="24"/>
  <c r="J363" i="1"/>
  <c r="J362" i="1"/>
  <c r="J174" i="1"/>
  <c r="J176" i="1"/>
  <c r="J175" i="1"/>
  <c r="J83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8" i="1"/>
  <c r="J609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1" i="1"/>
  <c r="J520" i="1"/>
  <c r="J519" i="1"/>
  <c r="J518" i="1"/>
  <c r="J517" i="1"/>
  <c r="J516" i="1"/>
  <c r="J515" i="1"/>
  <c r="J514" i="1"/>
  <c r="J513" i="1"/>
  <c r="J527" i="1"/>
  <c r="J512" i="1"/>
  <c r="J511" i="1"/>
  <c r="J510" i="1"/>
  <c r="J509" i="1"/>
  <c r="J508" i="1"/>
  <c r="J506" i="1"/>
  <c r="J505" i="1"/>
  <c r="J504" i="1"/>
  <c r="J503" i="1"/>
  <c r="J502" i="1"/>
  <c r="J497" i="1"/>
  <c r="J492" i="1"/>
  <c r="J481" i="1"/>
  <c r="J480" i="1"/>
  <c r="J472" i="1"/>
  <c r="J479" i="1"/>
  <c r="J478" i="1"/>
  <c r="J477" i="1"/>
  <c r="J476" i="1"/>
  <c r="J475" i="1"/>
  <c r="J474" i="1"/>
  <c r="J473" i="1"/>
  <c r="J470" i="1"/>
  <c r="J469" i="1"/>
  <c r="J468" i="1"/>
  <c r="J467" i="1"/>
  <c r="J466" i="1"/>
  <c r="J465" i="1"/>
  <c r="J461" i="1"/>
  <c r="J460" i="1"/>
  <c r="J459" i="1"/>
  <c r="J458" i="1"/>
  <c r="J457" i="1"/>
  <c r="J451" i="1"/>
  <c r="J455" i="1"/>
  <c r="J450" i="1"/>
  <c r="J456" i="1"/>
  <c r="J449" i="1"/>
  <c r="J448" i="1"/>
  <c r="J447" i="1"/>
  <c r="J446" i="1"/>
  <c r="J445" i="1"/>
  <c r="J444" i="1"/>
  <c r="J443" i="1"/>
  <c r="J442" i="1"/>
  <c r="J441" i="1"/>
  <c r="J440" i="1"/>
  <c r="J439" i="1"/>
  <c r="J486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3" i="1"/>
  <c r="J402" i="1"/>
  <c r="J394" i="1"/>
  <c r="J485" i="1"/>
  <c r="J393" i="1"/>
  <c r="J398" i="1"/>
  <c r="J400" i="1"/>
  <c r="J399" i="1"/>
  <c r="J401" i="1"/>
  <c r="J397" i="1"/>
  <c r="J392" i="1"/>
  <c r="J384" i="1"/>
  <c r="J383" i="1"/>
  <c r="J389" i="1"/>
  <c r="J388" i="1"/>
  <c r="J387" i="1"/>
  <c r="J386" i="1"/>
  <c r="J385" i="1"/>
  <c r="J382" i="1"/>
  <c r="J380" i="1"/>
  <c r="J373" i="1"/>
  <c r="J371" i="1"/>
  <c r="J370" i="1"/>
  <c r="J369" i="1"/>
  <c r="J368" i="1"/>
  <c r="J377" i="1"/>
  <c r="J376" i="1"/>
  <c r="J375" i="1"/>
  <c r="J374" i="1"/>
  <c r="J379" i="1"/>
  <c r="J366" i="1"/>
  <c r="J365" i="1"/>
  <c r="J364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22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178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17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79" i="1"/>
  <c r="J180" i="1"/>
  <c r="J26" i="1"/>
  <c r="J44" i="1"/>
  <c r="J43" i="1"/>
  <c r="J42" i="1"/>
  <c r="J41" i="1"/>
  <c r="J40" i="1"/>
  <c r="J39" i="1"/>
  <c r="J38" i="1"/>
  <c r="J37" i="1"/>
  <c r="J36" i="1"/>
  <c r="J35" i="1"/>
  <c r="J31" i="1"/>
  <c r="J32" i="1"/>
  <c r="J170" i="1"/>
  <c r="J169" i="1"/>
  <c r="J28" i="1"/>
  <c r="J168" i="1"/>
  <c r="J167" i="1"/>
  <c r="J166" i="1"/>
  <c r="J165" i="1"/>
  <c r="J164" i="1"/>
  <c r="J163" i="1"/>
  <c r="J29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496" i="1"/>
  <c r="J141" i="1"/>
  <c r="J140" i="1"/>
  <c r="J139" i="1"/>
  <c r="J138" i="1"/>
  <c r="J137" i="1"/>
  <c r="J136" i="1"/>
  <c r="J135" i="1"/>
  <c r="J24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30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23" i="1"/>
  <c r="J96" i="1"/>
  <c r="J95" i="1"/>
  <c r="J94" i="1"/>
  <c r="J93" i="1"/>
  <c r="J92" i="1"/>
  <c r="J27" i="1"/>
  <c r="J91" i="1"/>
  <c r="J7" i="1"/>
  <c r="J81" i="1"/>
  <c r="J90" i="1"/>
  <c r="J89" i="1"/>
  <c r="J80" i="1"/>
  <c r="J88" i="1"/>
  <c r="J87" i="1"/>
  <c r="J86" i="1"/>
  <c r="J85" i="1"/>
  <c r="J84" i="1"/>
  <c r="J82" i="1"/>
  <c r="J6" i="1"/>
  <c r="J19" i="1"/>
  <c r="J78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6" i="1"/>
  <c r="J58" i="1"/>
  <c r="J57" i="1"/>
  <c r="J54" i="1"/>
  <c r="J53" i="1"/>
  <c r="J79" i="1"/>
  <c r="J51" i="1"/>
  <c r="J50" i="1"/>
  <c r="J48" i="1"/>
  <c r="J46" i="1"/>
  <c r="J47" i="1"/>
  <c r="J14" i="1"/>
  <c r="J13" i="1"/>
  <c r="J12" i="1"/>
  <c r="J11" i="1"/>
  <c r="J10" i="1"/>
  <c r="J9" i="1"/>
  <c r="J438" i="1"/>
  <c r="J8" i="1"/>
  <c r="J5" i="1"/>
  <c r="A5" i="1"/>
  <c r="AI8" i="24" l="1"/>
  <c r="AF8" i="24"/>
  <c r="AK11" i="24"/>
  <c r="AG8" i="24"/>
  <c r="AI26" i="24"/>
  <c r="AH8" i="24"/>
  <c r="Y35" i="24" l="1"/>
  <c r="AF35" i="24"/>
</calcChain>
</file>

<file path=xl/comments1.xml><?xml version="1.0" encoding="utf-8"?>
<comments xmlns="http://schemas.openxmlformats.org/spreadsheetml/2006/main">
  <authors>
    <author>DIAN ADIYANTI</author>
  </authors>
  <commentList>
    <comment ref="D498" authorId="0" shapeId="0">
      <text>
        <r>
          <rPr>
            <b/>
            <sz val="9"/>
            <rFont val="Tahoma"/>
            <family val="2"/>
          </rPr>
          <t>DIAN ADIYANTI:</t>
        </r>
        <r>
          <rPr>
            <sz val="9"/>
            <rFont val="Tahoma"/>
            <family val="2"/>
          </rPr>
          <t xml:space="preserve">
Menunggu nomer ID keluar setelah training mandatory </t>
        </r>
      </text>
    </comment>
  </commentList>
</comments>
</file>

<file path=xl/sharedStrings.xml><?xml version="1.0" encoding="utf-8"?>
<sst xmlns="http://schemas.openxmlformats.org/spreadsheetml/2006/main" count="16170" uniqueCount="5345">
  <si>
    <t xml:space="preserve">Count of NAMA </t>
  </si>
  <si>
    <t>AMQ</t>
  </si>
  <si>
    <t>BPN</t>
  </si>
  <si>
    <t>BTH</t>
  </si>
  <si>
    <t>CBN</t>
  </si>
  <si>
    <t>CGK</t>
  </si>
  <si>
    <t>DPS</t>
  </si>
  <si>
    <t>HLP</t>
  </si>
  <si>
    <t>KNO</t>
  </si>
  <si>
    <t>KOE</t>
  </si>
  <si>
    <t>KUL</t>
  </si>
  <si>
    <t>LOP</t>
  </si>
  <si>
    <t>MDC</t>
  </si>
  <si>
    <t xml:space="preserve">PLM </t>
  </si>
  <si>
    <t>SOC</t>
  </si>
  <si>
    <t>SRG</t>
  </si>
  <si>
    <t>SUB</t>
  </si>
  <si>
    <t>UPG</t>
  </si>
  <si>
    <t>PDG</t>
  </si>
  <si>
    <t xml:space="preserve">PKU </t>
  </si>
  <si>
    <t xml:space="preserve">AIRCRAFT PAINTING </t>
  </si>
  <si>
    <t>ASST. PEMBINA ( DEPUTY )</t>
  </si>
  <si>
    <t>GROUP LEADER AEC A</t>
  </si>
  <si>
    <t>GROUP LEADER AEC B</t>
  </si>
  <si>
    <t>GROUP LEADER AIC T1A-A</t>
  </si>
  <si>
    <t>GROUP LEADER AIC T1A-B</t>
  </si>
  <si>
    <t>GROUP LEADER AIC T1A-C</t>
  </si>
  <si>
    <t>GROUP LEADER AIC T2D-A</t>
  </si>
  <si>
    <t>GROUP LEADER AIC T2D-B</t>
  </si>
  <si>
    <t>GROUP LEADER AIC T2D-C</t>
  </si>
  <si>
    <t>GROUP LEADER AIC T2E-A</t>
  </si>
  <si>
    <t>GROUP LEADER AIC T2E-B</t>
  </si>
  <si>
    <t>GROUP LEADER AIC T2E-C</t>
  </si>
  <si>
    <t>GROUP LEADER AIEC BPN</t>
  </si>
  <si>
    <t>GROUP LEADER AIEC BTH</t>
  </si>
  <si>
    <t>GROUP LEADER AIEC HLP</t>
  </si>
  <si>
    <t>GROUP LEADER AIEC KNO A</t>
  </si>
  <si>
    <t>GROUP LEADER AIEC KNO C</t>
  </si>
  <si>
    <t>GROUP LEADER AIEC KNO D</t>
  </si>
  <si>
    <t>GROUP LEADER AIEC KOE</t>
  </si>
  <si>
    <t>GROUP LEADER AIEC MDC - AMQ</t>
  </si>
  <si>
    <t>GROUP LEADER AIEC SUB A</t>
  </si>
  <si>
    <t>GROUP LEADER AIEC SUB B</t>
  </si>
  <si>
    <t>GROUP LEADER AIEC SUB C</t>
  </si>
  <si>
    <t>GROUP LEADER AIEC SUB D</t>
  </si>
  <si>
    <t>GROUP LEADER AIEC UPG A</t>
  </si>
  <si>
    <t>GROUP LEADER AIEC UPG B</t>
  </si>
  <si>
    <t>GROUP LEADER AIEC UPG C</t>
  </si>
  <si>
    <t>GROUP LEADER AIEC UPG D</t>
  </si>
  <si>
    <t>GROUP LEADER CBM BPN</t>
  </si>
  <si>
    <t>GROUP LEADER CBM DPS</t>
  </si>
  <si>
    <t>GROUP LEADER CBM HLP A</t>
  </si>
  <si>
    <t>GROUP LEADER CBM HLP B</t>
  </si>
  <si>
    <t>GROUP LEADER CBM HLP C</t>
  </si>
  <si>
    <t>GROUP LEADER CBM HLP D</t>
  </si>
  <si>
    <t>GROUP LEADER CBM IRREG &amp; PROJECT ( ASSIST. PIC MAINSTA )</t>
  </si>
  <si>
    <t>GROUP LEADER CBM IRREG &amp; PROJECT A</t>
  </si>
  <si>
    <t>GROUP LEADER CBM IRREG &amp; PROJECT B</t>
  </si>
  <si>
    <t>GROUP LEADER CBM KNO A</t>
  </si>
  <si>
    <t>GROUP LEADER CBM KNO B</t>
  </si>
  <si>
    <t>GROUP LEADER CBM KNO C</t>
  </si>
  <si>
    <t>GROUP LEADER CBM KNO D</t>
  </si>
  <si>
    <t>GROUP LEADER CBM KOE</t>
  </si>
  <si>
    <t>GROUP LEADER CBM MDC</t>
  </si>
  <si>
    <t>GROUP LEADER CBM ON-DUTY A</t>
  </si>
  <si>
    <t>GROUP LEADER CBM ON-DUTY C</t>
  </si>
  <si>
    <t>GROUP LEADER CBM ON-DUTY D</t>
  </si>
  <si>
    <t>GROUP LEADER CBM OPS A</t>
  </si>
  <si>
    <t>GROUP LEADER CBM OPS B</t>
  </si>
  <si>
    <t>GROUP LEADER CBM OPS C</t>
  </si>
  <si>
    <t>GROUP LEADER CBM SOC</t>
  </si>
  <si>
    <t>GROUP LEADER CBM SUB A</t>
  </si>
  <si>
    <t>GROUP LEADER CBM SUB B</t>
  </si>
  <si>
    <t>GROUP LEADER CBM SUB C</t>
  </si>
  <si>
    <t>GROUP LEADER CBM SUB D</t>
  </si>
  <si>
    <t>GROUP LEADER CBM SUPPORTING GENERAL &amp; ASSET</t>
  </si>
  <si>
    <t>GROUP LEADER CBM UPG A</t>
  </si>
  <si>
    <t>GROUP LEADER CBM UPG B</t>
  </si>
  <si>
    <t>GROUP LEADER CBM UPG C</t>
  </si>
  <si>
    <t>GROUP LEADER CBM UPG D</t>
  </si>
  <si>
    <t>GROUP LEADER CBM WO/DMI/NSRDIL/TS A</t>
  </si>
  <si>
    <t>GROUP LEADER CBM WO/DMI/NSRDIL/TS B</t>
  </si>
  <si>
    <t>GROUP LEADER CBM WO/DMI/NSRDIL/TS C</t>
  </si>
  <si>
    <t>GROUP LEADER CBM WO/DMI/NSRDIL/TS D</t>
  </si>
  <si>
    <t>MEKANIK CBM</t>
  </si>
  <si>
    <t>PEMBINA CABIN MAINTENANCE</t>
  </si>
  <si>
    <t>PIC AIEC MAIN STATION</t>
  </si>
  <si>
    <t>PIC AIEC OUT STATION</t>
  </si>
  <si>
    <t>PIC AIRCRAFT PAINTING</t>
  </si>
  <si>
    <t>PIC CABIN SUPPORTING</t>
  </si>
  <si>
    <t>PIC CBM MAIN STATION</t>
  </si>
  <si>
    <t>PIC CBM ON-DUTY ( CONTROLLER )</t>
  </si>
  <si>
    <t>PIC CBM OUTSTATION-A</t>
  </si>
  <si>
    <t>PIC CBM OUTSTATION-B</t>
  </si>
  <si>
    <t>PIC CBM PROD. INSPECTION</t>
  </si>
  <si>
    <t>STAFF AC ( AIRCRAFT CLEANING )</t>
  </si>
  <si>
    <t>STAFF CABIN SUPPORTING</t>
  </si>
  <si>
    <t xml:space="preserve">STAFF CBM ON-DUTY A </t>
  </si>
  <si>
    <t>SURVEYOR ( PI )</t>
  </si>
  <si>
    <t xml:space="preserve">STAFF CBM ON-DUTY D </t>
  </si>
  <si>
    <t xml:space="preserve">STAFF CBM ON-DUTY C </t>
  </si>
  <si>
    <t xml:space="preserve">STAFF CBM ON-DUTY B </t>
  </si>
  <si>
    <t xml:space="preserve">MEKANIK CBM </t>
  </si>
  <si>
    <t xml:space="preserve">GROUP LEADER CBM OPS D </t>
  </si>
  <si>
    <t>GROUP LEADER CBM SRG</t>
  </si>
  <si>
    <t xml:space="preserve">GROUP LEADER CBM AMQ </t>
  </si>
  <si>
    <t xml:space="preserve">GROUP LEADER CBM PLM </t>
  </si>
  <si>
    <t xml:space="preserve">JABATAN </t>
  </si>
  <si>
    <t>AHMAD FATHUROHMAN</t>
  </si>
  <si>
    <t>BAMBANG YULIARDI</t>
  </si>
  <si>
    <t>DENNIS FEBRIAN KIRANA</t>
  </si>
  <si>
    <t>M. ROKIB</t>
  </si>
  <si>
    <t>NANANG MURJIANTO</t>
  </si>
  <si>
    <t>NASRUDIN</t>
  </si>
  <si>
    <t>NU'MAN ERIANDA</t>
  </si>
  <si>
    <t>SUPRIYATNA</t>
  </si>
  <si>
    <t>WAHJUDI PRIJOSEDJATI</t>
  </si>
  <si>
    <t xml:space="preserve">HARIS AFENI </t>
  </si>
  <si>
    <t xml:space="preserve">JAKA SURIPTO </t>
  </si>
  <si>
    <t>NO. ID</t>
  </si>
  <si>
    <t xml:space="preserve">NAMA </t>
  </si>
  <si>
    <t>STATION</t>
  </si>
  <si>
    <t xml:space="preserve">ATASAN LANGSUNG ( PIC,DEPUTY,DLL ) </t>
  </si>
  <si>
    <t xml:space="preserve">PEMBINA CABIN MAINTENANCE </t>
  </si>
  <si>
    <t xml:space="preserve">DENNIS FEBRIAN KIRANA </t>
  </si>
  <si>
    <t xml:space="preserve">M. FARHAN FATHURRAHMAN </t>
  </si>
  <si>
    <t xml:space="preserve">SURVEYOR ( PI ) </t>
  </si>
  <si>
    <t>MUHAMMAD ARFI ABDILLAH</t>
  </si>
  <si>
    <t>RM  IQBAL</t>
  </si>
  <si>
    <t xml:space="preserve">YAYAT KURNIAWAN </t>
  </si>
  <si>
    <t xml:space="preserve">BDJ </t>
  </si>
  <si>
    <t xml:space="preserve">STAFF AC ( AIRCRAFT CLEANING ) </t>
  </si>
  <si>
    <t xml:space="preserve">SUPRIYATNA </t>
  </si>
  <si>
    <t>BAGUS RACHMANTO</t>
  </si>
  <si>
    <t xml:space="preserve">GROUP LEADER CBM BPN </t>
  </si>
  <si>
    <t xml:space="preserve">WAHJUDI PRIJOSEDJATI </t>
  </si>
  <si>
    <t>LASINO</t>
  </si>
  <si>
    <t xml:space="preserve">AGUS TRI WIBISONO </t>
  </si>
  <si>
    <t>KEVIN WIJAYA TANDAYU</t>
  </si>
  <si>
    <t>HARIS AFENI</t>
  </si>
  <si>
    <t xml:space="preserve">PIC CABIN SUPPORTING </t>
  </si>
  <si>
    <t xml:space="preserve">NU'MAN ERIANDA </t>
  </si>
  <si>
    <t>MOH. ABU SOFYAN</t>
  </si>
  <si>
    <t xml:space="preserve">ASST. PEMBINA ( DEPUTY ) </t>
  </si>
  <si>
    <t>HENDRA WIJAYA</t>
  </si>
  <si>
    <t xml:space="preserve">M. ROKIB </t>
  </si>
  <si>
    <t>MUDIONO</t>
  </si>
  <si>
    <t>ABDUL SYUKUR</t>
  </si>
  <si>
    <t xml:space="preserve">GROUP LEADER CBM IRREG &amp; PROJECT ( ASSIST. PIC MAINSTA ) </t>
  </si>
  <si>
    <t xml:space="preserve">PIC CBM PROD. INSPECTION </t>
  </si>
  <si>
    <t xml:space="preserve">AHMAD FATHUROHMAN </t>
  </si>
  <si>
    <t xml:space="preserve">PIC CBM ON-DUTY ( CONTROLLER ) </t>
  </si>
  <si>
    <t>SUPRAPTO</t>
  </si>
  <si>
    <t>JOKO SUPRAYITNO</t>
  </si>
  <si>
    <t xml:space="preserve">STAFF CABIN SUPPORTING </t>
  </si>
  <si>
    <t>HAERUDIN</t>
  </si>
  <si>
    <t xml:space="preserve">GROUP LEADER CBM IRREG &amp; PROJECT B </t>
  </si>
  <si>
    <t>SANWANI</t>
  </si>
  <si>
    <t xml:space="preserve">DARSONO </t>
  </si>
  <si>
    <t>SYAIDATUL KHUDRI</t>
  </si>
  <si>
    <t>ASEP DANI</t>
  </si>
  <si>
    <t>JAELANI</t>
  </si>
  <si>
    <t xml:space="preserve">BUDI KUSUMAH </t>
  </si>
  <si>
    <t xml:space="preserve">ANDI RAHMAN </t>
  </si>
  <si>
    <t>SIGIT SINDU WIJAYA</t>
  </si>
  <si>
    <t xml:space="preserve">RIDWAN </t>
  </si>
  <si>
    <t xml:space="preserve">DARUSALAM </t>
  </si>
  <si>
    <t xml:space="preserve">AMINUDIN </t>
  </si>
  <si>
    <t xml:space="preserve">GROUP LEADER CBM ON-DUTY C </t>
  </si>
  <si>
    <t xml:space="preserve">ROBI </t>
  </si>
  <si>
    <t xml:space="preserve">M. KHAERUL UMAM </t>
  </si>
  <si>
    <t>ANIS</t>
  </si>
  <si>
    <t xml:space="preserve">UMAEDI </t>
  </si>
  <si>
    <t xml:space="preserve">MOCH. ISMAIL JAYA KUSUMA </t>
  </si>
  <si>
    <t xml:space="preserve">MURSAN </t>
  </si>
  <si>
    <t>ARI ARBIANTO</t>
  </si>
  <si>
    <t>DANI SETIAWAN</t>
  </si>
  <si>
    <t>NURHASIM</t>
  </si>
  <si>
    <t>ANGGIA DHATY VIQUEQUE</t>
  </si>
  <si>
    <t>MIFTAHUDIN</t>
  </si>
  <si>
    <t>MUHAMMAD RIZZA EKA PERMANA</t>
  </si>
  <si>
    <t>AIP RUSIDY</t>
  </si>
  <si>
    <t xml:space="preserve">NANANG MURJIANTO </t>
  </si>
  <si>
    <t>NANDA</t>
  </si>
  <si>
    <t>JEPRI GULTOM</t>
  </si>
  <si>
    <t>IRFAN</t>
  </si>
  <si>
    <t xml:space="preserve">HERI SUHAIRI </t>
  </si>
  <si>
    <t>MARCELINO JERRY TIMPAL</t>
  </si>
  <si>
    <t xml:space="preserve">PIC CBM OUTSTATION-A </t>
  </si>
  <si>
    <t>BENI ARISANDI</t>
  </si>
  <si>
    <t>RAHMAD EKO CAHYONO</t>
  </si>
  <si>
    <t>KUKUH ALIM SATRIYA</t>
  </si>
  <si>
    <t>MOCH BUDI APRILYONO</t>
  </si>
  <si>
    <t>DIANTORO</t>
  </si>
  <si>
    <t>FARID KURNIAWAN</t>
  </si>
  <si>
    <t>SURYO OENTORO WIGUNO</t>
  </si>
  <si>
    <t>YOVI ARINGGA</t>
  </si>
  <si>
    <t>NOVA SUBIANTO</t>
  </si>
  <si>
    <t>SAMSUL BIN MUHD SALEH</t>
  </si>
  <si>
    <t>MUH IKRAM</t>
  </si>
  <si>
    <t>ROSIMAN</t>
  </si>
  <si>
    <t>BABAY SUHAYANI</t>
  </si>
  <si>
    <t>ISRO MAULANA</t>
  </si>
  <si>
    <t xml:space="preserve">HERDIANSYAH </t>
  </si>
  <si>
    <t>KHUSNUL PADILA</t>
  </si>
  <si>
    <t xml:space="preserve">JANTER SEM SIMBOLON </t>
  </si>
  <si>
    <t xml:space="preserve">DINA RACHMAWATI </t>
  </si>
  <si>
    <t xml:space="preserve">KALIS NIR SAMBIKALA </t>
  </si>
  <si>
    <t>DODY WIRMAN</t>
  </si>
  <si>
    <t>DENI ANDREANUS</t>
  </si>
  <si>
    <t>JIHAN DWI TAMIRA</t>
  </si>
  <si>
    <t>KAREL BANDASO</t>
  </si>
  <si>
    <t>GROUP LEADER CBM AMQ</t>
  </si>
  <si>
    <t>STEFANNO KRESTO T</t>
  </si>
  <si>
    <t>FERDINAND F LELAPARY</t>
  </si>
  <si>
    <t>YANDRI PAPILAYA</t>
  </si>
  <si>
    <t>RAMTIN RAMLI</t>
  </si>
  <si>
    <t>AGUSTINUS REYAAN</t>
  </si>
  <si>
    <t>SUTIYO</t>
  </si>
  <si>
    <t>ABDUL HAMID</t>
  </si>
  <si>
    <t>SUNARNO SETIYONO</t>
  </si>
  <si>
    <t>DEDY TRI HARIANTO</t>
  </si>
  <si>
    <t xml:space="preserve">GROUP LEADER AIEC BPN </t>
  </si>
  <si>
    <t>HENDI SAPUTRO</t>
  </si>
  <si>
    <t>AFRIZAL</t>
  </si>
  <si>
    <t>ENENG SULUH KARTIKO</t>
  </si>
  <si>
    <t>EDDY SARWO WIBOWO</t>
  </si>
  <si>
    <t>FAKHRIZAL ZULNI</t>
  </si>
  <si>
    <t>PRISWANTO</t>
  </si>
  <si>
    <t>ACO</t>
  </si>
  <si>
    <t>RIZKY ADHITYA WARDHANA</t>
  </si>
  <si>
    <t>RACHMAD</t>
  </si>
  <si>
    <t>HARIS</t>
  </si>
  <si>
    <t>ARIEF WANGSA</t>
  </si>
  <si>
    <t>MUHAMMAD RIDWAN</t>
  </si>
  <si>
    <t>ZAINUDIN AL AFGANI HARAHAP</t>
  </si>
  <si>
    <t>MULIA HASIBUAN</t>
  </si>
  <si>
    <t>SOFYAN HUSIN</t>
  </si>
  <si>
    <t>REZA DESVARY HASIBUAN</t>
  </si>
  <si>
    <t>SAMLAN</t>
  </si>
  <si>
    <t>SYAFRI AZIZ</t>
  </si>
  <si>
    <t>RIAN JUFRIYANTO</t>
  </si>
  <si>
    <t>YOUSEB DIAN ISTANA</t>
  </si>
  <si>
    <t>DIAN ADIYANTI</t>
  </si>
  <si>
    <t>LILI MULYANA</t>
  </si>
  <si>
    <t>HERI RISMAWAN</t>
  </si>
  <si>
    <t>SYAHRONI</t>
  </si>
  <si>
    <t>USEP SAEFUL</t>
  </si>
  <si>
    <t>MUHAMAD ROKIB</t>
  </si>
  <si>
    <t xml:space="preserve">PIC CBM MAIN STATION </t>
  </si>
  <si>
    <t>ABDUL ROSAD</t>
  </si>
  <si>
    <t xml:space="preserve">GROUP LEADER CBM OPS A </t>
  </si>
  <si>
    <t>ALVIRA</t>
  </si>
  <si>
    <t>HERLAN RIDWANSYAH</t>
  </si>
  <si>
    <t>HENDRA NURDIANSYAH</t>
  </si>
  <si>
    <t>NAWAWI</t>
  </si>
  <si>
    <t xml:space="preserve">GROUP LEADER CBM WO/DMI/NSRDIL/TS A </t>
  </si>
  <si>
    <t>SUDARMAN</t>
  </si>
  <si>
    <t>SANDI YULIANTO</t>
  </si>
  <si>
    <t>SUROYO</t>
  </si>
  <si>
    <t>RAHMAT PIDRI</t>
  </si>
  <si>
    <t>M. RAMADHAN KURNIA ISKANDAR</t>
  </si>
  <si>
    <t>AHMAD NURJAYA</t>
  </si>
  <si>
    <t>SUHANDI</t>
  </si>
  <si>
    <t>ABDUL HALIM</t>
  </si>
  <si>
    <t>ALDI MASTIO</t>
  </si>
  <si>
    <t>ABDUL HOLIK</t>
  </si>
  <si>
    <t>HERY SUDARTO</t>
  </si>
  <si>
    <t xml:space="preserve">AHMAD FAUZI </t>
  </si>
  <si>
    <t>ARIP DADAN A H</t>
  </si>
  <si>
    <t>PEBRIANSYAH WIDYA GUMILAR</t>
  </si>
  <si>
    <t xml:space="preserve">REYNALDI </t>
  </si>
  <si>
    <t xml:space="preserve">MUHAMAD ARSUDIN </t>
  </si>
  <si>
    <t xml:space="preserve">RAHMAT HIDAYAT </t>
  </si>
  <si>
    <t>RESTU PANUTAN</t>
  </si>
  <si>
    <t xml:space="preserve">GROUP LEADER CBM OPS C </t>
  </si>
  <si>
    <t xml:space="preserve">ADE MASPUROHMAN </t>
  </si>
  <si>
    <t>AFRYAN ZENDRIAWAN</t>
  </si>
  <si>
    <t xml:space="preserve">SYARIF HIDAYAT </t>
  </si>
  <si>
    <t xml:space="preserve">ILHAM RUCHIYAT </t>
  </si>
  <si>
    <t xml:space="preserve">GROUP LEADER CBM ON-DUTY D </t>
  </si>
  <si>
    <t xml:space="preserve">NIKO IRIANTO </t>
  </si>
  <si>
    <t xml:space="preserve">ADE PERMANA </t>
  </si>
  <si>
    <t xml:space="preserve">SUGENG ASDODI </t>
  </si>
  <si>
    <t xml:space="preserve">MN. SYAWALUDIN </t>
  </si>
  <si>
    <t>SYAIFUL ANWAR</t>
  </si>
  <si>
    <t>SUTRISMAN</t>
  </si>
  <si>
    <t xml:space="preserve">JUNGJUNGAN SIHALOHO </t>
  </si>
  <si>
    <t xml:space="preserve">AJI FAHROJI </t>
  </si>
  <si>
    <t xml:space="preserve">DASWEN APURI </t>
  </si>
  <si>
    <t xml:space="preserve">MUKTAR WIRADINATA </t>
  </si>
  <si>
    <t>AGUNG AGUSTONO</t>
  </si>
  <si>
    <t>WAHYU PANGESTU</t>
  </si>
  <si>
    <t xml:space="preserve">KURNIADI SAPUTRA </t>
  </si>
  <si>
    <t>MUHAMAD YUNUS</t>
  </si>
  <si>
    <t xml:space="preserve">ARISMAN </t>
  </si>
  <si>
    <t>KABIRUDIN</t>
  </si>
  <si>
    <t xml:space="preserve">ANDI WERDANA </t>
  </si>
  <si>
    <t xml:space="preserve">RAHMAT </t>
  </si>
  <si>
    <t xml:space="preserve">ARYO PRABOWO </t>
  </si>
  <si>
    <t xml:space="preserve">WANDA </t>
  </si>
  <si>
    <t>JONATHAN ZAPTYA PURNAMA I</t>
  </si>
  <si>
    <t xml:space="preserve">ABDUL ROSYID </t>
  </si>
  <si>
    <t>MOHAMAD ARIF NURBAKTI</t>
  </si>
  <si>
    <t xml:space="preserve">M. IQBAL MAULANA </t>
  </si>
  <si>
    <t xml:space="preserve">GROUP LEADER CBM ON-DUTY B </t>
  </si>
  <si>
    <t xml:space="preserve">MUHAMAD SYAM </t>
  </si>
  <si>
    <t xml:space="preserve">ILYAS MUJAHIDIN </t>
  </si>
  <si>
    <t xml:space="preserve">AKHMAD RIZKY </t>
  </si>
  <si>
    <t>DARUL FIKRI</t>
  </si>
  <si>
    <t>MIFTAHUL AZIS</t>
  </si>
  <si>
    <t xml:space="preserve">ISMET </t>
  </si>
  <si>
    <t>AHMAD HAITAMI</t>
  </si>
  <si>
    <t>DENI ISKANDAR</t>
  </si>
  <si>
    <t>FERY ARDIANSYAH</t>
  </si>
  <si>
    <t>SAIFUL MA'ARIF</t>
  </si>
  <si>
    <t xml:space="preserve">SAMBUDI DARMAESA </t>
  </si>
  <si>
    <t xml:space="preserve">ASEP SAIPULLAH </t>
  </si>
  <si>
    <t>DUKI SAPI'IH</t>
  </si>
  <si>
    <t>M. ALIF MUTTAQIEN</t>
  </si>
  <si>
    <t xml:space="preserve">MUZAID DAHLAN </t>
  </si>
  <si>
    <t xml:space="preserve">M. ABDUL CIMANG </t>
  </si>
  <si>
    <t xml:space="preserve">SYAFRUDIN </t>
  </si>
  <si>
    <t xml:space="preserve">AHMAD HERIYANSYAH </t>
  </si>
  <si>
    <t>FREDDY EKO IRIYANTO</t>
  </si>
  <si>
    <t xml:space="preserve">KARNO </t>
  </si>
  <si>
    <t xml:space="preserve">IMRON ROSYADI </t>
  </si>
  <si>
    <t xml:space="preserve">DEDE IVAN RISTIOVAN </t>
  </si>
  <si>
    <t xml:space="preserve">GROUP LEADER CBM ON-DUTY A </t>
  </si>
  <si>
    <t>M. MUFTI ROHIMIN</t>
  </si>
  <si>
    <t>BERRY YANSAH</t>
  </si>
  <si>
    <t>AFIFUDIN</t>
  </si>
  <si>
    <t>FATHULLOH</t>
  </si>
  <si>
    <t xml:space="preserve">PAINTER </t>
  </si>
  <si>
    <t xml:space="preserve">NASRUDIN </t>
  </si>
  <si>
    <t xml:space="preserve">PIC AIRCRAFT PAINTING </t>
  </si>
  <si>
    <t>WAHYUDIN</t>
  </si>
  <si>
    <t>SEPULLOH</t>
  </si>
  <si>
    <t>RUDI BIN ATAM</t>
  </si>
  <si>
    <t>MUHAMAD ADUNG</t>
  </si>
  <si>
    <t xml:space="preserve">DANIEL LUMBAN GAOL </t>
  </si>
  <si>
    <t>MUHAMAD FAISAL</t>
  </si>
  <si>
    <t>AHMAD YANI</t>
  </si>
  <si>
    <t>SUKIRNO</t>
  </si>
  <si>
    <t>JAKARIA</t>
  </si>
  <si>
    <t>TATANG ERYANA</t>
  </si>
  <si>
    <t>ADE SUTISNA</t>
  </si>
  <si>
    <t>MISAR</t>
  </si>
  <si>
    <t>NANANG KOSIM</t>
  </si>
  <si>
    <t>SUPRIYATNA.</t>
  </si>
  <si>
    <t xml:space="preserve">PIC AIEC OUT STATION </t>
  </si>
  <si>
    <t xml:space="preserve">DEDI MULYADI  </t>
  </si>
  <si>
    <t xml:space="preserve">ODIN </t>
  </si>
  <si>
    <t xml:space="preserve">NURSIN </t>
  </si>
  <si>
    <t>MAESA HIDIR</t>
  </si>
  <si>
    <t>SUHERMAN SUHARDINI</t>
  </si>
  <si>
    <t>RAHMAD</t>
  </si>
  <si>
    <t>ROHMAT FADHILAH</t>
  </si>
  <si>
    <t>CASNADI</t>
  </si>
  <si>
    <t>ARI MAHUDI</t>
  </si>
  <si>
    <t xml:space="preserve">JAENUDIN </t>
  </si>
  <si>
    <t>AKHMAD FAUZI</t>
  </si>
  <si>
    <t>MEMED FERMADI</t>
  </si>
  <si>
    <t>SYAMSUL FAUZI</t>
  </si>
  <si>
    <t xml:space="preserve">SABANI </t>
  </si>
  <si>
    <t>AHMAD MAULANA</t>
  </si>
  <si>
    <t>NANDO</t>
  </si>
  <si>
    <t>GUNADI</t>
  </si>
  <si>
    <t>MUHAMAD AMSORI</t>
  </si>
  <si>
    <t>WINDU SETIAWAN</t>
  </si>
  <si>
    <t>AHMAD NURIL ULUM</t>
  </si>
  <si>
    <t>ADI PRIYANTO</t>
  </si>
  <si>
    <t xml:space="preserve">GROUP LEADER CBM SUPPORTING GENERAL &amp; ASSET </t>
  </si>
  <si>
    <t>SURYADI</t>
  </si>
  <si>
    <t>BAHORI</t>
  </si>
  <si>
    <t xml:space="preserve">GROUP LEADER AEC B </t>
  </si>
  <si>
    <t>TAUFIK HIDAYAT</t>
  </si>
  <si>
    <t>AGUNG ARIF PRIANTO</t>
  </si>
  <si>
    <t>SADARI</t>
  </si>
  <si>
    <t>SUMARNA</t>
  </si>
  <si>
    <t>BAHTIAR</t>
  </si>
  <si>
    <t xml:space="preserve">MOHAMAD ABDL IKROM  </t>
  </si>
  <si>
    <t>ADIM KOMARUDIN</t>
  </si>
  <si>
    <t>SUGANDI</t>
  </si>
  <si>
    <t xml:space="preserve">GROUP LEADER AEC A </t>
  </si>
  <si>
    <t>NAJMUDIN</t>
  </si>
  <si>
    <t>MUHDINI</t>
  </si>
  <si>
    <t>AGUS BUDI PRASETIO</t>
  </si>
  <si>
    <t>MUHAMMAD</t>
  </si>
  <si>
    <t>FIQI ANDRIANSYAH</t>
  </si>
  <si>
    <t>ALVIN IEDHA.A</t>
  </si>
  <si>
    <t>RAHMAT HIDAYAT</t>
  </si>
  <si>
    <t>SAHROJI</t>
  </si>
  <si>
    <t>IDRUS SETIAWAN</t>
  </si>
  <si>
    <t>RUDI BIN HAMDANI</t>
  </si>
  <si>
    <t>ASIP</t>
  </si>
  <si>
    <t>MUHAMAD JUNAIDI</t>
  </si>
  <si>
    <t xml:space="preserve">RIZKY SUHENDAR </t>
  </si>
  <si>
    <t>TINO SETIAWAN</t>
  </si>
  <si>
    <t>ACHMAD RUSDINI</t>
  </si>
  <si>
    <t>M. SAMSUL BAHRI</t>
  </si>
  <si>
    <t>SUPRIADI</t>
  </si>
  <si>
    <t>MARSALI</t>
  </si>
  <si>
    <t>MURSALIM</t>
  </si>
  <si>
    <t>AHMAD SUTRISNA</t>
  </si>
  <si>
    <t>FURQON FAUZIE</t>
  </si>
  <si>
    <t>MAHFUDIN</t>
  </si>
  <si>
    <t>AHMAD SUGERI SURYA W.</t>
  </si>
  <si>
    <t>SUGANDA SASMITA</t>
  </si>
  <si>
    <t>MAMAT</t>
  </si>
  <si>
    <t>ROJALI</t>
  </si>
  <si>
    <t>MUHAMAD ALI TOPAN</t>
  </si>
  <si>
    <t>SABENI</t>
  </si>
  <si>
    <t>UUS FIRDAUS</t>
  </si>
  <si>
    <t>NARMO</t>
  </si>
  <si>
    <t>MUKHAMMAD SOLIKHIN</t>
  </si>
  <si>
    <t>HELMI KRISTIAN ADITYA</t>
  </si>
  <si>
    <t>THRISNA ANDREAN</t>
  </si>
  <si>
    <t>MURIDAH PUSPITA SARI</t>
  </si>
  <si>
    <t>DIAN PUJI LESTARI</t>
  </si>
  <si>
    <t>PIPIT ARINDI</t>
  </si>
  <si>
    <t>NINA MELISA</t>
  </si>
  <si>
    <t>YURIH OKTARINA</t>
  </si>
  <si>
    <t>SITI KOMARIAH</t>
  </si>
  <si>
    <t>TUTI RAHAYU</t>
  </si>
  <si>
    <t>JAKA SURIPTO</t>
  </si>
  <si>
    <t xml:space="preserve">PIC AIEC MAIN STATION </t>
  </si>
  <si>
    <t>M. RIDWAN</t>
  </si>
  <si>
    <t xml:space="preserve">GROUP LEADER AIC T2D-B </t>
  </si>
  <si>
    <t>ERIK SAMOLA</t>
  </si>
  <si>
    <t>ELGI INDRA KURNIAWAN</t>
  </si>
  <si>
    <t>UBAIDILAH</t>
  </si>
  <si>
    <t>IKHSAN HANAPI</t>
  </si>
  <si>
    <t>HERU SANTOSO</t>
  </si>
  <si>
    <t>IMRON ROSADI</t>
  </si>
  <si>
    <t>ROMLI</t>
  </si>
  <si>
    <t>HABIBUL HIPZI</t>
  </si>
  <si>
    <t>SOLIHIN</t>
  </si>
  <si>
    <t>MATHARIS</t>
  </si>
  <si>
    <t>RIZKY</t>
  </si>
  <si>
    <t>ANWAR YANWARI</t>
  </si>
  <si>
    <t>JAJI</t>
  </si>
  <si>
    <t>YASIN SUHADA P.</t>
  </si>
  <si>
    <t>AHMAD SUDIROH</t>
  </si>
  <si>
    <t>BAMBANG SIGIT</t>
  </si>
  <si>
    <t>NURBANI SANTOSO</t>
  </si>
  <si>
    <t>BUHORI</t>
  </si>
  <si>
    <t>RUSTANDI</t>
  </si>
  <si>
    <t>ROMIYUDIN</t>
  </si>
  <si>
    <t>AHMAD SYIHABUDIN</t>
  </si>
  <si>
    <t>CIPTO SUGIARTO</t>
  </si>
  <si>
    <t>TOPIKULLOH</t>
  </si>
  <si>
    <t>TEGUH DARSITO</t>
  </si>
  <si>
    <t>AHMAD MUNAWIR</t>
  </si>
  <si>
    <t>ILHAN</t>
  </si>
  <si>
    <t>ERWIN ABDUL RAHMAN</t>
  </si>
  <si>
    <t>DEDE SUHENDAR</t>
  </si>
  <si>
    <t>ZAHFARUL AL AFSOKHI</t>
  </si>
  <si>
    <t>AHMAD BUSTOMI</t>
  </si>
  <si>
    <t>MIFTAKHUL HIDAYAT</t>
  </si>
  <si>
    <t>MOHAMAD LANAM</t>
  </si>
  <si>
    <t>ARY BUDI CAHYANTO</t>
  </si>
  <si>
    <t>ARYANTI</t>
  </si>
  <si>
    <t>ADE HALIMAH</t>
  </si>
  <si>
    <t>LILIS KURNIAWATI</t>
  </si>
  <si>
    <t>SUMARNI JULIANA</t>
  </si>
  <si>
    <t>DEDE IRMANAWATI</t>
  </si>
  <si>
    <t>ELYANAH</t>
  </si>
  <si>
    <t>DEWI PURNAMA SARI</t>
  </si>
  <si>
    <t>SURYANAH</t>
  </si>
  <si>
    <t>IIS HANA RAHMAWATI</t>
  </si>
  <si>
    <t>WAHYUNI</t>
  </si>
  <si>
    <t>HERLINA LAMBRI</t>
  </si>
  <si>
    <t>DEDI APRIANSYAH</t>
  </si>
  <si>
    <t>NURDIN</t>
  </si>
  <si>
    <t>SRI MULYANI</t>
  </si>
  <si>
    <t>MUHAMMAD BADRU SOLIHIN</t>
  </si>
  <si>
    <t>AHMAD SUGANDA</t>
  </si>
  <si>
    <t>DHYMAS EFFENDI</t>
  </si>
  <si>
    <t>INDRA WIJAYA</t>
  </si>
  <si>
    <t>NURHADI</t>
  </si>
  <si>
    <t>ULIT PRASETIO</t>
  </si>
  <si>
    <t>CHAIRUL ANWAR</t>
  </si>
  <si>
    <t>ROPIUDIN</t>
  </si>
  <si>
    <t>M.SAYUTI</t>
  </si>
  <si>
    <t xml:space="preserve">SYACRIZAL ALIF HILMAWAN </t>
  </si>
  <si>
    <t>MUHAMMAD SANDI SAPUTRA</t>
  </si>
  <si>
    <t>ANSORI</t>
  </si>
  <si>
    <t>FERDI PRADANA</t>
  </si>
  <si>
    <t>ADAM</t>
  </si>
  <si>
    <t>SUHENDRA</t>
  </si>
  <si>
    <t>ABDUL ROHMAT</t>
  </si>
  <si>
    <t>ABDUL MUIZ JUNAIDI</t>
  </si>
  <si>
    <t>LUTHFIAH ABDUL HAK</t>
  </si>
  <si>
    <t>SUHENI</t>
  </si>
  <si>
    <t>SITI SAMSIYAH WULAN DARI</t>
  </si>
  <si>
    <t>SITI RUMINAH</t>
  </si>
  <si>
    <t>HENI NURYANI</t>
  </si>
  <si>
    <t>ELY ERNAWATI</t>
  </si>
  <si>
    <t>GOKLAS DAMSON SITUNGKIR</t>
  </si>
  <si>
    <t>JEJEN RISDIANTO</t>
  </si>
  <si>
    <t>ARI IRAWAN</t>
  </si>
  <si>
    <t>KARNATI</t>
  </si>
  <si>
    <t>NURUL ALIYAH</t>
  </si>
  <si>
    <t>MAMAN</t>
  </si>
  <si>
    <t>SUTRISNA</t>
  </si>
  <si>
    <t>MARSITI</t>
  </si>
  <si>
    <t xml:space="preserve">ABDUL ROUP </t>
  </si>
  <si>
    <t>ROMLAH</t>
  </si>
  <si>
    <t>AHMAD ZAELANI</t>
  </si>
  <si>
    <t>ACHMAD AQILIA RIFAI</t>
  </si>
  <si>
    <t>ANDRIAN DEYANA PUTRI</t>
  </si>
  <si>
    <t>ARI IRYANTO</t>
  </si>
  <si>
    <t>ELMA NURUL RAMADHANI</t>
  </si>
  <si>
    <t>JUWITA DEVTIA</t>
  </si>
  <si>
    <t>MUHAMMAD SYAIPUL MIZAN</t>
  </si>
  <si>
    <t>SAFITRI SYAILILLAH</t>
  </si>
  <si>
    <t>YEYEN YENI WIDIA</t>
  </si>
  <si>
    <t xml:space="preserve">ANGGUN KHOIRUNISSA </t>
  </si>
  <si>
    <t xml:space="preserve">CHAELA FATIMAH </t>
  </si>
  <si>
    <t xml:space="preserve">DAFINA APRIYANI </t>
  </si>
  <si>
    <t xml:space="preserve">ELSA TRISNAWATI </t>
  </si>
  <si>
    <t xml:space="preserve">JATMIKO AGUNG INDRAJAT </t>
  </si>
  <si>
    <t xml:space="preserve">MUHAMAD IRGIANSYAH SAPUTRA </t>
  </si>
  <si>
    <t xml:space="preserve">MUHAMAD RAKA RADITYA RAMANDA </t>
  </si>
  <si>
    <t xml:space="preserve">RAHMADANI </t>
  </si>
  <si>
    <t xml:space="preserve">SEPTIAN DIGA HEMITIA MELKA </t>
  </si>
  <si>
    <t xml:space="preserve">SYAFANA DWI A.F </t>
  </si>
  <si>
    <t xml:space="preserve">THITANIA KHAIRUNISA </t>
  </si>
  <si>
    <t xml:space="preserve">M. ANDI WAHYU ROSYIDI </t>
  </si>
  <si>
    <t xml:space="preserve">DINDA AL AZKIAH </t>
  </si>
  <si>
    <t xml:space="preserve">M. PAVEL NAFKAH AR FATHAN </t>
  </si>
  <si>
    <t xml:space="preserve">MOHAMAD AKBAR HIDAYAT </t>
  </si>
  <si>
    <t xml:space="preserve">OWEN PARAPAT </t>
  </si>
  <si>
    <t xml:space="preserve">MOCHAMAD ABDUL AJIS </t>
  </si>
  <si>
    <t xml:space="preserve">LUFITA SARI LIANA </t>
  </si>
  <si>
    <t xml:space="preserve">MAULANA RAMADHANI </t>
  </si>
  <si>
    <t>NEILA RUMAINA</t>
  </si>
  <si>
    <t>RAFIDZKI SEJATI</t>
  </si>
  <si>
    <t>TARSISIUS ROGER BENETO PURBA</t>
  </si>
  <si>
    <t>NABILA FITRIA FIRDAUS</t>
  </si>
  <si>
    <t>RIAN ANDIKA SAPUTRA</t>
  </si>
  <si>
    <t xml:space="preserve">FAIZ CHOIRUL NAJIB </t>
  </si>
  <si>
    <t>SALSABILA FAUZIAH AMRAN</t>
  </si>
  <si>
    <t>I KADEK ARI WIDIARTA</t>
  </si>
  <si>
    <t xml:space="preserve">GROUP LEADER CBM DPS </t>
  </si>
  <si>
    <t>PUTU AGUS PRI ADI A</t>
  </si>
  <si>
    <t>DEWA NYOMAN DEVA P</t>
  </si>
  <si>
    <t>BAYU WIBOWO</t>
  </si>
  <si>
    <t>BOWO DARWANTO</t>
  </si>
  <si>
    <t xml:space="preserve">GROUP LEADER CBM HLP C </t>
  </si>
  <si>
    <t>ABDUL ROHIM</t>
  </si>
  <si>
    <t>GUNAWAN</t>
  </si>
  <si>
    <t xml:space="preserve">RADEN MAS DYONA YULIANTO </t>
  </si>
  <si>
    <t>RAMDAN SUSANTO</t>
  </si>
  <si>
    <t xml:space="preserve">GROUP LEADER CBM HLP A </t>
  </si>
  <si>
    <t>ELHAM SAPUTRO</t>
  </si>
  <si>
    <t>SANDY ADITYA NUGRAHA</t>
  </si>
  <si>
    <t>EKA JANUAR</t>
  </si>
  <si>
    <t xml:space="preserve">GROUP LEADER CBM HLP B </t>
  </si>
  <si>
    <t>BINTORO</t>
  </si>
  <si>
    <t>REZA .F</t>
  </si>
  <si>
    <t xml:space="preserve">GROUP LEADER AIEC HLP </t>
  </si>
  <si>
    <t>ALDO ARI JULIANTO</t>
  </si>
  <si>
    <t>AMARULOH</t>
  </si>
  <si>
    <t>PIRMAN ADIM</t>
  </si>
  <si>
    <t>ABDURRAHMAN</t>
  </si>
  <si>
    <t>BAGUS ILHAM BARKAH</t>
  </si>
  <si>
    <t xml:space="preserve">SAIPUL </t>
  </si>
  <si>
    <t>YANUAR AHMAD RIFAI</t>
  </si>
  <si>
    <t xml:space="preserve">AKBAR SYAHRIAL </t>
  </si>
  <si>
    <t>RAHMAT BUTAR-BUTAR</t>
  </si>
  <si>
    <t xml:space="preserve">GROUP LEADER CBM KNO A </t>
  </si>
  <si>
    <t>HARI FADLI</t>
  </si>
  <si>
    <t>AHMAD TANZILI</t>
  </si>
  <si>
    <t>YANDI MUHAMMAD</t>
  </si>
  <si>
    <t>YUDI ARIS MUSTAQIM</t>
  </si>
  <si>
    <t>183507</t>
  </si>
  <si>
    <t>MAHRUDINSYAH</t>
  </si>
  <si>
    <t>SURIANTON</t>
  </si>
  <si>
    <t xml:space="preserve">GROUP LEADER CBM KNO C </t>
  </si>
  <si>
    <t>DANIEL ANDRE MANURUNG</t>
  </si>
  <si>
    <t>FARIS NATAKUSUMA</t>
  </si>
  <si>
    <t>ASLIN LUBIS</t>
  </si>
  <si>
    <t>HENDRA BUDI ARUJI</t>
  </si>
  <si>
    <t xml:space="preserve">GROUP LEADER CBM KNO D </t>
  </si>
  <si>
    <t>IBNU HAYAN</t>
  </si>
  <si>
    <t>RIKI</t>
  </si>
  <si>
    <t>ABDULLAH</t>
  </si>
  <si>
    <t>AHYARUDDIN</t>
  </si>
  <si>
    <t>MUSLIM NASUTION</t>
  </si>
  <si>
    <t>BAMBANG PERMADI</t>
  </si>
  <si>
    <t>ANDI SASTRA</t>
  </si>
  <si>
    <t xml:space="preserve">GROUP LEADER AIEC KNO B </t>
  </si>
  <si>
    <t>MUHAMMAD AKBAR TANJUNG</t>
  </si>
  <si>
    <t xml:space="preserve">ANUGRAH SETIA DERMAWAN </t>
  </si>
  <si>
    <t>ZAKI RIFANA</t>
  </si>
  <si>
    <t xml:space="preserve">GROUP LEADER AIEC KNO C </t>
  </si>
  <si>
    <t>ADE AMSAL PURBA</t>
  </si>
  <si>
    <t>ANDIKO AFANDI</t>
  </si>
  <si>
    <t>ARIF WAHYU PRAYOGI</t>
  </si>
  <si>
    <t>MUHAMMAD FIKRI HARDIANSYAH</t>
  </si>
  <si>
    <t>84130564</t>
  </si>
  <si>
    <t>JUMI ARSA WIBAWA</t>
  </si>
  <si>
    <t>JHON WESLEY NAINGGOLAN</t>
  </si>
  <si>
    <t>MULIA TARIGAN</t>
  </si>
  <si>
    <t>ABDUL RAHMAN SIREGAR</t>
  </si>
  <si>
    <t>MUHAMMAD IBNU SARAGIH</t>
  </si>
  <si>
    <t>MUHAMMAD DAHRI</t>
  </si>
  <si>
    <t>FRENGKY A.F SILALAHI</t>
  </si>
  <si>
    <t>BURHANSYAH ALI</t>
  </si>
  <si>
    <t xml:space="preserve">EKA SAHPUTRA </t>
  </si>
  <si>
    <t>MUHAMMAD FADLI</t>
  </si>
  <si>
    <t>KYATMA AFRINO S</t>
  </si>
  <si>
    <t>MAHYARUDDIN RAO</t>
  </si>
  <si>
    <t>MUHAMMAD SYAM</t>
  </si>
  <si>
    <t>BARA CHANIAGO</t>
  </si>
  <si>
    <t>FAUZI</t>
  </si>
  <si>
    <t xml:space="preserve">KURNIAWAN SYAHPUTRA </t>
  </si>
  <si>
    <t>RYAN NUARI PUTRA</t>
  </si>
  <si>
    <t>HAEKAL BUDI KURNIAWAN</t>
  </si>
  <si>
    <t>RAJA WIRA PRATAMA SITORUS</t>
  </si>
  <si>
    <t>DADANG KOSASI</t>
  </si>
  <si>
    <t>RIZKI HAMDANI LUBIS</t>
  </si>
  <si>
    <t>FREDY MULI</t>
  </si>
  <si>
    <t>MAULANA HARY SUWANDI</t>
  </si>
  <si>
    <t>MUHAMMAD MASDIYANTO</t>
  </si>
  <si>
    <t>ABDUL KHALIK</t>
  </si>
  <si>
    <t>JABAL TARIK</t>
  </si>
  <si>
    <t>ANDRE PANGGABEAN</t>
  </si>
  <si>
    <t>FACHRURAZIE</t>
  </si>
  <si>
    <t xml:space="preserve">GROUP LEADER AIEC KNO D </t>
  </si>
  <si>
    <t>TEDDY KARUNIAWAN</t>
  </si>
  <si>
    <t xml:space="preserve"> ANDI FEBRI SAHPUTRA ZANDROTO</t>
  </si>
  <si>
    <t>ARIYANTUS GIOVANI KLAU</t>
  </si>
  <si>
    <t xml:space="preserve">GROUP LEADER CBM KOE </t>
  </si>
  <si>
    <t>HENDRA ARISTON TLOEN</t>
  </si>
  <si>
    <t>FERDI FALLO</t>
  </si>
  <si>
    <t>HENCI SIKI</t>
  </si>
  <si>
    <t xml:space="preserve">GROUP LEADER AIEC KOE </t>
  </si>
  <si>
    <t>TERA KANAF</t>
  </si>
  <si>
    <t>MARSELINUS BRIA</t>
  </si>
  <si>
    <t>IWANDRY MOOY</t>
  </si>
  <si>
    <t>FILMON S MBORO</t>
  </si>
  <si>
    <t>SIMSON ERASTUS NDOLU</t>
  </si>
  <si>
    <t>YUNI ANDRO LORO</t>
  </si>
  <si>
    <t>M.KHOIRUL ROZIQIN</t>
  </si>
  <si>
    <t xml:space="preserve">GROUP LEADER CBM MDC </t>
  </si>
  <si>
    <t>EFENDI SALEH</t>
  </si>
  <si>
    <t>ICAD PRASETYO</t>
  </si>
  <si>
    <t>MUSLIADI MALIKI</t>
  </si>
  <si>
    <t>GINANJAR YUSUF</t>
  </si>
  <si>
    <t>ISRAN PATAMANI</t>
  </si>
  <si>
    <t>SOSPENER LOMBONTARIANG</t>
  </si>
  <si>
    <t>OKTAVIYANTO</t>
  </si>
  <si>
    <t>FAIZAL WALANGADI</t>
  </si>
  <si>
    <t>HAMID SOSIANG</t>
  </si>
  <si>
    <t>MELCHI MENAJANG</t>
  </si>
  <si>
    <t>RONNY JAMES KANDOWANGKO</t>
  </si>
  <si>
    <t>WILLEM G.A AWON</t>
  </si>
  <si>
    <t>LIRA ANDINI</t>
  </si>
  <si>
    <t xml:space="preserve">GROUP LEADER AIEC MDC - AMQ </t>
  </si>
  <si>
    <t xml:space="preserve">RAKAPANYUDI </t>
  </si>
  <si>
    <t>ZEFANYA SILVIA GOSA</t>
  </si>
  <si>
    <t xml:space="preserve">251044 </t>
  </si>
  <si>
    <t xml:space="preserve">YOSUA LUMINTANG </t>
  </si>
  <si>
    <t>AGUNG SULISTIYO</t>
  </si>
  <si>
    <t>B FAJAR BUDIARTO</t>
  </si>
  <si>
    <t>ZAENAL ARIF</t>
  </si>
  <si>
    <t xml:space="preserve">GROUP LEADER CBM SUB A </t>
  </si>
  <si>
    <t>MAULANA GUNAWAN</t>
  </si>
  <si>
    <t>ARIE FERIYANTO</t>
  </si>
  <si>
    <t>WARYONO</t>
  </si>
  <si>
    <t>MOCHAMAD HUDA BILHAQQI</t>
  </si>
  <si>
    <t>FIQO AHMAD HABIBUL ILMI</t>
  </si>
  <si>
    <t xml:space="preserve">NURKOLIS </t>
  </si>
  <si>
    <t>MOCHAMAD FARID WAHONO</t>
  </si>
  <si>
    <t>KRISNA DWI</t>
  </si>
  <si>
    <t>MOH.SUFAAT</t>
  </si>
  <si>
    <t>ACHMAD FAJARRUDIN</t>
  </si>
  <si>
    <t>M.NASIH</t>
  </si>
  <si>
    <t>ALI MAKSUM</t>
  </si>
  <si>
    <t>MISBAHUL MUNIR</t>
  </si>
  <si>
    <t>FAJAR HAKIM</t>
  </si>
  <si>
    <t xml:space="preserve">GROUP LEADER AIEC SUB B </t>
  </si>
  <si>
    <t>MOHAMAD SAMSUL EFENDI</t>
  </si>
  <si>
    <t xml:space="preserve">GROUP LEADER AIEC SUB C </t>
  </si>
  <si>
    <t>HADI SUSANTO</t>
  </si>
  <si>
    <t>ADE FASISAL RIZAL</t>
  </si>
  <si>
    <t>ACHMAD BUDHIARTO</t>
  </si>
  <si>
    <t>ADITYA RIO FEBRIANTO</t>
  </si>
  <si>
    <t>GIGIH WIDYARTOKO</t>
  </si>
  <si>
    <t>AINUL YAQIN</t>
  </si>
  <si>
    <t>ANGGA SETIAWAN</t>
  </si>
  <si>
    <t>DIDIK MULYANTO</t>
  </si>
  <si>
    <t>EDY WARDOYO</t>
  </si>
  <si>
    <t>EFRA ANUGRAWAN</t>
  </si>
  <si>
    <t>INDRA BAGUS PRAMUDIA</t>
  </si>
  <si>
    <t>INDRA PRATAMA PUTRA</t>
  </si>
  <si>
    <t>MUKHAMMAD ZAKARIA</t>
  </si>
  <si>
    <t>YUSUF HERMAWAN</t>
  </si>
  <si>
    <t>MUHAMMAD JIHADUDDIN RIFKI</t>
  </si>
  <si>
    <t>RIZKI AULIA FAKHRUDDIN</t>
  </si>
  <si>
    <t>ACHMAD INDRAWAN</t>
  </si>
  <si>
    <t>ALI MASHURI</t>
  </si>
  <si>
    <t>ADI SAPUTRO</t>
  </si>
  <si>
    <t>DANY SISWANTO</t>
  </si>
  <si>
    <t>AGUS RAHMAT RAFSANJANI</t>
  </si>
  <si>
    <t>AFAN EFENDI</t>
  </si>
  <si>
    <t>MOHAMMAD RIYAN ANDIKA</t>
  </si>
  <si>
    <t>DWI AGUS ARDIANSYAH</t>
  </si>
  <si>
    <t>ABDUL ROCHIM</t>
  </si>
  <si>
    <t>KACUNG</t>
  </si>
  <si>
    <t>SUGI UDI SANTOSO</t>
  </si>
  <si>
    <t xml:space="preserve">GROUP LEADER AIEC SUB D </t>
  </si>
  <si>
    <t>HARI SUSANTO</t>
  </si>
  <si>
    <t>DONY TRIANZ FAUZI</t>
  </si>
  <si>
    <t>EKO SUYANTO</t>
  </si>
  <si>
    <t>MUCHAMMAD FAISOL</t>
  </si>
  <si>
    <t>SAMROTUL FU'AD</t>
  </si>
  <si>
    <t>YUDHA FIRMANTOKO</t>
  </si>
  <si>
    <t>ISKANDAR ISMAN</t>
  </si>
  <si>
    <t>IMAM FAHRUDDIN</t>
  </si>
  <si>
    <t>M.FARID DAHRIL FACHRUDIN</t>
  </si>
  <si>
    <t>RUDI ISWANTO</t>
  </si>
  <si>
    <t>MUHAMMAD HANIF RAHMAWAN</t>
  </si>
  <si>
    <t>ROBY SUGIANTORO</t>
  </si>
  <si>
    <t>MUHAMAD DARUL UMAM</t>
  </si>
  <si>
    <t>MUHAMAD MARZUKI</t>
  </si>
  <si>
    <t>SUJITO</t>
  </si>
  <si>
    <t>ACHMAD AFANDI RAMADHAN</t>
  </si>
  <si>
    <t>GANGSAR WIDODO</t>
  </si>
  <si>
    <t>ERRY SETIAWAN HADI</t>
  </si>
  <si>
    <t>SATRIA BUDI ARIATMAJA</t>
  </si>
  <si>
    <t>MUHAMMAD RUKANI</t>
  </si>
  <si>
    <t>RIYO CAHYONO</t>
  </si>
  <si>
    <t>MOCHAMMAD BAGUS AKBAR H.</t>
  </si>
  <si>
    <t>MOCH FANDI SUPRIYANTO</t>
  </si>
  <si>
    <t>DWI BAGUS NUGROHO</t>
  </si>
  <si>
    <t>ANANG RIZKI WAHYUDI</t>
  </si>
  <si>
    <t>BAYU SETIAWAN</t>
  </si>
  <si>
    <t>HERY SULISTYAWAN</t>
  </si>
  <si>
    <t>ADIEN DUTA PAMUNGKAS</t>
  </si>
  <si>
    <t>HAMZAH</t>
  </si>
  <si>
    <t>IRWANSYAH</t>
  </si>
  <si>
    <t xml:space="preserve">GROUP LEADER CBM UPG C </t>
  </si>
  <si>
    <t>SYAHRIL ARDIYANSYAH</t>
  </si>
  <si>
    <t xml:space="preserve">GROUP LEADER CBM UPG D </t>
  </si>
  <si>
    <t>MUHAMMAD RIZAL</t>
  </si>
  <si>
    <t>NUGROHO AS</t>
  </si>
  <si>
    <t>ASRUL TASLIM</t>
  </si>
  <si>
    <t>SYAMSUDDIN</t>
  </si>
  <si>
    <t>ARFAN ARSYAD</t>
  </si>
  <si>
    <t>SYAHPUTRANI PURNOMO</t>
  </si>
  <si>
    <t>ARIS WAHYUDI</t>
  </si>
  <si>
    <t>AMIRUDDIN</t>
  </si>
  <si>
    <t>MUH. JUFRI IDRIS</t>
  </si>
  <si>
    <t>ACHMAD</t>
  </si>
  <si>
    <t>HERI EBED</t>
  </si>
  <si>
    <t>MUSTAFA</t>
  </si>
  <si>
    <t>HARIADI</t>
  </si>
  <si>
    <t>ABD. MUIS SYAWAL</t>
  </si>
  <si>
    <t>ARI SAHRIAL</t>
  </si>
  <si>
    <t>AHMAD</t>
  </si>
  <si>
    <t xml:space="preserve">GROUP LEADER AIEC UPG A </t>
  </si>
  <si>
    <t>JUNAID</t>
  </si>
  <si>
    <t>EDI SAPUTRO</t>
  </si>
  <si>
    <t>PAHRUL</t>
  </si>
  <si>
    <t>ZULFAHMI</t>
  </si>
  <si>
    <t>FAJAR</t>
  </si>
  <si>
    <t>NAWIR</t>
  </si>
  <si>
    <t>ARDIANSYAH</t>
  </si>
  <si>
    <t>AL ISRAL</t>
  </si>
  <si>
    <t>FIRMANSYAH</t>
  </si>
  <si>
    <t>MULIADI</t>
  </si>
  <si>
    <t>NASRUL</t>
  </si>
  <si>
    <t>HUSNUL YAQIN</t>
  </si>
  <si>
    <t>DARWIS</t>
  </si>
  <si>
    <t>ABD MUNIR</t>
  </si>
  <si>
    <t>FAJRIANSYAH</t>
  </si>
  <si>
    <t>JUMRANG</t>
  </si>
  <si>
    <t>H. FADLI</t>
  </si>
  <si>
    <t>SUDIRMAN</t>
  </si>
  <si>
    <t>FAISAL</t>
  </si>
  <si>
    <t>ABD RAHMAN</t>
  </si>
  <si>
    <t>HENDRA JAMALUDDIN</t>
  </si>
  <si>
    <t xml:space="preserve">SUARDI </t>
  </si>
  <si>
    <t>H. AZIS</t>
  </si>
  <si>
    <t>SAHARUDDIN</t>
  </si>
  <si>
    <t>HAERUL</t>
  </si>
  <si>
    <t>SYAHRULLAH AR</t>
  </si>
  <si>
    <t>IWAN.S</t>
  </si>
  <si>
    <t>MUCHTAR JAYA</t>
  </si>
  <si>
    <t>MUH. IRVAN ILMAR R.</t>
  </si>
  <si>
    <t>MUH AKBAR FAUZAN</t>
  </si>
  <si>
    <t>MUHAMMAD SUKRIADI</t>
  </si>
  <si>
    <t>YOGI PRATAMA</t>
  </si>
  <si>
    <t>SOFYAN</t>
  </si>
  <si>
    <t xml:space="preserve">IKRAM JUIRMAN </t>
  </si>
  <si>
    <t>AINUL YAKIN</t>
  </si>
  <si>
    <t xml:space="preserve">ISKANDAR ISMAN </t>
  </si>
  <si>
    <t>Oktaviyanto</t>
  </si>
  <si>
    <t>Aldo Ari Julianto</t>
  </si>
  <si>
    <t>THITANIA KHAIRUNISA</t>
  </si>
  <si>
    <t xml:space="preserve">SAFITRI SYAILILLAH </t>
  </si>
  <si>
    <t>Rian nuari putra</t>
  </si>
  <si>
    <t>WANDA</t>
  </si>
  <si>
    <t xml:space="preserve">JABAL TARIK </t>
  </si>
  <si>
    <t xml:space="preserve">ARIMAHUDI </t>
  </si>
  <si>
    <t>MOHAMMAD IRVAN ILMAR REINWARIN</t>
  </si>
  <si>
    <t>BOWO. DARWANTO</t>
  </si>
  <si>
    <t>Abdul khalik</t>
  </si>
  <si>
    <t>M.RIDWAN</t>
  </si>
  <si>
    <t xml:space="preserve">ANSORI </t>
  </si>
  <si>
    <t xml:space="preserve">NURUL ALIYAH </t>
  </si>
  <si>
    <t xml:space="preserve">ANDRIAN DEYANA PUTRI </t>
  </si>
  <si>
    <t>LUFITA SARI LIANA</t>
  </si>
  <si>
    <t xml:space="preserve">MUHAMMAD SYAIPUL MIZAN </t>
  </si>
  <si>
    <t>ILHAM RUCHIYAT</t>
  </si>
  <si>
    <t>MOCH BAGUS AKBAR HIDAYAT</t>
  </si>
  <si>
    <t>REYNALDI</t>
  </si>
  <si>
    <t>MUHAMMAD JIHADDUDDIN RIFQI</t>
  </si>
  <si>
    <t>ELSA TRISNAWATI</t>
  </si>
  <si>
    <t xml:space="preserve">ABDUL ROCHIM </t>
  </si>
  <si>
    <t xml:space="preserve">AHMAD SUGERI SURYA WIGUNA </t>
  </si>
  <si>
    <t>Akbar Syahrial</t>
  </si>
  <si>
    <t>Jumi Arsa Wibawa</t>
  </si>
  <si>
    <t>LUTPIAH</t>
  </si>
  <si>
    <t>DANIEL ANDRE ADVENTUS MANURUNG</t>
  </si>
  <si>
    <t>MUHAMAD ARSUDIN</t>
  </si>
  <si>
    <t xml:space="preserve">MARSITI </t>
  </si>
  <si>
    <t>MUHAMMAD IQBAL MAULANA</t>
  </si>
  <si>
    <t>DAFINA APRIYANI</t>
  </si>
  <si>
    <t xml:space="preserve">DWI BAGUS NUGROHO </t>
  </si>
  <si>
    <t>BAYU SETYAWAN</t>
  </si>
  <si>
    <t xml:space="preserve">MAHFUDIN </t>
  </si>
  <si>
    <t>ZEFANYA SILVIA GOSAL</t>
  </si>
  <si>
    <t>M MASDIYANTO</t>
  </si>
  <si>
    <t>B.FAJAR BUDIARTO</t>
  </si>
  <si>
    <t>M N SYAWALUDIN</t>
  </si>
  <si>
    <t xml:space="preserve">ALVIN KEDUA AMARULLOH </t>
  </si>
  <si>
    <t>SUMARNi JULIANaA</t>
  </si>
  <si>
    <t xml:space="preserve">ACHMAD AQILIA RIFAI </t>
  </si>
  <si>
    <t xml:space="preserve">MUHAMMAD RUKANI </t>
  </si>
  <si>
    <t>Dinda al-azkiah</t>
  </si>
  <si>
    <t xml:space="preserve">ABDUL HAMID </t>
  </si>
  <si>
    <t xml:space="preserve">MOCHAMAD FARIID DAHRIL FACHRUDIN </t>
  </si>
  <si>
    <t xml:space="preserve">JUWITA DEVTIA </t>
  </si>
  <si>
    <t xml:space="preserve">Salsabila Fauziah Amran </t>
  </si>
  <si>
    <t xml:space="preserve">ASLIN LUBIS </t>
  </si>
  <si>
    <t xml:space="preserve">AHMAD NURIL ULUM </t>
  </si>
  <si>
    <t xml:space="preserve">AHMAD SUGANDA </t>
  </si>
  <si>
    <t>Nabila Fitria Firdaus</t>
  </si>
  <si>
    <t>IWANDRI MOOY</t>
  </si>
  <si>
    <t>MUHAMMAD MARZUKI</t>
  </si>
  <si>
    <t>DIAN</t>
  </si>
  <si>
    <t xml:space="preserve">MUCHAMMAD FAISOL </t>
  </si>
  <si>
    <t>Dedi apriansyah</t>
  </si>
  <si>
    <t xml:space="preserve">MUHAMAD DARUL UMAM </t>
  </si>
  <si>
    <t>DEDI TRI HARIANTO</t>
  </si>
  <si>
    <t>SYAFRUDIN</t>
  </si>
  <si>
    <t xml:space="preserve">FAISAL WALANGADI </t>
  </si>
  <si>
    <t>Ahmad sudiroh</t>
  </si>
  <si>
    <t>FIRMAN ADIM</t>
  </si>
  <si>
    <t xml:space="preserve">SATRIA BUDI ARIATMAJA </t>
  </si>
  <si>
    <t xml:space="preserve">YUNI ANDRO LOPO </t>
  </si>
  <si>
    <t>RAHMAD BUTAR BUTAR</t>
  </si>
  <si>
    <t xml:space="preserve">ACHMAD INDRAWAN </t>
  </si>
  <si>
    <t>MOHAMMAD ABDUL CIMANG</t>
  </si>
  <si>
    <t>Efra Anugrawan</t>
  </si>
  <si>
    <t>H FADLI</t>
  </si>
  <si>
    <t xml:space="preserve">ROHMAT FADHILLAH </t>
  </si>
  <si>
    <t>MELCHI VICTOR MENAJANG</t>
  </si>
  <si>
    <t>ABDUL ROUP</t>
  </si>
  <si>
    <t>SYACRIZAL ALIF HILMAWAN</t>
  </si>
  <si>
    <t>TOPIKULLAH</t>
  </si>
  <si>
    <t>DEDE IVAN RISTIOVAN</t>
  </si>
  <si>
    <t>REZA FATHONI</t>
  </si>
  <si>
    <t>HERI SUHAIRI</t>
  </si>
  <si>
    <t>AGUNG SULISTYO</t>
  </si>
  <si>
    <t xml:space="preserve">NURBANI SANTOSO </t>
  </si>
  <si>
    <t>ROCHMAD</t>
  </si>
  <si>
    <t>YASIN SUHADA P</t>
  </si>
  <si>
    <t>Syahrullah AR</t>
  </si>
  <si>
    <t xml:space="preserve">NAWAWI </t>
  </si>
  <si>
    <t xml:space="preserve">PRISWANTO </t>
  </si>
  <si>
    <t xml:space="preserve">YUDHA FIRMANTOKO </t>
  </si>
  <si>
    <t>Gunawan</t>
  </si>
  <si>
    <t>EDY SAPUTRO</t>
  </si>
  <si>
    <t xml:space="preserve">KURNIAWAN SYAPUTRA </t>
  </si>
  <si>
    <t>Elyanah</t>
  </si>
  <si>
    <t>IKRAM JUIRMAN</t>
  </si>
  <si>
    <t>SAIFUL MAARIF</t>
  </si>
  <si>
    <t xml:space="preserve">FIRMANSYAH </t>
  </si>
  <si>
    <t>Yogi pratama</t>
  </si>
  <si>
    <t>DEWA NYOMAN DEVA PRANATA</t>
  </si>
  <si>
    <t>PUTU AGUS PRI ADI ADNYANA</t>
  </si>
  <si>
    <t>ERWIN ABDUL RAMAN</t>
  </si>
  <si>
    <t>ARIP DADAN AGUS HERMAWAN</t>
  </si>
  <si>
    <t xml:space="preserve">ANDRE PANGGABEAN </t>
  </si>
  <si>
    <t>HUSNUR YAQIN</t>
  </si>
  <si>
    <t xml:space="preserve">SIMSON ERASTUS NDOLU </t>
  </si>
  <si>
    <t xml:space="preserve">HAERUL </t>
  </si>
  <si>
    <t>IWAN</t>
  </si>
  <si>
    <t>HENDRA.J</t>
  </si>
  <si>
    <t>RAKA PANYUDI</t>
  </si>
  <si>
    <t>FAJRIYANZAH</t>
  </si>
  <si>
    <t>KADEK ARI WIDIARTA</t>
  </si>
  <si>
    <t xml:space="preserve">MAHYARUDDIN RAO </t>
  </si>
  <si>
    <t xml:space="preserve">JOHN WESLEY NAINGGOLAN </t>
  </si>
  <si>
    <t>HENDI SAPUTRA</t>
  </si>
  <si>
    <t>MUKHAMAD KHAIRUL ROZIQIN</t>
  </si>
  <si>
    <t>Muhammad</t>
  </si>
  <si>
    <t xml:space="preserve">RAJA WIRA PRATAMA SITORUS </t>
  </si>
  <si>
    <t xml:space="preserve">BINTORO </t>
  </si>
  <si>
    <t xml:space="preserve">ANDI SASTRA </t>
  </si>
  <si>
    <t xml:space="preserve">SYAIFUL ANWAR </t>
  </si>
  <si>
    <t xml:space="preserve">HAEKAL BUDI KURNIAWAN </t>
  </si>
  <si>
    <t>MUHAMMAD ALIF MUTTAQIEN</t>
  </si>
  <si>
    <t>RIZKY SUHENDAR</t>
  </si>
  <si>
    <t>MAHRUDDINSYAH</t>
  </si>
  <si>
    <t>MOCHAMMAD FARID WAHONO</t>
  </si>
  <si>
    <t>FARIZ NATA KUSUMA</t>
  </si>
  <si>
    <t>FRENGKI SILALAHI</t>
  </si>
  <si>
    <t>MOH. FANDI SUPRIYANTO</t>
  </si>
  <si>
    <t>MUHAMMAD IBNUH SARAGI</t>
  </si>
  <si>
    <t xml:space="preserve">ARIF WAHYU PRAYOGI </t>
  </si>
  <si>
    <t>ACHMAD FAJARUDIN</t>
  </si>
  <si>
    <t>KRISNA DWI APRILLIYANTO</t>
  </si>
  <si>
    <t xml:space="preserve">ARIE FERIYANTO </t>
  </si>
  <si>
    <t>ADE PERMANA</t>
  </si>
  <si>
    <t>ABDUL MUNIR</t>
  </si>
  <si>
    <t>Rahmat Pidri</t>
  </si>
  <si>
    <t>MOH SUFAAT</t>
  </si>
  <si>
    <t>EKA SAHPUTRA</t>
  </si>
  <si>
    <t>KYATMA AFRINO SIMBOLON</t>
  </si>
  <si>
    <t>SJAMSUDDIN</t>
  </si>
  <si>
    <t>AJI FAHROJI</t>
  </si>
  <si>
    <t xml:space="preserve">SURYADI </t>
  </si>
  <si>
    <t xml:space="preserve">RM DYONA YULIANTO </t>
  </si>
  <si>
    <t xml:space="preserve">DEDI MULYADI </t>
  </si>
  <si>
    <t xml:space="preserve">ELGI </t>
  </si>
  <si>
    <t xml:space="preserve">FERDI FALLO </t>
  </si>
  <si>
    <t>SAMSUDDIN</t>
  </si>
  <si>
    <t>ARISMAN</t>
  </si>
  <si>
    <t>MAULANA HARRY SUWANDI</t>
  </si>
  <si>
    <t>KURNIADI SAPUTRA</t>
  </si>
  <si>
    <t xml:space="preserve">SUMARNA </t>
  </si>
  <si>
    <t>OWEN PARAPAT</t>
  </si>
  <si>
    <t>M JUFRI IDRIS</t>
  </si>
  <si>
    <t>M.ZAKARIA</t>
  </si>
  <si>
    <t>M. AMSORI</t>
  </si>
  <si>
    <t xml:space="preserve">AGUSTINUS REYAAN </t>
  </si>
  <si>
    <t xml:space="preserve">ROBY SUGIANTORO </t>
  </si>
  <si>
    <t>MUSLIM.NASUTION</t>
  </si>
  <si>
    <t xml:space="preserve">TEDDY KARUNIAWAN </t>
  </si>
  <si>
    <t>Ferdinand Felix Lelapary</t>
  </si>
  <si>
    <t xml:space="preserve">RIZKI HAMDANI LUBIS </t>
  </si>
  <si>
    <t>SUARDI B</t>
  </si>
  <si>
    <t>IMRON ROSYADI</t>
  </si>
  <si>
    <t xml:space="preserve">PEBRIANSYAH WIDYA GUMILAR </t>
  </si>
  <si>
    <t xml:space="preserve">MUHAMAD YUNUS </t>
  </si>
  <si>
    <t>YANDRY PAPILAYA</t>
  </si>
  <si>
    <t xml:space="preserve">YUDI ARIS MUSTAQIM </t>
  </si>
  <si>
    <t xml:space="preserve">ADITYA RIO FEBRIANTO </t>
  </si>
  <si>
    <t xml:space="preserve">CHAIRUL ANWAR </t>
  </si>
  <si>
    <t>MISAR BIN SAIJAN</t>
  </si>
  <si>
    <t>MUH RIZAL</t>
  </si>
  <si>
    <t xml:space="preserve">YUSUF HERMAWAN </t>
  </si>
  <si>
    <t>MOHAMAD AKBAR HIDAYAT</t>
  </si>
  <si>
    <t>ANDI FEBRI SAHPUTRA ZANDROTO</t>
  </si>
  <si>
    <t xml:space="preserve">RIAN JUFRIYANTO </t>
  </si>
  <si>
    <t>SAMROTUL FUAD</t>
  </si>
  <si>
    <t>M.ANDI WAHYU ROSYIDI</t>
  </si>
  <si>
    <t xml:space="preserve">Abdul Rosyid </t>
  </si>
  <si>
    <t>MOCHAMAD ABDUL AJIS</t>
  </si>
  <si>
    <t>NURSIN</t>
  </si>
  <si>
    <t xml:space="preserve">Willem G A Awon </t>
  </si>
  <si>
    <t>ADE MASPUROHMAN</t>
  </si>
  <si>
    <t>SYARIF HIDAYAT</t>
  </si>
  <si>
    <t>M. SOLIKHIN</t>
  </si>
  <si>
    <t>ABD MUIS SYAWAL</t>
  </si>
  <si>
    <t xml:space="preserve">JONATHAN ZAPTYA PURNAMA INDRAJAYA </t>
  </si>
  <si>
    <t>SYAHRIL ADRIANSYAH</t>
  </si>
  <si>
    <t>Syahputrani Purnomo</t>
  </si>
  <si>
    <t>M RAMADHAN KURNIA ISKANDAR</t>
  </si>
  <si>
    <t>ARYO PRABOWO</t>
  </si>
  <si>
    <t xml:space="preserve">DENI ISKANDAR </t>
  </si>
  <si>
    <t>SABANI</t>
  </si>
  <si>
    <t xml:space="preserve">MUHDINI </t>
  </si>
  <si>
    <t xml:space="preserve">AKHMAD RIZKI </t>
  </si>
  <si>
    <t xml:space="preserve">PAHRUL </t>
  </si>
  <si>
    <t>Syafri Aziz</t>
  </si>
  <si>
    <t>Abdurrahman</t>
  </si>
  <si>
    <t xml:space="preserve">FERY ARDIANSYAH </t>
  </si>
  <si>
    <t>Rizky</t>
  </si>
  <si>
    <t xml:space="preserve">MUHAMAD ABDUL IKROM </t>
  </si>
  <si>
    <t>MIFTAHUL HIDAYAT</t>
  </si>
  <si>
    <t>JAENUDIN</t>
  </si>
  <si>
    <t>Ahmad fauzi</t>
  </si>
  <si>
    <t xml:space="preserve">ARI IRYANTO </t>
  </si>
  <si>
    <t xml:space="preserve">SOLIHIN </t>
  </si>
  <si>
    <t>M PAVEL NAFKAH AR FATHAN</t>
  </si>
  <si>
    <t xml:space="preserve">Heru Santoso </t>
  </si>
  <si>
    <t>Ahmad Bustomi</t>
  </si>
  <si>
    <t>STEFANNO KRESTO EDWARDO TOMASOA</t>
  </si>
  <si>
    <t xml:space="preserve">AHMAD ZAELANI </t>
  </si>
  <si>
    <t xml:space="preserve">UBAIDILAH </t>
  </si>
  <si>
    <t>MAULANA RAMADHANI</t>
  </si>
  <si>
    <t xml:space="preserve">THRISNA ANDREAN </t>
  </si>
  <si>
    <t>RAHMAT</t>
  </si>
  <si>
    <t>AHMAD HERIYANSYAH</t>
  </si>
  <si>
    <t>sofyan husin</t>
  </si>
  <si>
    <t>Muhamad raka raditya ramanda</t>
  </si>
  <si>
    <t xml:space="preserve">ELHAM SAPUTRO </t>
  </si>
  <si>
    <t>zahfarul al afsokhi</t>
  </si>
  <si>
    <t>ADE AMSAL PUTRA PURBA</t>
  </si>
  <si>
    <t>FILMON SEPRIANUS MBORO</t>
  </si>
  <si>
    <t xml:space="preserve">SURIANTON </t>
  </si>
  <si>
    <t>Sunarno setiyono</t>
  </si>
  <si>
    <t>SEPTIAN DIGA HEMITIA MELKA</t>
  </si>
  <si>
    <t>ACHMAD BUDIHARTO</t>
  </si>
  <si>
    <t>Muliadi</t>
  </si>
  <si>
    <t xml:space="preserve">RESTU PANUTAN </t>
  </si>
  <si>
    <t xml:space="preserve">ERRY SETIAWAN HADI </t>
  </si>
  <si>
    <t>ADE FAISAL REZA RACHMAD</t>
  </si>
  <si>
    <t xml:space="preserve">DEWI PURNAMA SARI </t>
  </si>
  <si>
    <t xml:space="preserve">SITI SAMSIYAH WULANDARI </t>
  </si>
  <si>
    <t>Mulia Hasibuan</t>
  </si>
  <si>
    <t>SRI MULYANI POS POS</t>
  </si>
  <si>
    <t>ODIN</t>
  </si>
  <si>
    <t>RlAN ANDIKA SAPUTRA</t>
  </si>
  <si>
    <t xml:space="preserve">Bagus Ilham barkah </t>
  </si>
  <si>
    <t>AMARULLOH</t>
  </si>
  <si>
    <t>ANGGUN KHOIRUNISSA</t>
  </si>
  <si>
    <t xml:space="preserve">MOHAMMAD HUDA BILHAQQI </t>
  </si>
  <si>
    <t xml:space="preserve">YEYEN YENI WIDIA </t>
  </si>
  <si>
    <t xml:space="preserve">Rizky Adhitya Wardhana </t>
  </si>
  <si>
    <t xml:space="preserve">ICAT PRASETIYO </t>
  </si>
  <si>
    <t xml:space="preserve">MUSLIADI MALIKI </t>
  </si>
  <si>
    <t>MUHAMAD MUFTI ROHIMIN</t>
  </si>
  <si>
    <t>SAMBUDI DARMAESA</t>
  </si>
  <si>
    <t>SAYUTI</t>
  </si>
  <si>
    <t>MUHAMAD SYAMSUL BAHRI</t>
  </si>
  <si>
    <t>KALIS NIR SAMBIKALA</t>
  </si>
  <si>
    <t xml:space="preserve">RAFIDZKI SEJATI </t>
  </si>
  <si>
    <t>CHAELA FATIMAH</t>
  </si>
  <si>
    <t>RAHMA DANI</t>
  </si>
  <si>
    <t xml:space="preserve">UUS FIRDAUS </t>
  </si>
  <si>
    <t>NUGROHO AMI SAPUTRO</t>
  </si>
  <si>
    <t>RUDI</t>
  </si>
  <si>
    <t>SYAFANA DWI A.F</t>
  </si>
  <si>
    <t>Ismet</t>
  </si>
  <si>
    <t xml:space="preserve">ABDUL HALIM </t>
  </si>
  <si>
    <t>FAJAR HARAHAP</t>
  </si>
  <si>
    <t xml:space="preserve">Duki sapiih </t>
  </si>
  <si>
    <t>JANTER SEM SIMBOLON</t>
  </si>
  <si>
    <t xml:space="preserve">HERLAN RIDWANSYAH </t>
  </si>
  <si>
    <t xml:space="preserve">WAHYU PANGESTU </t>
  </si>
  <si>
    <t>JUNGJUNGAN SIHALOHO</t>
  </si>
  <si>
    <t>H. ABDUL AZIS</t>
  </si>
  <si>
    <t>SUGENG ASDODI</t>
  </si>
  <si>
    <t>KARNO</t>
  </si>
  <si>
    <t>Ahmad yani</t>
  </si>
  <si>
    <t xml:space="preserve">ADE SUTISNA </t>
  </si>
  <si>
    <t>ANDI WERDANA</t>
  </si>
  <si>
    <t>Muhamad faisal</t>
  </si>
  <si>
    <t xml:space="preserve">WAHYUDIN </t>
  </si>
  <si>
    <t xml:space="preserve">RUDI </t>
  </si>
  <si>
    <t>MUHAMMAD ADUNG</t>
  </si>
  <si>
    <t>DANIEL LUMBAN GAOL</t>
  </si>
  <si>
    <t>MUHAMMAD ROKIB</t>
  </si>
  <si>
    <t xml:space="preserve">Tatang eryana </t>
  </si>
  <si>
    <t>USEP SAEPUL</t>
  </si>
  <si>
    <t>Khusnul Padila</t>
  </si>
  <si>
    <t>Sudarman</t>
  </si>
  <si>
    <t xml:space="preserve">DATABASE KARYAWAN CABIN MAINTENANCE &amp; AIEC </t>
  </si>
  <si>
    <t xml:space="preserve">NO </t>
  </si>
  <si>
    <t xml:space="preserve">DIREKTORAT </t>
  </si>
  <si>
    <t xml:space="preserve">JENIS KELAMIN </t>
  </si>
  <si>
    <t>TMT</t>
  </si>
  <si>
    <t>LAMA BEKERJA</t>
  </si>
  <si>
    <t xml:space="preserve">BAT </t>
  </si>
  <si>
    <t>L</t>
  </si>
  <si>
    <t>AAS</t>
  </si>
  <si>
    <t>P</t>
  </si>
  <si>
    <t>DINA RACHMAWATI</t>
  </si>
  <si>
    <t xml:space="preserve">FAJAR HARAHAP </t>
  </si>
  <si>
    <t>DWI LESTARI</t>
  </si>
  <si>
    <t>M. FARHAN FATHURRAHMAN</t>
  </si>
  <si>
    <t xml:space="preserve">ADITYA RAHMAN </t>
  </si>
  <si>
    <t>ARIE SAPRIADY</t>
  </si>
  <si>
    <t xml:space="preserve">AMAN </t>
  </si>
  <si>
    <t>AMINUDIN</t>
  </si>
  <si>
    <t xml:space="preserve">RIKI FIRMANSYAH </t>
  </si>
  <si>
    <t xml:space="preserve">ANAS ROHMAT </t>
  </si>
  <si>
    <t xml:space="preserve">AHMAD FURKONI </t>
  </si>
  <si>
    <t xml:space="preserve">JUMADI ISKANDAR LESMANA </t>
  </si>
  <si>
    <t xml:space="preserve">AWAL PRAKARSYA </t>
  </si>
  <si>
    <t xml:space="preserve">FRANGKY JULIUS MAHUBESSY </t>
  </si>
  <si>
    <t xml:space="preserve">PRESLO JOCHARSY HUWAE </t>
  </si>
  <si>
    <t>AGUS TRI WIBISONO</t>
  </si>
  <si>
    <t xml:space="preserve">JESPRION PASARIBU </t>
  </si>
  <si>
    <t xml:space="preserve">JERI SARSA </t>
  </si>
  <si>
    <t>YAYAT KURNIAWAN</t>
  </si>
  <si>
    <t>AHMAD FAUZI</t>
  </si>
  <si>
    <t>DARSONO</t>
  </si>
  <si>
    <t xml:space="preserve">ABDUL ZULKAFRI </t>
  </si>
  <si>
    <t>NIKO IRIANTO</t>
  </si>
  <si>
    <t>MN. SYAWALUDIN</t>
  </si>
  <si>
    <t>DASWEN APURI</t>
  </si>
  <si>
    <t>MUKTAR WIRADINATA</t>
  </si>
  <si>
    <t>BUDI KUSUMAH</t>
  </si>
  <si>
    <t>ABDUL ROSYID</t>
  </si>
  <si>
    <t>MUHAMAD SYAM</t>
  </si>
  <si>
    <t>ILYAS MUJAHIDIN</t>
  </si>
  <si>
    <t>AKHMAD RIZKY</t>
  </si>
  <si>
    <t>ISMET</t>
  </si>
  <si>
    <t>ASEP SAIPULLAH</t>
  </si>
  <si>
    <t>RIDWAN</t>
  </si>
  <si>
    <t>DARUSALAM</t>
  </si>
  <si>
    <t>MUZAID DAHLAN</t>
  </si>
  <si>
    <t>M. ABDUL CIMANG</t>
  </si>
  <si>
    <t>ROBI</t>
  </si>
  <si>
    <t>UMAEDI</t>
  </si>
  <si>
    <t>MOCH. ISMAIL JAYA KUSUMA</t>
  </si>
  <si>
    <t>MURSAN</t>
  </si>
  <si>
    <t>ARI APRIANSAH</t>
  </si>
  <si>
    <t>KUKUH ANDRIYANTO</t>
  </si>
  <si>
    <t>M IKHWAN NAHDLIYIN</t>
  </si>
  <si>
    <t>M. KHAERUL UMAM</t>
  </si>
  <si>
    <t>OGIK FADHLI AL-FAUZI</t>
  </si>
  <si>
    <t>DEDI MULYADI</t>
  </si>
  <si>
    <t>MOHAMAD ABDL IKROM</t>
  </si>
  <si>
    <t>JATMIKO AGUNG INDRAJAT</t>
  </si>
  <si>
    <t>MUHAMAD IRGIANSYAH SAPUTRA</t>
  </si>
  <si>
    <t>MUHAMAD RAKA RADITYA RAMANDA</t>
  </si>
  <si>
    <t>RAHMADANI</t>
  </si>
  <si>
    <t>M. ANDI WAHYU ROSYIDI</t>
  </si>
  <si>
    <t>DINDA AL AZKIAH</t>
  </si>
  <si>
    <t>M. PAVEL NAFKAH AR FATHAN</t>
  </si>
  <si>
    <t>FAIZ CHOIRUL NAJIB</t>
  </si>
  <si>
    <t xml:space="preserve">I DEWA MADE AGUS </t>
  </si>
  <si>
    <t>MUHAMAD HISAM ALI</t>
  </si>
  <si>
    <t>RADEN MAS DYONA YULIANTO</t>
  </si>
  <si>
    <t>AHMAD BASRI</t>
  </si>
  <si>
    <t xml:space="preserve">REZA  FATHONI </t>
  </si>
  <si>
    <t xml:space="preserve">TEGAR DIDIK LESMANA </t>
  </si>
  <si>
    <t>AKBAR SYAHRIAL</t>
  </si>
  <si>
    <t>ACHMAD GOZALI</t>
  </si>
  <si>
    <t xml:space="preserve">ARVI PRADANA </t>
  </si>
  <si>
    <t xml:space="preserve">DEDE YUSUF RANGKUTI </t>
  </si>
  <si>
    <t>HENDRIK AFRIZAL</t>
  </si>
  <si>
    <t>ARI PURNOMO</t>
  </si>
  <si>
    <t>ANUGRAH SETIA DERMAWAN</t>
  </si>
  <si>
    <t>KURNIAWAN SYAHPUTRA</t>
  </si>
  <si>
    <t>MEIDI RAFLES SUEK</t>
  </si>
  <si>
    <t xml:space="preserve">MAURITZ HANDRIANUS AMLIN LABI </t>
  </si>
  <si>
    <t>HERDIANSYAH</t>
  </si>
  <si>
    <t>BAHARUDDIN ST</t>
  </si>
  <si>
    <t>LALU HIPZUZZIKRI</t>
  </si>
  <si>
    <t xml:space="preserve">BADIL ANJANI </t>
  </si>
  <si>
    <t>MUKHAMAD KHOIRUL ROZIQIN</t>
  </si>
  <si>
    <t>MIFTAHUL KHOIRI</t>
  </si>
  <si>
    <t>RAKAPANYUDI</t>
  </si>
  <si>
    <t>YOSUA LUMINTANG</t>
  </si>
  <si>
    <t xml:space="preserve">AFRI WENDI </t>
  </si>
  <si>
    <t xml:space="preserve">L </t>
  </si>
  <si>
    <t xml:space="preserve">OKTAVIANES </t>
  </si>
  <si>
    <t xml:space="preserve">RIDDHY SUVARNA </t>
  </si>
  <si>
    <t xml:space="preserve">AGUNG LUHUR PUJIONO </t>
  </si>
  <si>
    <t xml:space="preserve">ANDI SOLEH </t>
  </si>
  <si>
    <t xml:space="preserve">KRISNA SETIAWAN </t>
  </si>
  <si>
    <t xml:space="preserve">SATRIA NOVIANDRI </t>
  </si>
  <si>
    <t>HENRICUS DWI PRASETYO ARDI NUGROHO</t>
  </si>
  <si>
    <t xml:space="preserve">TRI CAHYO WISNU PAMUNGKAS </t>
  </si>
  <si>
    <t xml:space="preserve">WAHYU ANAS </t>
  </si>
  <si>
    <t>ANDI RAHMAN</t>
  </si>
  <si>
    <t>BENEDICTUS  FAJAR BUDIARTO</t>
  </si>
  <si>
    <t>SUTRIYADI</t>
  </si>
  <si>
    <t>WINDU SAPUTRA FEBRIANZAH</t>
  </si>
  <si>
    <t xml:space="preserve">DODIK WAHYU EDI NUGROHO </t>
  </si>
  <si>
    <t xml:space="preserve">DOMINICUS SUPRAYOGI </t>
  </si>
  <si>
    <t xml:space="preserve">PANJI WICAKSONO </t>
  </si>
  <si>
    <t xml:space="preserve">DAVIT PRASTYO </t>
  </si>
  <si>
    <t xml:space="preserve">HANRI SOFIAN ROBIN </t>
  </si>
  <si>
    <t>MOH ADHIM</t>
  </si>
  <si>
    <t>ATHUR HIDAYATULLOH</t>
  </si>
  <si>
    <t xml:space="preserve">ABDI FIRMAN HAKIKI </t>
  </si>
  <si>
    <t xml:space="preserve">MOHAMMAD ADIB ALMUTA ALLI </t>
  </si>
  <si>
    <t>NURKOLIS</t>
  </si>
  <si>
    <t>INDRA LESMANA</t>
  </si>
  <si>
    <t>MUH. ARFAH R</t>
  </si>
  <si>
    <t xml:space="preserve">RISAL </t>
  </si>
  <si>
    <t>SUARDI</t>
  </si>
  <si>
    <t xml:space="preserve"> </t>
  </si>
  <si>
    <t>Mr. Autapon Noksang</t>
  </si>
  <si>
    <t>TL130369</t>
  </si>
  <si>
    <t xml:space="preserve">DMK </t>
  </si>
  <si>
    <t>GL GTIC</t>
  </si>
  <si>
    <t>Mrs.Thanyanan Ruksajun / TL130069</t>
  </si>
  <si>
    <t>Mrs.Parichat Saengchan</t>
  </si>
  <si>
    <t>TL141258</t>
  </si>
  <si>
    <t>Mr. Wichit Mangprayoon</t>
  </si>
  <si>
    <t>TL140655</t>
  </si>
  <si>
    <t>GTIC</t>
  </si>
  <si>
    <t>Ms. Pramornkwan Sengphriao</t>
  </si>
  <si>
    <t>TL141454</t>
  </si>
  <si>
    <t>Mr. Noppadon Pansiri</t>
  </si>
  <si>
    <t>TL151667</t>
  </si>
  <si>
    <t>Mr. Chokanan Chaiya</t>
  </si>
  <si>
    <t>TL163053</t>
  </si>
  <si>
    <t>Mr. Netiphong Khunkaeoketngam</t>
  </si>
  <si>
    <t>TL174574</t>
  </si>
  <si>
    <t>Mr. Supalak Kenkhayan</t>
  </si>
  <si>
    <t>TL174756</t>
  </si>
  <si>
    <t>Mr. Jakkit Phosa-oon</t>
  </si>
  <si>
    <t>TL185001</t>
  </si>
  <si>
    <t>Ms. Malisa Santantiphong</t>
  </si>
  <si>
    <t>TL185004</t>
  </si>
  <si>
    <t>Mr. Chinnakorn Pompho</t>
  </si>
  <si>
    <t>TL185100</t>
  </si>
  <si>
    <t>Mr. Thongtong Hmankitchakan</t>
  </si>
  <si>
    <t>TL185104</t>
  </si>
  <si>
    <t>Ms. Phetcharat Phaetychaiyo</t>
  </si>
  <si>
    <t>TL185744</t>
  </si>
  <si>
    <t>Mr. Bunyawat Chaiyot</t>
  </si>
  <si>
    <t>TL185943</t>
  </si>
  <si>
    <t>Ms. Pattawan Kaewsan</t>
  </si>
  <si>
    <t>TL186096</t>
  </si>
  <si>
    <t>Mr. Wittaya Petchin</t>
  </si>
  <si>
    <t>TL196730</t>
  </si>
  <si>
    <t>Mr.Torsak Vachirapanvichan</t>
  </si>
  <si>
    <t>TL248019</t>
  </si>
  <si>
    <t>Mr.Wasapon  Tasanasuwan</t>
  </si>
  <si>
    <t>TL248020</t>
  </si>
  <si>
    <t>Ms.Suangkanok Khongrabiab</t>
  </si>
  <si>
    <t>TL248021</t>
  </si>
  <si>
    <t>Ms. Gunyanut  Praphong</t>
  </si>
  <si>
    <t>TL248042</t>
  </si>
  <si>
    <t>Mrs. Wannee Chayklinted</t>
  </si>
  <si>
    <t>TL248043</t>
  </si>
  <si>
    <t>Mr. Amonthepparit Srisupa</t>
  </si>
  <si>
    <t>TL258267</t>
  </si>
  <si>
    <t>Mr. Wachira Sangpakdee</t>
  </si>
  <si>
    <t>TL258268</t>
  </si>
  <si>
    <t>Ms. Kanyapat Deepapan</t>
  </si>
  <si>
    <t>TL258269</t>
  </si>
  <si>
    <t>Ms. Kingfai    Sunpan</t>
  </si>
  <si>
    <t xml:space="preserve">TL258381  </t>
  </si>
  <si>
    <t>Ms. Sunanta    Phoca</t>
  </si>
  <si>
    <t>TL258382</t>
  </si>
  <si>
    <t>Ms. Thitiporn    Pilata</t>
  </si>
  <si>
    <t>TL258383</t>
  </si>
  <si>
    <t>Mr. Rujrawee Pantoum</t>
  </si>
  <si>
    <t>TL258483</t>
  </si>
  <si>
    <t>Mr. Adison Sukmak</t>
  </si>
  <si>
    <t>TL258484</t>
  </si>
  <si>
    <t>Mr. Nathan  Yaisamlee</t>
  </si>
  <si>
    <t>TL258621</t>
  </si>
  <si>
    <t>Mr. Jirakorn Bunmawongsa</t>
  </si>
  <si>
    <t>TL258809</t>
  </si>
  <si>
    <t>Mr. Nattawut Boonyarit</t>
  </si>
  <si>
    <t>TL258810</t>
  </si>
  <si>
    <t>Mr. Vasan Khampha</t>
  </si>
  <si>
    <t>TL258811</t>
  </si>
  <si>
    <t>Ms. Chanisara  Thongkumnuch</t>
  </si>
  <si>
    <t>TL269518</t>
  </si>
  <si>
    <t>Ms. Viphada  Wongtrakun</t>
  </si>
  <si>
    <t>TL269519</t>
  </si>
  <si>
    <t>Mr. Attapol Sridownrung</t>
  </si>
  <si>
    <t>TL247910</t>
  </si>
  <si>
    <t>DCIE</t>
  </si>
  <si>
    <t>Mr.CHANCHAI NINKAMHANG / TL130039</t>
  </si>
  <si>
    <t>Mr. Sorote Jankaew</t>
  </si>
  <si>
    <t>TL247911</t>
  </si>
  <si>
    <t>Mr. Natthapol Sriwa-Urai</t>
  </si>
  <si>
    <t>TL247913</t>
  </si>
  <si>
    <t>Mr. Watchara Somboonplaeng</t>
  </si>
  <si>
    <t>TL247914</t>
  </si>
  <si>
    <t>Ms. Chalida Klaphimai</t>
  </si>
  <si>
    <t>TL247915</t>
  </si>
  <si>
    <t>Ms. Patcharida Rukmae</t>
  </si>
  <si>
    <t>TL247916</t>
  </si>
  <si>
    <t>Ms. May Doungkosol</t>
  </si>
  <si>
    <t>TL247917</t>
  </si>
  <si>
    <t>Mr. Chonratape Chimtrakul</t>
  </si>
  <si>
    <t>TL247960</t>
  </si>
  <si>
    <t>Ms. Saowapa Aimbun</t>
  </si>
  <si>
    <t>TL248037</t>
  </si>
  <si>
    <t>Mr. Wasurat Areerak</t>
  </si>
  <si>
    <t>TL248038</t>
  </si>
  <si>
    <t>Mr. Rungsak Mueanrung</t>
  </si>
  <si>
    <t>TL152095</t>
  </si>
  <si>
    <t>Ms. Mayura Muangmanee</t>
  </si>
  <si>
    <t>TL152102</t>
  </si>
  <si>
    <t>GL DCIE</t>
  </si>
  <si>
    <t>Mr. Sakda Somboonpang</t>
  </si>
  <si>
    <t>TL152313</t>
  </si>
  <si>
    <t>Ms. Pilaiwan Raksasat</t>
  </si>
  <si>
    <t>TL152390</t>
  </si>
  <si>
    <t>Mr. Thammanoon Adam</t>
  </si>
  <si>
    <t>TL162613</t>
  </si>
  <si>
    <t>Ms. Sirirat Churutha</t>
  </si>
  <si>
    <t>TL185947</t>
  </si>
  <si>
    <t>Ms. Uraiwan Jitsuwan</t>
  </si>
  <si>
    <t>TL185948</t>
  </si>
  <si>
    <t>Mr. Nutthapong Khananai</t>
  </si>
  <si>
    <t>TL185951</t>
  </si>
  <si>
    <t>Mr. Pairoj Panruang</t>
  </si>
  <si>
    <t>TL185952</t>
  </si>
  <si>
    <t>Mr. Parkpoom Duangsuwan</t>
  </si>
  <si>
    <t>TL185953</t>
  </si>
  <si>
    <t>Ms. Bamrunglak Theskong</t>
  </si>
  <si>
    <t>TL185955</t>
  </si>
  <si>
    <t>Mr. Jetsada Jomwong</t>
  </si>
  <si>
    <t>TL269483</t>
  </si>
  <si>
    <t>Mr. Watee Srisombat</t>
  </si>
  <si>
    <t>TL269485</t>
  </si>
  <si>
    <t>Ms. Nirobol Chaipholtong</t>
  </si>
  <si>
    <t>TL269487</t>
  </si>
  <si>
    <t>Ms. Waliwan Somwong</t>
  </si>
  <si>
    <t>TL269489</t>
  </si>
  <si>
    <t>Mr. Acheer Klumchawee</t>
  </si>
  <si>
    <t>TL269482</t>
  </si>
  <si>
    <t>Mr. Settawut Yakab</t>
  </si>
  <si>
    <t>TL269484</t>
  </si>
  <si>
    <t>Ms. Aranya Mongpud</t>
  </si>
  <si>
    <t>TL269486</t>
  </si>
  <si>
    <t>Ms. Somruethai Inchan</t>
  </si>
  <si>
    <t xml:space="preserve">TL269488 </t>
  </si>
  <si>
    <t>Mr. Songpon Saisuwan</t>
  </si>
  <si>
    <t>TL258196</t>
  </si>
  <si>
    <t>GL CBM / ENGINEER 1</t>
  </si>
  <si>
    <t>Mr. Sooksan Hongthong</t>
  </si>
  <si>
    <t>TL185110</t>
  </si>
  <si>
    <t>GL CBM / ENGINEER 2</t>
  </si>
  <si>
    <t xml:space="preserve">Mr. Anon Sittisas </t>
  </si>
  <si>
    <t>TL152329</t>
  </si>
  <si>
    <t>CBM / Mechanic 3</t>
  </si>
  <si>
    <t>Ms. Uraiwan Wongpen</t>
  </si>
  <si>
    <t>CBM / Mechanic 2</t>
  </si>
  <si>
    <t xml:space="preserve">Mr. Pipat Buarueang </t>
  </si>
  <si>
    <t>TL247810</t>
  </si>
  <si>
    <t>CBM / Mechanic 1</t>
  </si>
  <si>
    <t>Mr. Tawit Promdee</t>
  </si>
  <si>
    <t>TL163146</t>
  </si>
  <si>
    <t>Mr. Pondsakorn Leksamran</t>
  </si>
  <si>
    <t>TL269472</t>
  </si>
  <si>
    <t>Mr. Thawatchai Homkesorn</t>
  </si>
  <si>
    <t>TL237266</t>
  </si>
  <si>
    <t>Mr. Paiwan Deesri</t>
  </si>
  <si>
    <t>TL184897</t>
  </si>
  <si>
    <t>Mr. Thanakrit Chiwathanakornkul</t>
  </si>
  <si>
    <t>TL247600</t>
  </si>
  <si>
    <t>Mr. Thunyatit Koomklang</t>
  </si>
  <si>
    <t>TL237278</t>
  </si>
  <si>
    <t>Mr. Kriengkrai Piempol</t>
  </si>
  <si>
    <t>TL269467</t>
  </si>
  <si>
    <t>WAN MOHAMED FIZWAN BIN WAN MOHAMED NOR</t>
  </si>
  <si>
    <t>M06306</t>
  </si>
  <si>
    <t xml:space="preserve">KUL </t>
  </si>
  <si>
    <t>PIC CABIN MAINTENANCE (ACTING)</t>
  </si>
  <si>
    <t>MUHAMMAD KHAIRUL ANUAR BIN ISMAIL</t>
  </si>
  <si>
    <t>M00192</t>
  </si>
  <si>
    <t>GROUP LEADER</t>
  </si>
  <si>
    <t>MOHD KHAIRUL AZAM BIN ANUAR</t>
  </si>
  <si>
    <t>M12091</t>
  </si>
  <si>
    <t>AIRCRAFT TECHNICIAN (B1)</t>
  </si>
  <si>
    <t>MUHAMMAD AMIR HAKIM BIN MOHD RASID</t>
  </si>
  <si>
    <t>M12175</t>
  </si>
  <si>
    <t>MUHAMMAD IRFAN BIN MAT ADRI</t>
  </si>
  <si>
    <t>M13593</t>
  </si>
  <si>
    <t>MOHD AFDHAL BIN TAJUDIN</t>
  </si>
  <si>
    <t>M14244</t>
  </si>
  <si>
    <t>AIRCRAFT TECHNICIAN (B1) (FG/P)</t>
  </si>
  <si>
    <t>MUHAMMAD IRFAN BIN MOHD FERUZ</t>
  </si>
  <si>
    <t>M13261</t>
  </si>
  <si>
    <t>M14038 SC</t>
  </si>
  <si>
    <t>NAJMI BIN ABDULLAH FADZIL</t>
  </si>
  <si>
    <t>M03469</t>
  </si>
  <si>
    <t>AHMAD DANISH BIN AMAN</t>
  </si>
  <si>
    <t>M13595</t>
  </si>
  <si>
    <t>SHAMSUL ANUAR BIN ROS @ CHE ROS</t>
  </si>
  <si>
    <t>M14508</t>
  </si>
  <si>
    <t>NASHAH BIN NORSHAM</t>
  </si>
  <si>
    <t>M14245</t>
  </si>
  <si>
    <t>MOHD FAEZAL BIN SHAARI</t>
  </si>
  <si>
    <t>M13635</t>
  </si>
  <si>
    <t>MUHAMMAD DANISH IRFAN BIN SHARINI</t>
  </si>
  <si>
    <t>M13260</t>
  </si>
  <si>
    <t>M14054 SC</t>
  </si>
  <si>
    <t>N. SAIDINA SAWLEHEEN BIN CHE ISMAIL</t>
  </si>
  <si>
    <t>M12798</t>
  </si>
  <si>
    <t>MOHAMAD AFIF ASNA BIN MOHD HASNI</t>
  </si>
  <si>
    <t>M12174</t>
  </si>
  <si>
    <t>ALIAS BIN ISMAIL</t>
  </si>
  <si>
    <t>M13642</t>
  </si>
  <si>
    <t>NORAZLAN BIN MUSTAPA</t>
  </si>
  <si>
    <t>M10030</t>
  </si>
  <si>
    <t>AIRCRAFT TECHNICIAN (B1) (FG)</t>
  </si>
  <si>
    <t>MOHAMMAD FIRDAUS BIN ABDUL RAZAK</t>
  </si>
  <si>
    <t>M13693</t>
  </si>
  <si>
    <t>PREMGANESH A/L KUMARAN</t>
  </si>
  <si>
    <t>M13259</t>
  </si>
  <si>
    <t>MUHAMMAD HAFIDZI BIN TAHWIL AZAR</t>
  </si>
  <si>
    <t>M12121</t>
  </si>
  <si>
    <t>HAPIZAN BIN MORNI</t>
  </si>
  <si>
    <t>M14099</t>
  </si>
  <si>
    <t>JIISYHNU GANAPATHY</t>
  </si>
  <si>
    <t>M13257</t>
  </si>
  <si>
    <t>AISY IRFAN BIN MOHD FAHMY</t>
  </si>
  <si>
    <t>M13258</t>
  </si>
  <si>
    <t>HERMAN BIN RUSLAN</t>
  </si>
  <si>
    <t>M13639</t>
  </si>
  <si>
    <t>M14039 SC</t>
  </si>
  <si>
    <t>JAD IMRAN BIN ABDUL ALIM</t>
  </si>
  <si>
    <t>M12013</t>
  </si>
  <si>
    <t xml:space="preserve">TANGGAL RESIGN </t>
  </si>
  <si>
    <t xml:space="preserve">RESIGN\MUTASI\PHK </t>
  </si>
  <si>
    <t xml:space="preserve">KRIS TRI PUTRA SILABAN </t>
  </si>
  <si>
    <t xml:space="preserve">CGK </t>
  </si>
  <si>
    <t xml:space="preserve">28 DESEMBER 2019 </t>
  </si>
  <si>
    <t xml:space="preserve">RESIGN </t>
  </si>
  <si>
    <t xml:space="preserve">FAHMI PRAYOGA </t>
  </si>
  <si>
    <t>PKU</t>
  </si>
  <si>
    <t>20 APRIL 2020</t>
  </si>
  <si>
    <t xml:space="preserve">RIDHO WIRATAMA </t>
  </si>
  <si>
    <t>01 SEPTEMBER 2020</t>
  </si>
  <si>
    <t xml:space="preserve">HENDRIK FERNANDO </t>
  </si>
  <si>
    <t xml:space="preserve">BONDAN FIRMANSYAH </t>
  </si>
  <si>
    <t>01 OKTOBER 2020</t>
  </si>
  <si>
    <t>RESIGN</t>
  </si>
  <si>
    <t xml:space="preserve">ARIF RAHMAN </t>
  </si>
  <si>
    <t xml:space="preserve">JULI ABADI </t>
  </si>
  <si>
    <t>08 JULI 2021</t>
  </si>
  <si>
    <t xml:space="preserve">HENDRO SAPUTRA </t>
  </si>
  <si>
    <t xml:space="preserve">01 AGUSTUS 2021 </t>
  </si>
  <si>
    <t xml:space="preserve">DODY SUKMAYADI </t>
  </si>
  <si>
    <t xml:space="preserve">FEBRY YUDI WIBOWO </t>
  </si>
  <si>
    <t xml:space="preserve">YIA </t>
  </si>
  <si>
    <t>05 NOVEMBER 2021</t>
  </si>
  <si>
    <t xml:space="preserve">ADE PURNAMA PUTRA </t>
  </si>
  <si>
    <t xml:space="preserve">SUB </t>
  </si>
  <si>
    <t>15 NOVEMBER 2021</t>
  </si>
  <si>
    <t xml:space="preserve">RIYAN PRIO UTOMO </t>
  </si>
  <si>
    <t xml:space="preserve">BPN </t>
  </si>
  <si>
    <t>01 NOVEMBER 2021</t>
  </si>
  <si>
    <t xml:space="preserve">CECEP </t>
  </si>
  <si>
    <t xml:space="preserve">HAMDANI MANSYUR </t>
  </si>
  <si>
    <t xml:space="preserve">BDO </t>
  </si>
  <si>
    <t>09 OKTOBER 2021</t>
  </si>
  <si>
    <t xml:space="preserve">AHMAD ACHYAR </t>
  </si>
  <si>
    <t>16 AGUSTUS 2021</t>
  </si>
  <si>
    <t xml:space="preserve">JAJA SUTEJA </t>
  </si>
  <si>
    <t xml:space="preserve">16 DESEMBER 2021 </t>
  </si>
  <si>
    <t xml:space="preserve">RIZKI UTAMI ARIFIN </t>
  </si>
  <si>
    <t>05 JANUARI 2022</t>
  </si>
  <si>
    <t xml:space="preserve">FAISAL JAMARI </t>
  </si>
  <si>
    <t>01 SEPTEMBER 2022</t>
  </si>
  <si>
    <t xml:space="preserve">LUCKY WARDANI </t>
  </si>
  <si>
    <t>04 FEBRUARI 2022</t>
  </si>
  <si>
    <t xml:space="preserve">FAOZANILHUDA </t>
  </si>
  <si>
    <t>01 MARET 2022</t>
  </si>
  <si>
    <t xml:space="preserve">ABDUL MUNIR </t>
  </si>
  <si>
    <t xml:space="preserve">HERMAWAN DWI HARYONO </t>
  </si>
  <si>
    <t>01 OKTOBER 2022</t>
  </si>
  <si>
    <t>ANGGI SAPUTRA</t>
  </si>
  <si>
    <t xml:space="preserve">28 FEBRUARI 2025 </t>
  </si>
  <si>
    <t xml:space="preserve">ADI FIRMANSYAH MOKOAGOW </t>
  </si>
  <si>
    <t xml:space="preserve">20 MARET 2025 </t>
  </si>
  <si>
    <t xml:space="preserve">SUHARDIMAN </t>
  </si>
  <si>
    <t xml:space="preserve">31 MARET 2025 </t>
  </si>
  <si>
    <t xml:space="preserve">MULYANI FITRIANI </t>
  </si>
  <si>
    <t xml:space="preserve">27 MARET 2025 </t>
  </si>
  <si>
    <t xml:space="preserve">WAHYU FIRDAUS LUBIS   </t>
  </si>
  <si>
    <t xml:space="preserve">KNO </t>
  </si>
  <si>
    <t xml:space="preserve">29 MEI 2025 </t>
  </si>
  <si>
    <t xml:space="preserve">NUR ALAMSYAH  </t>
  </si>
  <si>
    <t xml:space="preserve">02 JUNI 2025 </t>
  </si>
  <si>
    <t xml:space="preserve">18 JUNI 2025 </t>
  </si>
  <si>
    <t xml:space="preserve">SUPRIADI </t>
  </si>
  <si>
    <t xml:space="preserve">01 JULI 2025 </t>
  </si>
  <si>
    <t xml:space="preserve">15 JULI 2025 </t>
  </si>
  <si>
    <t xml:space="preserve">RAHMAT PIDRI </t>
  </si>
  <si>
    <t xml:space="preserve">18 AGUSTUS 2025 </t>
  </si>
  <si>
    <t xml:space="preserve">PHK </t>
  </si>
  <si>
    <t xml:space="preserve">09 SEPTEMBER 2025 </t>
  </si>
  <si>
    <t xml:space="preserve">MUHAMMAD SUKRIADI </t>
  </si>
  <si>
    <t xml:space="preserve">UPG </t>
  </si>
  <si>
    <t>17 SEPTEMBER 2025</t>
  </si>
  <si>
    <t xml:space="preserve">RIAN JUFRIANTO </t>
  </si>
  <si>
    <t xml:space="preserve">CBN </t>
  </si>
  <si>
    <t xml:space="preserve">19 OKTOBER 2025 </t>
  </si>
  <si>
    <t xml:space="preserve">MUHAMMAD IQBAL MAULANA </t>
  </si>
  <si>
    <t>GROUP LEADER CBM ON-DUTY B</t>
  </si>
  <si>
    <t xml:space="preserve">30 SEPTEMBER 2025 </t>
  </si>
  <si>
    <t xml:space="preserve">16 NOVEMBER 2025 </t>
  </si>
  <si>
    <t xml:space="preserve">MUTASI </t>
  </si>
  <si>
    <t>ISMAIL SHOLIHIN</t>
  </si>
  <si>
    <t>05 OKTOBER 2025</t>
  </si>
  <si>
    <t>30-NOVEMBER-2025</t>
  </si>
  <si>
    <t>ADE KURNIAWAN</t>
  </si>
  <si>
    <t xml:space="preserve">HLP </t>
  </si>
  <si>
    <t>AIRCRAFT PAINTING</t>
  </si>
  <si>
    <t>05-DESEMBER-2025</t>
  </si>
  <si>
    <t xml:space="preserve">YANUAR AHMAD RIFAI </t>
  </si>
  <si>
    <t>06-DESEMBER-2025</t>
  </si>
  <si>
    <t xml:space="preserve">SUTIYO </t>
  </si>
  <si>
    <t xml:space="preserve">18-DESEMBER-2025 </t>
  </si>
  <si>
    <t>01-DESEMBER-2025</t>
  </si>
  <si>
    <t xml:space="preserve">TIDAK PERPANJANG KONTRAK </t>
  </si>
  <si>
    <t xml:space="preserve">I PUTU  DEDI KUSUMA YASA </t>
  </si>
  <si>
    <t xml:space="preserve">DPS </t>
  </si>
  <si>
    <t xml:space="preserve">01-FEBRUARI-2025 </t>
  </si>
  <si>
    <t xml:space="preserve">DANIEL ANDRE MANURUNG </t>
  </si>
  <si>
    <t xml:space="preserve">APRIL 2026 </t>
  </si>
  <si>
    <t>I WAYAN AGUS ARYWAHYUDI</t>
  </si>
  <si>
    <t>15-JANUARI-2026</t>
  </si>
  <si>
    <t xml:space="preserve">BTH </t>
  </si>
  <si>
    <t>18-JANUARI-2026</t>
  </si>
  <si>
    <t>31-JANUARI-2026</t>
  </si>
  <si>
    <t xml:space="preserve">KOE </t>
  </si>
  <si>
    <t xml:space="preserve">01-FEBRUARI-2026 </t>
  </si>
  <si>
    <t>HELFY ABRAHAM NUNUMETE</t>
  </si>
  <si>
    <t xml:space="preserve">MUHAMMAD RAMADHAN TABLIGH </t>
  </si>
  <si>
    <t xml:space="preserve">26 JANUARI 2026 </t>
  </si>
  <si>
    <t xml:space="preserve">DWIYAN ARIS NUGROHO </t>
  </si>
  <si>
    <t xml:space="preserve">KAREL BANDASO </t>
  </si>
  <si>
    <t xml:space="preserve">07 MARET 2026 </t>
  </si>
  <si>
    <t xml:space="preserve">MENINGGAL DUNIA </t>
  </si>
  <si>
    <t xml:space="preserve">17 APRIL 2026 </t>
  </si>
  <si>
    <t xml:space="preserve">CHOIRUL HADI SAPUTRO </t>
  </si>
  <si>
    <t xml:space="preserve">30 APRIL 2026 </t>
  </si>
  <si>
    <t>GROUP LEADER AIEC KNO B</t>
  </si>
  <si>
    <t xml:space="preserve">31 MEI 2026 </t>
  </si>
  <si>
    <t xml:space="preserve">16 MEI 2026 </t>
  </si>
  <si>
    <t xml:space="preserve">25 MEI 2026 </t>
  </si>
  <si>
    <t xml:space="preserve">BAHRUL HUDA </t>
  </si>
  <si>
    <t xml:space="preserve">15 JUNI 2026 </t>
  </si>
  <si>
    <t xml:space="preserve">17 JUNI 2026 </t>
  </si>
  <si>
    <t>SAIPUL</t>
  </si>
  <si>
    <t xml:space="preserve">01 JULI 2026 </t>
  </si>
  <si>
    <t xml:space="preserve">31 JULI 2026 </t>
  </si>
  <si>
    <t xml:space="preserve">Saran lebih baik jadi GL CBM OPS D agar pas pengajuan penggantiannya gak bingung, di karenakan sesuai dengan jabatan di BATPD </t>
  </si>
  <si>
    <t xml:space="preserve">15 AGUSTUS 2026 </t>
  </si>
  <si>
    <t xml:space="preserve">10 AGUSTUS 2026 </t>
  </si>
  <si>
    <t xml:space="preserve">GROUP LEADER CBM ON-DUTY B/GROUP LEADER CBM OPS D </t>
  </si>
  <si>
    <t>Wilayah Stasiun</t>
  </si>
  <si>
    <t>Aktifitas Pekerjaan</t>
  </si>
  <si>
    <t>Kebutuhan Karyawan
per-Unit</t>
  </si>
  <si>
    <t>Karyawan Tersedia
per-Unit</t>
  </si>
  <si>
    <t>Kekurangan Karyawan
per-Unit</t>
  </si>
  <si>
    <t>Total Kekurangan Karyawan per-Unit ditambah 20% (Cuti, Izin, Sakit, Training)</t>
  </si>
  <si>
    <t>Keterangan</t>
  </si>
  <si>
    <t>Transit</t>
  </si>
  <si>
    <t>RON</t>
  </si>
  <si>
    <t>Supporting</t>
  </si>
  <si>
    <t>PI</t>
  </si>
  <si>
    <t>Painter</t>
  </si>
  <si>
    <t>Cleaner</t>
  </si>
  <si>
    <t>MAINSTA</t>
  </si>
  <si>
    <t>OUTSTA-A</t>
  </si>
  <si>
    <t>OUTSTA-B</t>
  </si>
  <si>
    <t>PLM</t>
  </si>
  <si>
    <t>TOTAL</t>
  </si>
  <si>
    <t xml:space="preserve">Note : </t>
  </si>
  <si>
    <t>CABIN MAINTENANCE CAPACITY 2026</t>
  </si>
  <si>
    <t>NO</t>
  </si>
  <si>
    <t>AIRCRAFT</t>
  </si>
  <si>
    <t>Manpower Availability</t>
  </si>
  <si>
    <t>Manpower Availability PerDay/Shift</t>
  </si>
  <si>
    <t>Capacity (Workload)</t>
  </si>
  <si>
    <t>REMARKS</t>
  </si>
  <si>
    <t>TRA</t>
  </si>
  <si>
    <t>Cabin Mechanic</t>
  </si>
  <si>
    <t>Aircraft Painter</t>
  </si>
  <si>
    <t>Aircraft Cleaning</t>
  </si>
  <si>
    <r>
      <t xml:space="preserve">CBM Mech
</t>
    </r>
    <r>
      <rPr>
        <b/>
        <i/>
        <sz val="9"/>
        <color theme="1"/>
        <rFont val="Calibri"/>
        <family val="2"/>
        <scheme val="minor"/>
      </rPr>
      <t>Daily/WO/DMI/
NSRDIL/TS</t>
    </r>
  </si>
  <si>
    <t>OH</t>
  </si>
  <si>
    <t>Day</t>
  </si>
  <si>
    <t>Night</t>
  </si>
  <si>
    <t>Off</t>
  </si>
  <si>
    <t>GEN</t>
  </si>
  <si>
    <t>DCI</t>
  </si>
  <si>
    <t>DCE</t>
  </si>
  <si>
    <t>K1, K22</t>
  </si>
  <si>
    <t>√</t>
  </si>
  <si>
    <t>DCI-4, DCE-2</t>
  </si>
  <si>
    <t>H3</t>
  </si>
  <si>
    <t>TBA</t>
  </si>
  <si>
    <t>C1</t>
  </si>
  <si>
    <t>DCI-1, DCE-1</t>
  </si>
  <si>
    <t>S1</t>
  </si>
  <si>
    <t>DCI-1, DCE-2</t>
  </si>
  <si>
    <t>S5</t>
  </si>
  <si>
    <t>P3</t>
  </si>
  <si>
    <t>K4</t>
  </si>
  <si>
    <t>B9</t>
  </si>
  <si>
    <t>DCI or DCE-1</t>
  </si>
  <si>
    <t>M3</t>
  </si>
  <si>
    <t>A2</t>
  </si>
  <si>
    <t>S3</t>
  </si>
  <si>
    <t>L2</t>
  </si>
  <si>
    <t>K7</t>
  </si>
  <si>
    <t>KUL01</t>
  </si>
  <si>
    <t>K5</t>
  </si>
  <si>
    <t>K126</t>
  </si>
  <si>
    <t>P7</t>
  </si>
  <si>
    <t>P1</t>
  </si>
  <si>
    <t>K3</t>
  </si>
  <si>
    <t>TRA : Transit
GEN : General
P3 : Third Party</t>
  </si>
  <si>
    <t>TBA : To Be Announced
DCI : Deep Clean Int.
DCE : Deep Clean Ext.</t>
  </si>
  <si>
    <t>Target perDay
DCI : 10 A/C
DCE : 10 A/C</t>
  </si>
  <si>
    <t xml:space="preserve">Hanya Mechanic, Aircraft Painting, AIEC </t>
  </si>
  <si>
    <t>Id</t>
  </si>
  <si>
    <t>NAMA</t>
  </si>
  <si>
    <t>NOMOR ID</t>
  </si>
  <si>
    <t>JABATAN</t>
  </si>
  <si>
    <t>NOMOR HP</t>
  </si>
  <si>
    <t>KOTA LAHIR</t>
  </si>
  <si>
    <t>TANGGAL LAHIR</t>
  </si>
  <si>
    <t>STATUS PERKAWINAN</t>
  </si>
  <si>
    <t>JUMLAH ANAK</t>
  </si>
  <si>
    <t>AGAMA</t>
  </si>
  <si>
    <t>PENDIDIKAN TERAKHIR</t>
  </si>
  <si>
    <t>JURUSAN PENDIDIKAN</t>
  </si>
  <si>
    <t>NAMA SEKOLAH</t>
  </si>
  <si>
    <t>NIK</t>
  </si>
  <si>
    <t>NOMOR KK</t>
  </si>
  <si>
    <t>NOMOR NPWP</t>
  </si>
  <si>
    <t>NOMOR BPJS KESEHATAN</t>
  </si>
  <si>
    <t>NOMOR BPJS KETENAGAKERJAAN</t>
  </si>
  <si>
    <t>08119403152</t>
  </si>
  <si>
    <t>AMBON</t>
  </si>
  <si>
    <t>BELUM MENIKAH</t>
  </si>
  <si>
    <t>PROTESTAN</t>
  </si>
  <si>
    <t>SMA</t>
  </si>
  <si>
    <t>ILMU PENGETAHUAN ALAM</t>
  </si>
  <si>
    <t>SMA NEGERI 7 AMBON</t>
  </si>
  <si>
    <t>8171040603920001</t>
  </si>
  <si>
    <t>8171042601080408</t>
  </si>
  <si>
    <t>70.764.326.8-941.000</t>
  </si>
  <si>
    <t>0000152517497</t>
  </si>
  <si>
    <t>14031181952</t>
  </si>
  <si>
    <t>MECHANIC CBM</t>
  </si>
  <si>
    <t>081808535113</t>
  </si>
  <si>
    <t>BANDUNG</t>
  </si>
  <si>
    <t>MENIKAH</t>
  </si>
  <si>
    <t>ISLAM</t>
  </si>
  <si>
    <t>IPA</t>
  </si>
  <si>
    <t>PASUNDAN 1 CIMAHI</t>
  </si>
  <si>
    <t>3204100105870002</t>
  </si>
  <si>
    <t>3204101204160016</t>
  </si>
  <si>
    <t>469199210445000</t>
  </si>
  <si>
    <t>0001124099807</t>
  </si>
  <si>
    <t>13002005976</t>
  </si>
  <si>
    <t>STAFF AIEC</t>
  </si>
  <si>
    <t>081280681270</t>
  </si>
  <si>
    <t>Kota Tangerang</t>
  </si>
  <si>
    <t>-</t>
  </si>
  <si>
    <t>SMK</t>
  </si>
  <si>
    <t>AKUNTANSI</t>
  </si>
  <si>
    <t>YP-KARYA BANGSA</t>
  </si>
  <si>
    <t>3671102711920004</t>
  </si>
  <si>
    <t>3671102904110030</t>
  </si>
  <si>
    <t>45.953.249.5-402.000</t>
  </si>
  <si>
    <t>0001147575137</t>
  </si>
  <si>
    <t>12029437188</t>
  </si>
  <si>
    <t>089530927885</t>
  </si>
  <si>
    <t>TANGERANG</t>
  </si>
  <si>
    <t>IPS</t>
  </si>
  <si>
    <t>SMAN1 KOSAMBI</t>
  </si>
  <si>
    <t>3603130506860007</t>
  </si>
  <si>
    <t>3603130809140019</t>
  </si>
  <si>
    <t>77.438.481.2-418.000</t>
  </si>
  <si>
    <t>0002303965192</t>
  </si>
  <si>
    <t>14008467996</t>
  </si>
  <si>
    <t>082261313156</t>
  </si>
  <si>
    <t>BELUM ADA</t>
  </si>
  <si>
    <t>SMA LKMD LAHA</t>
  </si>
  <si>
    <t>133572</t>
  </si>
  <si>
    <t>8171040508200003</t>
  </si>
  <si>
    <t>98.477.568.4-941.000</t>
  </si>
  <si>
    <t>000115433724</t>
  </si>
  <si>
    <t>18061610483</t>
  </si>
  <si>
    <t>0895365159131</t>
  </si>
  <si>
    <t xml:space="preserve">JAKARTA </t>
  </si>
  <si>
    <t>PARIWISATA</t>
  </si>
  <si>
    <t xml:space="preserve">SMIP PANDAWA BUDI LUHUR JAKARTA </t>
  </si>
  <si>
    <t>3174056708010006</t>
  </si>
  <si>
    <t>3174051301097195</t>
  </si>
  <si>
    <t>39.545.316.0-013.000</t>
  </si>
  <si>
    <t>0001185514233</t>
  </si>
  <si>
    <t>24113539704</t>
  </si>
  <si>
    <t>0895402705005</t>
  </si>
  <si>
    <t>KABUPATEN TANGERANG</t>
  </si>
  <si>
    <t>SMAN 1 RAJEG</t>
  </si>
  <si>
    <t>3603110201920012</t>
  </si>
  <si>
    <t>3603111810170015</t>
  </si>
  <si>
    <t>58.577.857.4-418.000</t>
  </si>
  <si>
    <t>0001138177449</t>
  </si>
  <si>
    <t>10024029380</t>
  </si>
  <si>
    <t>081283889091</t>
  </si>
  <si>
    <t xml:space="preserve">BENGKULU </t>
  </si>
  <si>
    <t xml:space="preserve">SMA N1 KOTA PADANG </t>
  </si>
  <si>
    <t>3603131212830011</t>
  </si>
  <si>
    <t>3603111905140002</t>
  </si>
  <si>
    <t>57.682.946.9.418.000</t>
  </si>
  <si>
    <t>0001128732309</t>
  </si>
  <si>
    <t>04JP040524</t>
  </si>
  <si>
    <t>085775123228</t>
  </si>
  <si>
    <t>BEKSI</t>
  </si>
  <si>
    <t xml:space="preserve">PERHOTELAN </t>
  </si>
  <si>
    <t>SMKN 1 TAMBUN SELATAN</t>
  </si>
  <si>
    <t>3216066704040019</t>
  </si>
  <si>
    <t>3216062411100161</t>
  </si>
  <si>
    <t>603943671435000</t>
  </si>
  <si>
    <t>0001646278378</t>
  </si>
  <si>
    <t>25003993943</t>
  </si>
  <si>
    <t>082133759081</t>
  </si>
  <si>
    <t>MEDAN</t>
  </si>
  <si>
    <t>Teknik Sepeda Motor</t>
  </si>
  <si>
    <t>SMK RIDHO ZAHRA</t>
  </si>
  <si>
    <t>1205162605950005</t>
  </si>
  <si>
    <t>1205160401100002</t>
  </si>
  <si>
    <t>74.765.695.7-119.000</t>
  </si>
  <si>
    <t>0001741583406</t>
  </si>
  <si>
    <t>16005785056</t>
  </si>
  <si>
    <t>083854993289</t>
  </si>
  <si>
    <t>GARUT</t>
  </si>
  <si>
    <t xml:space="preserve">SMKN 5 KABUPATEN TANGERANG </t>
  </si>
  <si>
    <t>3603110901040001</t>
  </si>
  <si>
    <t>3603111005100090</t>
  </si>
  <si>
    <t>39.167.505.5-418.000</t>
  </si>
  <si>
    <t>0001052857438</t>
  </si>
  <si>
    <t>24113539746</t>
  </si>
  <si>
    <t>+62 819-7781-7008</t>
  </si>
  <si>
    <t xml:space="preserve">TANGERANG </t>
  </si>
  <si>
    <t>TEKNIK MESIN</t>
  </si>
  <si>
    <t xml:space="preserve">SMK YUPPENTEK 1 TANGERANG </t>
  </si>
  <si>
    <t>3603131812940001</t>
  </si>
  <si>
    <t>3603131102100060</t>
  </si>
  <si>
    <t>64.141.536.9.418.000</t>
  </si>
  <si>
    <t>0002200233273</t>
  </si>
  <si>
    <t>13028287269</t>
  </si>
  <si>
    <t>085718285867</t>
  </si>
  <si>
    <t>SMA AL-JUMHURIAH</t>
  </si>
  <si>
    <t>3603134807860002</t>
  </si>
  <si>
    <t>3603132704110080</t>
  </si>
  <si>
    <t>79.228.579.3-418.000</t>
  </si>
  <si>
    <t>0001135256668</t>
  </si>
  <si>
    <t>18005231982</t>
  </si>
  <si>
    <t>082264087927</t>
  </si>
  <si>
    <t>SURABAYA</t>
  </si>
  <si>
    <t xml:space="preserve">SMK </t>
  </si>
  <si>
    <t>AIRFRAME POWERPLANT</t>
  </si>
  <si>
    <t>SMK PENERBANGAN JUANDA</t>
  </si>
  <si>
    <t>3515181104980003</t>
  </si>
  <si>
    <t>3515182601093222</t>
  </si>
  <si>
    <t>80.349.019.2-643.000</t>
  </si>
  <si>
    <t>0002254290996</t>
  </si>
  <si>
    <t>17001742141</t>
  </si>
  <si>
    <t>0859106660571</t>
  </si>
  <si>
    <t>JAKARTA</t>
  </si>
  <si>
    <t>ELECTRICAL AVIONIC</t>
  </si>
  <si>
    <t>SMKN 6 PENERBANGAN TANGERANG</t>
  </si>
  <si>
    <t>3671100112950003</t>
  </si>
  <si>
    <t>3671102102190002</t>
  </si>
  <si>
    <t>578181570402000</t>
  </si>
  <si>
    <t>0001156315601</t>
  </si>
  <si>
    <t>13039552974</t>
  </si>
  <si>
    <t>085819610054</t>
  </si>
  <si>
    <t>YOGYAKARTA</t>
  </si>
  <si>
    <t>AVIONIC MAINTENANCE AND REPAIR</t>
  </si>
  <si>
    <t>SMK PENERBANGAN AAG ADISUTJIPTO YOGYAKARTA</t>
  </si>
  <si>
    <t>3402151509960001</t>
  </si>
  <si>
    <t>3402152508210002</t>
  </si>
  <si>
    <t>94.242.095.1-543.000</t>
  </si>
  <si>
    <t>0001534565799</t>
  </si>
  <si>
    <t>20023575051</t>
  </si>
  <si>
    <t>089631994609</t>
  </si>
  <si>
    <t>PEMASARAN</t>
  </si>
  <si>
    <t>SMK BANDARA</t>
  </si>
  <si>
    <t>3603145303930004</t>
  </si>
  <si>
    <t>3603141202090029</t>
  </si>
  <si>
    <t>64.008.155.0-418.000</t>
  </si>
  <si>
    <t>0001155626739</t>
  </si>
  <si>
    <t>13036752650</t>
  </si>
  <si>
    <t>085790807078</t>
  </si>
  <si>
    <t>SIDOARJO</t>
  </si>
  <si>
    <t>MESIN</t>
  </si>
  <si>
    <t>SMK YOS SUDARSO</t>
  </si>
  <si>
    <t>3515161011800005</t>
  </si>
  <si>
    <t>3515162501096664</t>
  </si>
  <si>
    <t>364922548643000</t>
  </si>
  <si>
    <t>11018210283</t>
  </si>
  <si>
    <t>083850090004</t>
  </si>
  <si>
    <t>SAMPANG MADURA</t>
  </si>
  <si>
    <t>TEHNIK KONPUTER JARINGAN</t>
  </si>
  <si>
    <t>SMK ISLAM ANNUR</t>
  </si>
  <si>
    <t>3527051505920008</t>
  </si>
  <si>
    <t>3527022303200002</t>
  </si>
  <si>
    <t>717931190644000</t>
  </si>
  <si>
    <t>0001770611128</t>
  </si>
  <si>
    <t>15008754937</t>
  </si>
  <si>
    <t xml:space="preserve">SURABAYA ( SUB) </t>
  </si>
  <si>
    <t>082131310325</t>
  </si>
  <si>
    <t xml:space="preserve">AFP ( AIRFRAME POWER PLANE) </t>
  </si>
  <si>
    <t xml:space="preserve">SMK PENERBANGAN D.W </t>
  </si>
  <si>
    <t>3515171310950003</t>
  </si>
  <si>
    <t>3515172405240005</t>
  </si>
  <si>
    <t>802981381643000</t>
  </si>
  <si>
    <t>0000722532069</t>
  </si>
  <si>
    <t>17001742034</t>
  </si>
  <si>
    <t xml:space="preserve">085231654292 </t>
  </si>
  <si>
    <t>BANGKALAN</t>
  </si>
  <si>
    <t>DUA</t>
  </si>
  <si>
    <t>D1</t>
  </si>
  <si>
    <t>EKPOR DAN IMPOR</t>
  </si>
  <si>
    <t xml:space="preserve">WEARNES EDUCATION CENTER MALANG </t>
  </si>
  <si>
    <t>3526032909850008</t>
  </si>
  <si>
    <t>3526010801150003</t>
  </si>
  <si>
    <t>342994068644000</t>
  </si>
  <si>
    <t>11025252211001</t>
  </si>
  <si>
    <t>11025252211</t>
  </si>
  <si>
    <t>HALIM PERDANA KUSUMAH (HLP)</t>
  </si>
  <si>
    <t>085781792756</t>
  </si>
  <si>
    <t>SMU</t>
  </si>
  <si>
    <t>SMU N 1 RANCAEKEK</t>
  </si>
  <si>
    <t>3204282207860005</t>
  </si>
  <si>
    <t>3204282507170018</t>
  </si>
  <si>
    <t>792285827444000</t>
  </si>
  <si>
    <t>0001133773031</t>
  </si>
  <si>
    <t>08009378830</t>
  </si>
  <si>
    <t>0895342124162</t>
  </si>
  <si>
    <t>SMKN 7 KOTA TANGERANG</t>
  </si>
  <si>
    <t>3671074503050007</t>
  </si>
  <si>
    <t>3671071601090095</t>
  </si>
  <si>
    <t>99.304.390.0-402.000</t>
  </si>
  <si>
    <t>0000815355898</t>
  </si>
  <si>
    <t>24144916798</t>
  </si>
  <si>
    <t>08557670413</t>
  </si>
  <si>
    <t>NGAWI</t>
  </si>
  <si>
    <t xml:space="preserve">LISTRIK </t>
  </si>
  <si>
    <t>SMK PGRI 1 NGAWI</t>
  </si>
  <si>
    <t>3521052705950002</t>
  </si>
  <si>
    <t>3521051408180006</t>
  </si>
  <si>
    <t>803279306646000</t>
  </si>
  <si>
    <t>0000105764725</t>
  </si>
  <si>
    <t>17001742281</t>
  </si>
  <si>
    <t>089618305481</t>
  </si>
  <si>
    <t xml:space="preserve">SATU </t>
  </si>
  <si>
    <t xml:space="preserve">AKUNTANSI </t>
  </si>
  <si>
    <t xml:space="preserve">SMK TUNAS BANGSA </t>
  </si>
  <si>
    <t>3603130608950019</t>
  </si>
  <si>
    <t>3603132906220005</t>
  </si>
  <si>
    <t>45.961.155.4-418.000</t>
  </si>
  <si>
    <t>0003074169947</t>
  </si>
  <si>
    <t>12029437196</t>
  </si>
  <si>
    <t>083117223304</t>
  </si>
  <si>
    <t>Subang</t>
  </si>
  <si>
    <t>PARIWISATA DAN PERHOTELAN</t>
  </si>
  <si>
    <t>SMK PARAHYANGAN</t>
  </si>
  <si>
    <t>3213040606030001</t>
  </si>
  <si>
    <t>3213042004160001</t>
  </si>
  <si>
    <t>53.218.839.8-439.000</t>
  </si>
  <si>
    <t>0002622186595</t>
  </si>
  <si>
    <t>085831394095</t>
  </si>
  <si>
    <t>Medan</t>
  </si>
  <si>
    <t>Otomotif</t>
  </si>
  <si>
    <t>SMK Dwiwarna 2 Medan</t>
  </si>
  <si>
    <t>1271101402920003</t>
  </si>
  <si>
    <t>1271102504190001</t>
  </si>
  <si>
    <t>469512024122000</t>
  </si>
  <si>
    <t>0001125131883</t>
  </si>
  <si>
    <t>13007033254</t>
  </si>
  <si>
    <t>081779523997</t>
  </si>
  <si>
    <t>MAROS</t>
  </si>
  <si>
    <t>MANAJEMEN BISNIS</t>
  </si>
  <si>
    <t>SMK TRIDHARMA MKGR MAROS</t>
  </si>
  <si>
    <t>6474021012910010</t>
  </si>
  <si>
    <t>6471053010170007</t>
  </si>
  <si>
    <t>71262</t>
  </si>
  <si>
    <t>085694441464</t>
  </si>
  <si>
    <t>MA AL-HASANIYAH</t>
  </si>
  <si>
    <t>3603136108890007</t>
  </si>
  <si>
    <t>3174100603190002</t>
  </si>
  <si>
    <t>692794787418000</t>
  </si>
  <si>
    <t>0001139069384</t>
  </si>
  <si>
    <t>10015416802</t>
  </si>
  <si>
    <t>08979581602</t>
  </si>
  <si>
    <t>3603135606860008</t>
  </si>
  <si>
    <t>3603130606120307</t>
  </si>
  <si>
    <t>774456222418000</t>
  </si>
  <si>
    <t>0001134320117</t>
  </si>
  <si>
    <t>08021085637</t>
  </si>
  <si>
    <t>083854140405</t>
  </si>
  <si>
    <t>2(DUA)</t>
  </si>
  <si>
    <t>INFORMATIKA</t>
  </si>
  <si>
    <t xml:space="preserve">SMK DARMA SISWA </t>
  </si>
  <si>
    <t>3515172405910001</t>
  </si>
  <si>
    <t>3578100807190017</t>
  </si>
  <si>
    <t>34.799.480.8-643.000</t>
  </si>
  <si>
    <t>0001141133578</t>
  </si>
  <si>
    <t>11018210184</t>
  </si>
  <si>
    <t>083856501608</t>
  </si>
  <si>
    <t>SML</t>
  </si>
  <si>
    <t>TEKNIK INFORMATIKA MULTIMEDIA</t>
  </si>
  <si>
    <t xml:space="preserve">SMK DARMA SISWA 2 </t>
  </si>
  <si>
    <t>3515172305920001</t>
  </si>
  <si>
    <t>3515172702180010</t>
  </si>
  <si>
    <t>36.468.848.1-643.000</t>
  </si>
  <si>
    <t>0001141133589</t>
  </si>
  <si>
    <t>11018210192</t>
  </si>
  <si>
    <t>081370376161</t>
  </si>
  <si>
    <t>TAMBUNAN</t>
  </si>
  <si>
    <t>Teknik Mesin Otomotif</t>
  </si>
  <si>
    <t>Teladan Sumatera Utara 2</t>
  </si>
  <si>
    <t>1271030312960001</t>
  </si>
  <si>
    <t>1271031205220002</t>
  </si>
  <si>
    <t>73.311.362.5-044.000</t>
  </si>
  <si>
    <t>0001768306173</t>
  </si>
  <si>
    <t>15043934387</t>
  </si>
  <si>
    <t>08113636086</t>
  </si>
  <si>
    <t>MOJOKERTO</t>
  </si>
  <si>
    <t>TEKNIK MESIN PERKAKAS</t>
  </si>
  <si>
    <t>SMK NASIONAL</t>
  </si>
  <si>
    <t>3516081708900003</t>
  </si>
  <si>
    <t>3516081608210003</t>
  </si>
  <si>
    <t>80.330.243.9-602.000</t>
  </si>
  <si>
    <t>0001142065686</t>
  </si>
  <si>
    <t>17001742257</t>
  </si>
  <si>
    <t>081905864193</t>
  </si>
  <si>
    <t>TUBAN</t>
  </si>
  <si>
    <t>SMA MUHAMMADIYAH 2 PALANG</t>
  </si>
  <si>
    <t>3523181811910005</t>
  </si>
  <si>
    <t>6471032206200014</t>
  </si>
  <si>
    <t>713862639721000</t>
  </si>
  <si>
    <t>0001608524831</t>
  </si>
  <si>
    <t>14044319664</t>
  </si>
  <si>
    <t>SMK YOSSUDARSO</t>
  </si>
  <si>
    <t>0001141138181</t>
  </si>
  <si>
    <t>083813171235</t>
  </si>
  <si>
    <t>KOTA TANGERANG</t>
  </si>
  <si>
    <t>AIRFRAME AND POWERPLANT</t>
  </si>
  <si>
    <t>SMKN 6 TANGERANG</t>
  </si>
  <si>
    <t>3671101207930001</t>
  </si>
  <si>
    <t>3671100308210003</t>
  </si>
  <si>
    <t>45.952.319.7-402.00</t>
  </si>
  <si>
    <t>000815726619</t>
  </si>
  <si>
    <t>11034508008</t>
  </si>
  <si>
    <t>KUPANG</t>
  </si>
  <si>
    <t>08214653233</t>
  </si>
  <si>
    <t>BURAEN</t>
  </si>
  <si>
    <t>LISTRIK</t>
  </si>
  <si>
    <t>SMK PURNAMA KASIH</t>
  </si>
  <si>
    <t>5301180710910001</t>
  </si>
  <si>
    <t>5371040104220009</t>
  </si>
  <si>
    <t>16.128.689.3-922.000</t>
  </si>
  <si>
    <t>11035449351</t>
  </si>
  <si>
    <t>081316660595</t>
  </si>
  <si>
    <t>CERAI</t>
  </si>
  <si>
    <t xml:space="preserve">Al-HASANIYAH </t>
  </si>
  <si>
    <t>3603144901950004</t>
  </si>
  <si>
    <t>3603141802220002</t>
  </si>
  <si>
    <t>705819670418000</t>
  </si>
  <si>
    <t>0001771147067</t>
  </si>
  <si>
    <t>14026750043</t>
  </si>
  <si>
    <t>0882009910419</t>
  </si>
  <si>
    <t>REMBANG</t>
  </si>
  <si>
    <t>SMK NU LASEM</t>
  </si>
  <si>
    <t>TEKNIK KENDARAAN RINGAN</t>
  </si>
  <si>
    <t>3317051207940005</t>
  </si>
  <si>
    <t>3317056609020006</t>
  </si>
  <si>
    <t>76.628.868.2-507.000</t>
  </si>
  <si>
    <t>0002002960383</t>
  </si>
  <si>
    <t>17001742216</t>
  </si>
  <si>
    <t>0895340040887</t>
  </si>
  <si>
    <t>SMA MUHAMMADIYAH 1 KLATEN</t>
  </si>
  <si>
    <t>3671074507870008</t>
  </si>
  <si>
    <t>3671070607100016</t>
  </si>
  <si>
    <t>68.983.811.8-402.000</t>
  </si>
  <si>
    <t>0001768306757</t>
  </si>
  <si>
    <t>14008465511</t>
  </si>
  <si>
    <t>SURABAYA ( SUB )</t>
  </si>
  <si>
    <t>083854976621</t>
  </si>
  <si>
    <t>2 ( DUA )</t>
  </si>
  <si>
    <t>AFP ( AIRCRAFT POWERPLAN )</t>
  </si>
  <si>
    <t>3515171604930006</t>
  </si>
  <si>
    <t>3515171903150009</t>
  </si>
  <si>
    <t>80.313.378.4-643.000</t>
  </si>
  <si>
    <t>0001843210721</t>
  </si>
  <si>
    <t>17001742091</t>
  </si>
  <si>
    <t>0895330368117</t>
  </si>
  <si>
    <t>CIREBON</t>
  </si>
  <si>
    <t>PENERBANGAN</t>
  </si>
  <si>
    <t>SMKN 6 KOTA TANGERANG</t>
  </si>
  <si>
    <t>3671102210930002</t>
  </si>
  <si>
    <t>3603131806210003</t>
  </si>
  <si>
    <t>443410667402000</t>
  </si>
  <si>
    <t>0001403012564</t>
  </si>
  <si>
    <t>14034287210</t>
  </si>
  <si>
    <t>085814928648</t>
  </si>
  <si>
    <t>SMA PGRI</t>
  </si>
  <si>
    <t>3603130311920033</t>
  </si>
  <si>
    <t>3603130902080038</t>
  </si>
  <si>
    <t>462199837418000</t>
  </si>
  <si>
    <t>0001153460114</t>
  </si>
  <si>
    <t>12038741307</t>
  </si>
  <si>
    <t>081286507417</t>
  </si>
  <si>
    <t>PERHOTELAN</t>
  </si>
  <si>
    <t>SMK NEGERI 2 TANGERANG</t>
  </si>
  <si>
    <t>3671106404060001</t>
  </si>
  <si>
    <t>3671102708070003</t>
  </si>
  <si>
    <t>21.048.220.4-402.000</t>
  </si>
  <si>
    <t>0000816298277</t>
  </si>
  <si>
    <t>24144917515</t>
  </si>
  <si>
    <t>08889165858</t>
  </si>
  <si>
    <t>SMAN 1 TELUK NAGA</t>
  </si>
  <si>
    <t>3671101503860001</t>
  </si>
  <si>
    <t>3603130210180015</t>
  </si>
  <si>
    <t>774438881402000</t>
  </si>
  <si>
    <t>0001133463532</t>
  </si>
  <si>
    <t>08004511807</t>
  </si>
  <si>
    <t>Sub</t>
  </si>
  <si>
    <t>085749178971</t>
  </si>
  <si>
    <t>TULUNGAGUNG</t>
  </si>
  <si>
    <t>TEKNIK ELEKTRO</t>
  </si>
  <si>
    <t>UNIVERSITAS MUHAMMADIYAH SIDOARJO</t>
  </si>
  <si>
    <t>3504010902890003</t>
  </si>
  <si>
    <t>3504011706150004</t>
  </si>
  <si>
    <t>36.490.125.6-629.000</t>
  </si>
  <si>
    <t>0001883073868</t>
  </si>
  <si>
    <t>12029435810</t>
  </si>
  <si>
    <t>085648533115</t>
  </si>
  <si>
    <t>BLITAR</t>
  </si>
  <si>
    <t>2 (DUA)</t>
  </si>
  <si>
    <t>TEHNIK SIPIL</t>
  </si>
  <si>
    <t>SMK KATOLIK BLITAR</t>
  </si>
  <si>
    <t>3505071408860003</t>
  </si>
  <si>
    <t>3505070510060133</t>
  </si>
  <si>
    <t>70.976.916.0-653.000</t>
  </si>
  <si>
    <t>0001744983044</t>
  </si>
  <si>
    <t>15008755660</t>
  </si>
  <si>
    <t>085784195821</t>
  </si>
  <si>
    <t>OTOMOTIF</t>
  </si>
  <si>
    <t>SMK 1 ANTARTIKA SIDOARJO</t>
  </si>
  <si>
    <t>3515062701940001</t>
  </si>
  <si>
    <t>3515061601190006</t>
  </si>
  <si>
    <t>71.769.680.1-617.000</t>
  </si>
  <si>
    <t>15008755272</t>
  </si>
  <si>
    <t>081913806078</t>
  </si>
  <si>
    <t>SMA (PAKET C)</t>
  </si>
  <si>
    <t>KUSUMA BANGSA</t>
  </si>
  <si>
    <t>3515061202850006</t>
  </si>
  <si>
    <t>3515081206200023</t>
  </si>
  <si>
    <t>36.473.557.1.617.000</t>
  </si>
  <si>
    <t>0001141138179</t>
  </si>
  <si>
    <t>11018210275</t>
  </si>
  <si>
    <t>712628742721000</t>
  </si>
  <si>
    <t>0001638074834</t>
  </si>
  <si>
    <t>14038781176</t>
  </si>
  <si>
    <t>0895331176628</t>
  </si>
  <si>
    <t xml:space="preserve">OTOMOTIF </t>
  </si>
  <si>
    <t xml:space="preserve">SMK ANGKASA 1 TANGERANG </t>
  </si>
  <si>
    <t>3603132804890001</t>
  </si>
  <si>
    <t>3603112509180009</t>
  </si>
  <si>
    <t>44.502.655.2-418.000</t>
  </si>
  <si>
    <t>0002099041391</t>
  </si>
  <si>
    <t>12001532071</t>
  </si>
  <si>
    <t>082394930192</t>
  </si>
  <si>
    <t>TONSAWANG</t>
  </si>
  <si>
    <t>D3</t>
  </si>
  <si>
    <t>POLITEKNIK NEGERI MANADO</t>
  </si>
  <si>
    <t>7107055609010002</t>
  </si>
  <si>
    <t>7107052709120005</t>
  </si>
  <si>
    <t>001570923696</t>
  </si>
  <si>
    <t>25037273619</t>
  </si>
  <si>
    <t xml:space="preserve">BANGKALAN </t>
  </si>
  <si>
    <t xml:space="preserve">2 (DUA) </t>
  </si>
  <si>
    <t>34.299.406.8-644.000</t>
  </si>
  <si>
    <t>0001141811897</t>
  </si>
  <si>
    <t>081370289637</t>
  </si>
  <si>
    <t>S2</t>
  </si>
  <si>
    <t xml:space="preserve">MAGISTER MANAJEMEN SUMBER DAYA MANUSIA </t>
  </si>
  <si>
    <t xml:space="preserve">UNIVERSITAS MUHAMMADIYAH SUMATERA UTARA </t>
  </si>
  <si>
    <t>1271041905920001</t>
  </si>
  <si>
    <t>1271042401240004</t>
  </si>
  <si>
    <t>57.912.631.9-122.000</t>
  </si>
  <si>
    <t>0001138542895</t>
  </si>
  <si>
    <t>10028504552</t>
  </si>
  <si>
    <t>089601072217</t>
  </si>
  <si>
    <t>SMA PERINTIS 1 SEPATAN</t>
  </si>
  <si>
    <t>3603301701910004</t>
  </si>
  <si>
    <t>3603301612100211</t>
  </si>
  <si>
    <t>450167705418000</t>
  </si>
  <si>
    <t>0001145083656</t>
  </si>
  <si>
    <t>12009960829</t>
  </si>
  <si>
    <t>087719788181</t>
  </si>
  <si>
    <t>GUNUNGKIDUL</t>
  </si>
  <si>
    <t>KATOLIK</t>
  </si>
  <si>
    <t>SMU 2 PLAYEN</t>
  </si>
  <si>
    <t>3403031804780001</t>
  </si>
  <si>
    <t>3403030802210004</t>
  </si>
  <si>
    <t>45.929.414.6-545.000</t>
  </si>
  <si>
    <t>0001147520248</t>
  </si>
  <si>
    <t>12029435927</t>
  </si>
  <si>
    <t>0895344247776</t>
  </si>
  <si>
    <t>Tidak ada</t>
  </si>
  <si>
    <t xml:space="preserve">ADMINISTRASI PERKANTORAN </t>
  </si>
  <si>
    <t>3603135510910003</t>
  </si>
  <si>
    <t>3671101209220006</t>
  </si>
  <si>
    <t>58.583.037.5-418000</t>
  </si>
  <si>
    <t>0001138166739</t>
  </si>
  <si>
    <t>10024029679</t>
  </si>
  <si>
    <t>083107058179</t>
  </si>
  <si>
    <t>SMK BINA WISATA LEMBANG</t>
  </si>
  <si>
    <t>3217016112000015</t>
  </si>
  <si>
    <t>3217012704210016</t>
  </si>
  <si>
    <t>91.324.551.0-421.000</t>
  </si>
  <si>
    <t>0002489046636</t>
  </si>
  <si>
    <t>24113539738</t>
  </si>
  <si>
    <t>CENGKARENG</t>
  </si>
  <si>
    <t>085889685318</t>
  </si>
  <si>
    <t>BIOLOGI</t>
  </si>
  <si>
    <t>SMAN 95</t>
  </si>
  <si>
    <t>3173062710830002</t>
  </si>
  <si>
    <t>3173062002180005</t>
  </si>
  <si>
    <t>893886960085000</t>
  </si>
  <si>
    <t>0001771155538</t>
  </si>
  <si>
    <t>15043935905</t>
  </si>
  <si>
    <t>081911182383</t>
  </si>
  <si>
    <t>MEKANISASI PERTANIAN</t>
  </si>
  <si>
    <t>SMKN 2 TANGERANG</t>
  </si>
  <si>
    <t>3671100101830005</t>
  </si>
  <si>
    <t>3671101005190008</t>
  </si>
  <si>
    <t>25-884-695.5-402-000</t>
  </si>
  <si>
    <t>0001128600066</t>
  </si>
  <si>
    <t>04JP0404902</t>
  </si>
  <si>
    <t>3603130311920003</t>
  </si>
  <si>
    <t>3603130902080033</t>
  </si>
  <si>
    <t>081807474506</t>
  </si>
  <si>
    <t>KEBUMEN</t>
  </si>
  <si>
    <t xml:space="preserve">1 (SATU) </t>
  </si>
  <si>
    <t xml:space="preserve">SMK ELEKTRO </t>
  </si>
  <si>
    <t>SMK CIPTA KARYA PREMBUN</t>
  </si>
  <si>
    <t>3671090908890004</t>
  </si>
  <si>
    <t>3671010912160017</t>
  </si>
  <si>
    <t>679546853402000</t>
  </si>
  <si>
    <t>0001138798394</t>
  </si>
  <si>
    <t>09026027509</t>
  </si>
  <si>
    <t xml:space="preserve">CENGKARENG ( SOEKARNO - HATTA) </t>
  </si>
  <si>
    <t>081313294283</t>
  </si>
  <si>
    <t xml:space="preserve">Teknik kendaraan </t>
  </si>
  <si>
    <t>SMK OTTO ISKANDAR DINATA</t>
  </si>
  <si>
    <t>3273032205940001</t>
  </si>
  <si>
    <t>3202162805240002</t>
  </si>
  <si>
    <t>827785601422000</t>
  </si>
  <si>
    <t>0001380864508</t>
  </si>
  <si>
    <t>18005216728</t>
  </si>
  <si>
    <t>081295760693</t>
  </si>
  <si>
    <t>SMA ALJUMHURIAH</t>
  </si>
  <si>
    <t>3603135207830009</t>
  </si>
  <si>
    <t>3603130901120028</t>
  </si>
  <si>
    <t>345440531418000</t>
  </si>
  <si>
    <t>000113753336</t>
  </si>
  <si>
    <t>10015416497</t>
  </si>
  <si>
    <t>085894968837</t>
  </si>
  <si>
    <t>SMK MUHAMMADIYAH 13</t>
  </si>
  <si>
    <t>3173061807011003</t>
  </si>
  <si>
    <t>3173010512240035</t>
  </si>
  <si>
    <t>60.885.977.3-085.000</t>
  </si>
  <si>
    <t>0001389823784</t>
  </si>
  <si>
    <t>24113539696</t>
  </si>
  <si>
    <t>085733659282</t>
  </si>
  <si>
    <t>SMA WACHID HASYIM 2</t>
  </si>
  <si>
    <t>3515132606860004</t>
  </si>
  <si>
    <t>3515131912180020</t>
  </si>
  <si>
    <t>79.458.364.1-603.000</t>
  </si>
  <si>
    <t>0001141484466</t>
  </si>
  <si>
    <t>11022635954</t>
  </si>
  <si>
    <t>0895330604565</t>
  </si>
  <si>
    <t>CIANJUR</t>
  </si>
  <si>
    <t>MESIN PERKAKAS</t>
  </si>
  <si>
    <t>SMKN 1CILAKU CIANJUR</t>
  </si>
  <si>
    <t>3203070202900022</t>
  </si>
  <si>
    <t>3603132310150008</t>
  </si>
  <si>
    <t>455772590406000</t>
  </si>
  <si>
    <t>0001153460182</t>
  </si>
  <si>
    <t>11025688950</t>
  </si>
  <si>
    <t>081559558113</t>
  </si>
  <si>
    <t>3(TIGA)</t>
  </si>
  <si>
    <t>TECNIK LAS</t>
  </si>
  <si>
    <t>SMK'SIANG 1 BOJONEGORO</t>
  </si>
  <si>
    <t>3523143007870002</t>
  </si>
  <si>
    <t>3523141607200004</t>
  </si>
  <si>
    <t>802533646648000</t>
  </si>
  <si>
    <t>0002356012102</t>
  </si>
  <si>
    <t>17001742265</t>
  </si>
  <si>
    <t>081991548019</t>
  </si>
  <si>
    <t>POLITEKNIK PARIWISATA MEDAN</t>
  </si>
  <si>
    <t>1271025503020001</t>
  </si>
  <si>
    <t>1271022106060015</t>
  </si>
  <si>
    <t>0002455934534</t>
  </si>
  <si>
    <t>24113539233</t>
  </si>
  <si>
    <t>085646089137</t>
  </si>
  <si>
    <t xml:space="preserve">MAGETAN </t>
  </si>
  <si>
    <t>SMK YOSONEGORO MAGETAN</t>
  </si>
  <si>
    <t>3520071604890001</t>
  </si>
  <si>
    <t>3504022405170004</t>
  </si>
  <si>
    <t>792285504646000</t>
  </si>
  <si>
    <t>0001134787138</t>
  </si>
  <si>
    <t>09003229110</t>
  </si>
  <si>
    <t>Mdc</t>
  </si>
  <si>
    <t>085340535657</t>
  </si>
  <si>
    <t>Kebumen</t>
  </si>
  <si>
    <t>Smk</t>
  </si>
  <si>
    <t>Mesin tenaga</t>
  </si>
  <si>
    <t>Smk bina karya  karanganyar</t>
  </si>
  <si>
    <t>7171081010810026</t>
  </si>
  <si>
    <t>7171080911180004</t>
  </si>
  <si>
    <t>711312785821000</t>
  </si>
  <si>
    <t>0001729490502</t>
  </si>
  <si>
    <t>14044323161</t>
  </si>
  <si>
    <t>BALIKPAPAN</t>
  </si>
  <si>
    <t>087716802711</t>
  </si>
  <si>
    <t>SEKOLAH MENENGAH UMUM NEGERI 4</t>
  </si>
  <si>
    <t>6471050207810005</t>
  </si>
  <si>
    <t>6471050202210008</t>
  </si>
  <si>
    <t>75.508.170.0-721.000</t>
  </si>
  <si>
    <t>0001428507832</t>
  </si>
  <si>
    <t>16019827456</t>
  </si>
  <si>
    <t>085703709120</t>
  </si>
  <si>
    <t xml:space="preserve">Kuningan </t>
  </si>
  <si>
    <t xml:space="preserve">PARIWISATA </t>
  </si>
  <si>
    <t xml:space="preserve">SMK NEGRI 2 KUNINGAN </t>
  </si>
  <si>
    <t>3208035609030002</t>
  </si>
  <si>
    <t>3208030402063584</t>
  </si>
  <si>
    <t>53.936.433.1-438.000</t>
  </si>
  <si>
    <t>0002426001153</t>
  </si>
  <si>
    <t>24159610138</t>
  </si>
  <si>
    <t>081250574889</t>
  </si>
  <si>
    <t>SANGARI(BIMA)</t>
  </si>
  <si>
    <t>SMA PGRI BOLO(BIMA)</t>
  </si>
  <si>
    <t>6471051003880009</t>
  </si>
  <si>
    <t>6471051405090056</t>
  </si>
  <si>
    <t>165286998721000</t>
  </si>
  <si>
    <t>0001145283208</t>
  </si>
  <si>
    <t>12011760647</t>
  </si>
  <si>
    <t>085334766048</t>
  </si>
  <si>
    <t xml:space="preserve">SIDOARJO </t>
  </si>
  <si>
    <t xml:space="preserve">SMKN 6 SURABAYA </t>
  </si>
  <si>
    <t>3515131910050001</t>
  </si>
  <si>
    <t>3515131001094191</t>
  </si>
  <si>
    <t>138568514603000</t>
  </si>
  <si>
    <t>0001542830512</t>
  </si>
  <si>
    <t>25003994024</t>
  </si>
  <si>
    <t>087855127111</t>
  </si>
  <si>
    <t xml:space="preserve">SMK ANTARTIKA </t>
  </si>
  <si>
    <t>3515071407910002</t>
  </si>
  <si>
    <t>3515072903220014</t>
  </si>
  <si>
    <t>45.755.746.0-617.000</t>
  </si>
  <si>
    <t>0001043381586</t>
  </si>
  <si>
    <t>17001742125</t>
  </si>
  <si>
    <t>082246223568</t>
  </si>
  <si>
    <t>PSKD3</t>
  </si>
  <si>
    <t>3175061212870019</t>
  </si>
  <si>
    <t>3671100704170019</t>
  </si>
  <si>
    <t>58.583.847.5-426.000</t>
  </si>
  <si>
    <t>0001138186697</t>
  </si>
  <si>
    <t>10024029513</t>
  </si>
  <si>
    <t>089525986162</t>
  </si>
  <si>
    <t>KLATEN</t>
  </si>
  <si>
    <t>SMK YPK 1 TANGERANG</t>
  </si>
  <si>
    <t>3310056604870002</t>
  </si>
  <si>
    <t>3271041004170001</t>
  </si>
  <si>
    <t>89.419.429.9-525.000</t>
  </si>
  <si>
    <t>0001143807849</t>
  </si>
  <si>
    <t>12001532014</t>
  </si>
  <si>
    <t>08976240945</t>
  </si>
  <si>
    <t xml:space="preserve">CIBINONG </t>
  </si>
  <si>
    <t xml:space="preserve">AKOMODASI PERHOTELAN </t>
  </si>
  <si>
    <t>SMK NEGERI 1 DEPOK</t>
  </si>
  <si>
    <t>3276054304030009</t>
  </si>
  <si>
    <t>3271010403075157</t>
  </si>
  <si>
    <t>439351339412000</t>
  </si>
  <si>
    <t>0001772082189</t>
  </si>
  <si>
    <t>24113539712</t>
  </si>
  <si>
    <t>083807441421</t>
  </si>
  <si>
    <t>SMAN</t>
  </si>
  <si>
    <t>SMA NEGRI 1 KOSAMBI</t>
  </si>
  <si>
    <t>3603132107920002</t>
  </si>
  <si>
    <t>3603132811180002</t>
  </si>
  <si>
    <t>556643575418000</t>
  </si>
  <si>
    <t>0001153450721</t>
  </si>
  <si>
    <t>13027627564</t>
  </si>
  <si>
    <t>08998204606</t>
  </si>
  <si>
    <t>ALHASANIYAH</t>
  </si>
  <si>
    <t>3603142609960003</t>
  </si>
  <si>
    <t>3603140301200012</t>
  </si>
  <si>
    <t>711308619418000</t>
  </si>
  <si>
    <t>0001770035016</t>
  </si>
  <si>
    <t>14034289232</t>
  </si>
  <si>
    <t>089676794000</t>
  </si>
  <si>
    <t>Indramayu</t>
  </si>
  <si>
    <t xml:space="preserve">TSM ( Teknik sepeda motor ) </t>
  </si>
  <si>
    <t xml:space="preserve">SMK ( AL-HUDA ANJATAN ) </t>
  </si>
  <si>
    <t>3212231707970003</t>
  </si>
  <si>
    <t>3212230610160007</t>
  </si>
  <si>
    <t>716644583437000</t>
  </si>
  <si>
    <t>0001770034364</t>
  </si>
  <si>
    <t>15006386278</t>
  </si>
  <si>
    <t>081386569915</t>
  </si>
  <si>
    <t xml:space="preserve">SUKABUMI </t>
  </si>
  <si>
    <t xml:space="preserve">SMK NEGERI 3 KOTA TANGERANG </t>
  </si>
  <si>
    <t>3671076303010006</t>
  </si>
  <si>
    <t>3671070106150009</t>
  </si>
  <si>
    <t>996514345402000</t>
  </si>
  <si>
    <t>0001623291221</t>
  </si>
  <si>
    <t>25049381525</t>
  </si>
  <si>
    <t xml:space="preserve">Nurul aliyah </t>
  </si>
  <si>
    <t>083807079664</t>
  </si>
  <si>
    <t xml:space="preserve">Tangerang </t>
  </si>
  <si>
    <t xml:space="preserve">Administrasi perkantoran </t>
  </si>
  <si>
    <t xml:space="preserve">SMK SWASTA TELUKNAGA </t>
  </si>
  <si>
    <t>3603135712900003</t>
  </si>
  <si>
    <t>3603130611140011</t>
  </si>
  <si>
    <t>715903910418000</t>
  </si>
  <si>
    <t>0002071103973</t>
  </si>
  <si>
    <t>16044068241</t>
  </si>
  <si>
    <t>085649062250</t>
  </si>
  <si>
    <t>MADIUN</t>
  </si>
  <si>
    <t>BELUM</t>
  </si>
  <si>
    <t>TEKNIK PEMESINAN</t>
  </si>
  <si>
    <t>SMK PGRI 01 MEJAYAN</t>
  </si>
  <si>
    <t>3519112208940001</t>
  </si>
  <si>
    <t>3519111212180003</t>
  </si>
  <si>
    <t>64.347.710.2-621.000</t>
  </si>
  <si>
    <t>0001477700122</t>
  </si>
  <si>
    <t>18018357535</t>
  </si>
  <si>
    <t>085717130324</t>
  </si>
  <si>
    <t>ADMINISTRASI PERKANTORAN</t>
  </si>
  <si>
    <t>SMK LAB BUSSINES SCHOOL</t>
  </si>
  <si>
    <t>3603301602930001</t>
  </si>
  <si>
    <t>3603301601180009</t>
  </si>
  <si>
    <t>45.878.350.3-418.000</t>
  </si>
  <si>
    <t>12029437139</t>
  </si>
  <si>
    <t>0001147575082</t>
  </si>
  <si>
    <t>081370663396</t>
  </si>
  <si>
    <t>TPU (TEHNIK PESAWAT UDARA)</t>
  </si>
  <si>
    <t>SMK PBD MEDAN</t>
  </si>
  <si>
    <t>1223061005970006</t>
  </si>
  <si>
    <t>1223062105250003</t>
  </si>
  <si>
    <t>85.777.930.0-116.000</t>
  </si>
  <si>
    <t>0002360030848</t>
  </si>
  <si>
    <t>18089620944</t>
  </si>
  <si>
    <t xml:space="preserve">CENGKARENG </t>
  </si>
  <si>
    <t>089516514431</t>
  </si>
  <si>
    <t>3 (TIGA)</t>
  </si>
  <si>
    <t xml:space="preserve">SOSIOLOGI </t>
  </si>
  <si>
    <t xml:space="preserve">UNIVERSITAS ISLAM NEGERI SUNAN KALIJAGA YOGYAKARTA </t>
  </si>
  <si>
    <t>3671032204820003</t>
  </si>
  <si>
    <t>3671032006120010</t>
  </si>
  <si>
    <t>256611401416000</t>
  </si>
  <si>
    <t>0001656290632</t>
  </si>
  <si>
    <t>14008464696</t>
  </si>
  <si>
    <t>MESIN TENAGA</t>
  </si>
  <si>
    <t>SMK BINA KARYA  ,KARANGANYAR, KEBUMEN</t>
  </si>
  <si>
    <t>0001739499502</t>
  </si>
  <si>
    <t>089628896211</t>
  </si>
  <si>
    <t xml:space="preserve">IPS </t>
  </si>
  <si>
    <t xml:space="preserve">SMA NEGERI 1 MAUK </t>
  </si>
  <si>
    <t>3603151002870006</t>
  </si>
  <si>
    <t>3603151303130040</t>
  </si>
  <si>
    <t>792285397418000</t>
  </si>
  <si>
    <t>0001132739166</t>
  </si>
  <si>
    <t>07006589134</t>
  </si>
  <si>
    <t>083806111631</t>
  </si>
  <si>
    <t>SMA SYEKH-YUSUF TANGERANG</t>
  </si>
  <si>
    <t>3671101502920002</t>
  </si>
  <si>
    <t>3671101007150004</t>
  </si>
  <si>
    <t>59.935.664.9-402.000</t>
  </si>
  <si>
    <t>0002072342158</t>
  </si>
  <si>
    <t>18063141180</t>
  </si>
  <si>
    <t>082161339413</t>
  </si>
  <si>
    <t>STABAT LAMA BARAT</t>
  </si>
  <si>
    <t>TIDAK ADA</t>
  </si>
  <si>
    <t>MAN 1 STABAT</t>
  </si>
  <si>
    <t>1205080907990005</t>
  </si>
  <si>
    <t>1205083008220002</t>
  </si>
  <si>
    <t>85.031.742.1-119.000</t>
  </si>
  <si>
    <t>0002360030861</t>
  </si>
  <si>
    <t>18089621892</t>
  </si>
  <si>
    <t>0895 3521 17405</t>
  </si>
  <si>
    <t>SMUN1 TELUK NAGA</t>
  </si>
  <si>
    <t>3603132108850003</t>
  </si>
  <si>
    <t>3603130502180008</t>
  </si>
  <si>
    <t>16.999.331.8-418.000</t>
  </si>
  <si>
    <t>0001155615478</t>
  </si>
  <si>
    <t>13036751850</t>
  </si>
  <si>
    <t>085814509223</t>
  </si>
  <si>
    <t>Kota Bogor</t>
  </si>
  <si>
    <t>Perhotelan</t>
  </si>
  <si>
    <t xml:space="preserve">SMK Citra Pariwisata </t>
  </si>
  <si>
    <t>3271016811050005</t>
  </si>
  <si>
    <t>327101110720007</t>
  </si>
  <si>
    <t>226888816404000</t>
  </si>
  <si>
    <t>0001860878856</t>
  </si>
  <si>
    <t>25003994081</t>
  </si>
  <si>
    <t>081932306693</t>
  </si>
  <si>
    <t>satu</t>
  </si>
  <si>
    <t>SMAN 1 TELUKNAGA KAB.TANGERANG</t>
  </si>
  <si>
    <t>3603132803830002</t>
  </si>
  <si>
    <t>3603132710160014</t>
  </si>
  <si>
    <t>77.575.454.2-418.000</t>
  </si>
  <si>
    <t>0001896020288</t>
  </si>
  <si>
    <t>08004511690</t>
  </si>
  <si>
    <t>082236788602</t>
  </si>
  <si>
    <t>NOELBAKI</t>
  </si>
  <si>
    <t>SMA NEGERI 1 KUPANG TENGAH</t>
  </si>
  <si>
    <t>8301080605890008</t>
  </si>
  <si>
    <t>5301081002120004</t>
  </si>
  <si>
    <t>163398027922000</t>
  </si>
  <si>
    <t>5301080605890008</t>
  </si>
  <si>
    <t>11035449328000</t>
  </si>
  <si>
    <t>085730105044</t>
  </si>
  <si>
    <t>SMK TRISAKTI TULANGAN</t>
  </si>
  <si>
    <t>3515061505950003</t>
  </si>
  <si>
    <t>3515062701098320</t>
  </si>
  <si>
    <t>71.775.486.5-617.000</t>
  </si>
  <si>
    <t>0001770611275</t>
  </si>
  <si>
    <t>15008757021</t>
  </si>
  <si>
    <t>085799447180</t>
  </si>
  <si>
    <t>TEMANGGUNG</t>
  </si>
  <si>
    <t>KELISTRIKAN PESAWAT UDARA</t>
  </si>
  <si>
    <t>SMK PENERBANGAN SEMARANG</t>
  </si>
  <si>
    <t>3323051210010003</t>
  </si>
  <si>
    <t>3323052212110002</t>
  </si>
  <si>
    <t>94.267.330.2-533.000</t>
  </si>
  <si>
    <t>0002902391739</t>
  </si>
  <si>
    <t>19080127491</t>
  </si>
  <si>
    <t>TEHNIK KOMPUTER JARINGAN</t>
  </si>
  <si>
    <t>085748574299</t>
  </si>
  <si>
    <t>GRESIK</t>
  </si>
  <si>
    <t>SMK PENERBANGAN</t>
  </si>
  <si>
    <t>AIRFRAME DAN POWERPLANT</t>
  </si>
  <si>
    <t>PENERBANGAN DHARMA WIRAWAN SEDATI SIDOARJO</t>
  </si>
  <si>
    <t>3525130107860001</t>
  </si>
  <si>
    <t>3525131203210010</t>
  </si>
  <si>
    <t>71.799.236.6-642.000</t>
  </si>
  <si>
    <t>0001770611152</t>
  </si>
  <si>
    <t>15008755579</t>
  </si>
  <si>
    <t>087772261312</t>
  </si>
  <si>
    <t xml:space="preserve">ADM </t>
  </si>
  <si>
    <t>SMK ISLAMI TIARA AKSARA</t>
  </si>
  <si>
    <t>3671086908890002</t>
  </si>
  <si>
    <t>3671082108070243</t>
  </si>
  <si>
    <t>78.643.853.1-402.000</t>
  </si>
  <si>
    <t>0001771209595</t>
  </si>
  <si>
    <t>14008465289</t>
  </si>
  <si>
    <t>089601552902</t>
  </si>
  <si>
    <t>SMK PGRI 1 SIDOARJO</t>
  </si>
  <si>
    <t>3515062104940001</t>
  </si>
  <si>
    <t>3515072510210002</t>
  </si>
  <si>
    <t>717635445617000</t>
  </si>
  <si>
    <t>0001770611141</t>
  </si>
  <si>
    <t>15008755041</t>
  </si>
  <si>
    <t>INDRAMAYU</t>
  </si>
  <si>
    <t xml:space="preserve">TSM ( TEKNIK SEPEDA MOTOR  ) </t>
  </si>
  <si>
    <t>AL-HUDA ANJATAN</t>
  </si>
  <si>
    <t>0895393736186</t>
  </si>
  <si>
    <t xml:space="preserve"> SMK N 7 KOTA TANGERANG</t>
  </si>
  <si>
    <t>3603125005060003</t>
  </si>
  <si>
    <t>3603122407080132</t>
  </si>
  <si>
    <t>212223143418000</t>
  </si>
  <si>
    <t>0001774186121</t>
  </si>
  <si>
    <t>24144918745</t>
  </si>
  <si>
    <t xml:space="preserve">SURABAYA </t>
  </si>
  <si>
    <t>083830058058</t>
  </si>
  <si>
    <t>AEI MAINTENANCE REPAIR</t>
  </si>
  <si>
    <t xml:space="preserve">SMK PENERBANGAN DW SIDOARJO </t>
  </si>
  <si>
    <t>3515181402870005</t>
  </si>
  <si>
    <t>3578172308240005</t>
  </si>
  <si>
    <t>71.724.970.0-643.000</t>
  </si>
  <si>
    <t>1770611253</t>
  </si>
  <si>
    <t>13017599989</t>
  </si>
  <si>
    <t>Cengkareng</t>
  </si>
  <si>
    <t>081234874972</t>
  </si>
  <si>
    <t>Jakarta</t>
  </si>
  <si>
    <t>Ipa</t>
  </si>
  <si>
    <t>Sma wiyatamandala</t>
  </si>
  <si>
    <t>3671070706830009</t>
  </si>
  <si>
    <t>3671090602180021</t>
  </si>
  <si>
    <t>26.029.537.3-402.000</t>
  </si>
  <si>
    <t>0001133458997</t>
  </si>
  <si>
    <t>08004511740</t>
  </si>
  <si>
    <t>081362496162</t>
  </si>
  <si>
    <t>TEBING TINGGI</t>
  </si>
  <si>
    <t>AUTOMOTIF</t>
  </si>
  <si>
    <t>STM RAKSANA MEDAN</t>
  </si>
  <si>
    <t>1271150705810001</t>
  </si>
  <si>
    <t>1271162703090009</t>
  </si>
  <si>
    <t>79.354.833.0-121.000</t>
  </si>
  <si>
    <t>0001148661281</t>
  </si>
  <si>
    <t>12036813801</t>
  </si>
  <si>
    <t>0816592306</t>
  </si>
  <si>
    <t>ELEKTRONIKA</t>
  </si>
  <si>
    <t>SMK BINA NUSANTARA CIANJUR</t>
  </si>
  <si>
    <t>3203010506920018</t>
  </si>
  <si>
    <t>3578211103190002</t>
  </si>
  <si>
    <t>97.557.522.6-406.000</t>
  </si>
  <si>
    <t>0001147520237</t>
  </si>
  <si>
    <t>12029435919</t>
  </si>
  <si>
    <t>Cgk</t>
  </si>
  <si>
    <t>087882253039</t>
  </si>
  <si>
    <t>KONTRUKSI BADAN PESAWAT (KBPU)</t>
  </si>
  <si>
    <t>SMK N 12 BANDUNG</t>
  </si>
  <si>
    <t>3273060105870005</t>
  </si>
  <si>
    <t>3273062905120003</t>
  </si>
  <si>
    <t>774470355428000</t>
  </si>
  <si>
    <t>08006171576001</t>
  </si>
  <si>
    <t>08006171576000</t>
  </si>
  <si>
    <t>082288637323</t>
  </si>
  <si>
    <t>NOEHAEN</t>
  </si>
  <si>
    <t>SMA PGRI KUPANG</t>
  </si>
  <si>
    <t>5371050702950001</t>
  </si>
  <si>
    <t>5371042009160014</t>
  </si>
  <si>
    <t>701385031922000</t>
  </si>
  <si>
    <t>0001638074171</t>
  </si>
  <si>
    <t>14020385507</t>
  </si>
  <si>
    <t>085730892037 /085748356612</t>
  </si>
  <si>
    <t xml:space="preserve">TULUNGAGUNG </t>
  </si>
  <si>
    <t>Belum punya</t>
  </si>
  <si>
    <t xml:space="preserve">Teknik sepeda motor otomotif </t>
  </si>
  <si>
    <t xml:space="preserve">SMK SIANG TULUNGAGUNG </t>
  </si>
  <si>
    <t>3504101509950001</t>
  </si>
  <si>
    <t>3504102703120007</t>
  </si>
  <si>
    <t>71.751.960.7-629.000</t>
  </si>
  <si>
    <t>0001770611264</t>
  </si>
  <si>
    <t>BALIKPAPAN/BPN</t>
  </si>
  <si>
    <t>085820118379</t>
  </si>
  <si>
    <t>SMK KARTIKA V-1 BALIKPAPAN</t>
  </si>
  <si>
    <t>6471042304910001</t>
  </si>
  <si>
    <t>6471041311170009</t>
  </si>
  <si>
    <t>891621310721000</t>
  </si>
  <si>
    <t>0001152233796</t>
  </si>
  <si>
    <t>13021753895</t>
  </si>
  <si>
    <t>085775300790</t>
  </si>
  <si>
    <t>STM</t>
  </si>
  <si>
    <t>MEKANIK OTOMOTIF</t>
  </si>
  <si>
    <t>STM ANGKASA 1</t>
  </si>
  <si>
    <t>3603161407860004</t>
  </si>
  <si>
    <t>3603103101170002</t>
  </si>
  <si>
    <t>70,025,785,0-418.000</t>
  </si>
  <si>
    <t>0001635724067</t>
  </si>
  <si>
    <t>14017170847</t>
  </si>
  <si>
    <t>085175055642</t>
  </si>
  <si>
    <t>SMKN 4 TANGERANG</t>
  </si>
  <si>
    <t>3603132503790005</t>
  </si>
  <si>
    <t>3603132310120042</t>
  </si>
  <si>
    <t>774489645418000</t>
  </si>
  <si>
    <t>0001128647316</t>
  </si>
  <si>
    <t>05JP0015788</t>
  </si>
  <si>
    <t>083806095361</t>
  </si>
  <si>
    <t>3603132201960005</t>
  </si>
  <si>
    <t>3671011006240016</t>
  </si>
  <si>
    <t>71.071.651.5-418.000</t>
  </si>
  <si>
    <t>0001744221699</t>
  </si>
  <si>
    <t>14034288929</t>
  </si>
  <si>
    <t>085755899759</t>
  </si>
  <si>
    <t>PASURUAN</t>
  </si>
  <si>
    <t>TEKNIK ELEKTRONIKA INDUSTRI</t>
  </si>
  <si>
    <t>SMK NEGERI 1 BANGIL</t>
  </si>
  <si>
    <t>3514142311970002</t>
  </si>
  <si>
    <t>3514141201230008</t>
  </si>
  <si>
    <t>80.300.240.1-624.000</t>
  </si>
  <si>
    <t>0002072230165</t>
  </si>
  <si>
    <t>17001742240</t>
  </si>
  <si>
    <t>089612309488</t>
  </si>
  <si>
    <t xml:space="preserve">AMURANG </t>
  </si>
  <si>
    <t xml:space="preserve">MANAGEMEN PEMASARAN </t>
  </si>
  <si>
    <t xml:space="preserve">SMK NEGERI AMURANG </t>
  </si>
  <si>
    <t>7105102505760002</t>
  </si>
  <si>
    <t>7171082304140001</t>
  </si>
  <si>
    <t>711393892821000</t>
  </si>
  <si>
    <t>0001847284863</t>
  </si>
  <si>
    <t>14038783065</t>
  </si>
  <si>
    <t>085145782818</t>
  </si>
  <si>
    <t>LAIYA</t>
  </si>
  <si>
    <t>SMA NEGERI 12 CENRANA</t>
  </si>
  <si>
    <t>7309102009940003</t>
  </si>
  <si>
    <t>7309032208220002</t>
  </si>
  <si>
    <t>462039561809000</t>
  </si>
  <si>
    <t>0001148665656</t>
  </si>
  <si>
    <t>12036818156000</t>
  </si>
  <si>
    <t>08991382354</t>
  </si>
  <si>
    <t>3 ANAK</t>
  </si>
  <si>
    <t>BAITAURRIDWAN</t>
  </si>
  <si>
    <t>9101011703880001</t>
  </si>
  <si>
    <t>3173060803160003</t>
  </si>
  <si>
    <t>70.009.401.4-085.000</t>
  </si>
  <si>
    <t>0002074031032</t>
  </si>
  <si>
    <t>14017170755</t>
  </si>
  <si>
    <t>083873776081</t>
  </si>
  <si>
    <t>TANGGERANG</t>
  </si>
  <si>
    <t>3603131410840003</t>
  </si>
  <si>
    <t>36031715791</t>
  </si>
  <si>
    <t>45.528.288.9-416.000</t>
  </si>
  <si>
    <t>0000810495639</t>
  </si>
  <si>
    <t>12017629838</t>
  </si>
  <si>
    <t>HALIM PERDANA KUSUMA</t>
  </si>
  <si>
    <t>085714373102</t>
  </si>
  <si>
    <t>BOGOR</t>
  </si>
  <si>
    <t>SATU</t>
  </si>
  <si>
    <t>SMK WIJAYA KUSUMA</t>
  </si>
  <si>
    <t>3276020905950007</t>
  </si>
  <si>
    <t>3276020608240016</t>
  </si>
  <si>
    <t>80.420.032.7-412.000</t>
  </si>
  <si>
    <t>0000511035129</t>
  </si>
  <si>
    <t>16057100204</t>
  </si>
  <si>
    <t>081246130488</t>
  </si>
  <si>
    <t>LOE</t>
  </si>
  <si>
    <t>SMA KATOLIK HENDRICUS LEVEN</t>
  </si>
  <si>
    <t>530405010788113</t>
  </si>
  <si>
    <t>5304051012060151</t>
  </si>
  <si>
    <t>66.147.003.9-925.000</t>
  </si>
  <si>
    <t>0001738421425</t>
  </si>
  <si>
    <t>14005150942000</t>
  </si>
  <si>
    <t>085755102836</t>
  </si>
  <si>
    <t>DUA (2)</t>
  </si>
  <si>
    <t xml:space="preserve">Airframe and powerplant </t>
  </si>
  <si>
    <t>3578042402960005</t>
  </si>
  <si>
    <t>3578042201200005</t>
  </si>
  <si>
    <t>80.330.404.7-609.000</t>
  </si>
  <si>
    <t>0001767516783</t>
  </si>
  <si>
    <t>17001742208</t>
  </si>
  <si>
    <t>0859-6639-5641</t>
  </si>
  <si>
    <t>SMK YADITAMA</t>
  </si>
  <si>
    <t>3671052005900001</t>
  </si>
  <si>
    <t>3671052210180010</t>
  </si>
  <si>
    <t>66.860.882.1-416.00</t>
  </si>
  <si>
    <t>0001766842841</t>
  </si>
  <si>
    <t>14020388345</t>
  </si>
  <si>
    <t>089683536</t>
  </si>
  <si>
    <t>SMK KRISANTI</t>
  </si>
  <si>
    <t>3174017001000004</t>
  </si>
  <si>
    <t>317401050723001?</t>
  </si>
  <si>
    <t>85.267.438.1-015.000</t>
  </si>
  <si>
    <t>085337283149</t>
  </si>
  <si>
    <t xml:space="preserve">Aeka </t>
  </si>
  <si>
    <t xml:space="preserve">SMA </t>
  </si>
  <si>
    <t xml:space="preserve">SMA NEGERI 1 KUPANG TIMUR </t>
  </si>
  <si>
    <t>5301203006920001</t>
  </si>
  <si>
    <t>5371043001190012</t>
  </si>
  <si>
    <t>64.169.100.1 - 922.000</t>
  </si>
  <si>
    <t>0001739499682</t>
  </si>
  <si>
    <t>14004341609</t>
  </si>
  <si>
    <t>087808374434</t>
  </si>
  <si>
    <t xml:space="preserve">SMA NEGERI 1 SOREANG </t>
  </si>
  <si>
    <t>3277031001830016</t>
  </si>
  <si>
    <t>3277030606070006</t>
  </si>
  <si>
    <t>46.917.914.7.421.000</t>
  </si>
  <si>
    <t>0001124079592</t>
  </si>
  <si>
    <t>13002006305</t>
  </si>
  <si>
    <t>085275500635</t>
  </si>
  <si>
    <t>SMA ANGKASA 1 LANUD MEDAN</t>
  </si>
  <si>
    <t>1271012407880004</t>
  </si>
  <si>
    <t>1205151608130003</t>
  </si>
  <si>
    <t>461789070122000</t>
  </si>
  <si>
    <t>0001148720973</t>
  </si>
  <si>
    <t>12036814973000</t>
  </si>
  <si>
    <t>089629683536</t>
  </si>
  <si>
    <t>3174010507230017</t>
  </si>
  <si>
    <t>0001211153343</t>
  </si>
  <si>
    <t>24113539761</t>
  </si>
  <si>
    <t>081358833255</t>
  </si>
  <si>
    <t xml:space="preserve">KUTAI KARTANEGARA </t>
  </si>
  <si>
    <t xml:space="preserve">SMA NEGERI SAMARINDA </t>
  </si>
  <si>
    <t>6402130402880001</t>
  </si>
  <si>
    <t>6402131411075297</t>
  </si>
  <si>
    <t>755440435728000</t>
  </si>
  <si>
    <t>0001716145626</t>
  </si>
  <si>
    <t>16019826599</t>
  </si>
  <si>
    <t>082229357661</t>
  </si>
  <si>
    <t xml:space="preserve">ELEKTRONIKA INDUSTRI </t>
  </si>
  <si>
    <t>SMK NEGERI 1 BEJI</t>
  </si>
  <si>
    <t>3515051804980001</t>
  </si>
  <si>
    <t>3515052312210005</t>
  </si>
  <si>
    <t>80.306.790.9-617.000</t>
  </si>
  <si>
    <t>0000721123389</t>
  </si>
  <si>
    <t>17001742067</t>
  </si>
  <si>
    <t>089687578956</t>
  </si>
  <si>
    <t xml:space="preserve">PERKANTORAN </t>
  </si>
  <si>
    <t>YP.KARYA BANGSA</t>
  </si>
  <si>
    <t>3671102909940006</t>
  </si>
  <si>
    <t>3671100408170019</t>
  </si>
  <si>
    <t>732072855402000</t>
  </si>
  <si>
    <t>0000816382732</t>
  </si>
  <si>
    <t>15031185216</t>
  </si>
  <si>
    <t>085646046711</t>
  </si>
  <si>
    <t>BELUM PUNYA</t>
  </si>
  <si>
    <t>HUKUM</t>
  </si>
  <si>
    <t>UNIVERSITAS KANJURUHAN</t>
  </si>
  <si>
    <t>3521071103850003</t>
  </si>
  <si>
    <t>3521071004120003</t>
  </si>
  <si>
    <t>35.749.195.0-646.000</t>
  </si>
  <si>
    <t>0001770611207</t>
  </si>
  <si>
    <t>15008756122</t>
  </si>
  <si>
    <t>089682184345</t>
  </si>
  <si>
    <t>KARYA BANGSA</t>
  </si>
  <si>
    <t>3671100901920006</t>
  </si>
  <si>
    <t>3603132604170008</t>
  </si>
  <si>
    <t>578181497402000</t>
  </si>
  <si>
    <t>0001156343231</t>
  </si>
  <si>
    <t>13039552123</t>
  </si>
  <si>
    <t>082366697770</t>
  </si>
  <si>
    <t>MARELAN</t>
  </si>
  <si>
    <t>PEKSOS</t>
  </si>
  <si>
    <t>SMKN 9 MEDAN</t>
  </si>
  <si>
    <t>1207230901950008</t>
  </si>
  <si>
    <t>1207270208190008</t>
  </si>
  <si>
    <t>71.187.014.7-125.000</t>
  </si>
  <si>
    <t>0001766838137</t>
  </si>
  <si>
    <t>14038782281</t>
  </si>
  <si>
    <t>083830410911</t>
  </si>
  <si>
    <t>Tangerang</t>
  </si>
  <si>
    <t>SMA KHARISMA 39</t>
  </si>
  <si>
    <t>0603131110860001</t>
  </si>
  <si>
    <t>3603132701150018</t>
  </si>
  <si>
    <t>459629986418000</t>
  </si>
  <si>
    <t>0001147575251</t>
  </si>
  <si>
    <t>12029437311</t>
  </si>
  <si>
    <t>089653121787</t>
  </si>
  <si>
    <t>SMAN 12 KB TANGERANG</t>
  </si>
  <si>
    <t>3671105012920001</t>
  </si>
  <si>
    <t>3671101709160006</t>
  </si>
  <si>
    <t>55.597.099.5-402.000</t>
  </si>
  <si>
    <t>0001153429784</t>
  </si>
  <si>
    <t>18063138376</t>
  </si>
  <si>
    <t>Surabaya ( SUB )</t>
  </si>
  <si>
    <t>085730187615</t>
  </si>
  <si>
    <t>Kediri</t>
  </si>
  <si>
    <t>Teknik Otomotif</t>
  </si>
  <si>
    <t>SMK Taman Siswa Kediri</t>
  </si>
  <si>
    <t>3506062404970002</t>
  </si>
  <si>
    <t>3506060208240002</t>
  </si>
  <si>
    <t>717858138655000</t>
  </si>
  <si>
    <t>0001770611163</t>
  </si>
  <si>
    <t>15008755710</t>
  </si>
  <si>
    <t>085778597846</t>
  </si>
  <si>
    <t xml:space="preserve">SMKN 3 TANGERANG </t>
  </si>
  <si>
    <t>3671106302060003</t>
  </si>
  <si>
    <t>3671102907070002</t>
  </si>
  <si>
    <t>201452987402000</t>
  </si>
  <si>
    <t>0001054116044</t>
  </si>
  <si>
    <t>25003994016</t>
  </si>
  <si>
    <t>081355352913</t>
  </si>
  <si>
    <t>SMA NEGRI 2 MAROS</t>
  </si>
  <si>
    <t>7309041609860001</t>
  </si>
  <si>
    <t>7309050707140002</t>
  </si>
  <si>
    <t>89.287.926.3-809.000</t>
  </si>
  <si>
    <t>0001137159112</t>
  </si>
  <si>
    <t>10011869335</t>
  </si>
  <si>
    <t>087772365914</t>
  </si>
  <si>
    <t>DARUL ULUM</t>
  </si>
  <si>
    <t>3671100907850003</t>
  </si>
  <si>
    <t>3603160902160012</t>
  </si>
  <si>
    <t>775754039402000</t>
  </si>
  <si>
    <t>0001133463701</t>
  </si>
  <si>
    <t>08004511948</t>
  </si>
  <si>
    <t>081340227448</t>
  </si>
  <si>
    <t>MINAHASA</t>
  </si>
  <si>
    <t>SMA N KAIRAGI</t>
  </si>
  <si>
    <t>7171080405760001</t>
  </si>
  <si>
    <t>7171082308070001</t>
  </si>
  <si>
    <t>873338271821000</t>
  </si>
  <si>
    <t>0001141538591</t>
  </si>
  <si>
    <t>11022632191</t>
  </si>
  <si>
    <t>085717552455</t>
  </si>
  <si>
    <t>KAB.TANGERANG</t>
  </si>
  <si>
    <t>SMA N 12 KAB.TANGERANG</t>
  </si>
  <si>
    <t>3603130202970006</t>
  </si>
  <si>
    <t>3603130112210009</t>
  </si>
  <si>
    <t>81.334.127.8-418.000</t>
  </si>
  <si>
    <t>22087291229</t>
  </si>
  <si>
    <t>0000810643342</t>
  </si>
  <si>
    <t>082298264665</t>
  </si>
  <si>
    <t>SMA N 1 WALED</t>
  </si>
  <si>
    <t>3209301607910005</t>
  </si>
  <si>
    <t>3671101606210011</t>
  </si>
  <si>
    <t>585778566426000</t>
  </si>
  <si>
    <t>0001138177451</t>
  </si>
  <si>
    <t>10024029430</t>
  </si>
  <si>
    <t>0895381287752</t>
  </si>
  <si>
    <t>SMK BANGUN NUSANTARA</t>
  </si>
  <si>
    <t>3173060606990002</t>
  </si>
  <si>
    <t>3173062612121001</t>
  </si>
  <si>
    <t>90.511.706.5-085.000</t>
  </si>
  <si>
    <t>0001294984653</t>
  </si>
  <si>
    <t>22087290890</t>
  </si>
  <si>
    <t>083804187707</t>
  </si>
  <si>
    <t>SMK YP-KARYA BANGSA</t>
  </si>
  <si>
    <t>3603145403890005</t>
  </si>
  <si>
    <t>3671102408160019</t>
  </si>
  <si>
    <t>77.445.126.4-418.000</t>
  </si>
  <si>
    <t>0001133548075</t>
  </si>
  <si>
    <t>18005225026</t>
  </si>
  <si>
    <t>085777767191</t>
  </si>
  <si>
    <t>MAN CIPONDOH</t>
  </si>
  <si>
    <t>3671050608850007</t>
  </si>
  <si>
    <t>3671050104090098</t>
  </si>
  <si>
    <t>25-502.427.5-416.000</t>
  </si>
  <si>
    <t>0001133552665</t>
  </si>
  <si>
    <t>08006173309</t>
  </si>
  <si>
    <t>082114131813</t>
  </si>
  <si>
    <t>tangerang</t>
  </si>
  <si>
    <t>UNIVERSITAS MUHAMMADIYAH TANGERANG</t>
  </si>
  <si>
    <t>3603232512950003</t>
  </si>
  <si>
    <t>3674071007200012</t>
  </si>
  <si>
    <t>71.150.497.7-451.000</t>
  </si>
  <si>
    <t>0001658169516</t>
  </si>
  <si>
    <t>14034289281</t>
  </si>
  <si>
    <t>085716415382</t>
  </si>
  <si>
    <t>SMK GANESHA SATRIA</t>
  </si>
  <si>
    <t>3276051307860005</t>
  </si>
  <si>
    <t>3276062909170009</t>
  </si>
  <si>
    <t>446458507412000</t>
  </si>
  <si>
    <t>0001143860793</t>
  </si>
  <si>
    <t>16001685490</t>
  </si>
  <si>
    <t>081265348124</t>
  </si>
  <si>
    <t>LUBUK PAKAM</t>
  </si>
  <si>
    <t>SMK TAMANSISWA</t>
  </si>
  <si>
    <t>1207280509950001</t>
  </si>
  <si>
    <t>1207190611170006</t>
  </si>
  <si>
    <t>662845924125000</t>
  </si>
  <si>
    <t>0000247144691</t>
  </si>
  <si>
    <t>14017173015</t>
  </si>
  <si>
    <t>085730108646</t>
  </si>
  <si>
    <t>PATI</t>
  </si>
  <si>
    <t>SMK TUNAS HARAPAN PATI</t>
  </si>
  <si>
    <t>3318020601900001</t>
  </si>
  <si>
    <t>3318082805140004</t>
  </si>
  <si>
    <t>70.587.343.8-507.000</t>
  </si>
  <si>
    <t>0001770610691</t>
  </si>
  <si>
    <t>14026748435</t>
  </si>
  <si>
    <t>081398852725</t>
  </si>
  <si>
    <t>SMK 1 MUHAMMADIYAH KARTASURA SUKOHARJO</t>
  </si>
  <si>
    <t>3310172809860003</t>
  </si>
  <si>
    <t>3310170108180003</t>
  </si>
  <si>
    <t>79.228.585.0.525.000</t>
  </si>
  <si>
    <t>18005227089</t>
  </si>
  <si>
    <t>0001133811538</t>
  </si>
  <si>
    <t>08975239235</t>
  </si>
  <si>
    <t xml:space="preserve">TEHNIK KOMPUTER JARINGAN </t>
  </si>
  <si>
    <t xml:space="preserve">SMK VOCTECH 2 </t>
  </si>
  <si>
    <t>3671101707000010</t>
  </si>
  <si>
    <t>3671101206230010</t>
  </si>
  <si>
    <t>861461242402000</t>
  </si>
  <si>
    <t>0002102312351</t>
  </si>
  <si>
    <t>22087291021</t>
  </si>
  <si>
    <t>085751820542</t>
  </si>
  <si>
    <t>GAMBAR BANGUNAN</t>
  </si>
  <si>
    <t>SMK KARTIKA VI BALIKPAPAN</t>
  </si>
  <si>
    <t>6471031212880006</t>
  </si>
  <si>
    <t>6471030402210010</t>
  </si>
  <si>
    <t>75.535.438.8-721.000</t>
  </si>
  <si>
    <t>0001770031528</t>
  </si>
  <si>
    <t>18063137147</t>
  </si>
  <si>
    <t>0895412889469</t>
  </si>
  <si>
    <t>PENDIDIKAN BAHASA INGGRIS</t>
  </si>
  <si>
    <t>3603141206890007</t>
  </si>
  <si>
    <t>3603140112150006</t>
  </si>
  <si>
    <t>89.925.887.5-418.000</t>
  </si>
  <si>
    <t>0001137669996</t>
  </si>
  <si>
    <t>10017668830</t>
  </si>
  <si>
    <t>089503999903</t>
  </si>
  <si>
    <t>YP KARYA</t>
  </si>
  <si>
    <t>3671100605800009</t>
  </si>
  <si>
    <t>3671100203110019</t>
  </si>
  <si>
    <t>73.577.100.8-402.000</t>
  </si>
  <si>
    <t>0001771155808</t>
  </si>
  <si>
    <t>11034509734</t>
  </si>
  <si>
    <t>082188582278</t>
  </si>
  <si>
    <t>Makassar</t>
  </si>
  <si>
    <t>K2</t>
  </si>
  <si>
    <t>IPA1</t>
  </si>
  <si>
    <t>SMA PGRI Disamakan MAROS</t>
  </si>
  <si>
    <t>7309012910860001</t>
  </si>
  <si>
    <t>7309010511150002</t>
  </si>
  <si>
    <t>57.149.601.7-809.000</t>
  </si>
  <si>
    <t>0001138167167</t>
  </si>
  <si>
    <t>18063130035</t>
  </si>
  <si>
    <t>0895355043500</t>
  </si>
  <si>
    <t>IMANA GORONTALO</t>
  </si>
  <si>
    <t>SMA NEGERI 1 ATINGGOLA</t>
  </si>
  <si>
    <t>75050112306880001</t>
  </si>
  <si>
    <t>7171081303180002</t>
  </si>
  <si>
    <t>162138002821000</t>
  </si>
  <si>
    <t>0001141549604</t>
  </si>
  <si>
    <t>11022634924</t>
  </si>
  <si>
    <t>087809610310</t>
  </si>
  <si>
    <t xml:space="preserve">BEKASI </t>
  </si>
  <si>
    <t xml:space="preserve">AL AKHYAR </t>
  </si>
  <si>
    <t>3603130507800001</t>
  </si>
  <si>
    <t>3603131102100058</t>
  </si>
  <si>
    <t>09.195.870.2-418.000</t>
  </si>
  <si>
    <t>0001134320152</t>
  </si>
  <si>
    <t>08021085710</t>
  </si>
  <si>
    <t>081347992009</t>
  </si>
  <si>
    <t xml:space="preserve">BALIKPAPAN </t>
  </si>
  <si>
    <t xml:space="preserve">SINAR PANCASILA </t>
  </si>
  <si>
    <t>6471052704890003</t>
  </si>
  <si>
    <t>6471051905140031</t>
  </si>
  <si>
    <t>712240902721000</t>
  </si>
  <si>
    <t>0001312228866</t>
  </si>
  <si>
    <t>14038782885</t>
  </si>
  <si>
    <t>081368750521</t>
  </si>
  <si>
    <t>UJUNG RAMBE, KEC, GALANG</t>
  </si>
  <si>
    <t>TEKNIK SEPEDA MOTOR</t>
  </si>
  <si>
    <t>SMK KARYA SERDANG 1 LUBUK PAKAM</t>
  </si>
  <si>
    <t>1207311305980001</t>
  </si>
  <si>
    <t>1207311409095436</t>
  </si>
  <si>
    <t>857970982125000</t>
  </si>
  <si>
    <t>0000247212562</t>
  </si>
  <si>
    <t>18089621058</t>
  </si>
  <si>
    <t>085753312508</t>
  </si>
  <si>
    <t>MALANG</t>
  </si>
  <si>
    <t xml:space="preserve">SMK MUHAMMADIYAH 3 SINGOSARI </t>
  </si>
  <si>
    <t>3573011502910004</t>
  </si>
  <si>
    <t>6471061409200024</t>
  </si>
  <si>
    <t>74991676721000</t>
  </si>
  <si>
    <t>0001775667216</t>
  </si>
  <si>
    <t>15006385262</t>
  </si>
  <si>
    <t>085536912706</t>
  </si>
  <si>
    <t>NGANJUK</t>
  </si>
  <si>
    <t>PETERNAKAN</t>
  </si>
  <si>
    <t xml:space="preserve">SMKN 1 GONDANG </t>
  </si>
  <si>
    <t>3518913110910001</t>
  </si>
  <si>
    <t>3518190504220004</t>
  </si>
  <si>
    <t>794912071655000</t>
  </si>
  <si>
    <t>0001141548074</t>
  </si>
  <si>
    <t>11022635897</t>
  </si>
  <si>
    <t>085298054009</t>
  </si>
  <si>
    <t xml:space="preserve">1 ( SATU ) </t>
  </si>
  <si>
    <t>MADRASAH ALIYAH BELANG-BELANG</t>
  </si>
  <si>
    <t>7309122712930001</t>
  </si>
  <si>
    <t>7371111703230015</t>
  </si>
  <si>
    <t>46.204.345.5-809.000</t>
  </si>
  <si>
    <t>0001148645507</t>
  </si>
  <si>
    <t>12036817729</t>
  </si>
  <si>
    <t>08889308108</t>
  </si>
  <si>
    <t>SMKN 3 TANGERANG</t>
  </si>
  <si>
    <t>3671104305850010</t>
  </si>
  <si>
    <t>3603151705170021</t>
  </si>
  <si>
    <t>70.596.156.3-402.000</t>
  </si>
  <si>
    <t>0001656290643</t>
  </si>
  <si>
    <t>14026749011</t>
  </si>
  <si>
    <t xml:space="preserve">085947318730 </t>
  </si>
  <si>
    <t>ADMINISTRASI</t>
  </si>
  <si>
    <t>AL - JUMHURIAH</t>
  </si>
  <si>
    <t>3671104108870003</t>
  </si>
  <si>
    <t>367111030052240016</t>
  </si>
  <si>
    <t>79.228.552.0-402.000</t>
  </si>
  <si>
    <t>0001135584077</t>
  </si>
  <si>
    <t>18005222437</t>
  </si>
  <si>
    <t>Hlp</t>
  </si>
  <si>
    <t>085880405384</t>
  </si>
  <si>
    <t>Bogor</t>
  </si>
  <si>
    <t>OTOMOTIV</t>
  </si>
  <si>
    <t>SMK YKTB 1</t>
  </si>
  <si>
    <t>3271040103930005</t>
  </si>
  <si>
    <t>3271042603180004</t>
  </si>
  <si>
    <t>397576190016000</t>
  </si>
  <si>
    <t>0001439624823</t>
  </si>
  <si>
    <t>14034288358</t>
  </si>
  <si>
    <t>UJUNG PANDANG (UPG)</t>
  </si>
  <si>
    <t>082189133346</t>
  </si>
  <si>
    <t>TIGA (3)</t>
  </si>
  <si>
    <t xml:space="preserve">SMA NEGERI NO.2 MAROS/ SEKARANG MENJADI SMA NEGERI 3 </t>
  </si>
  <si>
    <t>7309140506870003</t>
  </si>
  <si>
    <t>7309140705140002</t>
  </si>
  <si>
    <t>573094539809000</t>
  </si>
  <si>
    <t>0001138162375</t>
  </si>
  <si>
    <t>18063129516 (AKTIF) &amp; 10024028762(NON AKTIF)</t>
  </si>
  <si>
    <t>085781680807</t>
  </si>
  <si>
    <t>SMK PENERBANGAN ANGKASA BOGOR</t>
  </si>
  <si>
    <t>3671031111930007</t>
  </si>
  <si>
    <t>3671030610170001</t>
  </si>
  <si>
    <t>64.148.001.7-416.000</t>
  </si>
  <si>
    <t>0001156338393</t>
  </si>
  <si>
    <t>13039552040</t>
  </si>
  <si>
    <t>Kno</t>
  </si>
  <si>
    <t>0895611910553</t>
  </si>
  <si>
    <t xml:space="preserve">Medan </t>
  </si>
  <si>
    <t>Tiga</t>
  </si>
  <si>
    <t>SMA Negri 17 Medan</t>
  </si>
  <si>
    <t>1271112701900004</t>
  </si>
  <si>
    <t>1271092002170006</t>
  </si>
  <si>
    <t>796124204122000</t>
  </si>
  <si>
    <t>0001775666902</t>
  </si>
  <si>
    <t>083877794358</t>
  </si>
  <si>
    <t xml:space="preserve">SMA IP YAKIN </t>
  </si>
  <si>
    <t>3173061207760012</t>
  </si>
  <si>
    <t>3173061006220014</t>
  </si>
  <si>
    <t>89.214.694.5-085.000</t>
  </si>
  <si>
    <t>0001137537314</t>
  </si>
  <si>
    <t>100154164663</t>
  </si>
  <si>
    <t>080601552902</t>
  </si>
  <si>
    <t>08812178319</t>
  </si>
  <si>
    <t>SMA NEGRI 5</t>
  </si>
  <si>
    <t>3671110401780004</t>
  </si>
  <si>
    <t>3671110305160015</t>
  </si>
  <si>
    <t>46.857.758.0-416.000</t>
  </si>
  <si>
    <t>0001739293727</t>
  </si>
  <si>
    <t>13033443592</t>
  </si>
  <si>
    <t>087771483963</t>
  </si>
  <si>
    <t>TEKNIK OTOMOTIP</t>
  </si>
  <si>
    <t>SMK OTOMOTIP AL-HUSNA</t>
  </si>
  <si>
    <t>3671102909910007</t>
  </si>
  <si>
    <t>3173052010160047</t>
  </si>
  <si>
    <t>574129250402000</t>
  </si>
  <si>
    <t>0001744221306</t>
  </si>
  <si>
    <t>14017170953</t>
  </si>
  <si>
    <t>081362911061</t>
  </si>
  <si>
    <t xml:space="preserve">TEKNIK MESIN </t>
  </si>
  <si>
    <t>MUHAMMAD DIYAH 09</t>
  </si>
  <si>
    <t>1271030410880004</t>
  </si>
  <si>
    <t>1207242506210029</t>
  </si>
  <si>
    <t>793548439124000</t>
  </si>
  <si>
    <t>0000268038382</t>
  </si>
  <si>
    <t>08020578947</t>
  </si>
  <si>
    <t xml:space="preserve">0878-8822-0580 </t>
  </si>
  <si>
    <t>SMA ALJUMRIAH</t>
  </si>
  <si>
    <t>3603135005910008</t>
  </si>
  <si>
    <t>36063131304170003</t>
  </si>
  <si>
    <t>70.590.520.6-418.000</t>
  </si>
  <si>
    <t>0001771147056</t>
  </si>
  <si>
    <t>14026749284</t>
  </si>
  <si>
    <t>087782101301</t>
  </si>
  <si>
    <t>SMA 1 CENGKARENG</t>
  </si>
  <si>
    <t>3173061209960004</t>
  </si>
  <si>
    <t>3173060110180016</t>
  </si>
  <si>
    <t>710495060085000</t>
  </si>
  <si>
    <t>0001290401785</t>
  </si>
  <si>
    <t>14034290073</t>
  </si>
  <si>
    <t>083897485204</t>
  </si>
  <si>
    <t>SMK KARYA BANGSA</t>
  </si>
  <si>
    <t>3603130412940006</t>
  </si>
  <si>
    <t>3603130304200006</t>
  </si>
  <si>
    <t>662669175418000</t>
  </si>
  <si>
    <t>0001770034836</t>
  </si>
  <si>
    <t>14008468424</t>
  </si>
  <si>
    <t>085243034566</t>
  </si>
  <si>
    <t xml:space="preserve">ENREKANG </t>
  </si>
  <si>
    <t>SMKN 2 PINRANG</t>
  </si>
  <si>
    <t>7316071601000001</t>
  </si>
  <si>
    <t>7316070907120006</t>
  </si>
  <si>
    <t>432027522802000</t>
  </si>
  <si>
    <t>0003051043929</t>
  </si>
  <si>
    <t>087886775296</t>
  </si>
  <si>
    <t>SMK VOCTECH 1</t>
  </si>
  <si>
    <t>3671072703960002</t>
  </si>
  <si>
    <t>3671071806210006</t>
  </si>
  <si>
    <t>711213074402000</t>
  </si>
  <si>
    <t>0001054035549</t>
  </si>
  <si>
    <t>14034291865</t>
  </si>
  <si>
    <t>085396771036</t>
  </si>
  <si>
    <t xml:space="preserve">SMA NEGERI 07 MAKASSAR </t>
  </si>
  <si>
    <t>7309012802960002</t>
  </si>
  <si>
    <t>7309012901053405</t>
  </si>
  <si>
    <t>66.644.247.0-809.000</t>
  </si>
  <si>
    <t>0001766834188</t>
  </si>
  <si>
    <t>14014033311</t>
  </si>
  <si>
    <t>085362409455</t>
  </si>
  <si>
    <t>SMU NEGRI 08 MEDAN</t>
  </si>
  <si>
    <t>1207260803830008</t>
  </si>
  <si>
    <t>1207262506130012</t>
  </si>
  <si>
    <t>79.354.850.4-125.000</t>
  </si>
  <si>
    <t>0001148686503</t>
  </si>
  <si>
    <t>03B00012304</t>
  </si>
  <si>
    <t>085210000564</t>
  </si>
  <si>
    <t>Maros</t>
  </si>
  <si>
    <t>Automotif</t>
  </si>
  <si>
    <t>Smk darussalam makssse</t>
  </si>
  <si>
    <t>7309010410940001</t>
  </si>
  <si>
    <t xml:space="preserve"> 7309012901057165</t>
  </si>
  <si>
    <t>55.454.476.2-809.000</t>
  </si>
  <si>
    <t>0001152263529</t>
  </si>
  <si>
    <t>13021753283</t>
  </si>
  <si>
    <t>085792447623</t>
  </si>
  <si>
    <t>TABANAN</t>
  </si>
  <si>
    <t>HINDU</t>
  </si>
  <si>
    <t>SMK NEGERI 3 SINGARAJA</t>
  </si>
  <si>
    <t>5102100610950002</t>
  </si>
  <si>
    <t>5102101712200003</t>
  </si>
  <si>
    <t>66.327.089.0-908.000</t>
  </si>
  <si>
    <t>0001577920149</t>
  </si>
  <si>
    <t>14034285768</t>
  </si>
  <si>
    <t>085398275192</t>
  </si>
  <si>
    <t>PANGKEP</t>
  </si>
  <si>
    <t>1 (SATU)</t>
  </si>
  <si>
    <t>KEMENTRIAN AGAMA</t>
  </si>
  <si>
    <t>7310081204920001</t>
  </si>
  <si>
    <t>7310081007230004</t>
  </si>
  <si>
    <t>554544833809000</t>
  </si>
  <si>
    <t>0001152263531</t>
  </si>
  <si>
    <t>18063136560</t>
  </si>
  <si>
    <t>085797526896</t>
  </si>
  <si>
    <t>SD,SMP,SMA</t>
  </si>
  <si>
    <t xml:space="preserve">IPA </t>
  </si>
  <si>
    <t>SMA AL JUMHURIAH</t>
  </si>
  <si>
    <t>3603132302860003</t>
  </si>
  <si>
    <t>3603131904220005</t>
  </si>
  <si>
    <t>73.579.751.6-418.000</t>
  </si>
  <si>
    <t>0001771155731</t>
  </si>
  <si>
    <t>15043934999</t>
  </si>
  <si>
    <t>SMK N 7 KOTA TANGERANG</t>
  </si>
  <si>
    <t>087861132790</t>
  </si>
  <si>
    <t>DENPASAR</t>
  </si>
  <si>
    <t>AUDIO VIDEO</t>
  </si>
  <si>
    <t>SMK PGRI 1 DENPASAR</t>
  </si>
  <si>
    <t>5101011808920011</t>
  </si>
  <si>
    <t>5101011005210002</t>
  </si>
  <si>
    <t>79.578.465.1-908.00</t>
  </si>
  <si>
    <t>0001148695266</t>
  </si>
  <si>
    <t>12036816852</t>
  </si>
  <si>
    <t>085716587988</t>
  </si>
  <si>
    <t>3671100504920001</t>
  </si>
  <si>
    <t>3603302701210016</t>
  </si>
  <si>
    <t>459531299402000</t>
  </si>
  <si>
    <t>0001147575126</t>
  </si>
  <si>
    <t>12029437170</t>
  </si>
  <si>
    <t>085603518675</t>
  </si>
  <si>
    <t>SUMEDANG</t>
  </si>
  <si>
    <t xml:space="preserve">ADMINISTRASI KEUANGAN </t>
  </si>
  <si>
    <t>SMAN DARMARAJA</t>
  </si>
  <si>
    <t>3211031006880002</t>
  </si>
  <si>
    <t>711506915446000</t>
  </si>
  <si>
    <t>0001390670829</t>
  </si>
  <si>
    <t>14034288630</t>
  </si>
  <si>
    <t>085373702360</t>
  </si>
  <si>
    <t xml:space="preserve">TEKNIK LISTRIK </t>
  </si>
  <si>
    <t>SMK AL-WASLIYAN 04 MEDAN</t>
  </si>
  <si>
    <t>1271012911950001</t>
  </si>
  <si>
    <t>1207260803220016</t>
  </si>
  <si>
    <t>85.773.987.4-122.000</t>
  </si>
  <si>
    <t>0001485952299</t>
  </si>
  <si>
    <t>18089620316</t>
  </si>
  <si>
    <t>085697707850</t>
  </si>
  <si>
    <t>SMAN5 KABUPATEN TANGERANG</t>
  </si>
  <si>
    <t>3603152209940002</t>
  </si>
  <si>
    <t>3603131308190009</t>
  </si>
  <si>
    <t>66.140.704.9-418.000</t>
  </si>
  <si>
    <t>0000809029811</t>
  </si>
  <si>
    <t>14008468838</t>
  </si>
  <si>
    <t>089517615933</t>
  </si>
  <si>
    <t>ADMINISTERASI PERKANTORAN (AP)</t>
  </si>
  <si>
    <t>SMK (KARYA BANGSA)</t>
  </si>
  <si>
    <t>3671101509930007</t>
  </si>
  <si>
    <t>3671101610180003</t>
  </si>
  <si>
    <t>700071525402000</t>
  </si>
  <si>
    <t>0001744221598</t>
  </si>
  <si>
    <t>13009286876</t>
  </si>
  <si>
    <t>081524522346</t>
  </si>
  <si>
    <t>MADRASA ALIYAH BELANG-BELANG</t>
  </si>
  <si>
    <t>7309120107920200</t>
  </si>
  <si>
    <t>7309011702170002</t>
  </si>
  <si>
    <t>666458278809000</t>
  </si>
  <si>
    <t>0001743000636</t>
  </si>
  <si>
    <t>14014034467</t>
  </si>
  <si>
    <t>CBM SUPPORTING</t>
  </si>
  <si>
    <t>081310599320</t>
  </si>
  <si>
    <t>IPA FISIKA</t>
  </si>
  <si>
    <t>SMU-ASY-SYUKRIYYAH</t>
  </si>
  <si>
    <t>3671100206840008</t>
  </si>
  <si>
    <t>3677103005120021</t>
  </si>
  <si>
    <t>792285785418000</t>
  </si>
  <si>
    <t>0001135265995</t>
  </si>
  <si>
    <t>09010330018</t>
  </si>
  <si>
    <t>082112527849</t>
  </si>
  <si>
    <t>ACEH</t>
  </si>
  <si>
    <t>SMK DWIWARNA 2 MEDAN</t>
  </si>
  <si>
    <t>1205052802730003</t>
  </si>
  <si>
    <t>1271090705180011</t>
  </si>
  <si>
    <t>46.153.372.1.119.000</t>
  </si>
  <si>
    <t>0001148645316</t>
  </si>
  <si>
    <t>12036817455</t>
  </si>
  <si>
    <t>085360647634</t>
  </si>
  <si>
    <t>GALANG DELI SERDANG</t>
  </si>
  <si>
    <t xml:space="preserve">STM AWAL KARYA PEMBANGUNAN ( AKP ) </t>
  </si>
  <si>
    <t>1207192408880001</t>
  </si>
  <si>
    <t>1207313110120002</t>
  </si>
  <si>
    <t>666144977125000</t>
  </si>
  <si>
    <t>0002053698287</t>
  </si>
  <si>
    <t>14014033410</t>
  </si>
  <si>
    <t>082290111186</t>
  </si>
  <si>
    <t>K 1</t>
  </si>
  <si>
    <t>SMA NEG 1 SEGERI</t>
  </si>
  <si>
    <t>7310080808930003</t>
  </si>
  <si>
    <t>7310080710220003</t>
  </si>
  <si>
    <t>666440706809000</t>
  </si>
  <si>
    <t>0000931646417</t>
  </si>
  <si>
    <t>14014033543</t>
  </si>
  <si>
    <t>082247752790</t>
  </si>
  <si>
    <t xml:space="preserve">KOTA KUPANG </t>
  </si>
  <si>
    <t xml:space="preserve">SMA NEGERI 1 KUPANG </t>
  </si>
  <si>
    <t>5371042308900003</t>
  </si>
  <si>
    <t>5371042412070663</t>
  </si>
  <si>
    <t>16-339.8076-922.000</t>
  </si>
  <si>
    <t>0001142967756</t>
  </si>
  <si>
    <t>11035449344000</t>
  </si>
  <si>
    <t>083169041171</t>
  </si>
  <si>
    <t>BANYUMAS</t>
  </si>
  <si>
    <t>MESIN UMUM</t>
  </si>
  <si>
    <t>STM GIRI PURO SUMPIUH</t>
  </si>
  <si>
    <t>3302082204800001</t>
  </si>
  <si>
    <t>3671101104140005</t>
  </si>
  <si>
    <t>576829238416000</t>
  </si>
  <si>
    <t>0001131387489</t>
  </si>
  <si>
    <t>230202545555</t>
  </si>
  <si>
    <t>081355562923</t>
  </si>
  <si>
    <t xml:space="preserve">MANAJEMEN BISNIS </t>
  </si>
  <si>
    <t xml:space="preserve">SMK TRIDHARMA MAROS </t>
  </si>
  <si>
    <t>7309011107890001</t>
  </si>
  <si>
    <t>7309010411190001</t>
  </si>
  <si>
    <t>89.031.447.9-809.000</t>
  </si>
  <si>
    <t>0001141766313</t>
  </si>
  <si>
    <t>11025253342</t>
  </si>
  <si>
    <t>085298036574</t>
  </si>
  <si>
    <t>Ips</t>
  </si>
  <si>
    <t>EMMY SAELAN</t>
  </si>
  <si>
    <t>7309012312720002</t>
  </si>
  <si>
    <t>7309012901057165</t>
  </si>
  <si>
    <t>77.744.864.8.809.000</t>
  </si>
  <si>
    <t>0001766833626</t>
  </si>
  <si>
    <t>110025251676</t>
  </si>
  <si>
    <t>082259419996</t>
  </si>
  <si>
    <t>BATANGASE</t>
  </si>
  <si>
    <t>PGRI DISAMAKAN MAROS</t>
  </si>
  <si>
    <t>7309012704870002</t>
  </si>
  <si>
    <t>7371111406170013</t>
  </si>
  <si>
    <t>571495852809000</t>
  </si>
  <si>
    <t>0001138162285</t>
  </si>
  <si>
    <t>18063160552</t>
  </si>
  <si>
    <t>082267465471</t>
  </si>
  <si>
    <t>DUMAI</t>
  </si>
  <si>
    <t>SMKN 3 PANGKAL PINANG</t>
  </si>
  <si>
    <t>2171030505059008</t>
  </si>
  <si>
    <t>1904033010230003</t>
  </si>
  <si>
    <t>13.934.069.9-315.000</t>
  </si>
  <si>
    <t>25003994099</t>
  </si>
  <si>
    <t>0001335159966</t>
  </si>
  <si>
    <t>081342405272</t>
  </si>
  <si>
    <t>PGMI SD</t>
  </si>
  <si>
    <t>STAI DDI MAROS</t>
  </si>
  <si>
    <t>7309142704920003</t>
  </si>
  <si>
    <t>7309141208160004</t>
  </si>
  <si>
    <t>67.594.081.1-809.000</t>
  </si>
  <si>
    <t>0001142927234</t>
  </si>
  <si>
    <t>11035447983</t>
  </si>
  <si>
    <t>081236297293</t>
  </si>
  <si>
    <t>BANGLI</t>
  </si>
  <si>
    <t>Tekhnik komputer dan jaringan</t>
  </si>
  <si>
    <t>SMK NEGERI 1 BANGLI</t>
  </si>
  <si>
    <t>5106012401930002</t>
  </si>
  <si>
    <t>5106012805140001</t>
  </si>
  <si>
    <t>46.214.768.7-907.000</t>
  </si>
  <si>
    <t>0001149935321</t>
  </si>
  <si>
    <t>12036817174</t>
  </si>
  <si>
    <t>085785515558</t>
  </si>
  <si>
    <t>SMA PAKET C WIJAYA</t>
  </si>
  <si>
    <t>3515172508840003</t>
  </si>
  <si>
    <t>3515172811180009</t>
  </si>
  <si>
    <t>36.485.359.8-643.000</t>
  </si>
  <si>
    <t>0001141138135</t>
  </si>
  <si>
    <t>11018210218</t>
  </si>
  <si>
    <t>081937262213</t>
  </si>
  <si>
    <t>MAN MOJOSARI</t>
  </si>
  <si>
    <t>3516061606920001</t>
  </si>
  <si>
    <t>3516060305180013</t>
  </si>
  <si>
    <t>803301266602000</t>
  </si>
  <si>
    <t>0002359537299</t>
  </si>
  <si>
    <t>17001742117</t>
  </si>
  <si>
    <t>081528514690</t>
  </si>
  <si>
    <t>MA NURUL HUDA</t>
  </si>
  <si>
    <t>3515171608970002</t>
  </si>
  <si>
    <t>3515171809240008</t>
  </si>
  <si>
    <t>80.313.535.9-643.000</t>
  </si>
  <si>
    <t>0000721321211</t>
  </si>
  <si>
    <t>17001742166</t>
  </si>
  <si>
    <t>085830257662</t>
  </si>
  <si>
    <t xml:space="preserve">SMK SWASTA TELADAN MEDAN </t>
  </si>
  <si>
    <t>1207261611920010</t>
  </si>
  <si>
    <t>1207260811210046</t>
  </si>
  <si>
    <t>669927279125000</t>
  </si>
  <si>
    <t>0001767229492</t>
  </si>
  <si>
    <t>14017172413</t>
  </si>
  <si>
    <t>081361140755</t>
  </si>
  <si>
    <t xml:space="preserve">SMA RK SERDANG MURNI </t>
  </si>
  <si>
    <t>1207330109830001</t>
  </si>
  <si>
    <t>1207331409096744</t>
  </si>
  <si>
    <t>68.397.081.8-125.000</t>
  </si>
  <si>
    <t>0001156317625</t>
  </si>
  <si>
    <t>13039551257</t>
  </si>
  <si>
    <t>089699262911</t>
  </si>
  <si>
    <t xml:space="preserve">PAKET C/SEDERAJAT SMA </t>
  </si>
  <si>
    <t>MADRASAH ALIYAH</t>
  </si>
  <si>
    <t>6471042703860003</t>
  </si>
  <si>
    <t>6471040810140021</t>
  </si>
  <si>
    <t>164166357721000</t>
  </si>
  <si>
    <t>0001066356516</t>
  </si>
  <si>
    <t>16044071286</t>
  </si>
  <si>
    <t>082291129191</t>
  </si>
  <si>
    <t>LUMAJANG</t>
  </si>
  <si>
    <t>MANAGEMENT INFORMATIKA</t>
  </si>
  <si>
    <t>MAGISTRA UTAMA</t>
  </si>
  <si>
    <t>3508091506910005</t>
  </si>
  <si>
    <t>7106051502170001</t>
  </si>
  <si>
    <t>54.651.856.4-625.000</t>
  </si>
  <si>
    <t>0001152218193</t>
  </si>
  <si>
    <t>16044071898</t>
  </si>
  <si>
    <t>PIC STATION</t>
  </si>
  <si>
    <t>081807377447</t>
  </si>
  <si>
    <t>SEMARANG</t>
  </si>
  <si>
    <t>ENGINE &amp; AIRFRAME</t>
  </si>
  <si>
    <t>DHARMA WIRAWAN</t>
  </si>
  <si>
    <t>3374103001760001</t>
  </si>
  <si>
    <t>1207212710170002</t>
  </si>
  <si>
    <t>34.550.944.2-517.000</t>
  </si>
  <si>
    <t>0001137473796</t>
  </si>
  <si>
    <t>97J30519587</t>
  </si>
  <si>
    <t>08985292039</t>
  </si>
  <si>
    <t>Sma</t>
  </si>
  <si>
    <t>Sman1 kosambi</t>
  </si>
  <si>
    <t>3603130709900001</t>
  </si>
  <si>
    <t>3603132007120074</t>
  </si>
  <si>
    <t>36.271.348.9-418.000</t>
  </si>
  <si>
    <t>0001147575115</t>
  </si>
  <si>
    <t>12029437162</t>
  </si>
  <si>
    <t>082252291899</t>
  </si>
  <si>
    <t>Menegen Bisnis</t>
  </si>
  <si>
    <t>SMK Airlangga</t>
  </si>
  <si>
    <t>6471041408820008</t>
  </si>
  <si>
    <t>647101121206006</t>
  </si>
  <si>
    <t>687328567721000</t>
  </si>
  <si>
    <t>0002070979479</t>
  </si>
  <si>
    <t>108005211125</t>
  </si>
  <si>
    <t>085780417257</t>
  </si>
  <si>
    <t>TEKNIK PERAIRAN</t>
  </si>
  <si>
    <t>UNIVERSITAS AIRLANGGA SURABAYA</t>
  </si>
  <si>
    <t>3518132310790001</t>
  </si>
  <si>
    <t>3275050802170017</t>
  </si>
  <si>
    <t>711561944407000</t>
  </si>
  <si>
    <t>0001465757076</t>
  </si>
  <si>
    <t>14034288846</t>
  </si>
  <si>
    <t>082267853926</t>
  </si>
  <si>
    <t>TAREAN</t>
  </si>
  <si>
    <t>OTOMOTIF SEPEDA MOTOR</t>
  </si>
  <si>
    <t>SMK SWASTA BERINGIN</t>
  </si>
  <si>
    <t>1207090101940004</t>
  </si>
  <si>
    <t>1207091910220001</t>
  </si>
  <si>
    <t>85.797.010.7-125.000</t>
  </si>
  <si>
    <t>0000244516116</t>
  </si>
  <si>
    <t>18116403348</t>
  </si>
  <si>
    <t>088212951122</t>
  </si>
  <si>
    <t>SURAKARTA</t>
  </si>
  <si>
    <t>SMAN 5 SURAKARTA</t>
  </si>
  <si>
    <t>3173061101810008</t>
  </si>
  <si>
    <t>3671101103140005</t>
  </si>
  <si>
    <t>58.431.640.0-085.000</t>
  </si>
  <si>
    <t>0001141796586</t>
  </si>
  <si>
    <t>11025251957</t>
  </si>
  <si>
    <t>082190620136</t>
  </si>
  <si>
    <t>MA BUSTANUL ULUM</t>
  </si>
  <si>
    <t>73091129058900001</t>
  </si>
  <si>
    <t>7309090506180001</t>
  </si>
  <si>
    <t>542519699809000</t>
  </si>
  <si>
    <t>0001125140916</t>
  </si>
  <si>
    <t>13007032116000</t>
  </si>
  <si>
    <t>089525529296</t>
  </si>
  <si>
    <t>SMUN I TELUK NAGA</t>
  </si>
  <si>
    <t>3603132512780003</t>
  </si>
  <si>
    <t>3603132405120038</t>
  </si>
  <si>
    <t>57.682.942.8-418.000</t>
  </si>
  <si>
    <t>001128595768</t>
  </si>
  <si>
    <t>04JP0406485</t>
  </si>
  <si>
    <t>082276325740</t>
  </si>
  <si>
    <t>1207260701000004</t>
  </si>
  <si>
    <t>1207262101150038</t>
  </si>
  <si>
    <t>857857791125000</t>
  </si>
  <si>
    <t>0002507955996</t>
  </si>
  <si>
    <t>18116403462</t>
  </si>
  <si>
    <t>SMA negeri 17 medan</t>
  </si>
  <si>
    <t>11039272205</t>
  </si>
  <si>
    <t>085260869523</t>
  </si>
  <si>
    <t>SMEA</t>
  </si>
  <si>
    <t>1207232205790006</t>
  </si>
  <si>
    <t>1207232009098056</t>
  </si>
  <si>
    <t>793548413125000</t>
  </si>
  <si>
    <t>0001134329758</t>
  </si>
  <si>
    <t>08021087088</t>
  </si>
  <si>
    <t>08119402916</t>
  </si>
  <si>
    <t xml:space="preserve">STM PEMBANGUNAN </t>
  </si>
  <si>
    <t>3216022107720006</t>
  </si>
  <si>
    <t>3216022404120030</t>
  </si>
  <si>
    <t>77.435.906.1-034.000</t>
  </si>
  <si>
    <t>0001133552709</t>
  </si>
  <si>
    <t>08006173432</t>
  </si>
  <si>
    <t>082267719831</t>
  </si>
  <si>
    <t>WONOSOBO</t>
  </si>
  <si>
    <t>SMA N 1 TUAL</t>
  </si>
  <si>
    <t>8102102404770001</t>
  </si>
  <si>
    <t>8102100812070001</t>
  </si>
  <si>
    <t>64.381.921.2-941.000</t>
  </si>
  <si>
    <t>14004341310000</t>
  </si>
  <si>
    <t>0895331890396</t>
  </si>
  <si>
    <t xml:space="preserve">TEKNIK MESIN PERKAKAS </t>
  </si>
  <si>
    <t xml:space="preserve">SMK YUPPENTEK 2 CURUG TANGERANG </t>
  </si>
  <si>
    <t>3603190610890003</t>
  </si>
  <si>
    <t>3603191211180003</t>
  </si>
  <si>
    <t>444280135451000</t>
  </si>
  <si>
    <t>0002100237131</t>
  </si>
  <si>
    <t>15043934791</t>
  </si>
  <si>
    <t>081535494276</t>
  </si>
  <si>
    <t xml:space="preserve">SMK NEGERI 7 </t>
  </si>
  <si>
    <t>1271091212810003</t>
  </si>
  <si>
    <t>1271110609170007</t>
  </si>
  <si>
    <t>793548488122000</t>
  </si>
  <si>
    <t>0001134329769</t>
  </si>
  <si>
    <t>08021087096</t>
  </si>
  <si>
    <t>085591636419</t>
  </si>
  <si>
    <t>MA-AL-AROBI</t>
  </si>
  <si>
    <t>DARUL FALLAH AL-ARABI</t>
  </si>
  <si>
    <t>3201201807860001</t>
  </si>
  <si>
    <t>3201201706110009</t>
  </si>
  <si>
    <t>896697190434 000</t>
  </si>
  <si>
    <t>0001137699011</t>
  </si>
  <si>
    <t>1001766685156</t>
  </si>
  <si>
    <t>085694401603</t>
  </si>
  <si>
    <t>PENERBANGAN (AIRPLAN &amp; POWERPLAN)</t>
  </si>
  <si>
    <t xml:space="preserve">SMK PENERBANGAN DIRGANTARA </t>
  </si>
  <si>
    <t>3671091809930001</t>
  </si>
  <si>
    <t>3671010807220012</t>
  </si>
  <si>
    <t>45.876.791.0-402.000</t>
  </si>
  <si>
    <t>0001384934411</t>
  </si>
  <si>
    <t>083178604752</t>
  </si>
  <si>
    <t xml:space="preserve">MEDAN </t>
  </si>
  <si>
    <t xml:space="preserve">SMA UISU </t>
  </si>
  <si>
    <t>1271101908880001</t>
  </si>
  <si>
    <t>1271101608210003</t>
  </si>
  <si>
    <t>462294265122000</t>
  </si>
  <si>
    <t>0001149413365</t>
  </si>
  <si>
    <t>12041802583</t>
  </si>
  <si>
    <t>082299036585</t>
  </si>
  <si>
    <t>AL-HUSNA TANGERANG</t>
  </si>
  <si>
    <t>3671102006880005</t>
  </si>
  <si>
    <t>3671100501120006</t>
  </si>
  <si>
    <t>579213992416000</t>
  </si>
  <si>
    <t>0001124099831</t>
  </si>
  <si>
    <t>13002006578</t>
  </si>
  <si>
    <t>087879098461</t>
  </si>
  <si>
    <t>SMK NEGERI 02</t>
  </si>
  <si>
    <t>6471042812940005</t>
  </si>
  <si>
    <t>6471032706160008</t>
  </si>
  <si>
    <t>714354644721000</t>
  </si>
  <si>
    <t>0001608524649</t>
  </si>
  <si>
    <t>14038788031</t>
  </si>
  <si>
    <t>081341915002</t>
  </si>
  <si>
    <t xml:space="preserve">MAROS </t>
  </si>
  <si>
    <t>SMKP SAMUDRA NUSANTA MAKASSAR</t>
  </si>
  <si>
    <t>7309142706870003</t>
  </si>
  <si>
    <t>7309142903110008</t>
  </si>
  <si>
    <t>57.309.454.7-809.000</t>
  </si>
  <si>
    <t>0001148696493</t>
  </si>
  <si>
    <t>12036814668</t>
  </si>
  <si>
    <t>087782554834</t>
  </si>
  <si>
    <t>TEGAL</t>
  </si>
  <si>
    <t>MUTIARA BANGSA</t>
  </si>
  <si>
    <t>3173061706930002</t>
  </si>
  <si>
    <t>3173061701098786</t>
  </si>
  <si>
    <t>459535613085000</t>
  </si>
  <si>
    <t>0001147575227</t>
  </si>
  <si>
    <t>12029437287</t>
  </si>
  <si>
    <t>08114131589</t>
  </si>
  <si>
    <t>BISNIS DAN MARKETING</t>
  </si>
  <si>
    <t>SMK N 1 PANGKEP</t>
  </si>
  <si>
    <t>7310081510890002</t>
  </si>
  <si>
    <t>7310080411140003</t>
  </si>
  <si>
    <t>777448606809000</t>
  </si>
  <si>
    <t>0001134121847</t>
  </si>
  <si>
    <t>08017516355</t>
  </si>
  <si>
    <t>088973043107</t>
  </si>
  <si>
    <t>IPS (Ilmu pengetahuan sosial)</t>
  </si>
  <si>
    <t>SMA GENTA SYAPUTRA</t>
  </si>
  <si>
    <t>3603132205990004</t>
  </si>
  <si>
    <t>3603132612220001</t>
  </si>
  <si>
    <t>866540552418000</t>
  </si>
  <si>
    <t>0002058675614</t>
  </si>
  <si>
    <t>22087291393</t>
  </si>
  <si>
    <t>082267211180</t>
  </si>
  <si>
    <t>AEK KORSIK</t>
  </si>
  <si>
    <t xml:space="preserve">1(satu) </t>
  </si>
  <si>
    <t>Elektronic avionic</t>
  </si>
  <si>
    <t>SMK PENERBANGAN PBD MEDAN</t>
  </si>
  <si>
    <t>1223041511980001</t>
  </si>
  <si>
    <t>1207272007220007</t>
  </si>
  <si>
    <t>83.896.795.8-116.000</t>
  </si>
  <si>
    <t>0002221123184</t>
  </si>
  <si>
    <t>18089620951</t>
  </si>
  <si>
    <t>089667167986</t>
  </si>
  <si>
    <t xml:space="preserve">PEMALANG </t>
  </si>
  <si>
    <t>SMU MUHAMMADIYAH O2 PEMALANG</t>
  </si>
  <si>
    <t>3327062001790006</t>
  </si>
  <si>
    <t>3304062203130001</t>
  </si>
  <si>
    <t>44.982.326.9 502.000</t>
  </si>
  <si>
    <t>0001147564664</t>
  </si>
  <si>
    <t>12029435554</t>
  </si>
  <si>
    <t>081259456390</t>
  </si>
  <si>
    <t>PEMESINAN</t>
  </si>
  <si>
    <t>SMK ISLAM TARUNA</t>
  </si>
  <si>
    <t>3515092007920002</t>
  </si>
  <si>
    <t>3515091802130002</t>
  </si>
  <si>
    <t>459254660603000</t>
  </si>
  <si>
    <t>0001147520261</t>
  </si>
  <si>
    <t>12029435950</t>
  </si>
  <si>
    <t>081367336439</t>
  </si>
  <si>
    <t>SMK YADIKA 3</t>
  </si>
  <si>
    <t>3173060206940005</t>
  </si>
  <si>
    <t>1207230204190002</t>
  </si>
  <si>
    <t>669441453125000</t>
  </si>
  <si>
    <t>0001853383533</t>
  </si>
  <si>
    <t>14017173619</t>
  </si>
  <si>
    <t>089510150656</t>
  </si>
  <si>
    <t>BOJONEGORO</t>
  </si>
  <si>
    <t>MA</t>
  </si>
  <si>
    <t>SUNNATUNNUR</t>
  </si>
  <si>
    <t>3603232812820001</t>
  </si>
  <si>
    <t>3603232001111516</t>
  </si>
  <si>
    <t>67.937.151.8-451.000</t>
  </si>
  <si>
    <t>0001138803524</t>
  </si>
  <si>
    <t>18063150215</t>
  </si>
  <si>
    <t>085656645705</t>
  </si>
  <si>
    <t>SMA NEGERI 1 MARUSU</t>
  </si>
  <si>
    <t>7309081804910001</t>
  </si>
  <si>
    <t>7309081403230002</t>
  </si>
  <si>
    <t>89.287.928-809.000</t>
  </si>
  <si>
    <t>0001137159123</t>
  </si>
  <si>
    <t>18063138848</t>
  </si>
  <si>
    <t>085692343354</t>
  </si>
  <si>
    <t>FAJRUL ISLAM JAKARTA BARAT</t>
  </si>
  <si>
    <t>3671041903890002</t>
  </si>
  <si>
    <t>3671040111240002</t>
  </si>
  <si>
    <t>66.263.158.9-402.000</t>
  </si>
  <si>
    <t>0001771209977</t>
  </si>
  <si>
    <t>14008468820</t>
  </si>
  <si>
    <t>081377118318 / 085761480076</t>
  </si>
  <si>
    <t>SMK-PARIWISATA YAPIM MEDAN SUMATERA UTARA</t>
  </si>
  <si>
    <t>SMK-YAPIM MEDAN SUMATERA UTARA</t>
  </si>
  <si>
    <t>1274052901870001</t>
  </si>
  <si>
    <t>1271090508190004</t>
  </si>
  <si>
    <t>972753172115000</t>
  </si>
  <si>
    <t>0001146104537</t>
  </si>
  <si>
    <t>12017630455</t>
  </si>
  <si>
    <t>081523843228</t>
  </si>
  <si>
    <t>MA YADI MAROS</t>
  </si>
  <si>
    <t>7309080201920001</t>
  </si>
  <si>
    <t>7309082901051867</t>
  </si>
  <si>
    <t>462040288809000</t>
  </si>
  <si>
    <t>0001148675275</t>
  </si>
  <si>
    <t>120368</t>
  </si>
  <si>
    <t>085656883209</t>
  </si>
  <si>
    <t>SMA NEGRI 1 MARUSU</t>
  </si>
  <si>
    <t>7309082705920001</t>
  </si>
  <si>
    <t>7309081401190003</t>
  </si>
  <si>
    <t>66.644.176.1-809.000</t>
  </si>
  <si>
    <t>0001743000039</t>
  </si>
  <si>
    <t>14014035134</t>
  </si>
  <si>
    <t>082267436730</t>
  </si>
  <si>
    <t>Padang</t>
  </si>
  <si>
    <t>TAMAN SISWA MEDAN</t>
  </si>
  <si>
    <t>1271040506860002</t>
  </si>
  <si>
    <t>1271142707160009</t>
  </si>
  <si>
    <t>793548397122000</t>
  </si>
  <si>
    <t>0002198974421</t>
  </si>
  <si>
    <t>12036814486</t>
  </si>
  <si>
    <t>082266052557</t>
  </si>
  <si>
    <t>TEKNIK INSTALASI TENAGA LISTRIK</t>
  </si>
  <si>
    <t>SMK DARUSSALAM MAKASSAR</t>
  </si>
  <si>
    <t>7309081402930002</t>
  </si>
  <si>
    <t>7309082409200003</t>
  </si>
  <si>
    <t>704293034809000</t>
  </si>
  <si>
    <t>0002053700245</t>
  </si>
  <si>
    <t>085761639002</t>
  </si>
  <si>
    <t>SEI RAMPAH,SERDANG BEDAGAI</t>
  </si>
  <si>
    <t>SMA NEGERI 1 SEI RAMPAH</t>
  </si>
  <si>
    <t>1218042309870006</t>
  </si>
  <si>
    <t>1207023105220002</t>
  </si>
  <si>
    <t>79.354.845.4-114.000</t>
  </si>
  <si>
    <t>0001134404728</t>
  </si>
  <si>
    <t>08025372106</t>
  </si>
  <si>
    <t>085198403369</t>
  </si>
  <si>
    <t xml:space="preserve">NEPTUNE INTERNATIONAL HOTEL AND APPRENTICESHIP PROGAM CRUISE SHIP </t>
  </si>
  <si>
    <t>352118170600005</t>
  </si>
  <si>
    <t>3521181702063198</t>
  </si>
  <si>
    <t>226512333646000</t>
  </si>
  <si>
    <t>0001868248732</t>
  </si>
  <si>
    <t>25003994115</t>
  </si>
  <si>
    <t>085230304491</t>
  </si>
  <si>
    <t>PAMEKASAN</t>
  </si>
  <si>
    <t>WACHID HASYIM KABUPATEN PAMEKASAN</t>
  </si>
  <si>
    <t>3528010401940004</t>
  </si>
  <si>
    <t>3528011204210001</t>
  </si>
  <si>
    <t>80.330.530.9-608.000</t>
  </si>
  <si>
    <t>0000774929395</t>
  </si>
  <si>
    <t>17001742224</t>
  </si>
  <si>
    <t>12036816440</t>
  </si>
  <si>
    <t>AIRCRAFT CLEANING</t>
  </si>
  <si>
    <t>081271418177</t>
  </si>
  <si>
    <t>PURWOREJO</t>
  </si>
  <si>
    <t>SMA ANTARIKA SIDOARJO</t>
  </si>
  <si>
    <t>3515070703920003</t>
  </si>
  <si>
    <t>3515072701090387</t>
  </si>
  <si>
    <t>80.327.296.2-617.000</t>
  </si>
  <si>
    <t>00019635117332</t>
  </si>
  <si>
    <t>170001742109</t>
  </si>
  <si>
    <t>082189389423</t>
  </si>
  <si>
    <t>SMA NEGRI 1 MANDAI</t>
  </si>
  <si>
    <t>7309012704900003</t>
  </si>
  <si>
    <t>7309011701120004</t>
  </si>
  <si>
    <t>710647959809000</t>
  </si>
  <si>
    <t>0001960278985</t>
  </si>
  <si>
    <t>11025262897</t>
  </si>
  <si>
    <t>085255936644</t>
  </si>
  <si>
    <t>SMA NEG 1 MA'RANG</t>
  </si>
  <si>
    <t>7310080201910001</t>
  </si>
  <si>
    <t>7310081301200001</t>
  </si>
  <si>
    <t>571495803809000</t>
  </si>
  <si>
    <t>0002053699064</t>
  </si>
  <si>
    <t>1218010201910003</t>
  </si>
  <si>
    <t>082248612446</t>
  </si>
  <si>
    <t>SMA NEGERI 3 MEDAN</t>
  </si>
  <si>
    <t>1271032607890003</t>
  </si>
  <si>
    <t>1271030609170019</t>
  </si>
  <si>
    <t>548664325124000</t>
  </si>
  <si>
    <t>0001151536331</t>
  </si>
  <si>
    <t>18063159695</t>
  </si>
  <si>
    <t>082361994796</t>
  </si>
  <si>
    <t>Lubuk pakam</t>
  </si>
  <si>
    <t>TEKNIK KOMPUTER &amp; JARINGAN</t>
  </si>
  <si>
    <t xml:space="preserve">SMK TAMAN SISWA </t>
  </si>
  <si>
    <t>1207311505990001</t>
  </si>
  <si>
    <t>1207312801190003</t>
  </si>
  <si>
    <t xml:space="preserve"> 85.798.527.9.-125.000</t>
  </si>
  <si>
    <t>0002507956007</t>
  </si>
  <si>
    <t>18116403173</t>
  </si>
  <si>
    <t>83123703</t>
  </si>
  <si>
    <t>BISNIS DAN MANAJEMEN</t>
  </si>
  <si>
    <t>SMK TRIDHARMA MAROS</t>
  </si>
  <si>
    <t>730901150784003</t>
  </si>
  <si>
    <t>7309011107130013</t>
  </si>
  <si>
    <t>77.744.862.2-809.000</t>
  </si>
  <si>
    <t>0001148686637</t>
  </si>
  <si>
    <t>12036814148</t>
  </si>
  <si>
    <t>085823224965</t>
  </si>
  <si>
    <t>SMU DISAMAKAN HANGTUAH MAKASSAR</t>
  </si>
  <si>
    <t>7309010106840001</t>
  </si>
  <si>
    <t>7309012901055231</t>
  </si>
  <si>
    <t>77.742.299.9-809.000</t>
  </si>
  <si>
    <t>0001148686582</t>
  </si>
  <si>
    <t>12036814098</t>
  </si>
  <si>
    <t>082274468888</t>
  </si>
  <si>
    <t>POLITEKNIK MANDIRI BINA PRESTASI</t>
  </si>
  <si>
    <t>1207281511870004</t>
  </si>
  <si>
    <t>1207280804150006</t>
  </si>
  <si>
    <t>97.387.562.8-125.000</t>
  </si>
  <si>
    <t>0002053697962</t>
  </si>
  <si>
    <t>16044071039</t>
  </si>
  <si>
    <t>081361520058</t>
  </si>
  <si>
    <t>TANJUNG TIRAM</t>
  </si>
  <si>
    <t>SMK MULTI KARYA MEDAN</t>
  </si>
  <si>
    <t>1219060512880003</t>
  </si>
  <si>
    <t>1271161705160003</t>
  </si>
  <si>
    <t>48.337.304.9_125.000</t>
  </si>
  <si>
    <t>0001140749098</t>
  </si>
  <si>
    <t>085251893043</t>
  </si>
  <si>
    <t>1 ANAK</t>
  </si>
  <si>
    <t>SMA NEGRI 1 SIGERI</t>
  </si>
  <si>
    <t>7310083110940001</t>
  </si>
  <si>
    <t>7310082709210002</t>
  </si>
  <si>
    <t>46.166.398.1-809.000</t>
  </si>
  <si>
    <t>0001148670573</t>
  </si>
  <si>
    <t>12036818594</t>
  </si>
  <si>
    <t>089646466714</t>
  </si>
  <si>
    <t>MANAJEMEN</t>
  </si>
  <si>
    <t xml:space="preserve">UNIVERSITAS MUHAMMADIYAH TANGERANG </t>
  </si>
  <si>
    <t>36031357039500010007</t>
  </si>
  <si>
    <t>3603132007110007</t>
  </si>
  <si>
    <t>662785153418000</t>
  </si>
  <si>
    <t>0001771209933</t>
  </si>
  <si>
    <t>3603135703950001</t>
  </si>
  <si>
    <t>087842158680</t>
  </si>
  <si>
    <t>KISARAN</t>
  </si>
  <si>
    <t>SMA NEGERI 2 MERANTI,ASAHAN</t>
  </si>
  <si>
    <t>1209080709910004</t>
  </si>
  <si>
    <t>1209080710090007</t>
  </si>
  <si>
    <t>462353095115000</t>
  </si>
  <si>
    <t>0001149413343</t>
  </si>
  <si>
    <t>12041802567</t>
  </si>
  <si>
    <t>081370386447</t>
  </si>
  <si>
    <t xml:space="preserve">TEMBUNG </t>
  </si>
  <si>
    <t xml:space="preserve">ELEKTRONIKA </t>
  </si>
  <si>
    <t>STM MEDAN PUTRI</t>
  </si>
  <si>
    <t>1207261506890007</t>
  </si>
  <si>
    <t>1207260703170014</t>
  </si>
  <si>
    <t>570594291125000</t>
  </si>
  <si>
    <t>0001137911218</t>
  </si>
  <si>
    <t>18063147393</t>
  </si>
  <si>
    <t>085655358510</t>
  </si>
  <si>
    <t>SMK NASIONAL MOJOSARI MOJOKERTO</t>
  </si>
  <si>
    <t>3516102805940001</t>
  </si>
  <si>
    <t>3516100705190009</t>
  </si>
  <si>
    <t>45.931.154.4-602.000</t>
  </si>
  <si>
    <t>0001147520169</t>
  </si>
  <si>
    <t>12029435844</t>
  </si>
  <si>
    <t>081328230735</t>
  </si>
  <si>
    <t>3515070604940005</t>
  </si>
  <si>
    <t>3515071210170008</t>
  </si>
  <si>
    <t>45.926.881.9-617.000</t>
  </si>
  <si>
    <t>0001147520204</t>
  </si>
  <si>
    <t>12029435885</t>
  </si>
  <si>
    <t>0895379138494</t>
  </si>
  <si>
    <t xml:space="preserve">Permesinan </t>
  </si>
  <si>
    <t xml:space="preserve">SMK PGRI 1 SIDOARJO </t>
  </si>
  <si>
    <t>3578172806950001</t>
  </si>
  <si>
    <t>3515071707230013</t>
  </si>
  <si>
    <t>705034643619000</t>
  </si>
  <si>
    <t>0001647989403</t>
  </si>
  <si>
    <t>14026748732</t>
  </si>
  <si>
    <t>085176882376</t>
  </si>
  <si>
    <t>3603302508830003</t>
  </si>
  <si>
    <t>3603302808080012</t>
  </si>
  <si>
    <t>45.529.322.5-418.000</t>
  </si>
  <si>
    <t>0001874762199</t>
  </si>
  <si>
    <t>3603 3025 0883 0003</t>
  </si>
  <si>
    <t>089604467412</t>
  </si>
  <si>
    <t>SMA BABUSSALAM</t>
  </si>
  <si>
    <t>3603132005920003</t>
  </si>
  <si>
    <t>3671101408190007</t>
  </si>
  <si>
    <t>715960753418000</t>
  </si>
  <si>
    <t>0002071120691</t>
  </si>
  <si>
    <t>15006386781</t>
  </si>
  <si>
    <t>085397482742</t>
  </si>
  <si>
    <t>BELAJEN</t>
  </si>
  <si>
    <t>SMA NEGERI 21 MAKASSAR</t>
  </si>
  <si>
    <t>8171021212930003</t>
  </si>
  <si>
    <t>7316052910190005</t>
  </si>
  <si>
    <t>70.437.466.9-802.000</t>
  </si>
  <si>
    <t>0001770623886</t>
  </si>
  <si>
    <t>16019827407</t>
  </si>
  <si>
    <t>085241628924</t>
  </si>
  <si>
    <t xml:space="preserve">SMP </t>
  </si>
  <si>
    <t>N/A</t>
  </si>
  <si>
    <t>SMP BATANGASE</t>
  </si>
  <si>
    <t>7309140507690002</t>
  </si>
  <si>
    <t>7309142901050234</t>
  </si>
  <si>
    <t>77.744.865.5-809.000</t>
  </si>
  <si>
    <t>0001742958843</t>
  </si>
  <si>
    <t>11002061742</t>
  </si>
  <si>
    <t>083162896473</t>
  </si>
  <si>
    <t xml:space="preserve">PERBAUNGAN </t>
  </si>
  <si>
    <t xml:space="preserve">SMA SWASTA SATRIA DHARMA </t>
  </si>
  <si>
    <t>1218022508910005</t>
  </si>
  <si>
    <t>1218022909170004</t>
  </si>
  <si>
    <t>57.059.430.9-114.000</t>
  </si>
  <si>
    <t>0001138177416</t>
  </si>
  <si>
    <t>18063127478</t>
  </si>
  <si>
    <t>089668402063</t>
  </si>
  <si>
    <t>otomotif</t>
  </si>
  <si>
    <t>SMK AL HUSNAH</t>
  </si>
  <si>
    <t>360313130590004</t>
  </si>
  <si>
    <t>3603130711220005</t>
  </si>
  <si>
    <t>442161170418000</t>
  </si>
  <si>
    <t>0001887319743</t>
  </si>
  <si>
    <t>3603131305930004</t>
  </si>
  <si>
    <t>089678881633</t>
  </si>
  <si>
    <t>ELECTRONICA</t>
  </si>
  <si>
    <t>SMKN 1 KAMAL</t>
  </si>
  <si>
    <t>3526042507950005</t>
  </si>
  <si>
    <t>3514011707230004</t>
  </si>
  <si>
    <t>70.563.062.2-644.000</t>
  </si>
  <si>
    <t>0001770610702</t>
  </si>
  <si>
    <t>14026750142</t>
  </si>
  <si>
    <t>0895414660185</t>
  </si>
  <si>
    <t>SMU NEGERI 06 MAKASSAR</t>
  </si>
  <si>
    <t>7371111009860006</t>
  </si>
  <si>
    <t>7371111911140020</t>
  </si>
  <si>
    <t>777448333801000</t>
  </si>
  <si>
    <t>0001141811875</t>
  </si>
  <si>
    <t>11025252195</t>
  </si>
  <si>
    <t>081240323361</t>
  </si>
  <si>
    <t xml:space="preserve">TRENGGALEK </t>
  </si>
  <si>
    <t>1 / SATU</t>
  </si>
  <si>
    <t>SMK IR SUTAMI</t>
  </si>
  <si>
    <t>3503011209910004</t>
  </si>
  <si>
    <t>3506260903200006</t>
  </si>
  <si>
    <t>70.599.401.0-629.000</t>
  </si>
  <si>
    <t>0001653461368</t>
  </si>
  <si>
    <t>14026750274</t>
  </si>
  <si>
    <t>085784499506</t>
  </si>
  <si>
    <t>3671102405950001</t>
  </si>
  <si>
    <t>3671100509190006</t>
  </si>
  <si>
    <t>715842704402000</t>
  </si>
  <si>
    <t>0000816555047</t>
  </si>
  <si>
    <t>15006387904</t>
  </si>
  <si>
    <t>085697161961</t>
  </si>
  <si>
    <t>TEKNIK KENDARAAN RINGAN (OTOMOTIF)</t>
  </si>
  <si>
    <t>SMK OTOMOTIF AL-HUSNA TANGERANG</t>
  </si>
  <si>
    <t>3671100706920003</t>
  </si>
  <si>
    <t>3671101610180023</t>
  </si>
  <si>
    <t>46.472.581.1-402.000</t>
  </si>
  <si>
    <t>0001148690428</t>
  </si>
  <si>
    <t>12036816713</t>
  </si>
  <si>
    <t>087815891904</t>
  </si>
  <si>
    <t>SMA IPS</t>
  </si>
  <si>
    <t>SMA BUNGA BANGSA</t>
  </si>
  <si>
    <t>1271170410900002</t>
  </si>
  <si>
    <t>1271030903220001</t>
  </si>
  <si>
    <t>79.361.682.2.121.000</t>
  </si>
  <si>
    <t>0001775666891</t>
  </si>
  <si>
    <t xml:space="preserve">12006056274  </t>
  </si>
  <si>
    <t>085882568783</t>
  </si>
  <si>
    <t>SENGKANG</t>
  </si>
  <si>
    <t>MANAJEMEN EKONOMI</t>
  </si>
  <si>
    <t>YAYASAN PENDIDIKAN UJUNG PANDANG</t>
  </si>
  <si>
    <t>7371121505900006</t>
  </si>
  <si>
    <t>7371112110160011</t>
  </si>
  <si>
    <t>89.287.920.6-805.000</t>
  </si>
  <si>
    <t>0001148750728</t>
  </si>
  <si>
    <t>12036815848</t>
  </si>
  <si>
    <t>085376713885</t>
  </si>
  <si>
    <t>SMA NEG 07 MAKASSAR</t>
  </si>
  <si>
    <t>7309081206760001</t>
  </si>
  <si>
    <t>7309081910230004</t>
  </si>
  <si>
    <t>780315149809000</t>
  </si>
  <si>
    <t>0001141796474</t>
  </si>
  <si>
    <t>11025251759000</t>
  </si>
  <si>
    <t>SMA HANG TUAH</t>
  </si>
  <si>
    <t>3515071504960007</t>
  </si>
  <si>
    <t>3515072601099544</t>
  </si>
  <si>
    <t>803329267617000</t>
  </si>
  <si>
    <t>0001226947623</t>
  </si>
  <si>
    <t>17001742042</t>
  </si>
  <si>
    <t>081383886578</t>
  </si>
  <si>
    <t>TJ.GUNUNG</t>
  </si>
  <si>
    <t>EKONOMI</t>
  </si>
  <si>
    <t>UMN ALWASHLIYAH</t>
  </si>
  <si>
    <t>1207260808820030</t>
  </si>
  <si>
    <t>1207261507110011</t>
  </si>
  <si>
    <t>59.292.550.7.121.000</t>
  </si>
  <si>
    <t>0001149433659</t>
  </si>
  <si>
    <t>12041802864</t>
  </si>
  <si>
    <t>081375283962</t>
  </si>
  <si>
    <t>3/TIGA</t>
  </si>
  <si>
    <t>TEHNIK MESIN</t>
  </si>
  <si>
    <t>SINAR HARAPAN</t>
  </si>
  <si>
    <t>1207332704920001</t>
  </si>
  <si>
    <t>1207330312150014</t>
  </si>
  <si>
    <t>711869891125000</t>
  </si>
  <si>
    <t>0001766840444</t>
  </si>
  <si>
    <t>085736849466</t>
  </si>
  <si>
    <t>LAMONGAN</t>
  </si>
  <si>
    <t>MAN. BABAT LAMONGAN</t>
  </si>
  <si>
    <t>3524212311830003</t>
  </si>
  <si>
    <t>3524213101190001</t>
  </si>
  <si>
    <t>80.290.982.0-645.000</t>
  </si>
  <si>
    <t>0002356080208</t>
  </si>
  <si>
    <t>17001742299</t>
  </si>
  <si>
    <t>0895617423455</t>
  </si>
  <si>
    <t>SMK YUPPENTEK1</t>
  </si>
  <si>
    <t>3603301407900004</t>
  </si>
  <si>
    <t>3603150604160005</t>
  </si>
  <si>
    <t>58.577.853.3-418.000</t>
  </si>
  <si>
    <t>0001138177438</t>
  </si>
  <si>
    <t>082187561201</t>
  </si>
  <si>
    <t>SORONG</t>
  </si>
  <si>
    <t>TEKNIK KONTRUKSI</t>
  </si>
  <si>
    <t>SMK NEGERI 3 SORONG</t>
  </si>
  <si>
    <t>7309140510850006</t>
  </si>
  <si>
    <t>7309091806200002</t>
  </si>
  <si>
    <t>77.534.989.7-809.000</t>
  </si>
  <si>
    <t>0001685692888</t>
  </si>
  <si>
    <t>12036814353</t>
  </si>
  <si>
    <t>089602464683</t>
  </si>
  <si>
    <t>SMK N 6 KOTA TANGERANG</t>
  </si>
  <si>
    <t>3671101705940003</t>
  </si>
  <si>
    <t>3671101505180001</t>
  </si>
  <si>
    <t>57.818.150.5 402.000</t>
  </si>
  <si>
    <t>0001156362063</t>
  </si>
  <si>
    <t>13039549228</t>
  </si>
  <si>
    <t>081938059419</t>
  </si>
  <si>
    <t>airframe power plant</t>
  </si>
  <si>
    <t>351517111195</t>
  </si>
  <si>
    <t>3515172806220010</t>
  </si>
  <si>
    <t>70.509.162.7-643.000</t>
  </si>
  <si>
    <t>0001653461392</t>
  </si>
  <si>
    <t>14026749458</t>
  </si>
  <si>
    <t>081212371769</t>
  </si>
  <si>
    <t>STM VOCTECH 1 CIMONE TANGERANG</t>
  </si>
  <si>
    <t>3603170308860012</t>
  </si>
  <si>
    <t>3671041706150012</t>
  </si>
  <si>
    <t>71.148.866.8-451.000</t>
  </si>
  <si>
    <t>0001849708629</t>
  </si>
  <si>
    <t>14034289794</t>
  </si>
  <si>
    <t>081219054898</t>
  </si>
  <si>
    <t>SMK TELUK NAGA</t>
  </si>
  <si>
    <t>3603131507920006</t>
  </si>
  <si>
    <t>3603132609160006</t>
  </si>
  <si>
    <t>556107480418000</t>
  </si>
  <si>
    <t>0001153460103</t>
  </si>
  <si>
    <t>13027626582</t>
  </si>
  <si>
    <t>087882979904</t>
  </si>
  <si>
    <t xml:space="preserve">PANDEGLANG </t>
  </si>
  <si>
    <t>SMA PLUS Al-BARKAH</t>
  </si>
  <si>
    <t>3671080701860003</t>
  </si>
  <si>
    <t>3603111910170003</t>
  </si>
  <si>
    <t>775754195402000</t>
  </si>
  <si>
    <t>0001133552632</t>
  </si>
  <si>
    <t>18005225042</t>
  </si>
  <si>
    <t>085777573659</t>
  </si>
  <si>
    <t xml:space="preserve">AUDIO &amp; VIDEO </t>
  </si>
  <si>
    <t xml:space="preserve">TERATAI PUTIH </t>
  </si>
  <si>
    <t>3275020907860015</t>
  </si>
  <si>
    <t>3275020112180004</t>
  </si>
  <si>
    <t>34.666.772.8-407.000</t>
  </si>
  <si>
    <t>0001137473875</t>
  </si>
  <si>
    <t>07KE0141005</t>
  </si>
  <si>
    <t>085745712371</t>
  </si>
  <si>
    <t>SMKN 6 SURABAYA</t>
  </si>
  <si>
    <t>3515072508050002</t>
  </si>
  <si>
    <t>3515072601092162</t>
  </si>
  <si>
    <t>13.923.051.0-617.000</t>
  </si>
  <si>
    <t>0001187841352</t>
  </si>
  <si>
    <t>25003993992</t>
  </si>
  <si>
    <t>08978678631</t>
  </si>
  <si>
    <t>IPA(A1)</t>
  </si>
  <si>
    <t>SMAN1 TELUK NAGA</t>
  </si>
  <si>
    <t>3603132303740004</t>
  </si>
  <si>
    <t>3603130907120114</t>
  </si>
  <si>
    <t>677679516418000</t>
  </si>
  <si>
    <t>0001139008577</t>
  </si>
  <si>
    <t>10036164704</t>
  </si>
  <si>
    <t>082213446161</t>
  </si>
  <si>
    <t>SMUN 1 TELUKNAGA</t>
  </si>
  <si>
    <t>3671100101810017</t>
  </si>
  <si>
    <t>3671101310100027</t>
  </si>
  <si>
    <t>774470082402000</t>
  </si>
  <si>
    <t>0001128595342</t>
  </si>
  <si>
    <t>04JP0406741</t>
  </si>
  <si>
    <t>082312753370</t>
  </si>
  <si>
    <t xml:space="preserve">PRINGSEWU </t>
  </si>
  <si>
    <t xml:space="preserve">SMA 1 Kotabumi </t>
  </si>
  <si>
    <t>3603120207950006</t>
  </si>
  <si>
    <t>3603111008220005</t>
  </si>
  <si>
    <t>66.871.620.2-418.00</t>
  </si>
  <si>
    <t>0001771155011</t>
  </si>
  <si>
    <t>089664428616</t>
  </si>
  <si>
    <t>SMAN 1 PAGEDANGAN</t>
  </si>
  <si>
    <t>3603220201910001</t>
  </si>
  <si>
    <t>3674010804150019</t>
  </si>
  <si>
    <t>67.768.265.0-451.000</t>
  </si>
  <si>
    <t>0001139023618</t>
  </si>
  <si>
    <t>10036165164</t>
  </si>
  <si>
    <t>081276499061</t>
  </si>
  <si>
    <t>LANPUN</t>
  </si>
  <si>
    <t>SMA NEGERI 1 AMANUBAN TIMUR</t>
  </si>
  <si>
    <t>5302041010890002</t>
  </si>
  <si>
    <t>5301082211230002</t>
  </si>
  <si>
    <t>16.339.968.6.922.000</t>
  </si>
  <si>
    <t>0001142912452</t>
  </si>
  <si>
    <t>11035449377000</t>
  </si>
  <si>
    <t>081291372893</t>
  </si>
  <si>
    <t>SMK KEBANGSAAN INDONESIA MAROS</t>
  </si>
  <si>
    <t>7309030704920001</t>
  </si>
  <si>
    <t>7371092305170028</t>
  </si>
  <si>
    <t>57.309.445.5-809.000</t>
  </si>
  <si>
    <t>0001138162386</t>
  </si>
  <si>
    <t>18063155347</t>
  </si>
  <si>
    <t>087887858059</t>
  </si>
  <si>
    <t>MEKANIK PERKAKAS</t>
  </si>
  <si>
    <t>SMK PGRI 2 PALIMANAN CIREBON</t>
  </si>
  <si>
    <t>3174040711830017</t>
  </si>
  <si>
    <t>3171070410160004</t>
  </si>
  <si>
    <t>776825952017000</t>
  </si>
  <si>
    <t>0001133538311</t>
  </si>
  <si>
    <t>08006170909</t>
  </si>
  <si>
    <t>089529023426</t>
  </si>
  <si>
    <t>ELECTRONIKA INDUSTRI</t>
  </si>
  <si>
    <t>SMK N 2 PASURUAN</t>
  </si>
  <si>
    <t>3573020805920001</t>
  </si>
  <si>
    <t>3575020609180005</t>
  </si>
  <si>
    <t>70.967.380.0-624.000</t>
  </si>
  <si>
    <t>0002254227489</t>
  </si>
  <si>
    <t>22123303814</t>
  </si>
  <si>
    <t>081377079366</t>
  </si>
  <si>
    <t>PANCA BUDI 1MEDAN</t>
  </si>
  <si>
    <t>1271040212880004</t>
  </si>
  <si>
    <t>1271040202120004</t>
  </si>
  <si>
    <t>57.778.325.1-101.000</t>
  </si>
  <si>
    <t>0001138166741</t>
  </si>
  <si>
    <t>10024029729</t>
  </si>
  <si>
    <t>082140284632</t>
  </si>
  <si>
    <t>SMU UNGGALA SIDOARJO</t>
  </si>
  <si>
    <t>3515070511850001</t>
  </si>
  <si>
    <t>3515082802190004</t>
  </si>
  <si>
    <t>803213867617000</t>
  </si>
  <si>
    <t>0002254294653</t>
  </si>
  <si>
    <t>17001742190</t>
  </si>
  <si>
    <t>085746752378</t>
  </si>
  <si>
    <t>KEDIRI</t>
  </si>
  <si>
    <t>SMA PGRI 22 SURABAYA</t>
  </si>
  <si>
    <t>3578050801920003</t>
  </si>
  <si>
    <t>3578051302140009</t>
  </si>
  <si>
    <t>452493240607000</t>
  </si>
  <si>
    <t>0001146104583</t>
  </si>
  <si>
    <t>12017630505</t>
  </si>
  <si>
    <t>082162702089</t>
  </si>
  <si>
    <t>P.SIANTAR</t>
  </si>
  <si>
    <t>SMK YASPEND MULIA MEDAN</t>
  </si>
  <si>
    <t>1207231610890002</t>
  </si>
  <si>
    <t>1207231901210012</t>
  </si>
  <si>
    <t>793548264125000</t>
  </si>
  <si>
    <t>0001134379067</t>
  </si>
  <si>
    <t>08020579002</t>
  </si>
  <si>
    <t>081384374880</t>
  </si>
  <si>
    <t>ILMU PENGETAHUAN SOSIAL</t>
  </si>
  <si>
    <t>1 CENGKARENG</t>
  </si>
  <si>
    <t>3173062503940001</t>
  </si>
  <si>
    <t>3173061401092459</t>
  </si>
  <si>
    <t>554616540085000</t>
  </si>
  <si>
    <t>0001153414787</t>
  </si>
  <si>
    <t>13027625980</t>
  </si>
  <si>
    <t>087788514090</t>
  </si>
  <si>
    <t xml:space="preserve">CIREBON </t>
  </si>
  <si>
    <t>SMAN 1 BABAKAN</t>
  </si>
  <si>
    <t>3209302504910001</t>
  </si>
  <si>
    <t>3209301312220014</t>
  </si>
  <si>
    <t>89.925.905.5-426.000</t>
  </si>
  <si>
    <t>0001137655394</t>
  </si>
  <si>
    <t>10017668442</t>
  </si>
  <si>
    <t>083165269127</t>
  </si>
  <si>
    <t>KOTA MEDAN</t>
  </si>
  <si>
    <t>AKOMODASI PEEHOTELAN</t>
  </si>
  <si>
    <t>SMK NEGERI 8 MEDAN</t>
  </si>
  <si>
    <t>1207051605010003</t>
  </si>
  <si>
    <t>1207051609090722</t>
  </si>
  <si>
    <t>0001729713701</t>
  </si>
  <si>
    <t>24205907991</t>
  </si>
  <si>
    <t>081357770671</t>
  </si>
  <si>
    <t xml:space="preserve">MA </t>
  </si>
  <si>
    <t>KEAGAMAA</t>
  </si>
  <si>
    <t>QOTRUN NADA ISLAMIC</t>
  </si>
  <si>
    <t>3515062004950004</t>
  </si>
  <si>
    <t>3515060612170001</t>
  </si>
  <si>
    <t>55.969.949.1-402.000</t>
  </si>
  <si>
    <t>0001770611229</t>
  </si>
  <si>
    <t>15008756205</t>
  </si>
  <si>
    <t>081264185048</t>
  </si>
  <si>
    <t>DELI TUA</t>
  </si>
  <si>
    <t xml:space="preserve">MEKANIK OTOMOTIF </t>
  </si>
  <si>
    <t>1219041608820006</t>
  </si>
  <si>
    <t>1207282711150001</t>
  </si>
  <si>
    <t>718076011115000</t>
  </si>
  <si>
    <t>0001959914619</t>
  </si>
  <si>
    <t>02B40060596</t>
  </si>
  <si>
    <t>085971686071</t>
  </si>
  <si>
    <t>MANADO</t>
  </si>
  <si>
    <t xml:space="preserve">PARIWISATA PERHOTELAN </t>
  </si>
  <si>
    <t xml:space="preserve">POLITEKNIK NEGERI MANADO </t>
  </si>
  <si>
    <t>7171012601020001</t>
  </si>
  <si>
    <t>7171010301080116</t>
  </si>
  <si>
    <t>00009111</t>
  </si>
  <si>
    <t>089601165081</t>
  </si>
  <si>
    <t>AL-HASANIYAH</t>
  </si>
  <si>
    <t>3603131812910004</t>
  </si>
  <si>
    <t>3603132407180050</t>
  </si>
  <si>
    <t>66.155.834.6-4 18.000</t>
  </si>
  <si>
    <t>0001771152939</t>
  </si>
  <si>
    <t>14008469109</t>
  </si>
  <si>
    <t>085342649127</t>
  </si>
  <si>
    <t>BULUKUMBA</t>
  </si>
  <si>
    <t>AIR FRAME AND POWER PLANT</t>
  </si>
  <si>
    <t xml:space="preserve">SMKT PENERBANGAN HASANUDDIN </t>
  </si>
  <si>
    <t>7371121406930009</t>
  </si>
  <si>
    <t>7371122603240001</t>
  </si>
  <si>
    <t>70.437.745.6-805.000</t>
  </si>
  <si>
    <t>0000945718931</t>
  </si>
  <si>
    <t>14023642110</t>
  </si>
  <si>
    <t>085855191790</t>
  </si>
  <si>
    <t>Pasuruan</t>
  </si>
  <si>
    <t>3514143009940002</t>
  </si>
  <si>
    <t>3514140101010251</t>
  </si>
  <si>
    <t>984184622624000</t>
  </si>
  <si>
    <t>0001770611286</t>
  </si>
  <si>
    <t>088214761080</t>
  </si>
  <si>
    <t>SMA AL JUMHURIAH TELUKNAGA</t>
  </si>
  <si>
    <t>3603132704880002</t>
  </si>
  <si>
    <t>3603130201200007</t>
  </si>
  <si>
    <t>59.935.667.2-418.000</t>
  </si>
  <si>
    <t>0001139008599</t>
  </si>
  <si>
    <t>10036164738</t>
  </si>
  <si>
    <t>081242778387</t>
  </si>
  <si>
    <t>SMA NEG BANTIMURUNG</t>
  </si>
  <si>
    <t>7309140805770001</t>
  </si>
  <si>
    <t>7309140311080051</t>
  </si>
  <si>
    <t>77.534.987.1-809.000</t>
  </si>
  <si>
    <t>0001770623921</t>
  </si>
  <si>
    <t>11025251783</t>
  </si>
  <si>
    <t>081369885148</t>
  </si>
  <si>
    <t xml:space="preserve">LANGGUR </t>
  </si>
  <si>
    <t xml:space="preserve">MADRASAH ALIYAH </t>
  </si>
  <si>
    <t>8102010906820006</t>
  </si>
  <si>
    <t>8102010610070022</t>
  </si>
  <si>
    <t>641470208941000</t>
  </si>
  <si>
    <t>0001737955203</t>
  </si>
  <si>
    <t>13039549095000</t>
  </si>
  <si>
    <t>085707933858</t>
  </si>
  <si>
    <t xml:space="preserve">TEKNIK PERMESINAN </t>
  </si>
  <si>
    <t xml:space="preserve">SMK DHARMA BHAKTI SURABAYA </t>
  </si>
  <si>
    <t>3515182106940005</t>
  </si>
  <si>
    <t>3515162312200011</t>
  </si>
  <si>
    <t>71.779.521.5-643.000</t>
  </si>
  <si>
    <t>0000722298565</t>
  </si>
  <si>
    <t>15008756734</t>
  </si>
  <si>
    <t>087817882550</t>
  </si>
  <si>
    <t>PELITA HARAPAN</t>
  </si>
  <si>
    <t>3671100508700001</t>
  </si>
  <si>
    <t>3671100809070207</t>
  </si>
  <si>
    <t>475136131402000</t>
  </si>
  <si>
    <t>0001139794198</t>
  </si>
  <si>
    <t>97JA2108474</t>
  </si>
  <si>
    <t>66.155.834.6-418.00</t>
  </si>
  <si>
    <t>0822-2427-8939</t>
  </si>
  <si>
    <t>BASMUTI</t>
  </si>
  <si>
    <t>SMAN KUALIN</t>
  </si>
  <si>
    <t>5301201108900002</t>
  </si>
  <si>
    <t>5301201209120004</t>
  </si>
  <si>
    <t>70.153.538.7-922.000</t>
  </si>
  <si>
    <t>00166256</t>
  </si>
  <si>
    <t>23020253847</t>
  </si>
  <si>
    <t>085760593332</t>
  </si>
  <si>
    <t>PANGKALAN BERANDAN / SUMBAGUT</t>
  </si>
  <si>
    <t>ISLAMIC VILLAGE</t>
  </si>
  <si>
    <t>1271040806750004</t>
  </si>
  <si>
    <t>1271103007100001</t>
  </si>
  <si>
    <t>79.354.831.4 - 122. 000</t>
  </si>
  <si>
    <t>00011344404796</t>
  </si>
  <si>
    <t>08025372130</t>
  </si>
  <si>
    <t>083890815800</t>
  </si>
  <si>
    <t>BABUSASALAM</t>
  </si>
  <si>
    <t>3603302804850007</t>
  </si>
  <si>
    <t>3603301309120038</t>
  </si>
  <si>
    <t>77.061.832.0-418.000</t>
  </si>
  <si>
    <t>0001140111999</t>
  </si>
  <si>
    <t>11006562018</t>
  </si>
  <si>
    <t>083184082289</t>
  </si>
  <si>
    <t>SMK NEGERI 7 MEDAN</t>
  </si>
  <si>
    <t xml:space="preserve">SMK NEGERI 7 MEDAN </t>
  </si>
  <si>
    <t>1207210605010001</t>
  </si>
  <si>
    <t>1207211609190001</t>
  </si>
  <si>
    <t>283374320125000</t>
  </si>
  <si>
    <t>0002150795259</t>
  </si>
  <si>
    <t>25015119396</t>
  </si>
  <si>
    <t>085934749023</t>
  </si>
  <si>
    <t>AMR ( AEI MANTENANCE REPAIR )</t>
  </si>
  <si>
    <t>3515172308910003</t>
  </si>
  <si>
    <t>3515172603140008</t>
  </si>
  <si>
    <t>543405229643000</t>
  </si>
  <si>
    <t>0000723301626</t>
  </si>
  <si>
    <t>17001742182</t>
  </si>
  <si>
    <t>081383814583</t>
  </si>
  <si>
    <t>MA AL HASANIYAH</t>
  </si>
  <si>
    <t>3671070811880006</t>
  </si>
  <si>
    <t>3671071704120091</t>
  </si>
  <si>
    <t>69.869.336.3-418.000</t>
  </si>
  <si>
    <t>0001132739177</t>
  </si>
  <si>
    <t>18063130555</t>
  </si>
  <si>
    <t>082164006313</t>
  </si>
  <si>
    <t>TEGAL REJO,GEBANG</t>
  </si>
  <si>
    <t>SMA NEGERI 1 GEBANG</t>
  </si>
  <si>
    <t>1205132510900004</t>
  </si>
  <si>
    <t>1205130909190002</t>
  </si>
  <si>
    <t>971062484119000</t>
  </si>
  <si>
    <t>0001145119331</t>
  </si>
  <si>
    <t>12009963153</t>
  </si>
  <si>
    <t>Ambon</t>
  </si>
  <si>
    <t>Teknik Mesin Perkakas</t>
  </si>
  <si>
    <t>SMK Neg 4 Ambon</t>
  </si>
  <si>
    <t>8171042210850001</t>
  </si>
  <si>
    <t>8171041209220005</t>
  </si>
  <si>
    <t>70.764.311.0-941.000</t>
  </si>
  <si>
    <t>0001077719657</t>
  </si>
  <si>
    <t>14031181473000</t>
  </si>
  <si>
    <t>082273606843</t>
  </si>
  <si>
    <t>MAS</t>
  </si>
  <si>
    <t>PESANTREN MA'HADUL MUSTHAFAWIYAH</t>
  </si>
  <si>
    <t>1271040508900002</t>
  </si>
  <si>
    <t>120733220617003</t>
  </si>
  <si>
    <t>55.994.009.3-122.000</t>
  </si>
  <si>
    <t>0001156366348</t>
  </si>
  <si>
    <t>18063126710</t>
  </si>
  <si>
    <t>081511510732</t>
  </si>
  <si>
    <t>SMA NEGERI 8 MANDAI / MAROS</t>
  </si>
  <si>
    <t>7309011109950002</t>
  </si>
  <si>
    <t>7309012711230005</t>
  </si>
  <si>
    <t>66.645.906.0-809.000</t>
  </si>
  <si>
    <t>0001298455334</t>
  </si>
  <si>
    <t>14014035175</t>
  </si>
  <si>
    <t>083891969009</t>
  </si>
  <si>
    <t>SMK ANGKASA 1 TANGERANG</t>
  </si>
  <si>
    <t>3671101309910003</t>
  </si>
  <si>
    <t>3671101502100012</t>
  </si>
  <si>
    <t>70.015.928.8-402.000</t>
  </si>
  <si>
    <t>0001145648755</t>
  </si>
  <si>
    <t>14017171233</t>
  </si>
  <si>
    <t>081572263283</t>
  </si>
  <si>
    <t xml:space="preserve">BANDUNG </t>
  </si>
  <si>
    <t>TEKNIK PENDINGIN</t>
  </si>
  <si>
    <t xml:space="preserve">SMK PGRI 3 CIMAHI </t>
  </si>
  <si>
    <t>3204402802930002</t>
  </si>
  <si>
    <t>3204401408120011</t>
  </si>
  <si>
    <t>458838505445000001</t>
  </si>
  <si>
    <t>000134059335513</t>
  </si>
  <si>
    <t>120294355</t>
  </si>
  <si>
    <t>085296588090</t>
  </si>
  <si>
    <t>Elektronika</t>
  </si>
  <si>
    <t>SMK SWASTA PAB 6 MEDAN ESTATE</t>
  </si>
  <si>
    <t>1207262411850007</t>
  </si>
  <si>
    <t>1207261809091453</t>
  </si>
  <si>
    <t>793544644125000</t>
  </si>
  <si>
    <t>0001135308824</t>
  </si>
  <si>
    <t>18005231487</t>
  </si>
  <si>
    <t xml:space="preserve">MANADO </t>
  </si>
  <si>
    <t>0000911100385</t>
  </si>
  <si>
    <t>0</t>
  </si>
  <si>
    <t>089631722074</t>
  </si>
  <si>
    <t>SMK YUPPENTEK 2</t>
  </si>
  <si>
    <t>3603190501880001</t>
  </si>
  <si>
    <t>3603192408070026</t>
  </si>
  <si>
    <t>692949605451000</t>
  </si>
  <si>
    <t>0000803553535</t>
  </si>
  <si>
    <t>15043935939</t>
  </si>
  <si>
    <t>082197926229</t>
  </si>
  <si>
    <t>8171043110900003</t>
  </si>
  <si>
    <t>8171042904190007</t>
  </si>
  <si>
    <t>97.895.972.4-941.000</t>
  </si>
  <si>
    <t>0001151531469</t>
  </si>
  <si>
    <t>22018067938</t>
  </si>
  <si>
    <t>087776641710</t>
  </si>
  <si>
    <t xml:space="preserve">PURWODADI </t>
  </si>
  <si>
    <t xml:space="preserve">TEKNIK INFORMATIKA </t>
  </si>
  <si>
    <t xml:space="preserve">UNIVERSITAS PRIMA INDONESIA </t>
  </si>
  <si>
    <t>1401180409880002</t>
  </si>
  <si>
    <t>1207080501180001</t>
  </si>
  <si>
    <t>66.572.091.8-111.000</t>
  </si>
  <si>
    <t>0001770574004</t>
  </si>
  <si>
    <t>14014035845</t>
  </si>
  <si>
    <t>7371111009850006</t>
  </si>
  <si>
    <t>77.744.833.3-801.000</t>
  </si>
  <si>
    <t>083856789181</t>
  </si>
  <si>
    <t>SMK DARMA SISWA 2</t>
  </si>
  <si>
    <t>3322162002920001</t>
  </si>
  <si>
    <t>3515182201200007</t>
  </si>
  <si>
    <t>36.467.052.1-505.000</t>
  </si>
  <si>
    <t>0001141133556</t>
  </si>
  <si>
    <t>11018210168</t>
  </si>
  <si>
    <t>SMAN 12 KAB TANGERANG</t>
  </si>
  <si>
    <t>3603132102040001</t>
  </si>
  <si>
    <t>3603131208110027</t>
  </si>
  <si>
    <t>63.783.103.3-418.000</t>
  </si>
  <si>
    <t>0001369211163</t>
  </si>
  <si>
    <t>22087291096</t>
  </si>
  <si>
    <t>08888451454</t>
  </si>
  <si>
    <t>SMK N 2 SEPATAN KABUPATEN TANGERANG</t>
  </si>
  <si>
    <t>3603301406920002</t>
  </si>
  <si>
    <t>3603300911200010</t>
  </si>
  <si>
    <t>459509667418000</t>
  </si>
  <si>
    <t>0001147575205</t>
  </si>
  <si>
    <t>11025459436</t>
  </si>
  <si>
    <t>082277255564</t>
  </si>
  <si>
    <t>SMA N1 TALAWI</t>
  </si>
  <si>
    <t>1271011002900001</t>
  </si>
  <si>
    <t>1271010103010002</t>
  </si>
  <si>
    <t>793548512-122000</t>
  </si>
  <si>
    <t>002254068483</t>
  </si>
  <si>
    <t>18005229267</t>
  </si>
  <si>
    <t>0895339299057</t>
  </si>
  <si>
    <t xml:space="preserve">MA AWWABIN SEPATAN </t>
  </si>
  <si>
    <t>3603160801920004</t>
  </si>
  <si>
    <t>3603160103180022</t>
  </si>
  <si>
    <t>711462713418000</t>
  </si>
  <si>
    <t>0000808706406</t>
  </si>
  <si>
    <t>14034290818</t>
  </si>
  <si>
    <t>085719991016</t>
  </si>
  <si>
    <t>SMK N 8 JAKARTA</t>
  </si>
  <si>
    <t>3175081804770012</t>
  </si>
  <si>
    <t>3175081501098317</t>
  </si>
  <si>
    <t>894591221005000</t>
  </si>
  <si>
    <t>0001137473818</t>
  </si>
  <si>
    <t>10015416604</t>
  </si>
  <si>
    <t>089638244751</t>
  </si>
  <si>
    <t>SMK N 3 TANGERANG</t>
  </si>
  <si>
    <t>3671042501930002</t>
  </si>
  <si>
    <t>3671040611170005</t>
  </si>
  <si>
    <t>368433843402000</t>
  </si>
  <si>
    <t>0001775667396</t>
  </si>
  <si>
    <t>1125253888</t>
  </si>
  <si>
    <t>082196868090</t>
  </si>
  <si>
    <t>SMA MADRASAH ALIYAH NEGERI 3 MAKASSAR</t>
  </si>
  <si>
    <t>7309142807880001</t>
  </si>
  <si>
    <t>7309141211140003</t>
  </si>
  <si>
    <t>77.744.843.2-809.000</t>
  </si>
  <si>
    <t>0000929807291</t>
  </si>
  <si>
    <t>13013710317</t>
  </si>
  <si>
    <t>082233934292</t>
  </si>
  <si>
    <t xml:space="preserve">MULTIMEDIA </t>
  </si>
  <si>
    <t>SMK ANTARTIKA 2 SDA</t>
  </si>
  <si>
    <t>3515180206960003</t>
  </si>
  <si>
    <t>3515182801094894</t>
  </si>
  <si>
    <t>80.333.179.2-643.000</t>
  </si>
  <si>
    <t>0002254434028</t>
  </si>
  <si>
    <t>17001742000</t>
  </si>
  <si>
    <t>081410772451</t>
  </si>
  <si>
    <t>SMK JAYAWISATA 1</t>
  </si>
  <si>
    <t>3174020607050003</t>
  </si>
  <si>
    <t>3174020701093462</t>
  </si>
  <si>
    <t>27.941.937.8-011.000</t>
  </si>
  <si>
    <t>0002296001079</t>
  </si>
  <si>
    <t>082273703015</t>
  </si>
  <si>
    <t>NIAS</t>
  </si>
  <si>
    <t>PARIWISATA PERHOTELAN</t>
  </si>
  <si>
    <t>SMK N 1 DHARMA CARAKA</t>
  </si>
  <si>
    <t>1204061902030001</t>
  </si>
  <si>
    <t>1204061101080051</t>
  </si>
  <si>
    <t>0002151708726</t>
  </si>
  <si>
    <t>000000</t>
  </si>
  <si>
    <t>085733103493</t>
  </si>
  <si>
    <t>PERMESINAN</t>
  </si>
  <si>
    <t>SMK TRI SAKTI TULANGAN</t>
  </si>
  <si>
    <t>3515062201880001</t>
  </si>
  <si>
    <t>3515061905230004</t>
  </si>
  <si>
    <t>8032001466617000</t>
  </si>
  <si>
    <t>0000720119619</t>
  </si>
  <si>
    <t>17001742075</t>
  </si>
  <si>
    <t>082165846155</t>
  </si>
  <si>
    <t>BAGAN ASAHAN PEKAN</t>
  </si>
  <si>
    <t>ELECTONIK AVIONIC</t>
  </si>
  <si>
    <t>SMK SWASTA PBD MEDAN</t>
  </si>
  <si>
    <t>1209101311970001</t>
  </si>
  <si>
    <t>1209102911070021</t>
  </si>
  <si>
    <t>85.765.896.7-115.000</t>
  </si>
  <si>
    <t>0001246949649</t>
  </si>
  <si>
    <t>18089620183</t>
  </si>
  <si>
    <t>085648224848</t>
  </si>
  <si>
    <t>SMA ANTARTIKA SIDOARJO</t>
  </si>
  <si>
    <t>3515160103870001</t>
  </si>
  <si>
    <t>3515161606250012</t>
  </si>
  <si>
    <t>80.148.781.0-643.000</t>
  </si>
  <si>
    <t>0002355543167</t>
  </si>
  <si>
    <t>17001742083</t>
  </si>
  <si>
    <t>082114777936</t>
  </si>
  <si>
    <t xml:space="preserve">MAN CILEDUG </t>
  </si>
  <si>
    <t>3209302006900015</t>
  </si>
  <si>
    <t>3209331208160005</t>
  </si>
  <si>
    <t>58.583.049.0-426.000</t>
  </si>
  <si>
    <t>00011381371142</t>
  </si>
  <si>
    <t>10024029620</t>
  </si>
  <si>
    <t>081257544157</t>
  </si>
  <si>
    <t xml:space="preserve">SMK PENERBANGAN </t>
  </si>
  <si>
    <t>3515171907880002</t>
  </si>
  <si>
    <t>3515172601090127</t>
  </si>
  <si>
    <t>45.221.562.7-643.000</t>
  </si>
  <si>
    <t>0001146104572</t>
  </si>
  <si>
    <t>12017630497</t>
  </si>
  <si>
    <t>085710810118</t>
  </si>
  <si>
    <t>BANYUWANGI</t>
  </si>
  <si>
    <t>17 AGUSTUS 1945 GENTENG</t>
  </si>
  <si>
    <t>351007020106</t>
  </si>
  <si>
    <t>3510071210050652</t>
  </si>
  <si>
    <t>27.052.321.0-627.000</t>
  </si>
  <si>
    <t>0002805765996</t>
  </si>
  <si>
    <t>24159610179</t>
  </si>
  <si>
    <t>089637206179</t>
  </si>
  <si>
    <t>KEUANGAN</t>
  </si>
  <si>
    <t>SMK KRISTEN ELFATAH MANADO</t>
  </si>
  <si>
    <t>7171080709780021</t>
  </si>
  <si>
    <t>7171080410110002</t>
  </si>
  <si>
    <t>873338164821000</t>
  </si>
  <si>
    <t>0001141538624</t>
  </si>
  <si>
    <t>11022632266</t>
  </si>
  <si>
    <t>085810047642</t>
  </si>
  <si>
    <t xml:space="preserve">SMA PARADIKMA MAUK </t>
  </si>
  <si>
    <t>3603102811780001</t>
  </si>
  <si>
    <t>3603102310070017</t>
  </si>
  <si>
    <t>44.502.310.44-18-000</t>
  </si>
  <si>
    <t>001143807941</t>
  </si>
  <si>
    <t>12001532147</t>
  </si>
  <si>
    <t>087899123800</t>
  </si>
  <si>
    <t>SMA ANGKASA LANUD HASANUDDIN MAROS</t>
  </si>
  <si>
    <t>7309082503890001</t>
  </si>
  <si>
    <t>7371110909210008</t>
  </si>
  <si>
    <t>66.645.888.0809.000</t>
  </si>
  <si>
    <t>0001743000096</t>
  </si>
  <si>
    <t>7309 0825 0389 0001</t>
  </si>
  <si>
    <t>081298905856</t>
  </si>
  <si>
    <t>SMK TELUKNAGA</t>
  </si>
  <si>
    <t>3671100111880003</t>
  </si>
  <si>
    <t>3671100703080107</t>
  </si>
  <si>
    <t>66.879.278.1-402.000</t>
  </si>
  <si>
    <t>0001771155066</t>
  </si>
  <si>
    <t>14020388337</t>
  </si>
  <si>
    <t>089636012126</t>
  </si>
  <si>
    <t>SMA DHARMA WANITA 1 SIDOARJO</t>
  </si>
  <si>
    <t>3515170602940005</t>
  </si>
  <si>
    <t>3515172406210008</t>
  </si>
  <si>
    <t>80.300.054.6-643.000</t>
  </si>
  <si>
    <t>0001448211317</t>
  </si>
  <si>
    <t>17001742133</t>
  </si>
  <si>
    <t>081293162631</t>
  </si>
  <si>
    <t>Air plane and power plant ( penerbangan)</t>
  </si>
  <si>
    <t xml:space="preserve">SMKN 6 tangerang </t>
  </si>
  <si>
    <t>3671100406920002</t>
  </si>
  <si>
    <t>3671111406230003</t>
  </si>
  <si>
    <t>575065974402000</t>
  </si>
  <si>
    <t>0002815311486</t>
  </si>
  <si>
    <t>13021751733</t>
  </si>
  <si>
    <t>085830837629</t>
  </si>
  <si>
    <t>SMK GOLDEN</t>
  </si>
  <si>
    <t>3201151403060003</t>
  </si>
  <si>
    <t>3201150211220002</t>
  </si>
  <si>
    <t>27.985.866.6-434.000</t>
  </si>
  <si>
    <t>0001248856571</t>
  </si>
  <si>
    <t>24205907959</t>
  </si>
  <si>
    <t>081242779996</t>
  </si>
  <si>
    <t>maros</t>
  </si>
  <si>
    <t>7371141010900011</t>
  </si>
  <si>
    <t>7309072401230006</t>
  </si>
  <si>
    <t>46.437.200.2-801.000</t>
  </si>
  <si>
    <t>0001149378344</t>
  </si>
  <si>
    <t>12041803409</t>
  </si>
  <si>
    <t>085299362550</t>
  </si>
  <si>
    <t>BIAK</t>
  </si>
  <si>
    <t>SMA NEG 15 MAKASSAR</t>
  </si>
  <si>
    <t>7309081003870001</t>
  </si>
  <si>
    <t>7309083108090005</t>
  </si>
  <si>
    <t>78.031.536.2-809.000</t>
  </si>
  <si>
    <t>0001141826005</t>
  </si>
  <si>
    <t>11025252393</t>
  </si>
  <si>
    <t>083136288960</t>
  </si>
  <si>
    <t>SMK PUTRA  RIFARA</t>
  </si>
  <si>
    <t>3603132305920002</t>
  </si>
  <si>
    <t>3603130604210007</t>
  </si>
  <si>
    <t>711257543418000</t>
  </si>
  <si>
    <t>0001744221666</t>
  </si>
  <si>
    <t>14034289943</t>
  </si>
  <si>
    <t>CHK</t>
  </si>
  <si>
    <t>089643295129</t>
  </si>
  <si>
    <t xml:space="preserve">PARADIGMA </t>
  </si>
  <si>
    <t>3603100305840005</t>
  </si>
  <si>
    <t>3603100104130005</t>
  </si>
  <si>
    <t>368436689418000</t>
  </si>
  <si>
    <t>0001141796643</t>
  </si>
  <si>
    <t>087896370903</t>
  </si>
  <si>
    <t xml:space="preserve">SMA N 1 PAKUHAJI </t>
  </si>
  <si>
    <t>3603160907890002</t>
  </si>
  <si>
    <t>3603160109090018</t>
  </si>
  <si>
    <t>88.280.989.0-418.000</t>
  </si>
  <si>
    <t>0001137532656</t>
  </si>
  <si>
    <t>10015416166</t>
  </si>
  <si>
    <t>0895600048659</t>
  </si>
  <si>
    <t>SMP</t>
  </si>
  <si>
    <t>AL.JUMHURIYAH</t>
  </si>
  <si>
    <t>3671100404790003</t>
  </si>
  <si>
    <t>3671100909070102</t>
  </si>
  <si>
    <t>774454649402000</t>
  </si>
  <si>
    <t>0001128633581</t>
  </si>
  <si>
    <t>04jp0406832</t>
  </si>
  <si>
    <t>09010327600</t>
  </si>
  <si>
    <t>085399935744</t>
  </si>
  <si>
    <t xml:space="preserve">Manado </t>
  </si>
  <si>
    <t>SMA NASIONAL RANOTANA MANADO</t>
  </si>
  <si>
    <t>7105081708750001</t>
  </si>
  <si>
    <t>7106091503160002</t>
  </si>
  <si>
    <t>708808647824000</t>
  </si>
  <si>
    <t>0001739499423</t>
  </si>
  <si>
    <t>14034292764</t>
  </si>
  <si>
    <t>083875089530</t>
  </si>
  <si>
    <t>AIRFRAME &amp; POWERPLANT</t>
  </si>
  <si>
    <t>SMK PENERBANGAN DIRGHANTARA</t>
  </si>
  <si>
    <t>3671092305960004</t>
  </si>
  <si>
    <t>3671091909230006</t>
  </si>
  <si>
    <t>711546150402000</t>
  </si>
  <si>
    <t>0001771137235</t>
  </si>
  <si>
    <t>14034289604</t>
  </si>
  <si>
    <t>081281827562</t>
  </si>
  <si>
    <t>SMAN1 CIGUDEG</t>
  </si>
  <si>
    <t>3201191507920015</t>
  </si>
  <si>
    <t>320122060718007</t>
  </si>
  <si>
    <t>44.543.232.1-434.000</t>
  </si>
  <si>
    <t>0001143808018</t>
  </si>
  <si>
    <t>12001532253</t>
  </si>
  <si>
    <t>081212259833</t>
  </si>
  <si>
    <t>SMA kuntum mekar</t>
  </si>
  <si>
    <t>3671041201760003</t>
  </si>
  <si>
    <t>3671041012130005</t>
  </si>
  <si>
    <t>97.072.935.6.402.000</t>
  </si>
  <si>
    <t>0001744221453</t>
  </si>
  <si>
    <t>12001532162</t>
  </si>
  <si>
    <t>085772890663</t>
  </si>
  <si>
    <t xml:space="preserve">SMK. </t>
  </si>
  <si>
    <t>SMK DARUSSALAM BALAPULANG</t>
  </si>
  <si>
    <t>3671041105840005</t>
  </si>
  <si>
    <t>3671041005110016</t>
  </si>
  <si>
    <t>735292484402000</t>
  </si>
  <si>
    <t>0001771155797</t>
  </si>
  <si>
    <t>15043936382</t>
  </si>
  <si>
    <t>AKUTANSI</t>
  </si>
  <si>
    <t>083878490362</t>
  </si>
  <si>
    <t>AL-HASANIYYAH</t>
  </si>
  <si>
    <t>3603130501900002</t>
  </si>
  <si>
    <t>3603131208110030</t>
  </si>
  <si>
    <t>345447494418000</t>
  </si>
  <si>
    <t>0001137537292</t>
  </si>
  <si>
    <t>10015416448</t>
  </si>
  <si>
    <t>085340641301</t>
  </si>
  <si>
    <t>SMU NEGRI 7 MAKASSAR</t>
  </si>
  <si>
    <t>7371110607840016</t>
  </si>
  <si>
    <t>7371111508070038</t>
  </si>
  <si>
    <t>777448457809000</t>
  </si>
  <si>
    <t>0001141796665</t>
  </si>
  <si>
    <t>110252522070</t>
  </si>
  <si>
    <t>08529984867</t>
  </si>
  <si>
    <t>SMK TRI DHARMA</t>
  </si>
  <si>
    <t>7309140104840001</t>
  </si>
  <si>
    <t>7309142107160007</t>
  </si>
  <si>
    <t>777448481809000</t>
  </si>
  <si>
    <t>0001150574883</t>
  </si>
  <si>
    <t>08017517023</t>
  </si>
  <si>
    <t>085591392864</t>
  </si>
  <si>
    <t>SMAN 12 KAB.TANGERANG</t>
  </si>
  <si>
    <t>3603140112960011</t>
  </si>
  <si>
    <t>3603142108230009</t>
  </si>
  <si>
    <t>744228032418000</t>
  </si>
  <si>
    <t>0001770034983</t>
  </si>
  <si>
    <t>16001682695</t>
  </si>
  <si>
    <t>082110225369</t>
  </si>
  <si>
    <t xml:space="preserve">SMK AL-HUSNA KOTA TANGERANG </t>
  </si>
  <si>
    <t>3671101611920009</t>
  </si>
  <si>
    <t>3671101810180001</t>
  </si>
  <si>
    <t>57.506.603.0.402.000</t>
  </si>
  <si>
    <t>0001152213232</t>
  </si>
  <si>
    <t>13021751758</t>
  </si>
  <si>
    <t>085775493960</t>
  </si>
  <si>
    <t xml:space="preserve">KEBUMEN </t>
  </si>
  <si>
    <t xml:space="preserve">SMK PENERBANGAN SEMARANG </t>
  </si>
  <si>
    <t>3374112806010004</t>
  </si>
  <si>
    <t>3374112006190007</t>
  </si>
  <si>
    <t>94.237.982.7-517.000</t>
  </si>
  <si>
    <t>0002699896983</t>
  </si>
  <si>
    <t>20023575028</t>
  </si>
  <si>
    <t>088706083486</t>
  </si>
  <si>
    <t>SMK KEBASAAN</t>
  </si>
  <si>
    <t>7309140107840170</t>
  </si>
  <si>
    <t>7309142705090023</t>
  </si>
  <si>
    <t>777448671809000</t>
  </si>
  <si>
    <t>0001770623932</t>
  </si>
  <si>
    <t>11025252096</t>
  </si>
  <si>
    <t>087888175300</t>
  </si>
  <si>
    <t>TEHNIK BANGUNAN</t>
  </si>
  <si>
    <t>SMKN 4 KOTA TANGERANG</t>
  </si>
  <si>
    <t>3671100504840008</t>
  </si>
  <si>
    <t>3671102710110004</t>
  </si>
  <si>
    <t>596877068418000</t>
  </si>
  <si>
    <t>0001128679301</t>
  </si>
  <si>
    <t>04JP0405024</t>
  </si>
  <si>
    <t>081289473760</t>
  </si>
  <si>
    <t>CIAMIS</t>
  </si>
  <si>
    <t>SMK MUHAMMADIYAH</t>
  </si>
  <si>
    <t>3207021001960001</t>
  </si>
  <si>
    <t>3206222302083905</t>
  </si>
  <si>
    <t>71.136.073.5-442.000</t>
  </si>
  <si>
    <t>0001771137257</t>
  </si>
  <si>
    <t>14034286915</t>
  </si>
  <si>
    <t>085730841990</t>
  </si>
  <si>
    <t>SMK GAJAH MADA</t>
  </si>
  <si>
    <t>3516111412910004</t>
  </si>
  <si>
    <t>3515172702180007</t>
  </si>
  <si>
    <t>36.514.373.4-602.000</t>
  </si>
  <si>
    <t>0001141138192</t>
  </si>
  <si>
    <t>11018210291</t>
  </si>
  <si>
    <t>081243318915</t>
  </si>
  <si>
    <t>SMKN NO.1 MAROS</t>
  </si>
  <si>
    <t>7309010606940002</t>
  </si>
  <si>
    <t>7309070104150001</t>
  </si>
  <si>
    <t>461659898809000</t>
  </si>
  <si>
    <t>0001148670549</t>
  </si>
  <si>
    <t>12036818552</t>
  </si>
  <si>
    <t>089602447305</t>
  </si>
  <si>
    <t>BISNIS MANAJEMEN</t>
  </si>
  <si>
    <t>SMK JAKARTA1</t>
  </si>
  <si>
    <t>3173062710911006</t>
  </si>
  <si>
    <t>3173061806151018</t>
  </si>
  <si>
    <t>34.542.023.6-402.000</t>
  </si>
  <si>
    <t>0001137002995</t>
  </si>
  <si>
    <t>18063130795</t>
  </si>
  <si>
    <t>0857 82862556</t>
  </si>
  <si>
    <t>SMK/STM</t>
  </si>
  <si>
    <t xml:space="preserve">Tehnik mesin </t>
  </si>
  <si>
    <t>STM N 2 UPG/Makassar</t>
  </si>
  <si>
    <t>7371131601680004</t>
  </si>
  <si>
    <t>7371072805250016</t>
  </si>
  <si>
    <t>19.506.093.4-617.000</t>
  </si>
  <si>
    <t>0002051727726</t>
  </si>
  <si>
    <t>081808338557</t>
  </si>
  <si>
    <t>PENERBANGAN (AIRPLANE&amp;POWERPLANT)</t>
  </si>
  <si>
    <t>3671070203940005</t>
  </si>
  <si>
    <t>3671071602080194</t>
  </si>
  <si>
    <t>578177420402000</t>
  </si>
  <si>
    <t>0001156373662</t>
  </si>
  <si>
    <t>13039551620</t>
  </si>
  <si>
    <t>081293209165</t>
  </si>
  <si>
    <t>3276042104940001</t>
  </si>
  <si>
    <t>3276040110070056</t>
  </si>
  <si>
    <t>36.848.077.8-412.000</t>
  </si>
  <si>
    <t>0001141741506</t>
  </si>
  <si>
    <t>1103525449</t>
  </si>
  <si>
    <t>089517441337</t>
  </si>
  <si>
    <t xml:space="preserve">KOTA BOGOR </t>
  </si>
  <si>
    <t xml:space="preserve">SMK CITRA PARIWISATA </t>
  </si>
  <si>
    <t>3201310808050005</t>
  </si>
  <si>
    <t>3271022809070006</t>
  </si>
  <si>
    <t>0003624719297</t>
  </si>
  <si>
    <t>24144917291</t>
  </si>
  <si>
    <t>082135574757</t>
  </si>
  <si>
    <t xml:space="preserve">Otomotif </t>
  </si>
  <si>
    <t xml:space="preserve">SMK ANGKASA 1 SEPATAN </t>
  </si>
  <si>
    <t>3603301905930001</t>
  </si>
  <si>
    <t>3603162209160044</t>
  </si>
  <si>
    <t>464731173418000</t>
  </si>
  <si>
    <t>0001148711084</t>
  </si>
  <si>
    <t>12036818933</t>
  </si>
  <si>
    <t>081584411581</t>
  </si>
  <si>
    <t>SMAN 12 KABUPATEN TANGERANG</t>
  </si>
  <si>
    <t>3603130504930005</t>
  </si>
  <si>
    <t>3603131509110143</t>
  </si>
  <si>
    <t>45.957.378.8-418.000</t>
  </si>
  <si>
    <t>0001147575161</t>
  </si>
  <si>
    <t>12029437220</t>
  </si>
  <si>
    <t>087781411961</t>
  </si>
  <si>
    <t>SMP CIKOKOL</t>
  </si>
  <si>
    <t>3671040110680003</t>
  </si>
  <si>
    <t>3671041309070089</t>
  </si>
  <si>
    <t>79.228.562.9-402.000</t>
  </si>
  <si>
    <t>0001128627887</t>
  </si>
  <si>
    <t>18063138335</t>
  </si>
  <si>
    <t>089661141901</t>
  </si>
  <si>
    <t xml:space="preserve">SMK teluk naga </t>
  </si>
  <si>
    <t>3603130710790001</t>
  </si>
  <si>
    <t>360313060411008</t>
  </si>
  <si>
    <t>77.579.091.8-418.000</t>
  </si>
  <si>
    <t>0001133547941</t>
  </si>
  <si>
    <t>18005225018</t>
  </si>
  <si>
    <t>0896-2151-1269</t>
  </si>
  <si>
    <t>BREBES</t>
  </si>
  <si>
    <t>SMKN 70 JAKARTA</t>
  </si>
  <si>
    <t>3329140503050002</t>
  </si>
  <si>
    <t>3175072601100031</t>
  </si>
  <si>
    <t>19.820.272.3-008.000</t>
  </si>
  <si>
    <t>24144916806</t>
  </si>
  <si>
    <t>0001437464766</t>
  </si>
  <si>
    <t>085951531843</t>
  </si>
  <si>
    <t xml:space="preserve">SMUN1 TELUKNAGA </t>
  </si>
  <si>
    <t>3603131304860001</t>
  </si>
  <si>
    <t>3603130402150005</t>
  </si>
  <si>
    <t>57.6282.936.0-418.000</t>
  </si>
  <si>
    <t>0001128629801</t>
  </si>
  <si>
    <t>04JP0404985</t>
  </si>
  <si>
    <t>082347478355</t>
  </si>
  <si>
    <t>SMA NASIONAL MAROS</t>
  </si>
  <si>
    <t>7309142505920002</t>
  </si>
  <si>
    <t>7309142708180003</t>
  </si>
  <si>
    <t>666442124809000</t>
  </si>
  <si>
    <t>0000196704584</t>
  </si>
  <si>
    <t>14014034749</t>
  </si>
  <si>
    <t>085973149276</t>
  </si>
  <si>
    <t>Batam</t>
  </si>
  <si>
    <t xml:space="preserve">TKJ ( Teknik Komputer dan Jaringan ) </t>
  </si>
  <si>
    <t>SMK N 6 BATAM</t>
  </si>
  <si>
    <t>2171042112999004</t>
  </si>
  <si>
    <t>2171042109210017</t>
  </si>
  <si>
    <t>85.841.064.0-215.000</t>
  </si>
  <si>
    <t>0001194472337</t>
  </si>
  <si>
    <t>18089621710</t>
  </si>
  <si>
    <t>085770589793</t>
  </si>
  <si>
    <t>Instalasi listrik</t>
  </si>
  <si>
    <t>SMK Dinamika pembangunan</t>
  </si>
  <si>
    <t>3175071610830004</t>
  </si>
  <si>
    <t>3175072601180030</t>
  </si>
  <si>
    <t>80.405.168.8-008.000</t>
  </si>
  <si>
    <t>0002096421917</t>
  </si>
  <si>
    <t>16057100360</t>
  </si>
  <si>
    <t>085176994077</t>
  </si>
  <si>
    <t>JAKARTA SELATAN</t>
  </si>
  <si>
    <t xml:space="preserve">SMAN CURUG TANGERANG </t>
  </si>
  <si>
    <t>3671070403750006</t>
  </si>
  <si>
    <t>3671070802080120</t>
  </si>
  <si>
    <t>49.516.492.3-402.000</t>
  </si>
  <si>
    <t>0001156307534</t>
  </si>
  <si>
    <t>12024213352</t>
  </si>
  <si>
    <t>085697684962</t>
  </si>
  <si>
    <t>SMA YP KARYA TANGERANG</t>
  </si>
  <si>
    <t>3603120808820010</t>
  </si>
  <si>
    <t>3603111602240001</t>
  </si>
  <si>
    <t>77.441.559.0-418.000</t>
  </si>
  <si>
    <t>0001132816825</t>
  </si>
  <si>
    <t>07006532282</t>
  </si>
  <si>
    <t>082339612006</t>
  </si>
  <si>
    <t>Insan madani</t>
  </si>
  <si>
    <t>3603131311000003</t>
  </si>
  <si>
    <t>3603131509110150</t>
  </si>
  <si>
    <t>65.911.414.4-418.000</t>
  </si>
  <si>
    <t>0000808086633</t>
  </si>
  <si>
    <t>22087290924</t>
  </si>
  <si>
    <t>081398849647</t>
  </si>
  <si>
    <t xml:space="preserve">SMA AL MULTAZAM </t>
  </si>
  <si>
    <t>3603301004950004</t>
  </si>
  <si>
    <t>3603303108070011</t>
  </si>
  <si>
    <t>73.564.060.9-418.000</t>
  </si>
  <si>
    <t>0001771155819</t>
  </si>
  <si>
    <t>15043936325</t>
  </si>
  <si>
    <t>ADMINISTRASI PERKANTORAN (AP)</t>
  </si>
  <si>
    <t>081318933438</t>
  </si>
  <si>
    <t>AL-JUMHURIAH</t>
  </si>
  <si>
    <t>3603131605850004</t>
  </si>
  <si>
    <t>3603132408110140</t>
  </si>
  <si>
    <t>777739806418000</t>
  </si>
  <si>
    <t>0001771157834</t>
  </si>
  <si>
    <t>18063137501</t>
  </si>
  <si>
    <t>082110784673</t>
  </si>
  <si>
    <t>STRATA SATU (S1)</t>
  </si>
  <si>
    <t>PENDIDIKAN AGAMA ISLAM</t>
  </si>
  <si>
    <t>STAI DARUL QOLAM</t>
  </si>
  <si>
    <t>3173061305770011</t>
  </si>
  <si>
    <t>3173060901097746</t>
  </si>
  <si>
    <t>44.477.507.6-085.000</t>
  </si>
  <si>
    <t>0001123514728</t>
  </si>
  <si>
    <t>12029434904</t>
  </si>
  <si>
    <t>081808031021</t>
  </si>
  <si>
    <t xml:space="preserve">TEKNIK ELEKTRONIKA </t>
  </si>
  <si>
    <t>SMK MA'ARIF 1 KEBUMEN</t>
  </si>
  <si>
    <t>3305051102920002</t>
  </si>
  <si>
    <t>3603121204160045</t>
  </si>
  <si>
    <t>64.019.371.0-418.000</t>
  </si>
  <si>
    <t>0001156338404</t>
  </si>
  <si>
    <t>18063130639</t>
  </si>
  <si>
    <t>087813531288</t>
  </si>
  <si>
    <t>SMK SAMUDRA NUSANTARA</t>
  </si>
  <si>
    <t>3209071505870005</t>
  </si>
  <si>
    <t>3209151612150011</t>
  </si>
  <si>
    <t>77.439.852.2-426.000</t>
  </si>
  <si>
    <t>0001133777733</t>
  </si>
  <si>
    <t>18005225638</t>
  </si>
  <si>
    <t>085817371071</t>
  </si>
  <si>
    <t>KAB. TANGERANG</t>
  </si>
  <si>
    <t>SMA PGRI TELUK NAGA</t>
  </si>
  <si>
    <t>3603131405950006</t>
  </si>
  <si>
    <t>3603123112190021</t>
  </si>
  <si>
    <t>71.125.883.0-418.000</t>
  </si>
  <si>
    <t>0001744221677</t>
  </si>
  <si>
    <t>14034289422</t>
  </si>
  <si>
    <t>081319646015</t>
  </si>
  <si>
    <t>SMK YUPPENTEK 1</t>
  </si>
  <si>
    <t>3671100205830002</t>
  </si>
  <si>
    <t>3671102008210005</t>
  </si>
  <si>
    <t>45.952.990.5-402.000</t>
  </si>
  <si>
    <t>0001147575172</t>
  </si>
  <si>
    <t>12029437238</t>
  </si>
  <si>
    <t>11025253888</t>
  </si>
  <si>
    <t>085811985245</t>
  </si>
  <si>
    <t>Sunan kali jaga</t>
  </si>
  <si>
    <t>3603291503890008</t>
  </si>
  <si>
    <t>3603032607170014</t>
  </si>
  <si>
    <t>641415526418000</t>
  </si>
  <si>
    <t>0001156311459</t>
  </si>
  <si>
    <t>088245112575</t>
  </si>
  <si>
    <t>SMU NEGRI 15 MAKASSAR</t>
  </si>
  <si>
    <t>7309080704890006</t>
  </si>
  <si>
    <t>7309082703120004</t>
  </si>
  <si>
    <t>892879255809000</t>
  </si>
  <si>
    <t>0002053700008</t>
  </si>
  <si>
    <t>12036815210</t>
  </si>
  <si>
    <t>081575860876</t>
  </si>
  <si>
    <t xml:space="preserve">PURWOREJO </t>
  </si>
  <si>
    <t xml:space="preserve">SMK N 2 PURWOREJO </t>
  </si>
  <si>
    <t>3306130704040003</t>
  </si>
  <si>
    <t>3306131308083108</t>
  </si>
  <si>
    <t>603771783523000</t>
  </si>
  <si>
    <t>0000544584486</t>
  </si>
  <si>
    <t>241135539759</t>
  </si>
  <si>
    <t>089666695119</t>
  </si>
  <si>
    <t>DA'IL KHAIRAAT</t>
  </si>
  <si>
    <t>3173062312880004</t>
  </si>
  <si>
    <t>3173011304210021</t>
  </si>
  <si>
    <t>770333789085000</t>
  </si>
  <si>
    <t>0001133552597</t>
  </si>
  <si>
    <t>08006173150</t>
  </si>
  <si>
    <t>085850130700</t>
  </si>
  <si>
    <t>3578130101050005</t>
  </si>
  <si>
    <t>0002814769517</t>
  </si>
  <si>
    <t>24205907975</t>
  </si>
  <si>
    <t>089516844956</t>
  </si>
  <si>
    <t>AL JUMHURIAH</t>
  </si>
  <si>
    <t>3671102111850008</t>
  </si>
  <si>
    <t>3671102905120002</t>
  </si>
  <si>
    <t>67.937.181.5-402.000</t>
  </si>
  <si>
    <t>0001138803489</t>
  </si>
  <si>
    <t>18063139259</t>
  </si>
  <si>
    <t>089653142670</t>
  </si>
  <si>
    <t xml:space="preserve">Jakarta </t>
  </si>
  <si>
    <t>Al-jumhuriah</t>
  </si>
  <si>
    <t>3603132011850005</t>
  </si>
  <si>
    <t>3603132410120009</t>
  </si>
  <si>
    <t>77.104.554.9-418.000</t>
  </si>
  <si>
    <t>0001773047542</t>
  </si>
  <si>
    <t>07006589217</t>
  </si>
  <si>
    <t>0895602281500</t>
  </si>
  <si>
    <t>SMA N 5 Kab. Tangerang</t>
  </si>
  <si>
    <t>3603131706940005</t>
  </si>
  <si>
    <t>3603132008190014</t>
  </si>
  <si>
    <t>715721973418000</t>
  </si>
  <si>
    <t>0002071120094</t>
  </si>
  <si>
    <t>14014029673</t>
  </si>
  <si>
    <t>082187046215</t>
  </si>
  <si>
    <t>MASOHI</t>
  </si>
  <si>
    <t>8171042008950005</t>
  </si>
  <si>
    <t>8171041905200004</t>
  </si>
  <si>
    <t>86.977.772.7-941.000</t>
  </si>
  <si>
    <t>0002884652842</t>
  </si>
  <si>
    <t>22018068449</t>
  </si>
  <si>
    <t>085695646476</t>
  </si>
  <si>
    <t>MULIA BUDI</t>
  </si>
  <si>
    <t>360315010185</t>
  </si>
  <si>
    <t>3603151207120012</t>
  </si>
  <si>
    <t>774415533418000</t>
  </si>
  <si>
    <t>0001132200494</t>
  </si>
  <si>
    <t>07001132856</t>
  </si>
  <si>
    <t>083804123984</t>
  </si>
  <si>
    <t>OTOMOTIP</t>
  </si>
  <si>
    <t>ALHUSNA</t>
  </si>
  <si>
    <t>3603141709900005</t>
  </si>
  <si>
    <t>3603130701200009</t>
  </si>
  <si>
    <t>727190662418000</t>
  </si>
  <si>
    <t>0001140111977</t>
  </si>
  <si>
    <t>11006561986</t>
  </si>
  <si>
    <t>0895322765968</t>
  </si>
  <si>
    <t>TEKNIK KOMPUTER DAN JARINGAN</t>
  </si>
  <si>
    <t xml:space="preserve">SMK ANGKASA 2 </t>
  </si>
  <si>
    <t>3603120410970006</t>
  </si>
  <si>
    <t>3603122108080144</t>
  </si>
  <si>
    <t>752655928451000</t>
  </si>
  <si>
    <t>22087291443</t>
  </si>
  <si>
    <t>0001178700423</t>
  </si>
  <si>
    <t>089513886155</t>
  </si>
  <si>
    <t>SMKN 5 KAB,TANGERANG</t>
  </si>
  <si>
    <t>3603081509950002</t>
  </si>
  <si>
    <t>3063081401210027</t>
  </si>
  <si>
    <t>735622359418000</t>
  </si>
  <si>
    <t>0000808095745</t>
  </si>
  <si>
    <t>15043937356</t>
  </si>
  <si>
    <t>087703320656</t>
  </si>
  <si>
    <t xml:space="preserve">INDRAMAYU </t>
  </si>
  <si>
    <t xml:space="preserve">STM PENERBANGAN </t>
  </si>
  <si>
    <t xml:space="preserve">STM PENERBANGAN JAKARTA </t>
  </si>
  <si>
    <t>3515171007650005</t>
  </si>
  <si>
    <t>3515170711100008</t>
  </si>
  <si>
    <t>49.547.667.3-653.000</t>
  </si>
  <si>
    <t>0001147546552</t>
  </si>
  <si>
    <t>082237254774</t>
  </si>
  <si>
    <t>SMK NEGERI 2 PURWOREJO</t>
  </si>
  <si>
    <t>3406112010050006</t>
  </si>
  <si>
    <t>3306111408086151</t>
  </si>
  <si>
    <t>197902026502000</t>
  </si>
  <si>
    <t>0003347740901</t>
  </si>
  <si>
    <t>25003994107</t>
  </si>
  <si>
    <t>083897536292</t>
  </si>
  <si>
    <t>Al-HASANIYAH</t>
  </si>
  <si>
    <t>3603140704920007</t>
  </si>
  <si>
    <t>3603152604220001</t>
  </si>
  <si>
    <t>459675997418000</t>
  </si>
  <si>
    <t>0001147575262</t>
  </si>
  <si>
    <t>12029437329</t>
  </si>
  <si>
    <t>089601651514</t>
  </si>
  <si>
    <t>PENJUALAN</t>
  </si>
  <si>
    <t>SMK PGRI 13 CIKUPA TANGERANG</t>
  </si>
  <si>
    <t>3603192110860001</t>
  </si>
  <si>
    <t>3671102810130025</t>
  </si>
  <si>
    <t>55.677.594.8-451.000</t>
  </si>
  <si>
    <t>0001153460237</t>
  </si>
  <si>
    <t>18063154399</t>
  </si>
  <si>
    <t>081287024303</t>
  </si>
  <si>
    <t xml:space="preserve">SMAN 05 KAB.TANGERANG </t>
  </si>
  <si>
    <t>3603132708920010</t>
  </si>
  <si>
    <t>3603130912130011</t>
  </si>
  <si>
    <t>169993714418000</t>
  </si>
  <si>
    <t>0001156338268</t>
  </si>
  <si>
    <t>13039551919</t>
  </si>
  <si>
    <t>083169448431</t>
  </si>
  <si>
    <t>SMA PERITIS 1</t>
  </si>
  <si>
    <t>3603160208790009</t>
  </si>
  <si>
    <t>3603161201170010</t>
  </si>
  <si>
    <t>67.768.275.9-418.000</t>
  </si>
  <si>
    <t>0001139008533</t>
  </si>
  <si>
    <t>18063135539</t>
  </si>
  <si>
    <t>088291491014</t>
  </si>
  <si>
    <t>3603133112870011</t>
  </si>
  <si>
    <t>3603131101170012</t>
  </si>
  <si>
    <t>67.768.268.4-418.000</t>
  </si>
  <si>
    <t>0001139008566</t>
  </si>
  <si>
    <t>08015793816</t>
  </si>
  <si>
    <t>085771648322</t>
  </si>
  <si>
    <t>SMA CEMERLANG</t>
  </si>
  <si>
    <t>3603303003900001</t>
  </si>
  <si>
    <t>3603300903200013</t>
  </si>
  <si>
    <t>469689194418000</t>
  </si>
  <si>
    <t>0001770035218</t>
  </si>
  <si>
    <t>15006390387</t>
  </si>
  <si>
    <t>082299833652</t>
  </si>
  <si>
    <t xml:space="preserve">SMAN 6 KOTA TANGERANG </t>
  </si>
  <si>
    <t>3671100703040005</t>
  </si>
  <si>
    <t>3671102809070125</t>
  </si>
  <si>
    <t>65.911.412.8-402.000</t>
  </si>
  <si>
    <t>0001648672075</t>
  </si>
  <si>
    <t>22087291369</t>
  </si>
  <si>
    <t>085939085566</t>
  </si>
  <si>
    <t>UJIAN PERSAMAAN</t>
  </si>
  <si>
    <t>3671100506750003</t>
  </si>
  <si>
    <t>3671100910100005</t>
  </si>
  <si>
    <t>57.682.928.7-402.000</t>
  </si>
  <si>
    <t>0001384523739</t>
  </si>
  <si>
    <t>04JP0405834</t>
  </si>
  <si>
    <t>081585220142</t>
  </si>
  <si>
    <t>SMAN 1 KOSAMBI</t>
  </si>
  <si>
    <t>3603141408910005</t>
  </si>
  <si>
    <t>3603132712230005</t>
  </si>
  <si>
    <t>642779193418000</t>
  </si>
  <si>
    <t>0001637802281</t>
  </si>
  <si>
    <t>16057100428</t>
  </si>
  <si>
    <t>083840283102</t>
  </si>
  <si>
    <t>LISTRIK INSTALASI</t>
  </si>
  <si>
    <t>SMK LESTARI</t>
  </si>
  <si>
    <t>1271090210830003</t>
  </si>
  <si>
    <t>1271091007120019</t>
  </si>
  <si>
    <t>88.746.882.5-122.000</t>
  </si>
  <si>
    <t>0001137508176</t>
  </si>
  <si>
    <t>10015418238</t>
  </si>
  <si>
    <t>SMU AL-HUSNA TANGERANG</t>
  </si>
  <si>
    <t>3671102004790004</t>
  </si>
  <si>
    <t>3671101309120004</t>
  </si>
  <si>
    <t>773003058402000</t>
  </si>
  <si>
    <t>0001128610721</t>
  </si>
  <si>
    <t>04JP0405792</t>
  </si>
  <si>
    <t>bth</t>
  </si>
  <si>
    <t>08992069995</t>
  </si>
  <si>
    <t>pacitan</t>
  </si>
  <si>
    <t xml:space="preserve">MTs </t>
  </si>
  <si>
    <t>fiqih</t>
  </si>
  <si>
    <t>mts kikil</t>
  </si>
  <si>
    <t>2171040607779001</t>
  </si>
  <si>
    <t>2171041701081641</t>
  </si>
  <si>
    <t>708837687215000</t>
  </si>
  <si>
    <t>0001627076957</t>
  </si>
  <si>
    <t>14031182471</t>
  </si>
  <si>
    <t>081383360570</t>
  </si>
  <si>
    <t>SMK YP KARYA BANGSA</t>
  </si>
  <si>
    <t>3671100610950001</t>
  </si>
  <si>
    <t>3671100506240005</t>
  </si>
  <si>
    <t>662782515402000</t>
  </si>
  <si>
    <t>0001771209909</t>
  </si>
  <si>
    <t>14008465743</t>
  </si>
  <si>
    <t>085760090332</t>
  </si>
  <si>
    <t xml:space="preserve">TEKNIK KENDARAAN RINGAN </t>
  </si>
  <si>
    <t xml:space="preserve">SMK SWASTA SINAR HARAPAN </t>
  </si>
  <si>
    <t>1207331102000003</t>
  </si>
  <si>
    <t>1207330501220002</t>
  </si>
  <si>
    <t>0000247599189</t>
  </si>
  <si>
    <t>082361103603</t>
  </si>
  <si>
    <t>YAYASAN MULIA PRATAMA</t>
  </si>
  <si>
    <t>1271073001900001</t>
  </si>
  <si>
    <t>1271110901150019</t>
  </si>
  <si>
    <t>79.354.836.3-121.000</t>
  </si>
  <si>
    <t>0001134329771</t>
  </si>
  <si>
    <t>08021087104</t>
  </si>
  <si>
    <t>089529330325</t>
  </si>
  <si>
    <t xml:space="preserve">SMK NEGERI 1 CISARUA </t>
  </si>
  <si>
    <t>3201261811020006</t>
  </si>
  <si>
    <t>3201250504110006</t>
  </si>
  <si>
    <t>99.936.059.7-404.000</t>
  </si>
  <si>
    <t>0003544417743</t>
  </si>
  <si>
    <t>24144916822</t>
  </si>
  <si>
    <t>085891468409</t>
  </si>
  <si>
    <t>SMA ANGKASA 1</t>
  </si>
  <si>
    <t>3175080905900001</t>
  </si>
  <si>
    <t>3175080308170004</t>
  </si>
  <si>
    <t>64.136.038.3-005.000</t>
  </si>
  <si>
    <t>0001156372918</t>
  </si>
  <si>
    <t>13008399977</t>
  </si>
  <si>
    <t>085691613516</t>
  </si>
  <si>
    <t>wonosobo</t>
  </si>
  <si>
    <t xml:space="preserve">multimedia </t>
  </si>
  <si>
    <t>smk pancakarya</t>
  </si>
  <si>
    <t>3307122101030001</t>
  </si>
  <si>
    <t>3671100308200014</t>
  </si>
  <si>
    <t>659192660402000</t>
  </si>
  <si>
    <t>0003285182575</t>
  </si>
  <si>
    <t>22087291385</t>
  </si>
  <si>
    <t>082365840011</t>
  </si>
  <si>
    <t>AUDIO VISUAL(AUDIO VIDEO)</t>
  </si>
  <si>
    <t>SMK N 2 KALIANDA</t>
  </si>
  <si>
    <t>1801090106940003</t>
  </si>
  <si>
    <t>1207020201230014</t>
  </si>
  <si>
    <t>98.510.817.4-325.000</t>
  </si>
  <si>
    <t>0001155629518</t>
  </si>
  <si>
    <t>13036748997</t>
  </si>
  <si>
    <t>087878422164</t>
  </si>
  <si>
    <t>DAIL KHAIRAAT</t>
  </si>
  <si>
    <t>3173062105750003</t>
  </si>
  <si>
    <t>3173081505190012</t>
  </si>
  <si>
    <t>57.682.925.3-085.000</t>
  </si>
  <si>
    <t>0001128727686</t>
  </si>
  <si>
    <t>04JP0406337</t>
  </si>
  <si>
    <t>082340622462</t>
  </si>
  <si>
    <t>MULTIMEDIA</t>
  </si>
  <si>
    <t>SMK AS-SA'ADAH</t>
  </si>
  <si>
    <t>3603161512990003</t>
  </si>
  <si>
    <t>3603151006240004</t>
  </si>
  <si>
    <t>845325216418000</t>
  </si>
  <si>
    <t>0001177820561</t>
  </si>
  <si>
    <t>22087291237</t>
  </si>
  <si>
    <t>081353247319</t>
  </si>
  <si>
    <t>TUAPUKAN</t>
  </si>
  <si>
    <t>SMA N KUPANG TENGAH</t>
  </si>
  <si>
    <t>5371020902880004</t>
  </si>
  <si>
    <t>5371021510100006</t>
  </si>
  <si>
    <t>163232762922000</t>
  </si>
  <si>
    <t>0001142967724</t>
  </si>
  <si>
    <t>11035449310</t>
  </si>
  <si>
    <t>081292010514</t>
  </si>
  <si>
    <t>SMKN 2 KARANG BARU</t>
  </si>
  <si>
    <t>1116081501960003</t>
  </si>
  <si>
    <t>1116010904190001</t>
  </si>
  <si>
    <t>70.209.839.3-105.000</t>
  </si>
  <si>
    <t>0002296113592</t>
  </si>
  <si>
    <t>14034292319</t>
  </si>
  <si>
    <t>083852408792</t>
  </si>
  <si>
    <t>SMAN TELUKNAGA</t>
  </si>
  <si>
    <t>3603132505780003</t>
  </si>
  <si>
    <t>3603301810160020</t>
  </si>
  <si>
    <t>58.583.043.3-418.000</t>
  </si>
  <si>
    <t>0001138137153</t>
  </si>
  <si>
    <t>18063160263</t>
  </si>
  <si>
    <t>Bpn</t>
  </si>
  <si>
    <t>081257766670</t>
  </si>
  <si>
    <t>Balikpapan</t>
  </si>
  <si>
    <t>Sma Al hassan</t>
  </si>
  <si>
    <t>6471052306790004</t>
  </si>
  <si>
    <t>6471053107120046</t>
  </si>
  <si>
    <t>163873011721000</t>
  </si>
  <si>
    <t>0001143243303</t>
  </si>
  <si>
    <t>11039271058</t>
  </si>
  <si>
    <t>BOWO.DARWANTO</t>
  </si>
  <si>
    <t>STMN 8 JAKARTA</t>
  </si>
  <si>
    <t>089601111617</t>
  </si>
  <si>
    <t>AKOMODASI PERHOTELAN</t>
  </si>
  <si>
    <t>3671031009030002</t>
  </si>
  <si>
    <t>3671032709070222</t>
  </si>
  <si>
    <t>20.528.286.6-416.000</t>
  </si>
  <si>
    <t>0002889454869</t>
  </si>
  <si>
    <t>24144918232</t>
  </si>
  <si>
    <t>083891188915</t>
  </si>
  <si>
    <t>AL-ZUMHURIAH</t>
  </si>
  <si>
    <t>3603132011910006</t>
  </si>
  <si>
    <t>3603131509160005</t>
  </si>
  <si>
    <t>71.564.074.4-418.000</t>
  </si>
  <si>
    <t>0001768306509</t>
  </si>
  <si>
    <t>15006385940</t>
  </si>
  <si>
    <t>0895368428561</t>
  </si>
  <si>
    <t>SMUN 1</t>
  </si>
  <si>
    <t>SMU NEGERI 1 MAUK</t>
  </si>
  <si>
    <t>3603162007850003</t>
  </si>
  <si>
    <t>3603162409140007</t>
  </si>
  <si>
    <t>73.563.588.0-418.000</t>
  </si>
  <si>
    <t>0001369693146</t>
  </si>
  <si>
    <t>15043936333</t>
  </si>
  <si>
    <t>083830214588</t>
  </si>
  <si>
    <t>SMK NEGERI 1 PUNGGING</t>
  </si>
  <si>
    <t>3516061701900002</t>
  </si>
  <si>
    <t>3516030908180004</t>
  </si>
  <si>
    <t>36.466.537.2-602.000</t>
  </si>
  <si>
    <t>0001141133545</t>
  </si>
  <si>
    <t>11018210143</t>
  </si>
  <si>
    <t>085893532856</t>
  </si>
  <si>
    <t>Aljumhuriah</t>
  </si>
  <si>
    <t>3671101706870011</t>
  </si>
  <si>
    <t>3671101905170006</t>
  </si>
  <si>
    <t>469209662418000</t>
  </si>
  <si>
    <t>0001124099818</t>
  </si>
  <si>
    <t>16044067607</t>
  </si>
  <si>
    <t>082143360866</t>
  </si>
  <si>
    <t>PEMELIHARAAN DAN PERBAIKAN INSTRUMEN ELEKTRONIKA PESAWAT UDARA</t>
  </si>
  <si>
    <t>SMK PENERBANGAN ANGKASA MAOSPATI</t>
  </si>
  <si>
    <t>3521111603960002</t>
  </si>
  <si>
    <t>3521111909220004</t>
  </si>
  <si>
    <t>71.773.278.8-646.000</t>
  </si>
  <si>
    <t>0001541374751</t>
  </si>
  <si>
    <t>15008755702</t>
  </si>
  <si>
    <t>082187912205</t>
  </si>
  <si>
    <t>SMA 1 SANUR</t>
  </si>
  <si>
    <t>7309122806920001</t>
  </si>
  <si>
    <t>7309140903220001</t>
  </si>
  <si>
    <t>666442702809000</t>
  </si>
  <si>
    <t>0001743000581</t>
  </si>
  <si>
    <t>14014032867</t>
  </si>
  <si>
    <t>082245452344</t>
  </si>
  <si>
    <t>PROBOLINGGO</t>
  </si>
  <si>
    <t>MA SYARIFUDDIN</t>
  </si>
  <si>
    <t>3508142302960001</t>
  </si>
  <si>
    <t>3508151002200002</t>
  </si>
  <si>
    <t>71.761.245.1-625.000</t>
  </si>
  <si>
    <t>0001770611196</t>
  </si>
  <si>
    <t>15008756015000</t>
  </si>
  <si>
    <t>Upg</t>
  </si>
  <si>
    <t>085756136703</t>
  </si>
  <si>
    <t>Manajemen ekonomi</t>
  </si>
  <si>
    <t>Universitas muslim maros</t>
  </si>
  <si>
    <t>7309081408940001</t>
  </si>
  <si>
    <t>7309080301180005</t>
  </si>
  <si>
    <t>46.203.736.7-809.000</t>
  </si>
  <si>
    <t>0001148665577</t>
  </si>
  <si>
    <t>12036818057</t>
  </si>
  <si>
    <t>085810222409</t>
  </si>
  <si>
    <t xml:space="preserve">AERONAUTIKA </t>
  </si>
  <si>
    <t xml:space="preserve">SEKOLAH TINGGI TEKNOLOGI KEDIRGANTARAAN </t>
  </si>
  <si>
    <t>3217042102870009</t>
  </si>
  <si>
    <t>3217041210120105</t>
  </si>
  <si>
    <t>458759206421000</t>
  </si>
  <si>
    <t>11021236044</t>
  </si>
  <si>
    <t>085808865066</t>
  </si>
  <si>
    <t xml:space="preserve">SMK 1 KRIAN </t>
  </si>
  <si>
    <t>3515023103950002</t>
  </si>
  <si>
    <t>3516143103230005</t>
  </si>
  <si>
    <t>71775396660300</t>
  </si>
  <si>
    <t>0001770611174</t>
  </si>
  <si>
    <t>15008755819</t>
  </si>
  <si>
    <t>082195000741</t>
  </si>
  <si>
    <t>TEKNOLOGI PERTANIAN</t>
  </si>
  <si>
    <t>UNIVERSITAS KRISTEN INDONESIA TOMOHON</t>
  </si>
  <si>
    <t>7106091502690001</t>
  </si>
  <si>
    <t>7106091002100003</t>
  </si>
  <si>
    <t>54.090.634.4-823.000</t>
  </si>
  <si>
    <t>0001124114051</t>
  </si>
  <si>
    <t>18018361180</t>
  </si>
  <si>
    <t>08165555648</t>
  </si>
  <si>
    <t>351517211880002</t>
  </si>
  <si>
    <t>3515171704120006</t>
  </si>
  <si>
    <t>36.704.632.3-643.000</t>
  </si>
  <si>
    <t>0001141549536</t>
  </si>
  <si>
    <t>11022634833-0 01</t>
  </si>
  <si>
    <t>081281072761</t>
  </si>
  <si>
    <t>PANDEGLANG</t>
  </si>
  <si>
    <t>SMA NEGERI 10 PANDEGLANG</t>
  </si>
  <si>
    <t>3601145505900001</t>
  </si>
  <si>
    <t>3601140701085551</t>
  </si>
  <si>
    <t>16.996.808.8-419.000</t>
  </si>
  <si>
    <t>0001156311213</t>
  </si>
  <si>
    <t>18063134326</t>
  </si>
  <si>
    <t>083804130204</t>
  </si>
  <si>
    <t>PKBM 30 NEGERI</t>
  </si>
  <si>
    <t>3603134503930002</t>
  </si>
  <si>
    <t>3603132409190003</t>
  </si>
  <si>
    <t>71.572.721.0-418.000</t>
  </si>
  <si>
    <t>0002071120994</t>
  </si>
  <si>
    <t>15006387052</t>
  </si>
  <si>
    <t>08975442887</t>
  </si>
  <si>
    <t>PEKALONGAN</t>
  </si>
  <si>
    <t>SMK NEGERI 1 METRO</t>
  </si>
  <si>
    <t>1807046505930005</t>
  </si>
  <si>
    <t>1807041306110026</t>
  </si>
  <si>
    <t>640018826321000</t>
  </si>
  <si>
    <t>0001156373583</t>
  </si>
  <si>
    <t>13039551547</t>
  </si>
  <si>
    <t>0895322360333</t>
  </si>
  <si>
    <t>SMK TELUK NAGA 1</t>
  </si>
  <si>
    <t>3603134708880004</t>
  </si>
  <si>
    <t>3603131304110059</t>
  </si>
  <si>
    <t>715903084418000</t>
  </si>
  <si>
    <t>0001771208346</t>
  </si>
  <si>
    <t>15006390262</t>
  </si>
  <si>
    <t>08551482718/085697192292</t>
  </si>
  <si>
    <t>TEKNIK OTOMOTIF</t>
  </si>
  <si>
    <t>YP KARYA 2</t>
  </si>
  <si>
    <t>3671051201950001</t>
  </si>
  <si>
    <t>3671050908210015</t>
  </si>
  <si>
    <t>703003210416000</t>
  </si>
  <si>
    <t>0001770035308</t>
  </si>
  <si>
    <t>14003672368</t>
  </si>
  <si>
    <t>082285530948</t>
  </si>
  <si>
    <t>BATUMAMAK KECAMATAN GAROTA TAPANULI UTARA SUMATER UTARA</t>
  </si>
  <si>
    <t>SMA SISINGAMANGARAJA XII GAROGA</t>
  </si>
  <si>
    <t>2101152507880001</t>
  </si>
  <si>
    <t>2171122801220014</t>
  </si>
  <si>
    <t>835175050224000</t>
  </si>
  <si>
    <t>10034531748</t>
  </si>
  <si>
    <t>0002208790822</t>
  </si>
  <si>
    <t>082258292564</t>
  </si>
  <si>
    <t xml:space="preserve">SMA PGRI TANGERANG </t>
  </si>
  <si>
    <t>3671075409740012</t>
  </si>
  <si>
    <t>3603161809170014</t>
  </si>
  <si>
    <t>576829519402000</t>
  </si>
  <si>
    <t>0001465592141</t>
  </si>
  <si>
    <t>18005228475</t>
  </si>
  <si>
    <t>087771356679</t>
  </si>
  <si>
    <t>SEKOLAH MENENGAH PERTAMA</t>
  </si>
  <si>
    <t>SMPN 8 TANGERANG</t>
  </si>
  <si>
    <t>3671100304740006</t>
  </si>
  <si>
    <t>3671101809070100</t>
  </si>
  <si>
    <t>476349840402000</t>
  </si>
  <si>
    <t>0001128633557</t>
  </si>
  <si>
    <t>94K40145683</t>
  </si>
  <si>
    <t>087864608903</t>
  </si>
  <si>
    <t>SMK NEGERI 24 JAKARTA</t>
  </si>
  <si>
    <t>3175040401040007</t>
  </si>
  <si>
    <t>3175091903190014</t>
  </si>
  <si>
    <t>503459067009000</t>
  </si>
  <si>
    <t>0002098542521</t>
  </si>
  <si>
    <t>24106270424</t>
  </si>
  <si>
    <t>089663934358</t>
  </si>
  <si>
    <t xml:space="preserve">TANGGERANG </t>
  </si>
  <si>
    <t xml:space="preserve">SMK MUHAMADIYAH </t>
  </si>
  <si>
    <t>340313170290003</t>
  </si>
  <si>
    <t>3603111404220002</t>
  </si>
  <si>
    <t>878631324545000</t>
  </si>
  <si>
    <t>0001137473741</t>
  </si>
  <si>
    <t>18063129060</t>
  </si>
  <si>
    <t>081330303212</t>
  </si>
  <si>
    <t xml:space="preserve">ARSITEKTUR </t>
  </si>
  <si>
    <t xml:space="preserve">SMKN 02 BANGKALAN </t>
  </si>
  <si>
    <t>3526031412890001</t>
  </si>
  <si>
    <t>3526012210200005</t>
  </si>
  <si>
    <t>70.577.408.1-644.000</t>
  </si>
  <si>
    <t>0001775667036</t>
  </si>
  <si>
    <t>088805421303</t>
  </si>
  <si>
    <t>MESIN PESAWAT</t>
  </si>
  <si>
    <t>3507132808970005</t>
  </si>
  <si>
    <t>3507131410110005</t>
  </si>
  <si>
    <t>80.339.394.1-654.000</t>
  </si>
  <si>
    <t>0001829327624</t>
  </si>
  <si>
    <t>17001742174</t>
  </si>
  <si>
    <t>083129195359</t>
  </si>
  <si>
    <t>JOMBANG</t>
  </si>
  <si>
    <t>SMK DWIJA BHAKTI 1 JOMBANG</t>
  </si>
  <si>
    <t>3517201007950002</t>
  </si>
  <si>
    <t>3517203008230001</t>
  </si>
  <si>
    <t>70.920.003.4-602.000</t>
  </si>
  <si>
    <t>0001770611218</t>
  </si>
  <si>
    <t>15008756197</t>
  </si>
  <si>
    <t>082235369368</t>
  </si>
  <si>
    <t>BESIKAMA</t>
  </si>
  <si>
    <t>TEKNIK PENERBANGAN</t>
  </si>
  <si>
    <t>STTA YOGYAKARTA</t>
  </si>
  <si>
    <t>5304101506960002</t>
  </si>
  <si>
    <t>5321022010150003</t>
  </si>
  <si>
    <t>921454229925000</t>
  </si>
  <si>
    <t>0000199790987</t>
  </si>
  <si>
    <t>19068080803</t>
  </si>
  <si>
    <t>085772115141</t>
  </si>
  <si>
    <t>BEKASI</t>
  </si>
  <si>
    <t>SMAN. 102 JAKARTA</t>
  </si>
  <si>
    <t>3275026705910017</t>
  </si>
  <si>
    <t>3275082510220013</t>
  </si>
  <si>
    <t>89.556.607.3-407.000</t>
  </si>
  <si>
    <t>0001124114409</t>
  </si>
  <si>
    <t>10007662231</t>
  </si>
  <si>
    <t>088242221722</t>
  </si>
  <si>
    <t>SMAN 11 MAROS BARU</t>
  </si>
  <si>
    <t>7309041503950002</t>
  </si>
  <si>
    <t>7309040209200002</t>
  </si>
  <si>
    <t>66.644.287.6-809.000</t>
  </si>
  <si>
    <t>0000930069483</t>
  </si>
  <si>
    <t>14014032420</t>
  </si>
  <si>
    <t>085776823568</t>
  </si>
  <si>
    <t>SMA IMAM BONJOL</t>
  </si>
  <si>
    <t>3172022608920005</t>
  </si>
  <si>
    <t>3172022602200004</t>
  </si>
  <si>
    <t>74.279.218.7-042.000</t>
  </si>
  <si>
    <t>0001771157575</t>
  </si>
  <si>
    <t>15057653436</t>
  </si>
  <si>
    <t>087779690945</t>
  </si>
  <si>
    <t>SMU TAMAN SISWA</t>
  </si>
  <si>
    <t>3172022702830007</t>
  </si>
  <si>
    <t>3172021912190006</t>
  </si>
  <si>
    <t>774451256048000</t>
  </si>
  <si>
    <t>0001128633838</t>
  </si>
  <si>
    <t>04JP0405032</t>
  </si>
  <si>
    <t>081295891264</t>
  </si>
  <si>
    <t>3671074403050002</t>
  </si>
  <si>
    <t>3671070711070133</t>
  </si>
  <si>
    <t>39.248.003.4-4002.000</t>
  </si>
  <si>
    <t>0001181072002</t>
  </si>
  <si>
    <t>24144917523</t>
  </si>
  <si>
    <t>Column Labels</t>
  </si>
  <si>
    <t>Row Labels</t>
  </si>
  <si>
    <t>Grand Total</t>
  </si>
  <si>
    <t>(All)</t>
  </si>
  <si>
    <t>KEBUTUHAN KARYAWAN KLUSTER CABIN MAINTENANCE TAHUN 2026</t>
  </si>
  <si>
    <t>CBM On-Duty</t>
  </si>
  <si>
    <t>CBM Tech.</t>
  </si>
  <si>
    <t>No</t>
  </si>
  <si>
    <t>DMK</t>
  </si>
  <si>
    <t>SZB</t>
  </si>
  <si>
    <t>YIA</t>
  </si>
  <si>
    <t>PNK</t>
  </si>
  <si>
    <t>Multitrade</t>
  </si>
  <si>
    <t>BDJ</t>
  </si>
  <si>
    <t>KH-6</t>
  </si>
  <si>
    <t>KH-7</t>
  </si>
  <si>
    <t>KH-1</t>
  </si>
  <si>
    <t>KH-2</t>
  </si>
  <si>
    <t>KH-3</t>
  </si>
  <si>
    <t>KH-4</t>
  </si>
  <si>
    <t>KH-5</t>
  </si>
  <si>
    <t>The calculation above only covers GL, Technician, Painter and Cleaning Staff requirements.</t>
  </si>
  <si>
    <t xml:space="preserve">UNTUNG NELSON MANALU </t>
  </si>
  <si>
    <t>HAMSAH RIADI</t>
  </si>
  <si>
    <t xml:space="preserve">12 SEPTEMBER 2026 </t>
  </si>
  <si>
    <t>Total 641 - 95= 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</si>
</sst>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[$-409]General"/>
    <numFmt numFmtId="166" formatCode="[$-409]d\-mmm\-yy;@"/>
  </numFmts>
  <fonts count="6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rgb="FF242424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10"/>
      <name val="Tahoma"/>
      <family val="2"/>
    </font>
    <font>
      <b/>
      <sz val="11"/>
      <color theme="0"/>
      <name val="Arial"/>
      <family val="2"/>
    </font>
    <font>
      <b/>
      <sz val="20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20"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18">
      <alignment vertical="top"/>
      <protection locked="0"/>
    </xf>
    <xf numFmtId="0" fontId="25" fillId="0" borderId="0">
      <alignment vertical="center"/>
    </xf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6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</cellStyleXfs>
  <cellXfs count="46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3" fillId="0" borderId="2" xfId="0" applyFont="1" applyBorder="1" applyAlignment="1">
      <alignment vertical="center" wrapText="1"/>
    </xf>
    <xf numFmtId="0" fontId="0" fillId="0" borderId="3" xfId="0" applyBorder="1"/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0" xfId="0" applyBorder="1"/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" fontId="7" fillId="11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6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center" vertical="center"/>
    </xf>
    <xf numFmtId="1" fontId="8" fillId="15" borderId="4" xfId="0" applyNumberFormat="1" applyFont="1" applyFill="1" applyBorder="1" applyAlignment="1">
      <alignment horizontal="center" vertical="center"/>
    </xf>
    <xf numFmtId="0" fontId="0" fillId="0" borderId="16" xfId="0" applyBorder="1"/>
    <xf numFmtId="0" fontId="20" fillId="0" borderId="0" xfId="0" applyFont="1" applyAlignment="1">
      <alignment horizontal="center" vertical="center"/>
    </xf>
    <xf numFmtId="0" fontId="21" fillId="18" borderId="4" xfId="0" applyFont="1" applyFill="1" applyBorder="1" applyAlignment="1">
      <alignment horizontal="center" vertical="center" wrapText="1"/>
    </xf>
    <xf numFmtId="0" fontId="21" fillId="18" borderId="4" xfId="0" applyFont="1" applyFill="1" applyBorder="1" applyAlignment="1">
      <alignment horizontal="center" vertical="center"/>
    </xf>
    <xf numFmtId="0" fontId="22" fillId="0" borderId="4" xfId="6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0" borderId="4" xfId="19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0" borderId="4" xfId="6" applyFont="1" applyBorder="1" applyAlignment="1" applyProtection="1">
      <alignment horizontal="center" vertical="center" wrapText="1"/>
      <protection locked="0"/>
    </xf>
    <xf numFmtId="0" fontId="22" fillId="0" borderId="4" xfId="6" applyFont="1" applyBorder="1" applyAlignment="1">
      <alignment horizontal="center" vertical="center"/>
    </xf>
    <xf numFmtId="0" fontId="22" fillId="0" borderId="4" xfId="12" applyFont="1" applyBorder="1" applyAlignment="1">
      <alignment horizontal="center" vertical="center" wrapText="1"/>
    </xf>
    <xf numFmtId="0" fontId="22" fillId="0" borderId="4" xfId="5" applyFont="1" applyBorder="1" applyAlignment="1">
      <alignment horizontal="center" vertical="center"/>
    </xf>
    <xf numFmtId="165" fontId="22" fillId="0" borderId="4" xfId="5" applyNumberFormat="1" applyFont="1" applyBorder="1" applyAlignment="1">
      <alignment horizontal="center" vertical="center"/>
    </xf>
    <xf numFmtId="0" fontId="22" fillId="0" borderId="4" xfId="3" applyFont="1" applyBorder="1" applyAlignment="1">
      <alignment horizontal="center" vertical="center"/>
    </xf>
    <xf numFmtId="0" fontId="22" fillId="0" borderId="4" xfId="14" applyFont="1" applyBorder="1" applyAlignment="1">
      <alignment horizontal="center" vertical="center"/>
    </xf>
    <xf numFmtId="0" fontId="22" fillId="0" borderId="4" xfId="14" applyFont="1" applyBorder="1" applyAlignment="1">
      <alignment horizontal="center" vertical="center" wrapText="1"/>
    </xf>
    <xf numFmtId="0" fontId="22" fillId="0" borderId="4" xfId="4" applyFont="1" applyBorder="1" applyAlignment="1" applyProtection="1">
      <alignment horizontal="center" vertical="center"/>
    </xf>
    <xf numFmtId="0" fontId="22" fillId="0" borderId="4" xfId="9" applyFont="1" applyBorder="1" applyAlignment="1">
      <alignment horizontal="center" vertical="center"/>
    </xf>
    <xf numFmtId="0" fontId="22" fillId="0" borderId="4" xfId="15" applyFont="1" applyBorder="1" applyAlignment="1">
      <alignment horizontal="center" vertical="center"/>
    </xf>
    <xf numFmtId="0" fontId="22" fillId="0" borderId="4" xfId="8" applyFont="1" applyBorder="1" applyAlignment="1">
      <alignment horizontal="center" vertical="center"/>
    </xf>
    <xf numFmtId="0" fontId="22" fillId="0" borderId="4" xfId="6" applyFont="1" applyBorder="1" applyAlignment="1" applyProtection="1">
      <alignment horizontal="center" vertical="center"/>
      <protection locked="0"/>
    </xf>
    <xf numFmtId="49" fontId="22" fillId="0" borderId="4" xfId="0" applyNumberFormat="1" applyFont="1" applyBorder="1" applyAlignment="1">
      <alignment horizontal="center" vertical="center"/>
    </xf>
    <xf numFmtId="0" fontId="22" fillId="0" borderId="4" xfId="10" applyFont="1" applyBorder="1" applyAlignment="1">
      <alignment horizontal="center" vertical="center"/>
    </xf>
    <xf numFmtId="0" fontId="23" fillId="0" borderId="4" xfId="9" applyFont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0" fontId="22" fillId="0" borderId="4" xfId="18" applyFont="1" applyBorder="1" applyAlignment="1">
      <alignment horizontal="center" vertical="center"/>
    </xf>
    <xf numFmtId="0" fontId="22" fillId="0" borderId="4" xfId="16" applyFont="1" applyBorder="1" applyAlignment="1">
      <alignment horizontal="center" vertical="center"/>
    </xf>
    <xf numFmtId="0" fontId="22" fillId="0" borderId="4" xfId="19" quotePrefix="1" applyFont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13" fillId="19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6" fontId="35" fillId="0" borderId="0" xfId="0" applyNumberFormat="1" applyFont="1" applyAlignment="1">
      <alignment horizontal="center" vertical="center"/>
    </xf>
    <xf numFmtId="0" fontId="36" fillId="20" borderId="17" xfId="0" applyFont="1" applyFill="1" applyBorder="1" applyAlignment="1">
      <alignment horizontal="center" vertical="center" wrapText="1"/>
    </xf>
    <xf numFmtId="0" fontId="36" fillId="20" borderId="17" xfId="0" applyFont="1" applyFill="1" applyBorder="1" applyAlignment="1">
      <alignment horizontal="center" vertical="center"/>
    </xf>
    <xf numFmtId="166" fontId="36" fillId="20" borderId="17" xfId="0" applyNumberFormat="1" applyFont="1" applyFill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1" fontId="24" fillId="0" borderId="17" xfId="6" applyNumberFormat="1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166" fontId="35" fillId="0" borderId="17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0" borderId="17" xfId="6" applyNumberFormat="1" applyFont="1" applyBorder="1" applyAlignment="1">
      <alignment horizontal="center" vertical="center"/>
    </xf>
    <xf numFmtId="1" fontId="24" fillId="0" borderId="17" xfId="6" applyNumberFormat="1" applyFont="1" applyBorder="1" applyAlignment="1" applyProtection="1">
      <alignment horizontal="center" vertical="center" wrapText="1"/>
      <protection locked="0"/>
    </xf>
    <xf numFmtId="1" fontId="24" fillId="0" borderId="17" xfId="15" applyNumberFormat="1" applyFont="1" applyBorder="1" applyAlignment="1">
      <alignment horizontal="center" vertical="center"/>
    </xf>
    <xf numFmtId="1" fontId="24" fillId="0" borderId="17" xfId="19" applyNumberFormat="1" applyBorder="1" applyAlignment="1">
      <alignment horizontal="center" vertical="center"/>
    </xf>
    <xf numFmtId="1" fontId="24" fillId="0" borderId="17" xfId="5" applyNumberFormat="1" applyFont="1" applyBorder="1" applyAlignment="1">
      <alignment horizontal="center" vertical="center"/>
    </xf>
    <xf numFmtId="1" fontId="24" fillId="0" borderId="17" xfId="12" applyNumberFormat="1" applyFont="1" applyBorder="1" applyAlignment="1">
      <alignment horizontal="center" vertical="center" wrapText="1"/>
    </xf>
    <xf numFmtId="1" fontId="24" fillId="0" borderId="17" xfId="6" applyNumberFormat="1" applyFont="1" applyBorder="1" applyAlignment="1" applyProtection="1">
      <alignment horizontal="center" vertical="center"/>
      <protection locked="0"/>
    </xf>
    <xf numFmtId="15" fontId="35" fillId="0" borderId="17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 wrapText="1"/>
    </xf>
    <xf numFmtId="1" fontId="24" fillId="0" borderId="17" xfId="9" applyNumberFormat="1" applyFont="1" applyBorder="1" applyAlignment="1">
      <alignment horizontal="center" vertical="center"/>
    </xf>
    <xf numFmtId="1" fontId="38" fillId="0" borderId="17" xfId="9" applyNumberFormat="1" applyFont="1" applyBorder="1" applyAlignment="1">
      <alignment horizontal="center" vertical="center"/>
    </xf>
    <xf numFmtId="166" fontId="37" fillId="0" borderId="17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1" fontId="24" fillId="0" borderId="4" xfId="6" applyNumberFormat="1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>
      <alignment horizontal="center" vertical="center"/>
    </xf>
    <xf numFmtId="15" fontId="37" fillId="0" borderId="17" xfId="0" applyNumberFormat="1" applyFont="1" applyBorder="1"/>
    <xf numFmtId="15" fontId="37" fillId="0" borderId="22" xfId="0" applyNumberFormat="1" applyFont="1" applyBorder="1"/>
    <xf numFmtId="166" fontId="35" fillId="0" borderId="17" xfId="0" quotePrefix="1" applyNumberFormat="1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 wrapText="1"/>
    </xf>
    <xf numFmtId="1" fontId="40" fillId="0" borderId="17" xfId="6" applyNumberFormat="1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/>
    </xf>
    <xf numFmtId="15" fontId="41" fillId="0" borderId="17" xfId="0" applyNumberFormat="1" applyFont="1" applyBorder="1"/>
    <xf numFmtId="1" fontId="40" fillId="0" borderId="17" xfId="1" applyNumberFormat="1" applyFont="1" applyBorder="1" applyAlignment="1">
      <alignment horizontal="center" vertical="center" wrapText="1"/>
    </xf>
    <xf numFmtId="15" fontId="41" fillId="0" borderId="22" xfId="0" applyNumberFormat="1" applyFont="1" applyBorder="1"/>
    <xf numFmtId="1" fontId="40" fillId="0" borderId="17" xfId="6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" fontId="40" fillId="0" borderId="17" xfId="6" applyNumberFormat="1" applyFont="1" applyBorder="1" applyAlignment="1" applyProtection="1">
      <alignment horizontal="center" vertical="center" wrapText="1"/>
      <protection locked="0"/>
    </xf>
    <xf numFmtId="166" fontId="39" fillId="0" borderId="17" xfId="0" applyNumberFormat="1" applyFont="1" applyBorder="1" applyAlignment="1">
      <alignment horizontal="center" vertical="center"/>
    </xf>
    <xf numFmtId="1" fontId="40" fillId="0" borderId="17" xfId="15" applyNumberFormat="1" applyFont="1" applyBorder="1" applyAlignment="1">
      <alignment horizontal="center" vertical="center"/>
    </xf>
    <xf numFmtId="1" fontId="40" fillId="0" borderId="17" xfId="0" applyNumberFormat="1" applyFont="1" applyBorder="1" applyAlignment="1">
      <alignment horizontal="center" vertical="center"/>
    </xf>
    <xf numFmtId="1" fontId="40" fillId="0" borderId="17" xfId="19" applyNumberFormat="1" applyFont="1" applyBorder="1" applyAlignment="1">
      <alignment horizontal="center" vertical="center"/>
    </xf>
    <xf numFmtId="0" fontId="40" fillId="0" borderId="17" xfId="19" applyFont="1" applyBorder="1" applyAlignment="1">
      <alignment horizontal="center" vertical="center"/>
    </xf>
    <xf numFmtId="0" fontId="42" fillId="20" borderId="17" xfId="0" applyFont="1" applyFill="1" applyBorder="1" applyAlignment="1">
      <alignment horizontal="center" vertical="center" wrapText="1"/>
    </xf>
    <xf numFmtId="1" fontId="40" fillId="0" borderId="17" xfId="5" applyNumberFormat="1" applyFont="1" applyBorder="1" applyAlignment="1">
      <alignment horizontal="center" vertical="center"/>
    </xf>
    <xf numFmtId="1" fontId="40" fillId="6" borderId="17" xfId="5" applyNumberFormat="1" applyFont="1" applyFill="1" applyBorder="1" applyAlignment="1">
      <alignment horizontal="center" vertical="center"/>
    </xf>
    <xf numFmtId="1" fontId="40" fillId="0" borderId="17" xfId="8" applyNumberFormat="1" applyFont="1" applyBorder="1" applyAlignment="1">
      <alignment horizontal="center" vertical="center"/>
    </xf>
    <xf numFmtId="1" fontId="40" fillId="0" borderId="17" xfId="3" applyNumberFormat="1" applyFont="1" applyBorder="1" applyAlignment="1">
      <alignment horizontal="center" vertical="center"/>
    </xf>
    <xf numFmtId="1" fontId="40" fillId="0" borderId="17" xfId="0" applyNumberFormat="1" applyFont="1" applyBorder="1" applyAlignment="1">
      <alignment horizontal="center" vertical="center" wrapText="1"/>
    </xf>
    <xf numFmtId="1" fontId="40" fillId="0" borderId="17" xfId="14" applyNumberFormat="1" applyFont="1" applyBorder="1" applyAlignment="1">
      <alignment horizontal="center" vertical="center"/>
    </xf>
    <xf numFmtId="1" fontId="40" fillId="0" borderId="17" xfId="4" applyNumberFormat="1" applyFont="1" applyBorder="1" applyAlignment="1" applyProtection="1">
      <alignment horizontal="center" vertical="center"/>
    </xf>
    <xf numFmtId="1" fontId="40" fillId="0" borderId="17" xfId="14" applyNumberFormat="1" applyFont="1" applyBorder="1" applyAlignment="1">
      <alignment horizontal="center" vertical="center" wrapText="1"/>
    </xf>
    <xf numFmtId="1" fontId="40" fillId="0" borderId="17" xfId="10" applyNumberFormat="1" applyFont="1" applyBorder="1" applyAlignment="1">
      <alignment horizontal="center" vertical="center"/>
    </xf>
    <xf numFmtId="1" fontId="40" fillId="0" borderId="17" xfId="9" applyNumberFormat="1" applyFont="1" applyBorder="1" applyAlignment="1">
      <alignment horizontal="center" vertical="center"/>
    </xf>
    <xf numFmtId="1" fontId="40" fillId="0" borderId="17" xfId="18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5" fillId="21" borderId="17" xfId="0" applyFont="1" applyFill="1" applyBorder="1" applyAlignment="1">
      <alignment horizontal="center" vertical="center"/>
    </xf>
    <xf numFmtId="0" fontId="43" fillId="0" borderId="17" xfId="0" applyFont="1" applyBorder="1" applyAlignment="1">
      <alignment horizontal="center" vertical="center" wrapText="1"/>
    </xf>
    <xf numFmtId="0" fontId="32" fillId="0" borderId="0" xfId="0" applyFont="1"/>
    <xf numFmtId="0" fontId="46" fillId="20" borderId="17" xfId="0" applyFont="1" applyFill="1" applyBorder="1" applyAlignment="1">
      <alignment horizontal="center" vertical="center" wrapText="1"/>
    </xf>
    <xf numFmtId="0" fontId="30" fillId="0" borderId="0" xfId="0" applyFont="1"/>
    <xf numFmtId="0" fontId="33" fillId="0" borderId="17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42" fillId="20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4" fillId="0" borderId="4" xfId="0" applyFont="1" applyBorder="1" applyAlignment="1">
      <alignment horizontal="center"/>
    </xf>
    <xf numFmtId="0" fontId="44" fillId="0" borderId="15" xfId="0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4" fillId="0" borderId="14" xfId="0" applyFont="1" applyBorder="1" applyAlignment="1">
      <alignment horizontal="center"/>
    </xf>
    <xf numFmtId="0" fontId="5" fillId="19" borderId="4" xfId="0" applyFont="1" applyFill="1" applyBorder="1" applyAlignment="1">
      <alignment horizontal="center" vertical="center" wrapText="1"/>
    </xf>
    <xf numFmtId="0" fontId="49" fillId="19" borderId="4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49" fillId="14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49" fillId="15" borderId="4" xfId="0" applyFont="1" applyFill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 textRotation="90" wrapText="1"/>
    </xf>
    <xf numFmtId="0" fontId="51" fillId="0" borderId="9" xfId="0" applyFont="1" applyBorder="1" applyAlignment="1">
      <alignment horizontal="center" vertical="center" textRotation="90" wrapText="1"/>
    </xf>
    <xf numFmtId="0" fontId="9" fillId="6" borderId="6" xfId="0" applyFont="1" applyFill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center" vertical="center"/>
    </xf>
    <xf numFmtId="0" fontId="8" fillId="22" borderId="4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55" fillId="14" borderId="4" xfId="0" applyFont="1" applyFill="1" applyBorder="1" applyAlignment="1">
      <alignment horizontal="center" vertical="center"/>
    </xf>
    <xf numFmtId="0" fontId="56" fillId="15" borderId="4" xfId="0" applyFont="1" applyFill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55" fillId="19" borderId="4" xfId="0" applyFont="1" applyFill="1" applyBorder="1" applyAlignment="1">
      <alignment horizontal="center" vertical="center"/>
    </xf>
    <xf numFmtId="0" fontId="57" fillId="15" borderId="4" xfId="0" applyFont="1" applyFill="1" applyBorder="1" applyAlignment="1">
      <alignment horizontal="center" vertical="center"/>
    </xf>
    <xf numFmtId="0" fontId="55" fillId="0" borderId="27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4" xfId="0" quotePrefix="1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4" xfId="0" applyFont="1" applyBorder="1" applyAlignment="1">
      <alignment horizontal="center"/>
    </xf>
    <xf numFmtId="0" fontId="58" fillId="20" borderId="4" xfId="0" applyFont="1" applyFill="1" applyBorder="1" applyAlignment="1">
      <alignment horizontal="center" vertical="center" wrapText="1"/>
    </xf>
    <xf numFmtId="0" fontId="58" fillId="20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wrapText="1"/>
    </xf>
    <xf numFmtId="0" fontId="30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2" fillId="0" borderId="4" xfId="0" applyFont="1" applyBorder="1" applyAlignment="1">
      <alignment horizontal="center" wrapText="1"/>
    </xf>
    <xf numFmtId="0" fontId="33" fillId="0" borderId="4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4" xfId="0" quotePrefix="1" applyFont="1" applyBorder="1" applyAlignment="1">
      <alignment horizontal="center"/>
    </xf>
    <xf numFmtId="0" fontId="32" fillId="6" borderId="0" xfId="0" applyFont="1" applyFill="1" applyAlignment="1">
      <alignment horizontal="center"/>
    </xf>
    <xf numFmtId="15" fontId="33" fillId="0" borderId="4" xfId="0" quotePrefix="1" applyNumberFormat="1" applyFont="1" applyBorder="1" applyAlignment="1">
      <alignment horizontal="center"/>
    </xf>
    <xf numFmtId="0" fontId="32" fillId="0" borderId="4" xfId="0" quotePrefix="1" applyFont="1" applyBorder="1" applyAlignment="1">
      <alignment horizontal="center"/>
    </xf>
    <xf numFmtId="0" fontId="34" fillId="0" borderId="4" xfId="0" applyFont="1" applyBorder="1" applyAlignment="1">
      <alignment horizontal="center" wrapText="1"/>
    </xf>
    <xf numFmtId="1" fontId="34" fillId="0" borderId="4" xfId="6" applyNumberFormat="1" applyFont="1" applyBorder="1" applyAlignment="1">
      <alignment horizontal="center" wrapText="1"/>
    </xf>
    <xf numFmtId="15" fontId="32" fillId="0" borderId="4" xfId="0" quotePrefix="1" applyNumberFormat="1" applyFont="1" applyBorder="1" applyAlignment="1">
      <alignment horizontal="center"/>
    </xf>
    <xf numFmtId="1" fontId="34" fillId="0" borderId="4" xfId="1" applyNumberFormat="1" applyFont="1" applyBorder="1" applyAlignment="1">
      <alignment horizontal="center" wrapText="1"/>
    </xf>
    <xf numFmtId="1" fontId="34" fillId="0" borderId="4" xfId="6" applyNumberFormat="1" applyFont="1" applyBorder="1" applyAlignment="1" applyProtection="1">
      <alignment horizontal="center" wrapText="1"/>
      <protection locked="0"/>
    </xf>
    <xf numFmtId="15" fontId="32" fillId="0" borderId="14" xfId="0" quotePrefix="1" applyNumberFormat="1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" fontId="34" fillId="0" borderId="17" xfId="6" applyNumberFormat="1" applyFont="1" applyBorder="1" applyAlignment="1">
      <alignment horizontal="center"/>
    </xf>
    <xf numFmtId="0" fontId="32" fillId="0" borderId="17" xfId="0" quotePrefix="1" applyFont="1" applyBorder="1" applyAlignment="1">
      <alignment horizontal="center"/>
    </xf>
    <xf numFmtId="1" fontId="34" fillId="0" borderId="17" xfId="5" applyNumberFormat="1" applyFont="1" applyBorder="1" applyAlignment="1">
      <alignment horizontal="center"/>
    </xf>
    <xf numFmtId="0" fontId="34" fillId="0" borderId="17" xfId="0" applyFont="1" applyBorder="1" applyAlignment="1">
      <alignment horizontal="center" wrapText="1"/>
    </xf>
    <xf numFmtId="0" fontId="32" fillId="0" borderId="19" xfId="0" applyFont="1" applyBorder="1" applyAlignment="1">
      <alignment horizontal="center"/>
    </xf>
    <xf numFmtId="0" fontId="32" fillId="0" borderId="19" xfId="0" quotePrefix="1" applyFont="1" applyBorder="1" applyAlignment="1">
      <alignment horizontal="center"/>
    </xf>
    <xf numFmtId="17" fontId="32" fillId="0" borderId="4" xfId="0" quotePrefix="1" applyNumberFormat="1" applyFont="1" applyBorder="1" applyAlignment="1">
      <alignment horizontal="center"/>
    </xf>
    <xf numFmtId="0" fontId="34" fillId="0" borderId="19" xfId="0" applyFont="1" applyBorder="1" applyAlignment="1">
      <alignment horizontal="center" wrapText="1"/>
    </xf>
    <xf numFmtId="1" fontId="34" fillId="0" borderId="19" xfId="5" applyNumberFormat="1" applyFont="1" applyBorder="1" applyAlignment="1">
      <alignment horizontal="center"/>
    </xf>
    <xf numFmtId="1" fontId="34" fillId="0" borderId="17" xfId="6" applyNumberFormat="1" applyFont="1" applyBorder="1" applyAlignment="1" applyProtection="1">
      <alignment horizontal="center" wrapText="1"/>
      <protection locked="0"/>
    </xf>
    <xf numFmtId="1" fontId="34" fillId="0" borderId="17" xfId="0" applyNumberFormat="1" applyFont="1" applyBorder="1" applyAlignment="1">
      <alignment horizontal="center" wrapText="1"/>
    </xf>
    <xf numFmtId="1" fontId="34" fillId="0" borderId="17" xfId="19" applyNumberFormat="1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1" fontId="34" fillId="0" borderId="17" xfId="15" applyNumberFormat="1" applyFont="1" applyBorder="1" applyAlignment="1">
      <alignment horizontal="center"/>
    </xf>
    <xf numFmtId="0" fontId="34" fillId="0" borderId="21" xfId="0" applyFont="1" applyBorder="1" applyAlignment="1">
      <alignment horizontal="center"/>
    </xf>
    <xf numFmtId="1" fontId="34" fillId="0" borderId="17" xfId="1" applyNumberFormat="1" applyFont="1" applyBorder="1" applyAlignment="1">
      <alignment horizontal="center" wrapText="1"/>
    </xf>
    <xf numFmtId="1" fontId="34" fillId="0" borderId="17" xfId="14" applyNumberFormat="1" applyFont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4" fillId="0" borderId="19" xfId="0" applyFont="1" applyBorder="1" applyAlignment="1">
      <alignment horizontal="center"/>
    </xf>
    <xf numFmtId="1" fontId="34" fillId="0" borderId="19" xfId="14" applyNumberFormat="1" applyFont="1" applyBorder="1" applyAlignment="1">
      <alignment horizontal="center"/>
    </xf>
    <xf numFmtId="1" fontId="34" fillId="0" borderId="19" xfId="15" applyNumberFormat="1" applyFont="1" applyBorder="1" applyAlignment="1">
      <alignment horizontal="center"/>
    </xf>
    <xf numFmtId="1" fontId="34" fillId="0" borderId="19" xfId="19" applyNumberFormat="1" applyFont="1" applyBorder="1" applyAlignment="1">
      <alignment horizontal="center"/>
    </xf>
    <xf numFmtId="15" fontId="32" fillId="0" borderId="17" xfId="0" quotePrefix="1" applyNumberFormat="1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0" fontId="60" fillId="0" borderId="0" xfId="0" applyFont="1"/>
    <xf numFmtId="0" fontId="32" fillId="0" borderId="17" xfId="0" applyFont="1" applyBorder="1" applyAlignment="1">
      <alignment horizontal="center" wrapText="1"/>
    </xf>
    <xf numFmtId="0" fontId="32" fillId="0" borderId="14" xfId="0" applyFont="1" applyBorder="1" applyAlignment="1">
      <alignment horizontal="center" wrapText="1"/>
    </xf>
    <xf numFmtId="1" fontId="34" fillId="0" borderId="19" xfId="6" applyNumberFormat="1" applyFont="1" applyBorder="1" applyAlignment="1">
      <alignment horizontal="center"/>
    </xf>
    <xf numFmtId="0" fontId="34" fillId="0" borderId="17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1" fontId="34" fillId="0" borderId="20" xfId="5" applyNumberFormat="1" applyFont="1" applyBorder="1" applyAlignment="1">
      <alignment horizontal="center"/>
    </xf>
    <xf numFmtId="1" fontId="34" fillId="0" borderId="21" xfId="19" applyNumberFormat="1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7" xfId="0" quotePrefix="1" applyFont="1" applyBorder="1" applyAlignment="1">
      <alignment horizontal="center"/>
    </xf>
    <xf numFmtId="0" fontId="34" fillId="0" borderId="21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/>
    </xf>
    <xf numFmtId="1" fontId="24" fillId="0" borderId="19" xfId="5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/>
    </xf>
    <xf numFmtId="0" fontId="34" fillId="0" borderId="19" xfId="0" quotePrefix="1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1" fontId="24" fillId="0" borderId="19" xfId="6" applyNumberFormat="1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/>
    </xf>
    <xf numFmtId="0" fontId="40" fillId="0" borderId="17" xfId="0" applyFont="1" applyFill="1" applyBorder="1" applyAlignment="1">
      <alignment horizontal="center" vertical="center"/>
    </xf>
    <xf numFmtId="1" fontId="40" fillId="0" borderId="17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/>
    </xf>
    <xf numFmtId="0" fontId="34" fillId="0" borderId="17" xfId="0" applyFont="1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/>
    </xf>
    <xf numFmtId="0" fontId="34" fillId="0" borderId="19" xfId="0" applyFont="1" applyBorder="1" applyAlignment="1">
      <alignment horizontal="center" vertical="center" wrapText="1"/>
    </xf>
    <xf numFmtId="0" fontId="24" fillId="0" borderId="19" xfId="19" applyBorder="1" applyAlignment="1">
      <alignment horizontal="center" vertical="center"/>
    </xf>
    <xf numFmtId="0" fontId="32" fillId="0" borderId="19" xfId="0" applyFont="1" applyBorder="1" applyAlignment="1">
      <alignment horizontal="center" wrapText="1"/>
    </xf>
    <xf numFmtId="0" fontId="24" fillId="0" borderId="17" xfId="0" applyFont="1" applyFill="1" applyBorder="1" applyAlignment="1">
      <alignment horizontal="center" vertical="center" wrapText="1"/>
    </xf>
    <xf numFmtId="1" fontId="24" fillId="0" borderId="17" xfId="6" applyNumberFormat="1" applyFont="1" applyFill="1" applyBorder="1" applyAlignment="1" applyProtection="1">
      <alignment horizontal="center" vertical="center" wrapText="1"/>
      <protection locked="0"/>
    </xf>
    <xf numFmtId="0" fontId="24" fillId="0" borderId="17" xfId="0" applyFont="1" applyFill="1" applyBorder="1" applyAlignment="1">
      <alignment horizontal="center" vertical="center"/>
    </xf>
    <xf numFmtId="1" fontId="24" fillId="0" borderId="17" xfId="6" applyNumberFormat="1" applyFont="1" applyFill="1" applyBorder="1" applyAlignment="1">
      <alignment horizontal="center" vertical="center" wrapText="1"/>
    </xf>
    <xf numFmtId="1" fontId="24" fillId="0" borderId="17" xfId="19" applyNumberFormat="1" applyFont="1" applyBorder="1" applyAlignment="1">
      <alignment horizontal="center" vertical="center"/>
    </xf>
    <xf numFmtId="1" fontId="24" fillId="0" borderId="17" xfId="14" applyNumberFormat="1" applyFont="1" applyBorder="1" applyAlignment="1">
      <alignment horizontal="center" vertical="center"/>
    </xf>
    <xf numFmtId="0" fontId="32" fillId="0" borderId="17" xfId="0" applyFont="1" applyFill="1" applyBorder="1" applyAlignment="1">
      <alignment horizontal="center" wrapText="1"/>
    </xf>
    <xf numFmtId="0" fontId="32" fillId="0" borderId="17" xfId="0" applyFont="1" applyFill="1" applyBorder="1" applyAlignment="1">
      <alignment horizontal="center"/>
    </xf>
    <xf numFmtId="0" fontId="32" fillId="0" borderId="0" xfId="0" applyFont="1" applyFill="1" applyAlignment="1">
      <alignment horizontal="center"/>
    </xf>
    <xf numFmtId="0" fontId="0" fillId="0" borderId="0" xfId="0" applyBorder="1"/>
    <xf numFmtId="0" fontId="52" fillId="0" borderId="0" xfId="0" applyFont="1" applyAlignment="1">
      <alignment vertical="center"/>
    </xf>
    <xf numFmtId="0" fontId="52" fillId="0" borderId="0" xfId="0" applyFont="1" applyAlignment="1">
      <alignment horizontal="left" vertical="center" indent="1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 indent="1"/>
    </xf>
    <xf numFmtId="0" fontId="17" fillId="15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7" fillId="19" borderId="7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1" fillId="19" borderId="4" xfId="0" applyFont="1" applyFill="1" applyBorder="1" applyAlignment="1">
      <alignment horizontal="center" vertical="center"/>
    </xf>
    <xf numFmtId="0" fontId="61" fillId="14" borderId="4" xfId="0" applyFont="1" applyFill="1" applyBorder="1" applyAlignment="1">
      <alignment horizontal="center" vertical="center"/>
    </xf>
    <xf numFmtId="0" fontId="62" fillId="15" borderId="4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14" borderId="4" xfId="0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62" fillId="3" borderId="4" xfId="0" applyFont="1" applyFill="1" applyBorder="1" applyAlignment="1">
      <alignment horizontal="center" vertical="center"/>
    </xf>
    <xf numFmtId="0" fontId="19" fillId="19" borderId="4" xfId="0" applyFont="1" applyFill="1" applyBorder="1" applyAlignment="1">
      <alignment horizontal="center" vertical="center"/>
    </xf>
    <xf numFmtId="0" fontId="16" fillId="19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2" fillId="0" borderId="11" xfId="0" applyFont="1" applyBorder="1" applyAlignment="1">
      <alignment horizontal="left" vertical="center" indent="1"/>
    </xf>
    <xf numFmtId="0" fontId="52" fillId="0" borderId="11" xfId="0" applyFont="1" applyBorder="1" applyAlignment="1">
      <alignment vertical="center"/>
    </xf>
    <xf numFmtId="0" fontId="10" fillId="0" borderId="11" xfId="0" applyFont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textRotation="90" wrapText="1"/>
    </xf>
    <xf numFmtId="0" fontId="6" fillId="12" borderId="4" xfId="0" applyFont="1" applyFill="1" applyBorder="1" applyAlignment="1">
      <alignment horizontal="center" vertical="center" textRotation="90" wrapText="1"/>
    </xf>
    <xf numFmtId="0" fontId="50" fillId="3" borderId="4" xfId="0" applyFont="1" applyFill="1" applyBorder="1" applyAlignment="1">
      <alignment horizontal="center" vertical="center" textRotation="90" wrapText="1"/>
    </xf>
    <xf numFmtId="0" fontId="6" fillId="13" borderId="4" xfId="0" applyFont="1" applyFill="1" applyBorder="1" applyAlignment="1">
      <alignment horizontal="center" vertical="center" textRotation="90" wrapText="1"/>
    </xf>
    <xf numFmtId="0" fontId="6" fillId="14" borderId="4" xfId="0" applyFont="1" applyFill="1" applyBorder="1" applyAlignment="1">
      <alignment horizontal="center" vertical="center" textRotation="90" wrapText="1"/>
    </xf>
    <xf numFmtId="0" fontId="50" fillId="15" borderId="4" xfId="0" applyFont="1" applyFill="1" applyBorder="1" applyAlignment="1">
      <alignment horizontal="center" vertical="center" textRotation="90" wrapText="1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12" xfId="0" applyFont="1" applyBorder="1"/>
    <xf numFmtId="0" fontId="1" fillId="0" borderId="3" xfId="0" applyFont="1" applyBorder="1"/>
    <xf numFmtId="0" fontId="1" fillId="0" borderId="13" xfId="0" applyFont="1" applyBorder="1"/>
    <xf numFmtId="0" fontId="1" fillId="0" borderId="0" xfId="0" applyFont="1" applyBorder="1"/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6" xfId="0" applyFont="1" applyBorder="1"/>
    <xf numFmtId="0" fontId="67" fillId="0" borderId="0" xfId="0" applyFont="1" applyBorder="1"/>
    <xf numFmtId="0" fontId="67" fillId="0" borderId="0" xfId="0" applyFont="1" applyBorder="1" applyAlignment="1">
      <alignment vertical="center"/>
    </xf>
    <xf numFmtId="0" fontId="52" fillId="0" borderId="4" xfId="0" applyFont="1" applyFill="1" applyBorder="1" applyAlignment="1">
      <alignment horizontal="center" vertical="center"/>
    </xf>
    <xf numFmtId="0" fontId="52" fillId="2" borderId="4" xfId="0" applyFont="1" applyFill="1" applyBorder="1" applyAlignment="1">
      <alignment horizontal="center" vertical="center"/>
    </xf>
    <xf numFmtId="1" fontId="9" fillId="12" borderId="4" xfId="0" applyNumberFormat="1" applyFont="1" applyFill="1" applyBorder="1" applyAlignment="1">
      <alignment horizontal="center" vertical="center"/>
    </xf>
    <xf numFmtId="1" fontId="9" fillId="13" borderId="4" xfId="0" applyNumberFormat="1" applyFont="1" applyFill="1" applyBorder="1" applyAlignment="1">
      <alignment horizontal="center" vertical="center"/>
    </xf>
    <xf numFmtId="1" fontId="9" fillId="14" borderId="4" xfId="0" applyNumberFormat="1" applyFont="1" applyFill="1" applyBorder="1" applyAlignment="1">
      <alignment horizontal="center" vertical="center"/>
    </xf>
    <xf numFmtId="1" fontId="10" fillId="7" borderId="4" xfId="0" applyNumberFormat="1" applyFont="1" applyFill="1" applyBorder="1" applyAlignment="1">
      <alignment horizontal="center" vertical="center"/>
    </xf>
    <xf numFmtId="1" fontId="10" fillId="19" borderId="4" xfId="0" applyNumberFormat="1" applyFont="1" applyFill="1" applyBorder="1" applyAlignment="1">
      <alignment horizontal="center" vertical="center"/>
    </xf>
    <xf numFmtId="0" fontId="53" fillId="7" borderId="4" xfId="0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textRotation="90"/>
    </xf>
    <xf numFmtId="0" fontId="35" fillId="0" borderId="0" xfId="0" applyFont="1" applyAlignment="1">
      <alignment horizontal="center" vertical="center"/>
    </xf>
    <xf numFmtId="15" fontId="34" fillId="0" borderId="17" xfId="0" applyNumberFormat="1" applyFont="1" applyBorder="1" applyAlignment="1">
      <alignment horizontal="center"/>
    </xf>
    <xf numFmtId="15" fontId="34" fillId="0" borderId="17" xfId="0" quotePrefix="1" applyNumberFormat="1" applyFont="1" applyBorder="1" applyAlignment="1">
      <alignment horizontal="center"/>
    </xf>
    <xf numFmtId="0" fontId="0" fillId="0" borderId="0" xfId="0" pivotButton="1"/>
    <xf numFmtId="0" fontId="24" fillId="0" borderId="17" xfId="19" applyFont="1" applyBorder="1" applyAlignment="1">
      <alignment horizontal="center" vertical="center"/>
    </xf>
    <xf numFmtId="1" fontId="24" fillId="0" borderId="17" xfId="1" applyNumberFormat="1" applyFont="1" applyBorder="1" applyAlignment="1">
      <alignment horizontal="center" vertical="center" wrapText="1"/>
    </xf>
    <xf numFmtId="0" fontId="24" fillId="0" borderId="17" xfId="8" applyFont="1" applyBorder="1" applyAlignment="1">
      <alignment horizontal="center" vertical="center"/>
    </xf>
    <xf numFmtId="1" fontId="24" fillId="0" borderId="17" xfId="3" applyNumberFormat="1" applyFont="1" applyBorder="1" applyAlignment="1">
      <alignment horizontal="center" vertical="center"/>
    </xf>
    <xf numFmtId="1" fontId="24" fillId="0" borderId="17" xfId="14" applyNumberFormat="1" applyFont="1" applyBorder="1" applyAlignment="1">
      <alignment horizontal="center" vertical="center" wrapText="1"/>
    </xf>
    <xf numFmtId="1" fontId="24" fillId="0" borderId="17" xfId="4" applyNumberFormat="1" applyFont="1" applyBorder="1" applyAlignment="1" applyProtection="1">
      <alignment horizontal="center" vertical="center"/>
    </xf>
    <xf numFmtId="1" fontId="24" fillId="0" borderId="17" xfId="2" applyNumberFormat="1" applyFont="1" applyBorder="1" applyAlignment="1">
      <alignment horizontal="center" vertical="center"/>
    </xf>
    <xf numFmtId="1" fontId="24" fillId="0" borderId="17" xfId="16" applyNumberFormat="1" applyFont="1" applyBorder="1" applyAlignment="1">
      <alignment horizontal="center" vertical="center"/>
    </xf>
    <xf numFmtId="1" fontId="24" fillId="0" borderId="17" xfId="18" applyNumberFormat="1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166" fontId="35" fillId="0" borderId="4" xfId="0" applyNumberFormat="1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68" fillId="0" borderId="4" xfId="0" pivotButton="1" applyFont="1" applyBorder="1" applyAlignment="1">
      <alignment horizontal="center" vertical="center"/>
    </xf>
    <xf numFmtId="0" fontId="68" fillId="0" borderId="4" xfId="0" applyNumberFormat="1" applyFont="1" applyBorder="1" applyAlignment="1">
      <alignment horizontal="center" vertical="center"/>
    </xf>
    <xf numFmtId="0" fontId="0" fillId="0" borderId="4" xfId="0" pivotButton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63" fillId="3" borderId="4" xfId="0" applyFont="1" applyFill="1" applyBorder="1" applyAlignment="1">
      <alignment horizontal="center" vertical="center"/>
    </xf>
    <xf numFmtId="0" fontId="63" fillId="10" borderId="4" xfId="0" applyFont="1" applyFill="1" applyBorder="1" applyAlignment="1">
      <alignment horizontal="center" vertical="center"/>
    </xf>
    <xf numFmtId="0" fontId="64" fillId="16" borderId="4" xfId="0" applyFont="1" applyFill="1" applyBorder="1" applyAlignment="1">
      <alignment horizontal="center" vertical="center"/>
    </xf>
    <xf numFmtId="0" fontId="65" fillId="17" borderId="4" xfId="0" applyFont="1" applyFill="1" applyBorder="1" applyAlignment="1">
      <alignment horizontal="center" vertical="center"/>
    </xf>
    <xf numFmtId="1" fontId="64" fillId="2" borderId="4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9" fillId="16" borderId="6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0" fontId="9" fillId="17" borderId="6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47" fillId="3" borderId="4" xfId="0" applyFont="1" applyFill="1" applyBorder="1" applyAlignment="1">
      <alignment horizontal="center" vertical="center"/>
    </xf>
    <xf numFmtId="0" fontId="18" fillId="16" borderId="9" xfId="0" applyFont="1" applyFill="1" applyBorder="1" applyAlignment="1">
      <alignment horizontal="center" vertical="center" wrapText="1"/>
    </xf>
    <xf numFmtId="0" fontId="18" fillId="16" borderId="7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18" fillId="17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8" fillId="15" borderId="25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8" fillId="15" borderId="26" xfId="0" applyFont="1" applyFill="1" applyBorder="1" applyAlignment="1">
      <alignment horizontal="center" vertical="center" wrapText="1"/>
    </xf>
    <xf numFmtId="0" fontId="9" fillId="19" borderId="14" xfId="0" applyFont="1" applyFill="1" applyBorder="1" applyAlignment="1">
      <alignment horizontal="center" vertical="center" wrapText="1"/>
    </xf>
    <xf numFmtId="0" fontId="9" fillId="19" borderId="15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9" fillId="19" borderId="6" xfId="0" applyFont="1" applyFill="1" applyBorder="1" applyAlignment="1">
      <alignment horizontal="center" vertical="center" wrapText="1"/>
    </xf>
    <xf numFmtId="0" fontId="9" fillId="19" borderId="9" xfId="0" applyFont="1" applyFill="1" applyBorder="1" applyAlignment="1">
      <alignment horizontal="center" vertical="center" wrapText="1"/>
    </xf>
    <xf numFmtId="0" fontId="9" fillId="19" borderId="7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0" fontId="9" fillId="14" borderId="7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textRotation="90"/>
    </xf>
    <xf numFmtId="0" fontId="8" fillId="8" borderId="5" xfId="0" applyFont="1" applyFill="1" applyBorder="1" applyAlignment="1">
      <alignment horizontal="center" vertical="center" textRotation="90"/>
    </xf>
    <xf numFmtId="0" fontId="8" fillId="8" borderId="15" xfId="0" applyFont="1" applyFill="1" applyBorder="1" applyAlignment="1">
      <alignment horizontal="center" vertical="center" textRotation="90"/>
    </xf>
    <xf numFmtId="0" fontId="9" fillId="19" borderId="24" xfId="0" applyFont="1" applyFill="1" applyBorder="1" applyAlignment="1">
      <alignment horizontal="center" vertical="center" wrapText="1"/>
    </xf>
    <xf numFmtId="0" fontId="9" fillId="19" borderId="26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textRotation="90"/>
    </xf>
    <xf numFmtId="0" fontId="8" fillId="9" borderId="14" xfId="0" applyFont="1" applyFill="1" applyBorder="1" applyAlignment="1">
      <alignment horizontal="center" vertical="center" textRotation="90"/>
    </xf>
    <xf numFmtId="0" fontId="8" fillId="9" borderId="5" xfId="0" applyFont="1" applyFill="1" applyBorder="1" applyAlignment="1">
      <alignment horizontal="center" vertical="center" textRotation="90"/>
    </xf>
    <xf numFmtId="0" fontId="8" fillId="9" borderId="15" xfId="0" applyFont="1" applyFill="1" applyBorder="1" applyAlignment="1">
      <alignment horizontal="center" vertical="center" textRotation="90"/>
    </xf>
    <xf numFmtId="0" fontId="59" fillId="20" borderId="0" xfId="0" applyFont="1" applyFill="1" applyAlignment="1">
      <alignment horizontal="center"/>
    </xf>
    <xf numFmtId="0" fontId="52" fillId="0" borderId="0" xfId="0" applyFont="1" applyBorder="1" applyAlignment="1">
      <alignment vertical="center" wrapText="1"/>
    </xf>
    <xf numFmtId="0" fontId="52" fillId="0" borderId="0" xfId="0" applyFont="1" applyBorder="1" applyAlignment="1">
      <alignment vertical="center"/>
    </xf>
    <xf numFmtId="0" fontId="10" fillId="0" borderId="4" xfId="0" applyFont="1" applyBorder="1" applyAlignment="1">
      <alignment horizontal="left" vertical="center" wrapText="1" indent="1"/>
    </xf>
    <xf numFmtId="0" fontId="10" fillId="0" borderId="4" xfId="0" applyFont="1" applyBorder="1" applyAlignment="1">
      <alignment horizontal="left" vertical="center" indent="1"/>
    </xf>
    <xf numFmtId="0" fontId="18" fillId="16" borderId="4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horizontal="center" vertical="center"/>
    </xf>
    <xf numFmtId="0" fontId="52" fillId="0" borderId="0" xfId="0" applyFont="1" applyBorder="1" applyAlignment="1">
      <alignment horizontal="left" vertical="center" wrapText="1" indent="1"/>
    </xf>
    <xf numFmtId="0" fontId="52" fillId="0" borderId="0" xfId="0" applyFont="1" applyBorder="1" applyAlignment="1">
      <alignment horizontal="left" vertical="center" indent="1"/>
    </xf>
  </cellXfs>
  <cellStyles count="20">
    <cellStyle name="Normal" xfId="0" builtinId="0"/>
    <cellStyle name="Normal 10" xfId="10"/>
    <cellStyle name="Normal 10 3 2" xfId="9"/>
    <cellStyle name="Normal 14" xfId="11"/>
    <cellStyle name="Normal 16" xfId="12"/>
    <cellStyle name="Normal 16 2" xfId="1"/>
    <cellStyle name="Normal 2 10 10" xfId="13"/>
    <cellStyle name="Normal 2 10 16" xfId="8"/>
    <cellStyle name="Normal 2 10 2" xfId="14"/>
    <cellStyle name="Normal 2 2 19" xfId="4"/>
    <cellStyle name="Normal 2 2 2" xfId="3"/>
    <cellStyle name="Normal 2 2 24 2" xfId="6"/>
    <cellStyle name="Normal 3" xfId="5"/>
    <cellStyle name="Normal 3 2" xfId="15"/>
    <cellStyle name="Normal 4" xfId="2"/>
    <cellStyle name="Normal 49" xfId="7"/>
    <cellStyle name="Normal 5" xfId="16"/>
    <cellStyle name="Normal 6" xfId="17"/>
    <cellStyle name="Normal 7" xfId="18"/>
    <cellStyle name="Normal 98" xfId="19"/>
  </cellStyles>
  <dxfs count="1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AN ADIYANTI" refreshedDate="46293.653801157408" createdVersion="6" refreshedVersion="6" minRefreshableVersion="3" recordCount="641">
  <cacheSource type="worksheet">
    <worksheetSource ref="A4:J645" sheet="DATABASE "/>
  </cacheSource>
  <cacheFields count="10">
    <cacheField name="NO " numFmtId="0">
      <sharedItems containsSemiMixedTypes="0" containsString="0" containsNumber="1" containsInteger="1" minValue="1" maxValue="641"/>
    </cacheField>
    <cacheField name="NAMA " numFmtId="0">
      <sharedItems count="637">
        <s v="NU'MAN ERIANDA"/>
        <s v="MOH. ABU SOFYAN"/>
        <s v="BAMBANG YULIARDI"/>
        <s v="KHUSNUL PADILA"/>
        <s v="DINA RACHMAWATI"/>
        <s v="DODY WIRMAN"/>
        <s v="DENI ANDREANUS"/>
        <s v="JIHAN DWI TAMIRA"/>
        <s v="MUHAMMAD ARFI ABDILLAH"/>
        <s v="RM  IQBAL"/>
        <s v="FAJAR HARAHAP "/>
        <s v="HARIS AFENI"/>
        <s v="ADI PRIYANTO"/>
        <s v="DWI LESTARI"/>
        <s v="DIAN ADIYANTI"/>
        <s v="KALIS NIR SAMBIKALA"/>
        <s v="M. FARHAN FATHURRAHMAN"/>
        <s v="ANGGUN KHOIRUNISSA"/>
        <s v="JOKO SUPRAYITNO"/>
        <s v="ANDI WERDANA"/>
        <s v="ADITYA RAHMAN "/>
        <s v="MISAR"/>
        <s v="AHMAD FATHUROHMAN"/>
        <s v="MUHAMAD MUFTI ROHIMIN"/>
        <s v="AMINUDIN"/>
        <s v="ILHAM RUCHIYAT"/>
        <s v="NASRUDIN"/>
        <s v="FATHULLOH"/>
        <s v="AHMAD FURKONI "/>
        <s v="JUMADI ISKANDAR LESMANA "/>
        <s v="SEPULLOH"/>
        <s v="RUDI BIN ATAM"/>
        <s v="MUHAMAD ADUNG"/>
        <s v="DANIEL LUMBAN GAOL"/>
        <s v="MUHAMAD FAISAL"/>
        <s v="AHMAD YANI"/>
        <s v="SUKIRNO"/>
        <s v="JAKARIA"/>
        <s v="TATANG ERYANA"/>
        <s v="ADE SUTISNA"/>
        <s v="AWAL PRAKARSYA "/>
        <s v="FERDINAND F LELAPARY"/>
        <s v="STEFANNO KRESTO T"/>
        <s v="YANDRI PAPILAYA"/>
        <s v="FRANGKY JULIUS MAHUBESSY "/>
        <s v="RAMTIN RAMLI"/>
        <s v="AGUSTINUS REYAAN"/>
        <s v="PRESLO JOCHARSY HUWAE "/>
        <s v="LASINO"/>
        <s v="AGUS TRI WIBISONO"/>
        <s v="UNTUNG NELSON MANALU "/>
        <s v="DEDY TRI HARIANTO"/>
        <s v="ABDUL HAMID"/>
        <s v="SUNARNO SETIYONO"/>
        <s v="HENDI SAPUTRO"/>
        <s v="AFRIZAL"/>
        <s v="EDDY SARWO WIBOWO"/>
        <s v="KEVIN WIJAYA TANDAYU"/>
        <s v="FAKHRIZAL ZULNI"/>
        <s v="PRISWANTO"/>
        <s v="ACO"/>
        <s v="RIZKY ADHITYA WARDHANA"/>
        <s v="RACHMAD"/>
        <s v="HARIS"/>
        <s v="ARIEF WANGSA"/>
        <s v="MUHAMMAD RIDWAN"/>
        <s v="ZAINUDIN AL AFGANI HARAHAP"/>
        <s v="MULIA HASIBUAN"/>
        <s v="SOFYAN HUSIN"/>
        <s v="SAMLAN"/>
        <s v="SYAFRI AZIZ"/>
        <s v="JESPRION PASARIBU "/>
        <s v="JERI SARSA "/>
        <s v="YOUSEB DIAN ISTANA"/>
        <s v="YAYAT KURNIAWAN"/>
        <s v="MUHAMAD ROKIB"/>
        <s v="ABDUL SYUKUR"/>
        <s v="LILI MULYANA"/>
        <s v="ROSIMAN"/>
        <s v="HENDRA WIJAYA"/>
        <s v="HERI RISMAWAN"/>
        <s v="SYAHRONI"/>
        <s v="MUDIONO"/>
        <s v="USEP SAEFUL"/>
        <s v="ABDUL ROSAD"/>
        <s v="ALVIRA"/>
        <s v="HERLAN RIDWANSYAH"/>
        <s v="NAWAWI"/>
        <s v="SUPRAPTO"/>
        <s v="SUDARMAN"/>
        <s v="SANDI YULIANTO"/>
        <s v="SUROYO"/>
        <s v="HAERUDIN"/>
        <s v="M. RAMADHAN KURNIA ISKANDAR"/>
        <s v="SANWANI"/>
        <s v="AHMAD NURJAYA"/>
        <s v="SUHANDI"/>
        <s v="ABDUL HALIM"/>
        <s v="ALDI MASTIO"/>
        <s v="ABDUL HOLIK"/>
        <s v="HERY SUDARTO"/>
        <s v="AHMAD FAUZI"/>
        <s v="ARIP DADAN A H"/>
        <s v="PEBRIANSYAH WIDYA GUMILAR"/>
        <s v="REYNALDI"/>
        <s v="DARSONO"/>
        <s v="MUHAMAD ARSUDIN"/>
        <s v="RAHMAT HIDAYAT"/>
        <s v="RESTU PANUTAN"/>
        <s v="ADE MASPUROHMAN"/>
        <s v="SYARIF HIDAYAT"/>
        <s v="SYAIDATUL KHUDRI"/>
        <s v="ASEP DANI"/>
        <s v="ABDUL ZULKAFRI "/>
        <s v="NIKO IRIANTO"/>
        <s v="ADE PERMANA"/>
        <s v="SUGENG ASDODI"/>
        <s v="MN. SYAWALUDIN"/>
        <s v="SYAIFUL ANWAR"/>
        <s v="SUTRISMAN"/>
        <s v="JUNGJUNGAN SIHALOHO"/>
        <s v="AJI FAHROJI"/>
        <s v="DASWEN APURI"/>
        <s v="MUKTAR WIRADINATA"/>
        <s v="AGUNG AGUSTONO"/>
        <s v="WAHYU PANGESTU"/>
        <s v="KURNIADI SAPUTRA"/>
        <s v="MUHAMAD YUNUS"/>
        <s v="ARISMAN"/>
        <s v="KABIRUDIN"/>
        <s v="RAHMAT"/>
        <s v="ARYO PRABOWO"/>
        <s v="JAELANI"/>
        <s v="WANDA"/>
        <s v="JONATHAN ZAPTYA PURNAMA I"/>
        <s v="BUDI KUSUMAH"/>
        <s v="ABDUL ROSYID"/>
        <s v="MOHAMAD ARIF NURBAKTI"/>
        <s v="MUHAMAD SYAM"/>
        <s v="ILYAS MUJAHIDIN"/>
        <s v="AKHMAD RIZKY"/>
        <s v="SIGIT SINDU WIJAYA"/>
        <s v="DARUL FIKRI"/>
        <s v="MIFTAHUL AZIS"/>
        <s v="ISMET"/>
        <s v="AHMAD HAITAMI"/>
        <s v="DENI ISKANDAR"/>
        <s v="FERY ARDIANSYAH"/>
        <s v="SAIFUL MA'ARIF"/>
        <s v="SAMBUDI DARMAESA"/>
        <s v="ASEP SAIPULLAH"/>
        <s v="RIDWAN"/>
        <s v="DARUSALAM"/>
        <s v="DUKI SAPI'IH"/>
        <s v="MUZAID DAHLAN"/>
        <s v="M. ABDUL CIMANG"/>
        <s v="SYAFRUDIN"/>
        <s v="AHMAD HERIYANSYAH"/>
        <s v="ROBI"/>
        <s v="KARNO"/>
        <s v="ANIS"/>
        <s v="UMAEDI"/>
        <s v="MOCH. ISMAIL JAYA KUSUMA"/>
        <s v="MURSAN"/>
        <s v="BERRY YANSAH"/>
        <s v="AFIFUDIN"/>
        <s v="ARI APRIANSAH"/>
        <s v="KUKUH ANDRIYANTO"/>
        <s v="M IKHWAN NAHDLIYIN"/>
        <s v="M. KHAERUL UMAM"/>
        <s v="BABAY SUHAYANI"/>
        <s v="ISRO MAULANA"/>
        <s v="HERDIANSYAH"/>
        <s v="JAKA SURIPTO"/>
        <s v="SUPRIYATNA"/>
        <s v="NANANG KOSIM"/>
        <s v="OGIK FADHLI AL-FAUZI"/>
        <s v="DEDI MULYADI"/>
        <s v="ODIN"/>
        <s v="NURSIN"/>
        <s v="MAESA HIDIR"/>
        <s v="SUHERMAN SUHARDINI"/>
        <s v="RAHMAD"/>
        <s v="ROHMAT FADHILAH"/>
        <s v="CASNADI"/>
        <s v="ARI MAHUDI"/>
        <s v="JAENUDIN"/>
        <s v="AKHMAD FAUZI"/>
        <s v="MEMED FERMADI"/>
        <s v="SYAMSUL FAUZI"/>
        <s v="SABANI"/>
        <s v="AHMAD MAULANA"/>
        <s v="NANDO"/>
        <s v="GUNADI"/>
        <s v="MUHAMAD AMSORI"/>
        <s v="WINDU SETIAWAN"/>
        <s v="AHMAD NURIL ULUM"/>
        <s v="SURYADI"/>
        <s v="BAHORI"/>
        <s v="TAUFIK HIDAYAT"/>
        <s v="AGUNG ARIF PRIANTO"/>
        <s v="SUMARNA"/>
        <s v="BAHTIAR"/>
        <s v="MOHAMAD ABDL IKROM"/>
        <s v="ADIM KOMARUDIN"/>
        <s v="SUGANDI"/>
        <s v="NAJMUDIN"/>
        <s v="MUHDINI"/>
        <s v="AGUS BUDI PRASETIO"/>
        <s v="MUHAMMAD"/>
        <s v="FIQI ANDRIANSYAH"/>
        <s v="ALVIN IEDHA.A"/>
        <s v="IDRUS SETIAWAN"/>
        <s v="RUDI BIN HAMDANI"/>
        <s v="ASIP"/>
        <s v="MUHAMAD JUNAIDI"/>
        <s v="RIZKY SUHENDAR"/>
        <s v="TINO SETIAWAN"/>
        <s v="ACHMAD RUSDINI"/>
        <s v="M. SAMSUL BAHRI"/>
        <s v="SUPRIADI"/>
        <s v="MARSALI"/>
        <s v="MURSALIM"/>
        <s v="AHMAD SUTRISNA"/>
        <s v="FURQON FAUZIE"/>
        <s v="MAHFUDIN"/>
        <s v="AHMAD SUGERI SURYA W."/>
        <s v="SUGANDA SASMITA"/>
        <s v="MAMAT"/>
        <s v="ROJALI"/>
        <s v="MUHAMAD ALI TOPAN"/>
        <s v="SABENI"/>
        <s v="UUS FIRDAUS"/>
        <s v="NARMO"/>
        <s v="MUKHAMMAD SOLIKHIN"/>
        <s v="HELMI KRISTIAN ADITYA"/>
        <s v="THRISNA ANDREAN"/>
        <s v="MURIDAH PUSPITA SARI"/>
        <s v="DIAN PUJI LESTARI"/>
        <s v="PIPIT ARINDI"/>
        <s v="SITI KOMARIAH"/>
        <s v="TUTI RAHAYU"/>
        <s v="M. RIDWAN"/>
        <s v="ERIK SAMOLA"/>
        <s v="ELGI INDRA KURNIAWAN"/>
        <s v="UBAIDILAH"/>
        <s v="IKHSAN HANAPI"/>
        <s v="HERU SANTOSO"/>
        <s v="IMRON ROSADI"/>
        <s v="ROMLI"/>
        <s v="HABIBUL HIPZI"/>
        <s v="SOLIHIN"/>
        <s v="MATHARIS"/>
        <s v="RIZKY"/>
        <s v="ANWAR YANWARI"/>
        <s v="JAJI"/>
        <s v="YASIN SUHADA P."/>
        <s v="AHMAD SUDIROH"/>
        <s v="BAMBANG SIGIT"/>
        <s v="NURBANI SANTOSO"/>
        <s v="BUHORI"/>
        <s v="RUSTANDI"/>
        <s v="ROMIYUDIN"/>
        <s v="AHMAD SYIHABUDIN"/>
        <s v="CIPTO SUGIARTO"/>
        <s v="TOPIKULLOH"/>
        <s v="TEGUH DARSITO"/>
        <s v="AHMAD MUNAWIR"/>
        <s v="ARI ARBIANTO"/>
        <s v="ILHAN"/>
        <s v="ERWIN ABDUL RAHMAN"/>
        <s v="DEDE SUHENDAR"/>
        <s v="ZAHFARUL AL AFSOKHI"/>
        <s v="AHMAD BUSTOMI"/>
        <s v="MIFTAKHUL HIDAYAT"/>
        <s v="ARY BUDI CAHYANTO"/>
        <s v="ARYANTI"/>
        <s v="ADE HALIMAH"/>
        <s v="LILIS KURNIAWATI"/>
        <s v="SUMARNI JULIANA"/>
        <s v="DEDE IRMANAWATI"/>
        <s v="ELYANAH"/>
        <s v="DEWI PURNAMA SARI"/>
        <s v="SURYANAH"/>
        <s v="IIS HANA RAHMAWATI"/>
        <s v="WAHYUNI"/>
        <s v="HERLINA LAMBRI"/>
        <s v="DANI SETIAWAN"/>
        <s v="DEDI APRIANSYAH"/>
        <s v="NURDIN"/>
        <s v="SRI MULYANI"/>
        <s v="MUHAMMAD BADRU SOLIHIN"/>
        <s v="AHMAD SUGANDA"/>
        <s v="DHYMAS EFFENDI"/>
        <s v="INDRA WIJAYA"/>
        <s v="NURHADI"/>
        <s v="ULIT PRASETIO"/>
        <s v="CHAIRUL ANWAR"/>
        <s v="ROPIUDIN"/>
        <s v="M.SAYUTI"/>
        <s v="SYACRIZAL ALIF HILMAWAN"/>
        <s v="MUHAMMAD SANDI SAPUTRA"/>
        <s v="ANSORI"/>
        <s v="FERDI PRADANA"/>
        <s v="ADAM"/>
        <s v="SUHENDRA"/>
        <s v="ABDUL ROHMAT"/>
        <s v="ABDUL MUIZ JUNAIDI"/>
        <s v="LUTHFIAH ABDUL HAK"/>
        <s v="SUHENI"/>
        <s v="SITI SAMSIYAH WULAN DARI"/>
        <s v="SITI RUMINAH"/>
        <s v="HENI NURYANI"/>
        <s v="ELY ERNAWATI"/>
        <s v="GOKLAS DAMSON SITUNGKIR"/>
        <s v="JEJEN RISDIANTO"/>
        <s v="ARI IRAWAN"/>
        <s v="KARNATI"/>
        <s v="NURUL ALIYAH"/>
        <s v="SUTRISNA"/>
        <s v="MARSITI"/>
        <s v="ABDUL ROUP"/>
        <s v="ROMLAH"/>
        <s v="AHMAD ZAELANI"/>
        <s v="ACHMAD AQILIA RIFAI"/>
        <s v="ARI IRYANTO"/>
        <s v="JUWITA DEVTIA"/>
        <s v="MUHAMMAD SYAIPUL MIZAN"/>
        <s v="SAFITRI SYAILILLAH"/>
        <s v="YEYEN YENI WIDIA"/>
        <s v="CHAELA FATIMAH"/>
        <s v="DAFINA APRIYANI"/>
        <s v="ELSA TRISNAWATI"/>
        <s v="JATMIKO AGUNG INDRAJAT"/>
        <s v="MUHAMAD IRGIANSYAH SAPUTRA"/>
        <s v="MUHAMAD RAKA RADITYA RAMANDA"/>
        <s v="RAHMADANI"/>
        <s v="SEPTIAN DIGA HEMITIA MELKA"/>
        <s v="SYAFANA DWI A.F"/>
        <s v="M. ANDI WAHYU ROSYIDI"/>
        <s v="DINDA AL AZKIAH"/>
        <s v="M. PAVEL NAFKAH AR FATHAN"/>
        <s v="MOHAMAD AKBAR HIDAYAT"/>
        <s v="OWEN PARAPAT"/>
        <s v="MOCHAMAD ABDUL AJIS"/>
        <s v="LUFITA SARI LIANA"/>
        <s v="MAULANA RAMADHANI"/>
        <s v="NEILA RUMAINA"/>
        <s v="RAFIDZKI SEJATI"/>
        <s v="TARSISIUS ROGER BENETO PURBA"/>
        <s v="NABILA FITRIA FIRDAUS"/>
        <s v="RIAN ANDIKA SAPUTRA"/>
        <s v="FAIZ CHOIRUL NAJIB"/>
        <s v="SALSABILA FAUZIAH AMRAN"/>
        <s v="YURIH OKTARINA"/>
        <s v="THITANIA KHAIRUNISA"/>
        <s v="I KADEK ARI WIDIARTA"/>
        <s v="PUTU AGUS PRI ADI A"/>
        <s v="DEWA NYOMAN DEVA P"/>
        <s v="I DEWA MADE AGUS "/>
        <s v="RAMDAN SUSANTO"/>
        <s v="ELHAM SAPUTRO"/>
        <s v="SANDY ADITYA NUGRAHA"/>
        <s v="EKA JANUAR"/>
        <s v="MUHAMAD HISAM ALI"/>
        <s v="BINTORO"/>
        <s v="BOWO DARWANTO"/>
        <s v="ABDUL ROHIM"/>
        <s v="GUNAWAN"/>
        <s v="RADEN MAS DYONA YULIANTO"/>
        <s v="AHMAD BASRI"/>
        <s v="BAYU WIBOWO"/>
        <s v="REZA  FATHONI "/>
        <s v="TEGAR DIDIK LESMANA "/>
        <s v="ALDO ARI JULIANTO"/>
        <s v="MUHAMMAD RIZZA EKA PERMANA"/>
        <s v="AKBAR SYAHRIAL"/>
        <s v="AMARULOH"/>
        <s v="ANGGIA DHATY VIQUEQUE"/>
        <s v="PIRMAN ADIM"/>
        <s v="ABDURRAHMAN"/>
        <s v="MIFTAHUDIN"/>
        <s v="ACHMAD GOZALI"/>
        <s v="ARVI PRADANA "/>
        <s v="NANANG MURJIANTO"/>
        <s v="NANDA"/>
        <s v="MAHRUDINSYAH"/>
        <s v="DEDE YUSUF RANGKUTI "/>
        <s v="HENDRIK AFRIZAL"/>
        <s v="RAHMAT BUTAR-BUTAR"/>
        <s v="YANDI MUHAMMAD"/>
        <s v="HARI FADLI"/>
        <s v="AHMAD TANZILI"/>
        <s v="AIP RUSIDY"/>
        <s v="SURIANTON"/>
        <s v="FARIS NATAKUSUMA"/>
        <s v="ARI PURNOMO"/>
        <s v="HENDRA BUDI ARUJI"/>
        <s v="IBNU HAYAN"/>
        <s v="RIKI"/>
        <s v="ABDULLAH"/>
        <s v="AHYARUDDIN"/>
        <s v="BAMBANG PERMADI"/>
        <s v="MUHAMMAD AKBAR TANJUNG"/>
        <s v="ANUGRAH SETIA DERMAWAN"/>
        <s v="ZAKI RIFANA"/>
        <s v="ADE AMSAL PURBA"/>
        <s v="ANDIKO AFANDI"/>
        <s v="ARIF WAHYU PRAYOGI"/>
        <s v="MUHAMMAD FIKRI HARDIANSYAH"/>
        <s v="JUMI ARSA WIBAWA"/>
        <s v="JHON WESLEY NAINGGOLAN"/>
        <s v="MULIA TARIGAN"/>
        <s v="ABDUL RAHMAN SIREGAR"/>
        <s v="MUHAMMAD IBNU SARAGIH"/>
        <s v="MUHAMMAD DAHRI"/>
        <s v="FRENGKY A.F SILALAHI"/>
        <s v="BURHANSYAH ALI"/>
        <s v="EKA SAHPUTRA"/>
        <s v="IRFAN"/>
        <s v="MUHAMMAD FADLI"/>
        <s v="KYATMA AFRINO S"/>
        <s v="MAHYARUDDIN RAO"/>
        <s v="MUHAMMAD SYAM"/>
        <s v="BARA CHANIAGO"/>
        <s v="FAUZI"/>
        <s v="KURNIAWAN SYAHPUTRA"/>
        <s v="RYAN NUARI PUTRA"/>
        <s v="HAEKAL BUDI KURNIAWAN"/>
        <s v="RAJA WIRA PRATAMA SITORUS"/>
        <s v="JANTER SEM SIMBOLON"/>
        <s v="RIZKI HAMDANI LUBIS"/>
        <s v="FREDY MULI"/>
        <s v="MAULANA HARY SUWANDI"/>
        <s v="MUHAMMAD MASDIYANTO"/>
        <s v="ABDUL KHALIK"/>
        <s v="JABAL TARIK"/>
        <s v="ANDRE PANGGABEAN"/>
        <s v="FACHRURAZIE"/>
        <s v="HERI SUHAIRI"/>
        <s v="TEDDY KARUNIAWAN"/>
        <s v="ANDI FEBRI SAHPUTRA ZANDROTO"/>
        <s v="FERDI FALLO"/>
        <s v="TERA KANAF"/>
        <s v="MEIDI RAFLES SUEK"/>
        <s v="MAURITZ HANDRIANUS AMLIN LABI "/>
        <s v="HAMSAH RIADI"/>
        <s v="HENCI SIKI"/>
        <s v="HENDRA ARISTON TLOEN"/>
        <s v="MARSELINUS BRIA"/>
        <s v="IWANDRY MOOY"/>
        <s v="FILMON S MBORO"/>
        <s v="SIMSON ERASTUS NDOLU"/>
        <s v="YUNI ANDRO LORO"/>
        <s v="BAHARUDDIN ST"/>
        <s v="LALU HIPZUZZIKRI"/>
        <s v="BADIL ANJANI "/>
        <s v="MUKHAMAD KHOIRUL ROZIQIN"/>
        <s v="EFENDI SALEH"/>
        <s v="ICAD PRASETYO"/>
        <s v="MUSLIADI MALIKI"/>
        <s v="GINANJAR YUSUF"/>
        <s v="ISRAN PATAMANI"/>
        <s v="MIFTAHUL KHOIRI"/>
        <s v="LIRA ANDINI"/>
        <s v="SOSPENER LOMBONTARIANG"/>
        <s v="OKTAVIYANTO"/>
        <s v="FAIZAL WALANGADI"/>
        <s v="HAMID SOSIANG"/>
        <s v="MELCHI MENAJANG"/>
        <s v="RONNY JAMES KANDOWANGKO"/>
        <s v="WILLEM G.A AWON"/>
        <s v="RAKAPANYUDI"/>
        <s v="ZEFANYA SILVIA GOSA"/>
        <s v="AFRI WENDI "/>
        <s v="OKTAVIANES "/>
        <s v="RIDDHY SUVARNA "/>
        <s v="YUDI ARIS MUSTAQIM"/>
        <s v="DADANG KOSASI"/>
        <s v="JEPRI GULTOM"/>
        <s v="AGUNG LUHUR PUJIONO "/>
        <s v="ANDI SOLEH "/>
        <s v="KRISNA SETIAWAN "/>
        <s v="SATRIA NOVIANDRI "/>
        <s v="AGUNG SULISTIYO"/>
        <s v="HENRICUS DWI PRASETYO ARDI NUGROHO"/>
        <s v="TRI CAHYO WISNU PAMUNGKAS "/>
        <s v="WAHYU ANAS "/>
        <s v="ANDI RAHMAN"/>
        <s v="BENEDICTUS  FAJAR BUDIARTO"/>
        <s v="WINDU SAPUTRA FEBRIANZAH"/>
        <s v="DODIK WAHYU EDI NUGROHO "/>
        <s v="DOMINICUS SUPRAYOGI "/>
        <s v="PANJI WICAKSONO "/>
        <s v="WAHJUDI PRIJOSEDJATI"/>
        <s v="ZAENAL ARIF"/>
        <s v="MAULANA GUNAWAN"/>
        <s v="ARIE FERIYANTO"/>
        <s v="WARYONO"/>
        <s v="DAVIT PRASTYO "/>
        <s v="MOCHAMAD HUDA BILHAQQI"/>
        <s v="FIQO AHMAD HABIBUL ILMI"/>
        <s v="BENI ARISANDI"/>
        <s v="RAHMAD EKO CAHYONO"/>
        <s v="KUKUH ALIM SATRIYA"/>
        <s v="MOCHAMAD FARID WAHONO"/>
        <s v="KRISNA DWI"/>
        <s v="MOH.SUFAAT"/>
        <s v="ACHMAD FAJARRUDIN"/>
        <s v="M.NASIH"/>
        <s v="MOCH BUDI APRILYONO"/>
        <s v="DIANTORO"/>
        <s v="FARID KURNIAWAN"/>
        <s v="ALI MAKSUM"/>
        <s v="HANRI SOFIAN ROBIN "/>
        <s v="MOH ADHIM"/>
        <s v="ATHUR HIDAYATULLOH"/>
        <s v="ABDI FIRMAN HAKIKI "/>
        <s v="MOHAMMAD ADIB ALMUTA ALLI "/>
        <s v="NURKOLIS"/>
        <s v="MISBAHUL MUNIR"/>
        <s v="FAJAR HAKIM"/>
        <s v="MOHAMAD SAMSUL EFENDI"/>
        <s v="HADI SUSANTO"/>
        <s v="ADE FASISAL RIZAL"/>
        <s v="ACHMAD BUDHIARTO"/>
        <s v="ADITYA RIO FEBRIANTO"/>
        <s v="GIGIH WIDYARTOKO"/>
        <s v="AINUL YAQIN"/>
        <s v="ANGGA SETIAWAN"/>
        <s v="DIDIK MULYANTO"/>
        <s v="EDY WARDOYO"/>
        <s v="EFRA ANUGRAWAN"/>
        <s v="INDRA BAGUS PRAMUDIA"/>
        <s v="INDRA PRATAMA PUTRA"/>
        <s v="MUKHAMMAD ZAKARIA"/>
        <s v="YUSUF HERMAWAN"/>
        <s v="MUHAMMAD JIHADUDDIN RIFKI"/>
        <s v="RIZKI AULIA FAKHRUDDIN"/>
        <s v="ACHMAD INDRAWAN"/>
        <s v="ALI MASHURI"/>
        <s v="ADI SAPUTRO"/>
        <s v="DANY SISWANTO"/>
        <s v="AGUS RAHMAT RAFSANJANI"/>
        <s v="AFAN EFENDI"/>
        <s v="SURYO OENTORO WIGUNO"/>
        <s v="MOHAMMAD RIYAN ANDIKA"/>
        <s v="DWI AGUS ARDIANSYAH"/>
        <s v="ABDUL ROCHIM"/>
        <s v="KACUNG"/>
        <s v="SUGI UDI SANTOSO"/>
        <s v="HARI SUSANTO"/>
        <s v="DONY TRIANZ FAUZI"/>
        <s v="EKO SUYANTO"/>
        <s v="YOVI ARINGGA"/>
        <s v="MUCHAMMAD FAISOL"/>
        <s v="SAMROTUL FU'AD"/>
        <s v="YUDHA FIRMANTOKO"/>
        <s v="ISKANDAR ISMAN"/>
        <s v="IMAM FAHRUDDIN"/>
        <s v="M.FARID DAHRIL FACHRUDIN"/>
        <s v="RUDI ISWANTO"/>
        <s v="MUHAMMAD HANIF RAHMAWAN"/>
        <s v="ROBY SUGIANTORO"/>
        <s v="MUHAMAD DARUL UMAM"/>
        <s v="MUHAMAD MARZUKI"/>
        <s v="SUJITO"/>
        <s v="ACHMAD AFANDI RAMADHAN"/>
        <s v="GANGSAR WIDODO"/>
        <s v="ERRY SETIAWAN HADI"/>
        <s v="SATRIA BUDI ARIATMAJA"/>
        <s v="MUHAMMAD RUKANI"/>
        <s v="RIYO CAHYONO"/>
        <s v="NOVA SUBIANTO"/>
        <s v="MOCHAMMAD BAGUS AKBAR H."/>
        <s v="MOCH FANDI SUPRIYANTO"/>
        <s v="DWI BAGUS NUGROHO"/>
        <s v="ANANG RIZKI WAHYUDI"/>
        <s v="BAYU SETIAWAN"/>
        <s v="HERY SULISTYAWAN"/>
        <s v="ADIEN DUTA PAMUNGKAS"/>
        <s v="HAMZAH"/>
        <s v="IRWANSYAH"/>
        <s v="SYAHRIL ARDIYANSYAH"/>
        <s v="MUHAMMAD RIZAL"/>
        <s v="NUGROHO AS"/>
        <s v="ASRUL TASLIM"/>
        <s v="SYAMSUDDIN"/>
        <s v="ARFAN ARSYAD"/>
        <s v="ARIS WAHYUDI"/>
        <s v="AMIRUDDIN"/>
        <s v="MUH. JUFRI IDRIS"/>
        <s v="ACHMAD"/>
        <s v="HERI EBED"/>
        <s v="MUSTAFA"/>
        <s v="HARIADI"/>
        <s v="ABD. MUIS SYAWAL"/>
        <s v="INDRA LESMANA"/>
        <s v="MUH. ARFAH R"/>
        <s v="RISAL "/>
        <s v="AHMAD"/>
        <s v="ARI SAHRIAL"/>
        <s v="JUNAID"/>
        <s v="SAMSUL BIN MUHD SALEH"/>
        <s v="EDI SAPUTRO"/>
        <s v="PAHRUL"/>
        <s v="ZULFAHMI"/>
        <s v="FAJAR"/>
        <s v="NAWIR"/>
        <s v="ARDIANSYAH"/>
        <s v="AL ISRAL"/>
        <s v="FIRMANSYAH"/>
        <s v="MULIADI"/>
        <s v="NASRUL"/>
        <s v="HUSNUL YAQIN"/>
        <s v="DARWIS"/>
        <s v="ABD MUNIR"/>
        <s v="FAJRIANSYAH"/>
        <s v="JUMRANG"/>
        <s v="SUDIRMAN"/>
        <s v="FAISAL"/>
        <s v="ABD RAHMAN"/>
        <s v="HENDRA JAMALUDDIN"/>
        <s v="SUARDI"/>
        <s v="H. AZIS"/>
        <s v="SAHARUDDIN"/>
        <s v="HAERUL"/>
        <s v="SYAHRULLAH AR"/>
        <s v="IWAN.S"/>
        <s v="MUCHTAR JAYA"/>
        <s v="MUH. IRVAN ILMAR R."/>
        <s v="MUH AKBAR FAUZAN"/>
        <s v="YOGI PRATAMA"/>
        <s v="MUH IKRAM"/>
        <s v="SOFYAN"/>
        <s v="IKRAM JUIRMAN"/>
        <s v="SUTRIYADI"/>
      </sharedItems>
    </cacheField>
    <cacheField name="NO. ID" numFmtId="0">
      <sharedItems containsSemiMixedTypes="0" containsString="0" containsNumber="1" containsInteger="1" minValue="131240" maxValue="87074719"/>
    </cacheField>
    <cacheField name="STATION" numFmtId="0">
      <sharedItems count="20">
        <s v="CGK"/>
        <s v="AMQ"/>
        <s v="BPN"/>
        <s v="BTH"/>
        <s v="CBN"/>
        <s v="DPS"/>
        <s v="HLP"/>
        <s v="KNO"/>
        <s v="KOE"/>
        <s v="LOP"/>
        <s v="MDC"/>
        <s v="PDG"/>
        <s v="PKU "/>
        <s v="PLM "/>
        <s v="SRG"/>
        <s v="SOC"/>
        <s v="SUB"/>
        <s v="UPG"/>
        <s v="YIA "/>
        <s v="KNO " u="1"/>
      </sharedItems>
    </cacheField>
    <cacheField name="JABATAN " numFmtId="0">
      <sharedItems count="83">
        <s v="PEMBINA CABIN MAINTENANCE"/>
        <s v="ASST. PEMBINA ( DEPUTY )"/>
        <s v="PIC CBM PROD. INSPECTION"/>
        <s v="SURVEYOR ( PI )"/>
        <s v="PIC CABIN SUPPORTING"/>
        <s v="GROUP LEADER CBM SUPPORTING GENERAL &amp; ASSET"/>
        <s v="STAFF CABIN SUPPORTING"/>
        <s v="PIC CBM ON-DUTY ( CONTROLLER )"/>
        <s v="GROUP LEADER CBM ON-DUTY A"/>
        <s v="GROUP LEADER CBM ON-DUTY C"/>
        <s v="GROUP LEADER CBM ON-DUTY D"/>
        <s v="PIC AIRCRAFT PAINTING"/>
        <s v="AIRCRAFT PAINTING "/>
        <s v="GROUP LEADER CBM AMQ "/>
        <s v="MEKANIK CBM"/>
        <s v="STAFF AC ( AIRCRAFT CLEANING )"/>
        <s v="GROUP LEADER AIEC BPN"/>
        <s v="GROUP LEADER AIEC BTH"/>
        <s v="PIC CBM MAIN STATION"/>
        <s v="GROUP LEADER CBM IRREG &amp; PROJECT ( ASSIST. PIC MAINSTA )"/>
        <s v="GROUP LEADER CBM OPS A"/>
        <s v="GROUP LEADER CBM OPS B"/>
        <s v="GROUP LEADER CBM WO/DMI/NSRDIL/TS D"/>
        <s v="GROUP LEADER CBM WO/DMI/NSRDIL/TS A"/>
        <s v="GROUP LEADER CBM IRREG &amp; PROJECT B"/>
        <s v="GROUP LEADER CBM WO/DMI/NSRDIL/TS C"/>
        <s v="GROUP LEADER CBM WO/DMI/NSRDIL/TS B"/>
        <s v="GROUP LEADER CBM OPS C"/>
        <s v="GROUP LEADER CBM OPS D "/>
        <s v="GROUP LEADER CBM IRREG &amp; PROJECT A"/>
        <s v="PIC AIEC MAIN STATION"/>
        <s v="PIC AIEC OUT STATION"/>
        <s v="GROUP LEADER AIC T2E-B"/>
        <s v="GROUP LEADER AIC T2D-A"/>
        <s v="GROUP LEADER AIC T1A-B"/>
        <s v="GROUP LEADER AEC B"/>
        <s v="GROUP LEADER AIC T1A-C"/>
        <s v="GROUP LEADER AEC A"/>
        <s v="GROUP LEADER AIC T2E-A"/>
        <s v="GROUP LEADER AIC T2E-C"/>
        <s v="GROUP LEADER AIC T2D-B"/>
        <s v="GROUP LEADER AIC T2D-C"/>
        <s v="GROUP LEADER AIC T1A-A"/>
        <s v="GROUP LEADER CBM DPS"/>
        <s v="GROUP LEADER CBM HLP A"/>
        <s v="GROUP LEADER CBM HLP B"/>
        <s v="GROUP LEADER CBM HLP C"/>
        <s v="GROUP LEADER CBM HLP D"/>
        <s v="GROUP LEADER AIEC HLP"/>
        <s v="PIC CBM OUTSTATION-B"/>
        <s v="GROUP LEADER CBM KNO A"/>
        <s v="GROUP LEADER CBM KNO B"/>
        <s v="GROUP LEADER CBM KNO C"/>
        <s v="GROUP LEADER CBM KNO D"/>
        <s v="GROUP LEADER AIEC KNO C"/>
        <s v="GROUP LEADER AIEC KNO A"/>
        <s v="GROUP LEADER AIEC KNO B"/>
        <s v="GROUP LEADER AIEC KNO D"/>
        <s v="GROUP LEADER CBM KOE"/>
        <s v="MEKANIK CBM "/>
        <s v="GROUP LEADER AIEC KOE"/>
        <s v="GROUP LEADER CBM MDC"/>
        <s v="GROUP LEADER AIEC MDC - AMQ"/>
        <s v="GROUP LEADER CBM PLM "/>
        <s v="GROUP LEADER CBM SRG"/>
        <s v="GROUP LEADER CBM SOC"/>
        <s v="PIC CBM OUTSTATION-A"/>
        <s v="GROUP LEADER CBM SUB A"/>
        <s v="GROUP LEADER CBM SUB B"/>
        <s v="GROUP LEADER CBM SUB C"/>
        <s v="GROUP LEADER CBM SUB D"/>
        <s v="GROUP LEADER AIEC SUB A"/>
        <s v="GROUP LEADER AIEC SUB B"/>
        <s v="GROUP LEADER AIEC SUB C"/>
        <s v="GROUP LEADER AIEC SUB D"/>
        <s v="GROUP LEADER CBM UPG A"/>
        <s v="GROUP LEADER CBM UPG C"/>
        <s v="GROUP LEADER CBM UPG D"/>
        <s v="GROUP LEADER CBM UPG B"/>
        <s v="GROUP LEADER AIEC UPG A"/>
        <s v="GROUP LEADER AIEC UPG B"/>
        <s v="GROUP LEADER AIEC UPG C"/>
        <s v="GROUP LEADER AIEC UPG D"/>
      </sharedItems>
    </cacheField>
    <cacheField name="DIREKTORAT " numFmtId="0">
      <sharedItems/>
    </cacheField>
    <cacheField name="JENIS KELAMIN " numFmtId="0">
      <sharedItems/>
    </cacheField>
    <cacheField name="ATASAN LANGSUNG ( PIC,DEPUTY,DLL ) " numFmtId="0">
      <sharedItems count="11">
        <s v="DENNIS FEBRIAN KIRANA"/>
        <s v="NU'MAN ERIANDA"/>
        <s v="BAMBANG YULIARDI"/>
        <s v="HARIS AFENI "/>
        <s v="M. ROKIB"/>
        <s v="AHMAD FATHUROHMAN"/>
        <s v="NASRUDIN"/>
        <s v="WAHJUDI PRIJOSEDJATI"/>
        <s v="SUPRIYATNA"/>
        <s v="NANANG MURJIANTO"/>
        <s v="JAKA SURIPTO "/>
      </sharedItems>
    </cacheField>
    <cacheField name="TMT" numFmtId="0">
      <sharedItems containsSemiMixedTypes="0" containsNonDate="0" containsDate="1" containsString="0" minDate="1899-12-30T00:00:00" maxDate="2025-11-26T00:00:00"/>
    </cacheField>
    <cacheField name="LAMA BEKERJ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1">
  <r>
    <n v="1"/>
    <x v="0"/>
    <n v="53030503"/>
    <x v="0"/>
    <x v="0"/>
    <s v="BAT "/>
    <s v="L"/>
    <x v="0"/>
    <d v="2003-02-01T00:00:00"/>
    <s v="23 Tahun 7 Bulan 27 Hari"/>
  </r>
  <r>
    <n v="2"/>
    <x v="1"/>
    <n v="83064072"/>
    <x v="0"/>
    <x v="1"/>
    <s v="BAT "/>
    <s v="L"/>
    <x v="1"/>
    <d v="2006-12-01T00:00:00"/>
    <s v="19 Tahun 9 Bulan 27 Hari"/>
  </r>
  <r>
    <n v="3"/>
    <x v="2"/>
    <n v="53020311"/>
    <x v="0"/>
    <x v="2"/>
    <s v="BAT "/>
    <s v="L"/>
    <x v="1"/>
    <d v="2011-12-26T00:00:00"/>
    <s v="14 Tahun 9 Bulan 2 Hari"/>
  </r>
  <r>
    <n v="4"/>
    <x v="3"/>
    <n v="240740"/>
    <x v="0"/>
    <x v="3"/>
    <s v="AAS"/>
    <s v="P"/>
    <x v="2"/>
    <d v="2010-06-14T00:00:00"/>
    <s v="16 Tahun 3 Bulan 14 Hari"/>
  </r>
  <r>
    <n v="5"/>
    <x v="4"/>
    <n v="240879"/>
    <x v="0"/>
    <x v="3"/>
    <s v="AAS"/>
    <s v="P"/>
    <x v="2"/>
    <d v="2013-12-09T00:00:00"/>
    <s v="12 Tahun 9 Bulan 19 Hari"/>
  </r>
  <r>
    <n v="6"/>
    <x v="5"/>
    <n v="53041523"/>
    <x v="0"/>
    <x v="3"/>
    <s v="BAT "/>
    <s v="L"/>
    <x v="2"/>
    <d v="2011-05-10T00:00:00"/>
    <s v="15 Tahun 4 Bulan 18 Hari"/>
  </r>
  <r>
    <n v="7"/>
    <x v="6"/>
    <n v="241923"/>
    <x v="0"/>
    <x v="3"/>
    <s v="AAS"/>
    <s v="L"/>
    <x v="2"/>
    <d v="2010-07-27T00:00:00"/>
    <s v="16 Tahun 2 Bulan 1 Hari"/>
  </r>
  <r>
    <n v="8"/>
    <x v="7"/>
    <n v="241924"/>
    <x v="0"/>
    <x v="3"/>
    <s v="AAS"/>
    <s v="P"/>
    <x v="2"/>
    <d v="2011-12-12T00:00:00"/>
    <s v="14 Tahun 9 Bulan 16 Hari"/>
  </r>
  <r>
    <n v="9"/>
    <x v="8"/>
    <n v="241925"/>
    <x v="0"/>
    <x v="3"/>
    <s v="AAS"/>
    <s v="L"/>
    <x v="2"/>
    <d v="2015-03-11T00:00:00"/>
    <s v="11 Tahun 6 Bulan 17 Hari"/>
  </r>
  <r>
    <n v="10"/>
    <x v="9"/>
    <n v="241926"/>
    <x v="0"/>
    <x v="3"/>
    <s v="AAS"/>
    <s v="L"/>
    <x v="2"/>
    <d v="2015-08-03T00:00:00"/>
    <s v="11 Tahun 1 Bulan 25 Hari"/>
  </r>
  <r>
    <n v="11"/>
    <x v="10"/>
    <n v="83075849"/>
    <x v="0"/>
    <x v="3"/>
    <s v="BAT "/>
    <s v="L"/>
    <x v="2"/>
    <d v="2007-12-26T00:00:00"/>
    <s v="18 Tahun 9 Bulan 2 Hari"/>
  </r>
  <r>
    <n v="12"/>
    <x v="11"/>
    <n v="83119910"/>
    <x v="0"/>
    <x v="4"/>
    <s v="BAT "/>
    <s v="L"/>
    <x v="1"/>
    <d v="2011-12-26T00:00:00"/>
    <s v="14 Tahun 9 Bulan 2 Hari"/>
  </r>
  <r>
    <n v="13"/>
    <x v="12"/>
    <n v="83063945"/>
    <x v="0"/>
    <x v="5"/>
    <s v="BAT "/>
    <s v="L"/>
    <x v="3"/>
    <d v="2010-08-16T00:00:00"/>
    <s v="16 Tahun 1 Bulan 12 Hari"/>
  </r>
  <r>
    <n v="14"/>
    <x v="13"/>
    <n v="83102747"/>
    <x v="0"/>
    <x v="6"/>
    <s v="BAT "/>
    <s v="P"/>
    <x v="3"/>
    <d v="2010-06-14T00:00:00"/>
    <s v="16 Tahun 3 Bulan 14 Hari"/>
  </r>
  <r>
    <n v="15"/>
    <x v="14"/>
    <n v="83130108"/>
    <x v="0"/>
    <x v="6"/>
    <s v="BAT "/>
    <s v="P"/>
    <x v="3"/>
    <d v="2013-01-16T00:00:00"/>
    <s v="13 Tahun 8 Bulan 12 Hari"/>
  </r>
  <r>
    <n v="16"/>
    <x v="15"/>
    <n v="240862"/>
    <x v="0"/>
    <x v="6"/>
    <s v="AAS"/>
    <s v="L"/>
    <x v="3"/>
    <d v="2015-03-09T00:00:00"/>
    <s v="11 Tahun 6 Bulan 19 Hari"/>
  </r>
  <r>
    <n v="17"/>
    <x v="16"/>
    <n v="240863"/>
    <x v="0"/>
    <x v="6"/>
    <s v="AAS"/>
    <s v="L"/>
    <x v="3"/>
    <d v="2015-03-09T00:00:00"/>
    <s v="11 Tahun 6 Bulan 19 Hari"/>
  </r>
  <r>
    <n v="18"/>
    <x v="17"/>
    <n v="241551"/>
    <x v="0"/>
    <x v="6"/>
    <s v="AAS"/>
    <s v="P"/>
    <x v="3"/>
    <d v="2010-10-28T00:00:00"/>
    <s v="15 Tahun 11 Bulan 0 Hari"/>
  </r>
  <r>
    <n v="19"/>
    <x v="18"/>
    <n v="142262"/>
    <x v="0"/>
    <x v="6"/>
    <s v="BAT "/>
    <s v="L"/>
    <x v="3"/>
    <d v="2014-10-13T00:00:00"/>
    <s v="11 Tahun 11 Bulan 15 Hari"/>
  </r>
  <r>
    <n v="20"/>
    <x v="19"/>
    <n v="83102209"/>
    <x v="0"/>
    <x v="6"/>
    <s v="BAT "/>
    <s v="L"/>
    <x v="4"/>
    <d v="2010-04-10T00:00:00"/>
    <s v="16 Tahun 5 Bulan 18 Hari"/>
  </r>
  <r>
    <n v="21"/>
    <x v="20"/>
    <n v="146480"/>
    <x v="0"/>
    <x v="6"/>
    <s v="BAT "/>
    <s v="L"/>
    <x v="3"/>
    <d v="2014-11-06T00:00:00"/>
    <s v="11 Tahun 10 Bulan 22 Hari"/>
  </r>
  <r>
    <n v="22"/>
    <x v="21"/>
    <n v="84122960"/>
    <x v="0"/>
    <x v="6"/>
    <s v="BAT "/>
    <s v="L"/>
    <x v="3"/>
    <d v="2012-08-01T00:00:00"/>
    <s v="14 Tahun 1 Bulan 27 Hari"/>
  </r>
  <r>
    <n v="23"/>
    <x v="22"/>
    <n v="83099398"/>
    <x v="0"/>
    <x v="7"/>
    <s v="BAT "/>
    <s v="L"/>
    <x v="1"/>
    <d v="2009-02-15T00:00:00"/>
    <s v="17 Tahun 7 Bulan 13 Hari"/>
  </r>
  <r>
    <n v="24"/>
    <x v="23"/>
    <n v="152475"/>
    <x v="0"/>
    <x v="8"/>
    <s v="BAT "/>
    <s v="L"/>
    <x v="5"/>
    <d v="2015-08-03T00:00:00"/>
    <s v="11 Tahun 1 Bulan 25 Hari"/>
  </r>
  <r>
    <n v="25"/>
    <x v="24"/>
    <n v="145323"/>
    <x v="0"/>
    <x v="9"/>
    <s v="BAT "/>
    <s v="L"/>
    <x v="5"/>
    <d v="2014-10-14T00:00:00"/>
    <s v="11 Tahun 11 Bulan 14 Hari"/>
  </r>
  <r>
    <n v="26"/>
    <x v="25"/>
    <n v="135040"/>
    <x v="0"/>
    <x v="10"/>
    <s v="BAT "/>
    <s v="L"/>
    <x v="5"/>
    <d v="2013-10-28T00:00:00"/>
    <s v="12 Tahun 11 Bulan 0 Hari"/>
  </r>
  <r>
    <n v="27"/>
    <x v="26"/>
    <n v="145340"/>
    <x v="0"/>
    <x v="11"/>
    <s v="BAT "/>
    <s v="L"/>
    <x v="1"/>
    <d v="2014-10-13T00:00:00"/>
    <s v="11 Tahun 11 Bulan 15 Hari"/>
  </r>
  <r>
    <n v="28"/>
    <x v="27"/>
    <n v="53030972"/>
    <x v="0"/>
    <x v="12"/>
    <s v="BAT "/>
    <s v="L"/>
    <x v="6"/>
    <d v="2003-08-01T00:00:00"/>
    <s v="23 Tahun 1 Bulan 27 Hari"/>
  </r>
  <r>
    <n v="29"/>
    <x v="28"/>
    <n v="150978"/>
    <x v="0"/>
    <x v="12"/>
    <s v="BAT "/>
    <s v="L"/>
    <x v="6"/>
    <d v="2015-03-11T00:00:00"/>
    <s v="11 Tahun 6 Bulan 17 Hari"/>
  </r>
  <r>
    <n v="30"/>
    <x v="29"/>
    <n v="152472"/>
    <x v="0"/>
    <x v="12"/>
    <s v="BAT "/>
    <s v="L"/>
    <x v="6"/>
    <d v="2015-08-03T00:00:00"/>
    <s v="11 Tahun 1 Bulan 25 Hari"/>
  </r>
  <r>
    <n v="31"/>
    <x v="30"/>
    <n v="135016"/>
    <x v="0"/>
    <x v="12"/>
    <s v="BAT "/>
    <s v="L"/>
    <x v="6"/>
    <d v="2025-07-16T00:00:00"/>
    <s v="1 Tahun 2 Bulan 12 Hari"/>
  </r>
  <r>
    <n v="32"/>
    <x v="31"/>
    <n v="131844"/>
    <x v="0"/>
    <x v="12"/>
    <s v="BAT "/>
    <s v="L"/>
    <x v="6"/>
    <d v="2013-05-16T00:00:00"/>
    <s v="13 Tahun 4 Bulan 12 Hari"/>
  </r>
  <r>
    <n v="33"/>
    <x v="32"/>
    <n v="83123903"/>
    <x v="0"/>
    <x v="12"/>
    <s v="BAT "/>
    <s v="L"/>
    <x v="6"/>
    <d v="2012-10-15T00:00:00"/>
    <s v="13 Tahun 11 Bulan 13 Hari"/>
  </r>
  <r>
    <n v="34"/>
    <x v="33"/>
    <n v="145524"/>
    <x v="0"/>
    <x v="12"/>
    <s v="BAT "/>
    <s v="L"/>
    <x v="6"/>
    <d v="2014-10-13T00:00:00"/>
    <s v="11 Tahun 11 Bulan 15 Hari"/>
  </r>
  <r>
    <n v="35"/>
    <x v="34"/>
    <n v="83123901"/>
    <x v="0"/>
    <x v="12"/>
    <s v="BAT "/>
    <s v="L"/>
    <x v="6"/>
    <d v="2012-10-15T00:00:00"/>
    <s v="13 Tahun 11 Bulan 13 Hari"/>
  </r>
  <r>
    <n v="36"/>
    <x v="35"/>
    <n v="145526"/>
    <x v="0"/>
    <x v="12"/>
    <s v="BAT "/>
    <s v="L"/>
    <x v="6"/>
    <d v="2014-10-13T00:00:00"/>
    <s v="11 Tahun 11 Bulan 15 Hari"/>
  </r>
  <r>
    <n v="37"/>
    <x v="36"/>
    <n v="53031290"/>
    <x v="0"/>
    <x v="12"/>
    <s v="BAT "/>
    <s v="L"/>
    <x v="6"/>
    <d v="2003-10-01T00:00:00"/>
    <s v="22 Tahun 11 Bulan 27 Hari"/>
  </r>
  <r>
    <n v="38"/>
    <x v="37"/>
    <n v="53041688"/>
    <x v="0"/>
    <x v="12"/>
    <s v="BAT "/>
    <s v="L"/>
    <x v="6"/>
    <d v="2004-05-01T00:00:00"/>
    <s v="22 Tahun 4 Bulan 27 Hari"/>
  </r>
  <r>
    <n v="39"/>
    <x v="38"/>
    <n v="135028"/>
    <x v="0"/>
    <x v="12"/>
    <s v="BAT "/>
    <s v="L"/>
    <x v="6"/>
    <d v="2013-10-28T00:00:00"/>
    <s v="12 Tahun 11 Bulan 0 Hari"/>
  </r>
  <r>
    <n v="40"/>
    <x v="39"/>
    <n v="131857"/>
    <x v="0"/>
    <x v="12"/>
    <s v="BAT "/>
    <s v="L"/>
    <x v="6"/>
    <d v="2013-05-16T00:00:00"/>
    <s v="13 Tahun 4 Bulan 12 Hari"/>
  </r>
  <r>
    <n v="41"/>
    <x v="40"/>
    <n v="146479"/>
    <x v="0"/>
    <x v="12"/>
    <s v="BAT "/>
    <s v="L"/>
    <x v="6"/>
    <d v="2014-11-06T00:00:00"/>
    <s v="11 Tahun 10 Bulan 22 Hari"/>
  </r>
  <r>
    <n v="42"/>
    <x v="41"/>
    <n v="145059"/>
    <x v="1"/>
    <x v="13"/>
    <s v="BAT "/>
    <s v="L"/>
    <x v="7"/>
    <d v="2014-08-11T00:00:00"/>
    <s v="12 Tahun 1 Bulan 17 Hari"/>
  </r>
  <r>
    <n v="43"/>
    <x v="42"/>
    <n v="191558"/>
    <x v="1"/>
    <x v="14"/>
    <s v="BAT "/>
    <s v="L"/>
    <x v="7"/>
    <d v="2019-05-09T00:00:00"/>
    <s v="7 Tahun 4 Bulan 19 Hari"/>
  </r>
  <r>
    <n v="44"/>
    <x v="43"/>
    <n v="131642"/>
    <x v="1"/>
    <x v="14"/>
    <s v="BAT "/>
    <s v="L"/>
    <x v="7"/>
    <d v="2013-05-01T00:00:00"/>
    <s v="13 Tahun 4 Bulan 27 Hari"/>
  </r>
  <r>
    <n v="45"/>
    <x v="44"/>
    <n v="83091136"/>
    <x v="1"/>
    <x v="14"/>
    <s v="BAT "/>
    <s v="L"/>
    <x v="7"/>
    <d v="2009-10-01T00:00:00"/>
    <s v="16 Tahun 11 Bulan 27 Hari"/>
  </r>
  <r>
    <n v="46"/>
    <x v="45"/>
    <n v="133572"/>
    <x v="1"/>
    <x v="15"/>
    <s v="BAT "/>
    <s v="L"/>
    <x v="8"/>
    <d v="2013-08-15T00:00:00"/>
    <s v="13 Tahun 1 Bulan 13 Hari"/>
  </r>
  <r>
    <n v="47"/>
    <x v="46"/>
    <n v="135259"/>
    <x v="1"/>
    <x v="15"/>
    <s v="BAT "/>
    <s v="L"/>
    <x v="8"/>
    <d v="2013-10-01T00:00:00"/>
    <s v="12 Tahun 11 Bulan 27 Hari"/>
  </r>
  <r>
    <n v="48"/>
    <x v="47"/>
    <n v="83103629"/>
    <x v="1"/>
    <x v="15"/>
    <s v="BAT "/>
    <s v="L"/>
    <x v="8"/>
    <d v="2010-08-16T00:00:00"/>
    <s v="16 Tahun 1 Bulan 12 Hari"/>
  </r>
  <r>
    <n v="49"/>
    <x v="48"/>
    <n v="83040148"/>
    <x v="2"/>
    <x v="14"/>
    <s v="BAT "/>
    <s v="L"/>
    <x v="7"/>
    <d v="2004-01-01T00:00:00"/>
    <s v="22 Tahun 8 Bulan 27 Hari"/>
  </r>
  <r>
    <n v="50"/>
    <x v="49"/>
    <n v="131846"/>
    <x v="2"/>
    <x v="14"/>
    <s v="BAT "/>
    <s v="L"/>
    <x v="7"/>
    <d v="2013-05-16T00:00:00"/>
    <s v="13 Tahun 4 Bulan 12 Hari"/>
  </r>
  <r>
    <n v="51"/>
    <x v="50"/>
    <n v="142172"/>
    <x v="2"/>
    <x v="14"/>
    <s v="BAT "/>
    <s v="L"/>
    <x v="7"/>
    <d v="2014-04-17T00:00:00"/>
    <s v="12 Tahun 5 Bulan 11 Hari"/>
  </r>
  <r>
    <n v="52"/>
    <x v="51"/>
    <n v="131240"/>
    <x v="2"/>
    <x v="16"/>
    <s v="AAS"/>
    <s v="L"/>
    <x v="8"/>
    <d v="2013-03-21T00:00:00"/>
    <s v="13 Tahun 6 Bulan 7 Hari"/>
  </r>
  <r>
    <n v="53"/>
    <x v="52"/>
    <n v="83120957"/>
    <x v="2"/>
    <x v="15"/>
    <s v="AAS"/>
    <s v="L"/>
    <x v="8"/>
    <d v="2012-03-21T00:00:00"/>
    <s v="14 Tahun 6 Bulan 7 Hari"/>
  </r>
  <r>
    <n v="54"/>
    <x v="53"/>
    <n v="83119823"/>
    <x v="2"/>
    <x v="15"/>
    <s v="AAS"/>
    <s v="L"/>
    <x v="8"/>
    <d v="2011-12-06T00:00:00"/>
    <s v="14 Tahun 9 Bulan 22 Hari"/>
  </r>
  <r>
    <n v="55"/>
    <x v="54"/>
    <n v="142954"/>
    <x v="2"/>
    <x v="15"/>
    <s v="AAS"/>
    <s v="L"/>
    <x v="8"/>
    <d v="2014-05-16T00:00:00"/>
    <s v="12 Tahun 4 Bulan 12 Hari"/>
  </r>
  <r>
    <n v="56"/>
    <x v="55"/>
    <n v="145964"/>
    <x v="2"/>
    <x v="15"/>
    <s v="AAS"/>
    <s v="L"/>
    <x v="8"/>
    <d v="2014-10-14T00:00:00"/>
    <s v="11 Tahun 11 Bulan 14 Hari"/>
  </r>
  <r>
    <n v="57"/>
    <x v="56"/>
    <n v="160810"/>
    <x v="2"/>
    <x v="15"/>
    <s v="AAS"/>
    <s v="L"/>
    <x v="8"/>
    <d v="2016-03-21T00:00:00"/>
    <s v="10 Tahun 6 Bulan 7 Hari"/>
  </r>
  <r>
    <n v="58"/>
    <x v="57"/>
    <n v="146097"/>
    <x v="2"/>
    <x v="15"/>
    <s v="AAS"/>
    <s v="L"/>
    <x v="8"/>
    <d v="2014-10-22T00:00:00"/>
    <s v="11 Tahun 11 Bulan 6 Hari"/>
  </r>
  <r>
    <n v="59"/>
    <x v="58"/>
    <n v="146453"/>
    <x v="2"/>
    <x v="15"/>
    <s v="AAS"/>
    <s v="L"/>
    <x v="8"/>
    <d v="2014-11-02T00:00:00"/>
    <s v="11 Tahun 10 Bulan 26 Hari"/>
  </r>
  <r>
    <n v="60"/>
    <x v="59"/>
    <n v="146112"/>
    <x v="2"/>
    <x v="15"/>
    <s v="AAS"/>
    <s v="L"/>
    <x v="8"/>
    <d v="2014-11-02T00:00:00"/>
    <s v="11 Tahun 10 Bulan 26 Hari"/>
  </r>
  <r>
    <n v="61"/>
    <x v="60"/>
    <n v="160797"/>
    <x v="2"/>
    <x v="15"/>
    <s v="AAS"/>
    <s v="L"/>
    <x v="8"/>
    <d v="2016-03-21T00:00:00"/>
    <s v="10 Tahun 6 Bulan 7 Hari"/>
  </r>
  <r>
    <n v="62"/>
    <x v="61"/>
    <n v="153242"/>
    <x v="2"/>
    <x v="15"/>
    <s v="AAS"/>
    <s v="L"/>
    <x v="8"/>
    <d v="2015-09-07T00:00:00"/>
    <s v="11 Tahun 0 Bulan 21 Hari"/>
  </r>
  <r>
    <n v="63"/>
    <x v="62"/>
    <n v="160829"/>
    <x v="2"/>
    <x v="15"/>
    <s v="AAS"/>
    <s v="L"/>
    <x v="8"/>
    <d v="2016-03-21T00:00:00"/>
    <s v="10 Tahun 6 Bulan 7 Hari"/>
  </r>
  <r>
    <n v="64"/>
    <x v="63"/>
    <n v="173162"/>
    <x v="2"/>
    <x v="15"/>
    <s v="AAS"/>
    <s v="L"/>
    <x v="8"/>
    <d v="2017-12-01T00:00:00"/>
    <s v="8 Tahun 9 Bulan 27 Hari"/>
  </r>
  <r>
    <n v="65"/>
    <x v="64"/>
    <n v="145973"/>
    <x v="2"/>
    <x v="15"/>
    <s v="AAS"/>
    <s v="L"/>
    <x v="8"/>
    <d v="2014-10-16T00:00:00"/>
    <s v="11 Tahun 11 Bulan 12 Hari"/>
  </r>
  <r>
    <n v="66"/>
    <x v="65"/>
    <n v="155000"/>
    <x v="3"/>
    <x v="17"/>
    <s v="AAS"/>
    <s v="L"/>
    <x v="8"/>
    <d v="2015-12-21T00:00:00"/>
    <s v="10 Tahun 9 Bulan 7 Hari"/>
  </r>
  <r>
    <n v="67"/>
    <x v="66"/>
    <n v="155002"/>
    <x v="3"/>
    <x v="15"/>
    <s v="AAS"/>
    <s v="L"/>
    <x v="8"/>
    <d v="2015-12-21T00:00:00"/>
    <s v="10 Tahun 9 Bulan 7 Hari"/>
  </r>
  <r>
    <n v="68"/>
    <x v="67"/>
    <n v="173528"/>
    <x v="3"/>
    <x v="15"/>
    <s v="AAS"/>
    <s v="L"/>
    <x v="8"/>
    <d v="2017-12-25T00:00:00"/>
    <s v="8 Tahun 9 Bulan 3 Hari"/>
  </r>
  <r>
    <n v="69"/>
    <x v="68"/>
    <n v="144643"/>
    <x v="3"/>
    <x v="15"/>
    <s v="AAS"/>
    <s v="L"/>
    <x v="8"/>
    <d v="2014-09-01T00:00:00"/>
    <s v="12 Tahun 0 Bulan 27 Hari"/>
  </r>
  <r>
    <n v="70"/>
    <x v="69"/>
    <n v="173512"/>
    <x v="3"/>
    <x v="15"/>
    <s v="AAS"/>
    <s v="L"/>
    <x v="8"/>
    <d v="2017-12-20T00:00:00"/>
    <s v="8 Tahun 9 Bulan 8 Hari"/>
  </r>
  <r>
    <n v="71"/>
    <x v="70"/>
    <n v="183399"/>
    <x v="3"/>
    <x v="15"/>
    <s v="AAS"/>
    <s v="L"/>
    <x v="8"/>
    <d v="2018-10-12T00:00:00"/>
    <s v="7 Tahun 11 Bulan 16 Hari"/>
  </r>
  <r>
    <n v="72"/>
    <x v="71"/>
    <n v="143708"/>
    <x v="3"/>
    <x v="14"/>
    <s v="BAT "/>
    <s v="L"/>
    <x v="9"/>
    <d v="2014-06-16T00:00:00"/>
    <s v="12 Tahun 3 Bulan 12 Hari"/>
  </r>
  <r>
    <n v="73"/>
    <x v="72"/>
    <n v="142531"/>
    <x v="3"/>
    <x v="14"/>
    <s v="BAT "/>
    <s v="L"/>
    <x v="9"/>
    <d v="2014-05-05T00:00:00"/>
    <s v="12 Tahun 4 Bulan 23 Hari"/>
  </r>
  <r>
    <n v="74"/>
    <x v="73"/>
    <n v="84087034"/>
    <x v="4"/>
    <x v="15"/>
    <s v="BAT "/>
    <s v="L"/>
    <x v="10"/>
    <d v="2008-06-11T00:00:00"/>
    <s v="18 Tahun 3 Bulan 17 Hari"/>
  </r>
  <r>
    <n v="75"/>
    <x v="74"/>
    <n v="171981"/>
    <x v="4"/>
    <x v="15"/>
    <s v="BAT "/>
    <s v="L"/>
    <x v="10"/>
    <d v="2017-09-25T00:00:00"/>
    <s v="9 Tahun 0 Bulan 3 Hari"/>
  </r>
  <r>
    <n v="76"/>
    <x v="75"/>
    <n v="83040043"/>
    <x v="0"/>
    <x v="18"/>
    <s v="BAT "/>
    <s v="L"/>
    <x v="1"/>
    <d v="2003-09-01T00:00:00"/>
    <s v="23 Tahun 0 Bulan 27 Hari"/>
  </r>
  <r>
    <n v="77"/>
    <x v="76"/>
    <n v="83040027"/>
    <x v="0"/>
    <x v="19"/>
    <s v="BAT "/>
    <s v="L"/>
    <x v="4"/>
    <d v="2003-09-30T00:00:00"/>
    <s v="22 Tahun 11 Bulan 29 Hari"/>
  </r>
  <r>
    <n v="78"/>
    <x v="77"/>
    <n v="83075489"/>
    <x v="0"/>
    <x v="14"/>
    <s v="BAT "/>
    <s v="L"/>
    <x v="4"/>
    <d v="2007-10-20T00:00:00"/>
    <s v="18 Tahun 11 Bulan 8 Hari"/>
  </r>
  <r>
    <n v="79"/>
    <x v="78"/>
    <n v="83122942"/>
    <x v="0"/>
    <x v="14"/>
    <s v="BAT "/>
    <s v="L"/>
    <x v="4"/>
    <d v="2012-08-01T00:00:00"/>
    <s v="14 Tahun 1 Bulan 27 Hari"/>
  </r>
  <r>
    <n v="80"/>
    <x v="79"/>
    <n v="83102220"/>
    <x v="0"/>
    <x v="14"/>
    <s v="BAT "/>
    <s v="L"/>
    <x v="4"/>
    <d v="2010-04-15T00:00:00"/>
    <s v="16 Tahun 5 Bulan 13 Hari"/>
  </r>
  <r>
    <n v="81"/>
    <x v="80"/>
    <n v="145550"/>
    <x v="0"/>
    <x v="14"/>
    <s v="BAT "/>
    <s v="L"/>
    <x v="4"/>
    <d v="2014-10-13T00:00:00"/>
    <s v="11 Tahun 11 Bulan 15 Hari"/>
  </r>
  <r>
    <n v="82"/>
    <x v="81"/>
    <n v="83040052"/>
    <x v="0"/>
    <x v="14"/>
    <s v="BAT "/>
    <s v="L"/>
    <x v="4"/>
    <d v="2003-09-29T00:00:00"/>
    <s v="22 Tahun 11 Bulan 30 Hari"/>
  </r>
  <r>
    <n v="83"/>
    <x v="82"/>
    <n v="83122886"/>
    <x v="0"/>
    <x v="14"/>
    <s v="BAT "/>
    <s v="L"/>
    <x v="4"/>
    <d v="2012-07-18T00:00:00"/>
    <s v="14 Tahun 2 Bulan 10 Hari"/>
  </r>
  <r>
    <n v="84"/>
    <x v="83"/>
    <n v="53030510"/>
    <x v="0"/>
    <x v="14"/>
    <s v="BAT "/>
    <s v="L"/>
    <x v="4"/>
    <d v="2003-02-01T00:00:00"/>
    <s v="23 Tahun 7 Bulan 27 Hari"/>
  </r>
  <r>
    <n v="85"/>
    <x v="84"/>
    <n v="83040026"/>
    <x v="0"/>
    <x v="20"/>
    <s v="BAT "/>
    <s v="L"/>
    <x v="4"/>
    <d v="2003-09-01T00:00:00"/>
    <s v="23 Tahun 0 Bulan 27 Hari"/>
  </r>
  <r>
    <n v="86"/>
    <x v="85"/>
    <n v="83040029"/>
    <x v="0"/>
    <x v="21"/>
    <s v="BAT "/>
    <s v="L"/>
    <x v="4"/>
    <d v="2003-09-01T00:00:00"/>
    <s v="23 Tahun 0 Bulan 27 Hari"/>
  </r>
  <r>
    <n v="87"/>
    <x v="86"/>
    <n v="152469"/>
    <x v="0"/>
    <x v="22"/>
    <s v="BAT "/>
    <s v="L"/>
    <x v="4"/>
    <d v="2015-08-03T00:00:00"/>
    <s v="11 Tahun 1 Bulan 25 Hari"/>
  </r>
  <r>
    <n v="88"/>
    <x v="87"/>
    <n v="83088479"/>
    <x v="0"/>
    <x v="23"/>
    <s v="BAT "/>
    <s v="L"/>
    <x v="4"/>
    <d v="2008-10-30T00:00:00"/>
    <s v="17 Tahun 10 Bulan 29 Hari"/>
  </r>
  <r>
    <n v="89"/>
    <x v="88"/>
    <n v="83074889"/>
    <x v="0"/>
    <x v="14"/>
    <s v="BAT "/>
    <s v="L"/>
    <x v="4"/>
    <d v="2007-07-01T00:00:00"/>
    <s v="19 Tahun 2 Bulan 27 Hari"/>
  </r>
  <r>
    <n v="90"/>
    <x v="89"/>
    <n v="53031170"/>
    <x v="0"/>
    <x v="14"/>
    <s v="BAT "/>
    <s v="L"/>
    <x v="4"/>
    <d v="2003-09-01T00:00:00"/>
    <s v="23 Tahun 0 Bulan 27 Hari"/>
  </r>
  <r>
    <n v="91"/>
    <x v="90"/>
    <n v="53030976"/>
    <x v="0"/>
    <x v="14"/>
    <s v="BAT "/>
    <s v="L"/>
    <x v="4"/>
    <d v="2003-08-30T00:00:00"/>
    <s v="23 Tahun 0 Bulan 29 Hari"/>
  </r>
  <r>
    <n v="92"/>
    <x v="91"/>
    <n v="145556"/>
    <x v="0"/>
    <x v="14"/>
    <s v="BAT "/>
    <s v="L"/>
    <x v="4"/>
    <d v="2014-10-13T00:00:00"/>
    <s v="11 Tahun 11 Bulan 15 Hari"/>
  </r>
  <r>
    <n v="93"/>
    <x v="92"/>
    <n v="83040093"/>
    <x v="0"/>
    <x v="24"/>
    <s v="BAT "/>
    <s v="L"/>
    <x v="4"/>
    <d v="2003-10-01T00:00:00"/>
    <s v="22 Tahun 11 Bulan 27 Hari"/>
  </r>
  <r>
    <n v="94"/>
    <x v="93"/>
    <n v="135044"/>
    <x v="0"/>
    <x v="14"/>
    <s v="BAT "/>
    <s v="L"/>
    <x v="4"/>
    <d v="2013-10-28T00:00:00"/>
    <s v="12 Tahun 11 Bulan 0 Hari"/>
  </r>
  <r>
    <n v="95"/>
    <x v="94"/>
    <n v="83040049"/>
    <x v="0"/>
    <x v="14"/>
    <s v="BAT "/>
    <s v="L"/>
    <x v="4"/>
    <d v="2003-09-29T00:00:00"/>
    <s v="22 Tahun 11 Bulan 30 Hari"/>
  </r>
  <r>
    <n v="96"/>
    <x v="95"/>
    <n v="145568"/>
    <x v="0"/>
    <x v="14"/>
    <s v="BAT "/>
    <s v="L"/>
    <x v="4"/>
    <d v="2014-10-13T00:00:00"/>
    <s v="11 Tahun 11 Bulan 15 Hari"/>
  </r>
  <r>
    <n v="97"/>
    <x v="96"/>
    <n v="142264"/>
    <x v="0"/>
    <x v="14"/>
    <s v="BAT "/>
    <s v="L"/>
    <x v="4"/>
    <d v="2014-04-23T00:00:00"/>
    <s v="12 Tahun 5 Bulan 5 Hari"/>
  </r>
  <r>
    <n v="98"/>
    <x v="97"/>
    <n v="83040098"/>
    <x v="0"/>
    <x v="14"/>
    <s v="BAT "/>
    <s v="L"/>
    <x v="4"/>
    <d v="2003-10-01T00:00:00"/>
    <s v="22 Tahun 11 Bulan 27 Hari"/>
  </r>
  <r>
    <n v="99"/>
    <x v="98"/>
    <n v="145318"/>
    <x v="0"/>
    <x v="25"/>
    <s v="BAT "/>
    <s v="L"/>
    <x v="4"/>
    <d v="2014-10-13T00:00:00"/>
    <s v="11 Tahun 11 Bulan 15 Hari"/>
  </r>
  <r>
    <n v="100"/>
    <x v="99"/>
    <n v="145569"/>
    <x v="0"/>
    <x v="14"/>
    <s v="BAT "/>
    <s v="L"/>
    <x v="4"/>
    <d v="2014-10-13T00:00:00"/>
    <s v="11 Tahun 11 Bulan 15 Hari"/>
  </r>
  <r>
    <n v="101"/>
    <x v="100"/>
    <n v="142243"/>
    <x v="0"/>
    <x v="14"/>
    <s v="BAT "/>
    <s v="L"/>
    <x v="4"/>
    <d v="2014-04-23T00:00:00"/>
    <s v="12 Tahun 5 Bulan 5 Hari"/>
  </r>
  <r>
    <n v="102"/>
    <x v="101"/>
    <n v="135015"/>
    <x v="0"/>
    <x v="14"/>
    <s v="BAT "/>
    <s v="L"/>
    <x v="4"/>
    <d v="2024-11-28T00:00:00"/>
    <s v="1 Tahun 10 Bulan 0 Hari"/>
  </r>
  <r>
    <n v="103"/>
    <x v="102"/>
    <n v="145359"/>
    <x v="0"/>
    <x v="14"/>
    <s v="BAT "/>
    <s v="L"/>
    <x v="4"/>
    <d v="2014-10-14T00:00:00"/>
    <s v="11 Tahun 11 Bulan 14 Hari"/>
  </r>
  <r>
    <n v="104"/>
    <x v="103"/>
    <n v="83122888"/>
    <x v="0"/>
    <x v="14"/>
    <s v="BAT "/>
    <s v="L"/>
    <x v="4"/>
    <d v="2012-07-18T00:00:00"/>
    <s v="14 Tahun 2 Bulan 10 Hari"/>
  </r>
  <r>
    <n v="105"/>
    <x v="104"/>
    <n v="135047"/>
    <x v="0"/>
    <x v="26"/>
    <s v="BAT "/>
    <s v="L"/>
    <x v="4"/>
    <d v="2013-10-30T00:00:00"/>
    <s v="12 Tahun 10 Bulan 29 Hari"/>
  </r>
  <r>
    <n v="106"/>
    <x v="105"/>
    <n v="145350"/>
    <x v="0"/>
    <x v="14"/>
    <s v="BAT "/>
    <s v="L"/>
    <x v="4"/>
    <d v="2014-10-13T00:00:00"/>
    <s v="11 Tahun 11 Bulan 15 Hari"/>
  </r>
  <r>
    <n v="107"/>
    <x v="106"/>
    <n v="83122944"/>
    <x v="0"/>
    <x v="14"/>
    <s v="BAT "/>
    <s v="L"/>
    <x v="4"/>
    <d v="2012-08-01T00:00:00"/>
    <s v="14 Tahun 1 Bulan 27 Hari"/>
  </r>
  <r>
    <n v="108"/>
    <x v="107"/>
    <n v="83040239"/>
    <x v="0"/>
    <x v="14"/>
    <s v="BAT "/>
    <s v="L"/>
    <x v="4"/>
    <d v="2005-01-01T00:00:00"/>
    <s v="21 Tahun 8 Bulan 27 Hari"/>
  </r>
  <r>
    <n v="109"/>
    <x v="108"/>
    <n v="83122902"/>
    <x v="0"/>
    <x v="27"/>
    <s v="BAT "/>
    <s v="L"/>
    <x v="4"/>
    <d v="2012-07-18T00:00:00"/>
    <s v="14 Tahun 2 Bulan 10 Hari"/>
  </r>
  <r>
    <n v="110"/>
    <x v="109"/>
    <n v="145346"/>
    <x v="0"/>
    <x v="14"/>
    <s v="BAT "/>
    <s v="L"/>
    <x v="4"/>
    <d v="2014-10-13T00:00:00"/>
    <s v="11 Tahun 11 Bulan 15 Hari"/>
  </r>
  <r>
    <n v="111"/>
    <x v="110"/>
    <n v="145540"/>
    <x v="0"/>
    <x v="14"/>
    <s v="BAT "/>
    <s v="L"/>
    <x v="4"/>
    <d v="2014-10-13T00:00:00"/>
    <s v="11 Tahun 11 Bulan 15 Hari"/>
  </r>
  <r>
    <n v="112"/>
    <x v="111"/>
    <n v="145571"/>
    <x v="0"/>
    <x v="14"/>
    <s v="BAT "/>
    <s v="L"/>
    <x v="4"/>
    <d v="2014-10-13T00:00:00"/>
    <s v="11 Tahun 11 Bulan 15 Hari"/>
  </r>
  <r>
    <n v="113"/>
    <x v="112"/>
    <n v="83051931"/>
    <x v="0"/>
    <x v="14"/>
    <s v="BAT "/>
    <s v="L"/>
    <x v="4"/>
    <d v="2005-10-03T00:00:00"/>
    <s v="20 Tahun 11 Bulan 25 Hari"/>
  </r>
  <r>
    <n v="114"/>
    <x v="113"/>
    <n v="135020"/>
    <x v="0"/>
    <x v="14"/>
    <s v="BAT "/>
    <s v="L"/>
    <x v="4"/>
    <d v="2013-10-28T00:00:00"/>
    <s v="12 Tahun 11 Bulan 0 Hari"/>
  </r>
  <r>
    <n v="115"/>
    <x v="114"/>
    <n v="145560"/>
    <x v="0"/>
    <x v="14"/>
    <s v="BAT "/>
    <s v="L"/>
    <x v="4"/>
    <d v="2014-10-13T00:00:00"/>
    <s v="11 Tahun 11 Bulan 15 Hari"/>
  </r>
  <r>
    <n v="116"/>
    <x v="115"/>
    <n v="83122104"/>
    <x v="0"/>
    <x v="14"/>
    <s v="BAT "/>
    <s v="L"/>
    <x v="4"/>
    <d v="2012-05-14T00:00:00"/>
    <s v="14 Tahun 4 Bulan 14 Hari"/>
  </r>
  <r>
    <n v="117"/>
    <x v="116"/>
    <n v="83123906"/>
    <x v="0"/>
    <x v="14"/>
    <s v="BAT "/>
    <s v="L"/>
    <x v="4"/>
    <d v="2012-10-15T00:00:00"/>
    <s v="13 Tahun 11 Bulan 13 Hari"/>
  </r>
  <r>
    <n v="118"/>
    <x v="117"/>
    <n v="152476"/>
    <x v="0"/>
    <x v="14"/>
    <s v="BAT "/>
    <s v="L"/>
    <x v="4"/>
    <d v="2015-08-02T00:00:00"/>
    <s v="11 Tahun 1 Bulan 26 Hari"/>
  </r>
  <r>
    <n v="119"/>
    <x v="118"/>
    <n v="83122893"/>
    <x v="0"/>
    <x v="14"/>
    <s v="BAT "/>
    <s v="L"/>
    <x v="4"/>
    <d v="2012-07-18T00:00:00"/>
    <s v="14 Tahun 2 Bulan 10 Hari"/>
  </r>
  <r>
    <n v="120"/>
    <x v="119"/>
    <n v="133429"/>
    <x v="0"/>
    <x v="14"/>
    <s v="BAT "/>
    <s v="L"/>
    <x v="4"/>
    <d v="2013-08-26T00:00:00"/>
    <s v="13 Tahun 1 Bulan 2 Hari"/>
  </r>
  <r>
    <n v="121"/>
    <x v="120"/>
    <n v="152473"/>
    <x v="0"/>
    <x v="14"/>
    <s v="BAT "/>
    <s v="L"/>
    <x v="4"/>
    <d v="2018-08-03T00:00:00"/>
    <s v="8 Tahun 1 Bulan 25 Hari"/>
  </r>
  <r>
    <n v="122"/>
    <x v="121"/>
    <n v="135031"/>
    <x v="0"/>
    <x v="14"/>
    <s v="BAT "/>
    <s v="L"/>
    <x v="4"/>
    <d v="2013-10-28T00:00:00"/>
    <s v="12 Tahun 11 Bulan 0 Hari"/>
  </r>
  <r>
    <n v="123"/>
    <x v="122"/>
    <n v="83040096"/>
    <x v="0"/>
    <x v="14"/>
    <s v="BAT "/>
    <s v="L"/>
    <x v="4"/>
    <d v="1899-12-30T00:00:00"/>
    <s v="126 Tahun 8 Bulan 28 Hari"/>
  </r>
  <r>
    <n v="124"/>
    <x v="123"/>
    <n v="83102183"/>
    <x v="0"/>
    <x v="14"/>
    <s v="BAT "/>
    <s v="L"/>
    <x v="4"/>
    <d v="2010-04-15T00:00:00"/>
    <s v="16 Tahun 5 Bulan 13 Hari"/>
  </r>
  <r>
    <n v="125"/>
    <x v="124"/>
    <n v="145575"/>
    <x v="0"/>
    <x v="14"/>
    <s v="BAT "/>
    <s v="L"/>
    <x v="4"/>
    <d v="2014-10-13T00:00:00"/>
    <s v="11 Tahun 11 Bulan 15 Hari"/>
  </r>
  <r>
    <n v="126"/>
    <x v="125"/>
    <n v="200386"/>
    <x v="0"/>
    <x v="14"/>
    <s v="BAT "/>
    <s v="L"/>
    <x v="4"/>
    <d v="2020-02-13T00:00:00"/>
    <s v="6 Tahun 7 Bulan 15 Hari"/>
  </r>
  <r>
    <n v="127"/>
    <x v="126"/>
    <n v="132166"/>
    <x v="0"/>
    <x v="28"/>
    <s v="BAT "/>
    <s v="L"/>
    <x v="4"/>
    <d v="2013-06-10T00:00:00"/>
    <s v="13 Tahun 3 Bulan 18 Hari"/>
  </r>
  <r>
    <n v="128"/>
    <x v="127"/>
    <n v="152477"/>
    <x v="0"/>
    <x v="14"/>
    <s v="BAT "/>
    <s v="L"/>
    <x v="4"/>
    <d v="2015-08-02T00:00:00"/>
    <s v="11 Tahun 1 Bulan 26 Hari"/>
  </r>
  <r>
    <n v="129"/>
    <x v="128"/>
    <n v="83086308"/>
    <x v="0"/>
    <x v="14"/>
    <s v="BAT "/>
    <s v="L"/>
    <x v="4"/>
    <d v="2008-02-20T00:00:00"/>
    <s v="18 Tahun 7 Bulan 8 Hari"/>
  </r>
  <r>
    <n v="130"/>
    <x v="129"/>
    <n v="83122885"/>
    <x v="0"/>
    <x v="14"/>
    <s v="BAT "/>
    <s v="L"/>
    <x v="4"/>
    <d v="1977-05-13T00:00:00"/>
    <s v="49 Tahun 4 Bulan 15 Hari"/>
  </r>
  <r>
    <n v="131"/>
    <x v="130"/>
    <n v="83040047"/>
    <x v="0"/>
    <x v="29"/>
    <s v="BAT "/>
    <s v="L"/>
    <x v="4"/>
    <d v="2003-09-01T00:00:00"/>
    <s v="23 Tahun 0 Bulan 27 Hari"/>
  </r>
  <r>
    <n v="132"/>
    <x v="131"/>
    <n v="83117955"/>
    <x v="0"/>
    <x v="14"/>
    <s v="BAT "/>
    <s v="L"/>
    <x v="4"/>
    <d v="2011-07-19T00:00:00"/>
    <s v="15 Tahun 2 Bulan 9 Hari"/>
  </r>
  <r>
    <n v="133"/>
    <x v="132"/>
    <n v="83117964"/>
    <x v="0"/>
    <x v="14"/>
    <s v="BAT "/>
    <s v="L"/>
    <x v="4"/>
    <d v="2011-07-19T00:00:00"/>
    <s v="15 Tahun 2 Bulan 9 Hari"/>
  </r>
  <r>
    <n v="134"/>
    <x v="133"/>
    <n v="145555"/>
    <x v="0"/>
    <x v="14"/>
    <s v="BAT "/>
    <s v="L"/>
    <x v="4"/>
    <d v="2014-10-13T00:00:00"/>
    <s v="11 Tahun 11 Bulan 15 Hari"/>
  </r>
  <r>
    <n v="135"/>
    <x v="134"/>
    <n v="200378"/>
    <x v="0"/>
    <x v="14"/>
    <s v="BAT "/>
    <s v="L"/>
    <x v="4"/>
    <d v="2020-02-13T00:00:00"/>
    <s v="6 Tahun 7 Bulan 15 Hari"/>
  </r>
  <r>
    <n v="136"/>
    <x v="135"/>
    <n v="131851"/>
    <x v="0"/>
    <x v="14"/>
    <s v="BAT "/>
    <s v="L"/>
    <x v="4"/>
    <d v="2025-07-17T00:00:00"/>
    <s v="1 Tahun 2 Bulan 11 Hari"/>
  </r>
  <r>
    <n v="137"/>
    <x v="136"/>
    <n v="131847"/>
    <x v="0"/>
    <x v="14"/>
    <s v="BAT "/>
    <s v="L"/>
    <x v="4"/>
    <d v="2013-05-16T00:00:00"/>
    <s v="13 Tahun 4 Bulan 12 Hari"/>
  </r>
  <r>
    <n v="138"/>
    <x v="137"/>
    <n v="145354"/>
    <x v="0"/>
    <x v="14"/>
    <s v="BAT "/>
    <s v="L"/>
    <x v="4"/>
    <d v="2014-10-13T00:00:00"/>
    <s v="11 Tahun 11 Bulan 15 Hari"/>
  </r>
  <r>
    <n v="139"/>
    <x v="138"/>
    <n v="131849"/>
    <x v="0"/>
    <x v="14"/>
    <s v="BAT "/>
    <s v="L"/>
    <x v="4"/>
    <d v="2013-05-16T00:00:00"/>
    <s v="13 Tahun 4 Bulan 12 Hari"/>
  </r>
  <r>
    <n v="140"/>
    <x v="139"/>
    <n v="83122892"/>
    <x v="0"/>
    <x v="14"/>
    <s v="BAT "/>
    <s v="L"/>
    <x v="4"/>
    <d v="2012-07-18T00:00:00"/>
    <s v="14 Tahun 2 Bulan 10 Hari"/>
  </r>
  <r>
    <n v="141"/>
    <x v="140"/>
    <n v="83040085"/>
    <x v="0"/>
    <x v="14"/>
    <s v="BAT "/>
    <s v="L"/>
    <x v="4"/>
    <d v="2003-10-01T00:00:00"/>
    <s v="22 Tahun 11 Bulan 27 Hari"/>
  </r>
  <r>
    <n v="142"/>
    <x v="141"/>
    <n v="142247"/>
    <x v="0"/>
    <x v="14"/>
    <s v="BAT "/>
    <s v="L"/>
    <x v="4"/>
    <d v="2014-04-28T00:00:00"/>
    <s v="12 Tahun 5 Bulan 0 Hari"/>
  </r>
  <r>
    <n v="143"/>
    <x v="142"/>
    <n v="145542"/>
    <x v="0"/>
    <x v="14"/>
    <s v="BAT "/>
    <s v="L"/>
    <x v="4"/>
    <d v="2014-10-13T00:00:00"/>
    <s v="11 Tahun 11 Bulan 15 Hari"/>
  </r>
  <r>
    <n v="144"/>
    <x v="143"/>
    <n v="135048"/>
    <x v="0"/>
    <x v="14"/>
    <s v="BAT "/>
    <s v="L"/>
    <x v="4"/>
    <d v="2013-10-28T00:00:00"/>
    <s v="12 Tahun 11 Bulan 0 Hari"/>
  </r>
  <r>
    <n v="145"/>
    <x v="144"/>
    <n v="135062"/>
    <x v="0"/>
    <x v="14"/>
    <s v="BAT "/>
    <s v="L"/>
    <x v="4"/>
    <d v="2013-10-28T00:00:00"/>
    <s v="12 Tahun 11 Bulan 0 Hari"/>
  </r>
  <r>
    <n v="146"/>
    <x v="145"/>
    <n v="83103414"/>
    <x v="0"/>
    <x v="14"/>
    <s v="BAT "/>
    <s v="L"/>
    <x v="4"/>
    <d v="2010-07-27T00:00:00"/>
    <s v="16 Tahun 2 Bulan 1 Hari"/>
  </r>
  <r>
    <n v="147"/>
    <x v="146"/>
    <n v="83123908"/>
    <x v="0"/>
    <x v="14"/>
    <s v="BAT "/>
    <s v="L"/>
    <x v="4"/>
    <d v="2012-10-15T00:00:00"/>
    <s v="13 Tahun 11 Bulan 13 Hari"/>
  </r>
  <r>
    <n v="148"/>
    <x v="147"/>
    <n v="135045"/>
    <x v="0"/>
    <x v="14"/>
    <s v="BAT "/>
    <s v="L"/>
    <x v="4"/>
    <d v="2013-11-28T00:00:00"/>
    <s v="12 Tahun 10 Bulan 0 Hari"/>
  </r>
  <r>
    <n v="149"/>
    <x v="148"/>
    <n v="145328"/>
    <x v="0"/>
    <x v="14"/>
    <s v="BAT "/>
    <s v="L"/>
    <x v="4"/>
    <d v="2014-10-13T00:00:00"/>
    <s v="11 Tahun 11 Bulan 15 Hari"/>
  </r>
  <r>
    <n v="150"/>
    <x v="149"/>
    <n v="145313"/>
    <x v="0"/>
    <x v="14"/>
    <s v="BAT "/>
    <s v="L"/>
    <x v="4"/>
    <d v="2014-10-13T00:00:00"/>
    <s v="11 Tahun 11 Bulan 15 Hari"/>
  </r>
  <r>
    <n v="151"/>
    <x v="150"/>
    <n v="152450"/>
    <x v="0"/>
    <x v="14"/>
    <s v="BAT "/>
    <s v="L"/>
    <x v="4"/>
    <d v="2015-08-03T00:00:00"/>
    <s v="11 Tahun 1 Bulan 25 Hari"/>
  </r>
  <r>
    <n v="152"/>
    <x v="151"/>
    <n v="162712"/>
    <x v="0"/>
    <x v="14"/>
    <s v="BAT "/>
    <s v="L"/>
    <x v="4"/>
    <d v="2016-11-01T00:00:00"/>
    <s v="9 Tahun 10 Bulan 27 Hari"/>
  </r>
  <r>
    <n v="153"/>
    <x v="152"/>
    <n v="145529"/>
    <x v="0"/>
    <x v="14"/>
    <s v="BAT "/>
    <s v="L"/>
    <x v="4"/>
    <d v="2014-10-13T00:00:00"/>
    <s v="11 Tahun 11 Bulan 15 Hari"/>
  </r>
  <r>
    <n v="154"/>
    <x v="153"/>
    <n v="142271"/>
    <x v="0"/>
    <x v="14"/>
    <s v="BAT "/>
    <s v="L"/>
    <x v="4"/>
    <d v="2014-04-28T00:00:00"/>
    <s v="12 Tahun 5 Bulan 0 Hari"/>
  </r>
  <r>
    <n v="155"/>
    <x v="154"/>
    <n v="152483"/>
    <x v="0"/>
    <x v="14"/>
    <s v="BAT "/>
    <s v="L"/>
    <x v="4"/>
    <d v="2015-08-03T00:00:00"/>
    <s v="11 Tahun 1 Bulan 25 Hari"/>
  </r>
  <r>
    <n v="156"/>
    <x v="155"/>
    <n v="135030"/>
    <x v="0"/>
    <x v="14"/>
    <s v="BAT "/>
    <s v="L"/>
    <x v="4"/>
    <d v="2013-10-28T00:00:00"/>
    <s v="12 Tahun 11 Bulan 0 Hari"/>
  </r>
  <r>
    <n v="157"/>
    <x v="156"/>
    <n v="142253"/>
    <x v="0"/>
    <x v="14"/>
    <s v="BAT "/>
    <s v="L"/>
    <x v="4"/>
    <d v="2014-04-28T00:00:00"/>
    <s v="12 Tahun 5 Bulan 0 Hari"/>
  </r>
  <r>
    <n v="158"/>
    <x v="157"/>
    <n v="162709"/>
    <x v="0"/>
    <x v="14"/>
    <s v="BAT "/>
    <s v="L"/>
    <x v="4"/>
    <d v="2016-11-01T00:00:00"/>
    <s v="9 Tahun 10 Bulan 27 Hari"/>
  </r>
  <r>
    <n v="159"/>
    <x v="158"/>
    <n v="145574"/>
    <x v="0"/>
    <x v="14"/>
    <s v="BAT "/>
    <s v="L"/>
    <x v="4"/>
    <d v="2014-10-21T00:00:00"/>
    <s v="11 Tahun 11 Bulan 7 Hari"/>
  </r>
  <r>
    <n v="160"/>
    <x v="159"/>
    <n v="135046"/>
    <x v="0"/>
    <x v="14"/>
    <s v="BAT "/>
    <s v="L"/>
    <x v="4"/>
    <d v="2013-10-28T00:00:00"/>
    <s v="12 Tahun 11 Bulan 0 Hari"/>
  </r>
  <r>
    <n v="161"/>
    <x v="160"/>
    <n v="83122898"/>
    <x v="0"/>
    <x v="14"/>
    <s v="BAT "/>
    <s v="L"/>
    <x v="4"/>
    <d v="2012-07-18T00:00:00"/>
    <s v="14 Tahun 2 Bulan 10 Hari"/>
  </r>
  <r>
    <n v="162"/>
    <x v="161"/>
    <n v="83122881"/>
    <x v="0"/>
    <x v="14"/>
    <s v="BAT "/>
    <s v="L"/>
    <x v="4"/>
    <d v="2012-07-18T00:00:00"/>
    <s v="14 Tahun 2 Bulan 10 Hari"/>
  </r>
  <r>
    <n v="163"/>
    <x v="162"/>
    <n v="152480"/>
    <x v="0"/>
    <x v="14"/>
    <s v="BAT "/>
    <s v="L"/>
    <x v="4"/>
    <d v="2015-08-03T00:00:00"/>
    <s v="11 Tahun 1 Bulan 25 Hari"/>
  </r>
  <r>
    <n v="164"/>
    <x v="163"/>
    <n v="83122880"/>
    <x v="0"/>
    <x v="14"/>
    <s v="BAT "/>
    <s v="L"/>
    <x v="4"/>
    <d v="2012-07-18T00:00:00"/>
    <s v="14 Tahun 2 Bulan 10 Hari"/>
  </r>
  <r>
    <n v="165"/>
    <x v="164"/>
    <n v="145572"/>
    <x v="0"/>
    <x v="14"/>
    <s v="BAT "/>
    <s v="L"/>
    <x v="4"/>
    <d v="2014-10-13T00:00:00"/>
    <s v="11 Tahun 11 Bulan 15 Hari"/>
  </r>
  <r>
    <n v="166"/>
    <x v="165"/>
    <n v="83123907"/>
    <x v="0"/>
    <x v="14"/>
    <s v="BAT "/>
    <s v="L"/>
    <x v="4"/>
    <d v="2012-10-15T00:00:00"/>
    <s v="13 Tahun 11 Bulan 13 Hari"/>
  </r>
  <r>
    <n v="167"/>
    <x v="166"/>
    <n v="150927"/>
    <x v="0"/>
    <x v="14"/>
    <s v="BAT "/>
    <s v="L"/>
    <x v="4"/>
    <d v="2015-03-09T00:00:00"/>
    <s v="11 Tahun 6 Bulan 19 Hari"/>
  </r>
  <r>
    <n v="168"/>
    <x v="167"/>
    <n v="150930"/>
    <x v="0"/>
    <x v="14"/>
    <s v="BAT "/>
    <s v="L"/>
    <x v="4"/>
    <d v="2015-03-09T00:00:00"/>
    <s v="11 Tahun 6 Bulan 19 Hari"/>
  </r>
  <r>
    <n v="169"/>
    <x v="168"/>
    <n v="83104423"/>
    <x v="0"/>
    <x v="14"/>
    <s v="BAT "/>
    <s v="L"/>
    <x v="4"/>
    <d v="2010-10-28T00:00:00"/>
    <s v="15 Tahun 11 Bulan 0 Hari"/>
  </r>
  <r>
    <n v="170"/>
    <x v="169"/>
    <n v="152474"/>
    <x v="0"/>
    <x v="14"/>
    <s v="BAT "/>
    <s v="L"/>
    <x v="4"/>
    <d v="2015-08-13T00:00:00"/>
    <s v="11 Tahun 1 Bulan 15 Hari"/>
  </r>
  <r>
    <n v="171"/>
    <x v="170"/>
    <n v="83086309"/>
    <x v="0"/>
    <x v="14"/>
    <s v="BAT "/>
    <s v="L"/>
    <x v="4"/>
    <d v="2008-02-20T00:00:00"/>
    <s v="18 Tahun 7 Bulan 8 Hari"/>
  </r>
  <r>
    <n v="172"/>
    <x v="171"/>
    <n v="83124753"/>
    <x v="0"/>
    <x v="14"/>
    <s v="BAT "/>
    <s v="L"/>
    <x v="4"/>
    <d v="2012-12-12T00:00:00"/>
    <s v="13 Tahun 9 Bulan 16 Hari"/>
  </r>
  <r>
    <n v="173"/>
    <x v="172"/>
    <n v="145358"/>
    <x v="0"/>
    <x v="14"/>
    <s v="BAT "/>
    <s v="L"/>
    <x v="4"/>
    <d v="2014-10-13T00:00:00"/>
    <s v="11 Tahun 11 Bulan 15 Hari"/>
  </r>
  <r>
    <n v="174"/>
    <x v="173"/>
    <n v="83075251"/>
    <x v="0"/>
    <x v="30"/>
    <s v="AAS"/>
    <s v="L"/>
    <x v="1"/>
    <d v="2007-01-09T00:00:00"/>
    <s v="19 Tahun 8 Bulan 19 Hari"/>
  </r>
  <r>
    <n v="175"/>
    <x v="174"/>
    <n v="83075406"/>
    <x v="0"/>
    <x v="31"/>
    <s v="BAT "/>
    <s v="L"/>
    <x v="1"/>
    <d v="2007-10-02T00:00:00"/>
    <s v="18 Tahun 11 Bulan 26 Hari"/>
  </r>
  <r>
    <n v="176"/>
    <x v="175"/>
    <n v="83040044"/>
    <x v="0"/>
    <x v="32"/>
    <s v="BAT "/>
    <s v="L"/>
    <x v="10"/>
    <d v="2003-09-01T00:00:00"/>
    <s v="23 Tahun 0 Bulan 27 Hari"/>
  </r>
  <r>
    <n v="177"/>
    <x v="176"/>
    <n v="145548"/>
    <x v="0"/>
    <x v="15"/>
    <s v="BAT "/>
    <s v="L"/>
    <x v="10"/>
    <d v="2014-10-13T00:00:00"/>
    <s v="11 Tahun 11 Bulan 15 Hari"/>
  </r>
  <r>
    <n v="178"/>
    <x v="177"/>
    <n v="83040032"/>
    <x v="0"/>
    <x v="15"/>
    <s v="BAT "/>
    <s v="L"/>
    <x v="10"/>
    <d v="2003-09-01T00:00:00"/>
    <s v="23 Tahun 0 Bulan 27 Hari"/>
  </r>
  <r>
    <n v="179"/>
    <x v="178"/>
    <n v="83040130"/>
    <x v="0"/>
    <x v="15"/>
    <s v="BAT "/>
    <s v="L"/>
    <x v="10"/>
    <d v="2003-12-05T00:00:00"/>
    <s v="22 Tahun 9 Bulan 23 Hari"/>
  </r>
  <r>
    <n v="180"/>
    <x v="179"/>
    <n v="83040046"/>
    <x v="0"/>
    <x v="15"/>
    <s v="BAT "/>
    <s v="L"/>
    <x v="10"/>
    <d v="2003-09-01T00:00:00"/>
    <s v="23 Tahun 0 Bulan 27 Hari"/>
  </r>
  <r>
    <n v="181"/>
    <x v="180"/>
    <n v="83102177"/>
    <x v="0"/>
    <x v="15"/>
    <s v="BAT "/>
    <s v="L"/>
    <x v="10"/>
    <d v="2010-04-15T00:00:00"/>
    <s v="16 Tahun 5 Bulan 13 Hari"/>
  </r>
  <r>
    <n v="182"/>
    <x v="181"/>
    <n v="83040194"/>
    <x v="0"/>
    <x v="15"/>
    <s v="BAT "/>
    <s v="L"/>
    <x v="10"/>
    <d v="2004-06-03T00:00:00"/>
    <s v="22 Tahun 3 Bulan 25 Hari"/>
  </r>
  <r>
    <n v="183"/>
    <x v="182"/>
    <n v="140244"/>
    <x v="0"/>
    <x v="15"/>
    <s v="BAT "/>
    <s v="L"/>
    <x v="10"/>
    <d v="2014-01-27T00:00:00"/>
    <s v="12 Tahun 8 Bulan 1 Hari"/>
  </r>
  <r>
    <n v="184"/>
    <x v="183"/>
    <n v="83075884"/>
    <x v="0"/>
    <x v="15"/>
    <s v="BAT "/>
    <s v="L"/>
    <x v="10"/>
    <d v="2007-12-28T00:00:00"/>
    <s v="18 Tahun 9 Bulan 0 Hari"/>
  </r>
  <r>
    <n v="185"/>
    <x v="184"/>
    <n v="83103420"/>
    <x v="0"/>
    <x v="15"/>
    <s v="BAT "/>
    <s v="L"/>
    <x v="10"/>
    <d v="2010-07-27T00:00:00"/>
    <s v="16 Tahun 2 Bulan 1 Hari"/>
  </r>
  <r>
    <n v="186"/>
    <x v="185"/>
    <n v="83116130"/>
    <x v="0"/>
    <x v="15"/>
    <s v="BAT "/>
    <s v="L"/>
    <x v="10"/>
    <d v="2011-03-07T00:00:00"/>
    <s v="15 Tahun 6 Bulan 21 Hari"/>
  </r>
  <r>
    <n v="187"/>
    <x v="186"/>
    <n v="83086810"/>
    <x v="0"/>
    <x v="33"/>
    <s v="BAT "/>
    <s v="L"/>
    <x v="10"/>
    <d v="2008-05-08T00:00:00"/>
    <s v="18 Tahun 4 Bulan 20 Hari"/>
  </r>
  <r>
    <n v="188"/>
    <x v="187"/>
    <n v="83075871"/>
    <x v="0"/>
    <x v="34"/>
    <s v="BAT "/>
    <s v="L"/>
    <x v="10"/>
    <d v="2007-12-28T00:00:00"/>
    <s v="18 Tahun 9 Bulan 0 Hari"/>
  </r>
  <r>
    <n v="189"/>
    <x v="188"/>
    <n v="83117968"/>
    <x v="0"/>
    <x v="15"/>
    <s v="BAT "/>
    <s v="L"/>
    <x v="10"/>
    <d v="2011-07-19T00:00:00"/>
    <s v="15 Tahun 2 Bulan 9 Hari"/>
  </r>
  <r>
    <n v="190"/>
    <x v="189"/>
    <n v="84122957"/>
    <x v="0"/>
    <x v="15"/>
    <s v="BAT "/>
    <s v="L"/>
    <x v="10"/>
    <d v="2012-08-08T00:00:00"/>
    <s v="14 Tahun 1 Bulan 20 Hari"/>
  </r>
  <r>
    <n v="191"/>
    <x v="190"/>
    <n v="83040133"/>
    <x v="0"/>
    <x v="15"/>
    <s v="BAT "/>
    <s v="L"/>
    <x v="10"/>
    <d v="2003-12-05T00:00:00"/>
    <s v="22 Tahun 9 Bulan 23 Hari"/>
  </r>
  <r>
    <n v="192"/>
    <x v="191"/>
    <n v="83102181"/>
    <x v="0"/>
    <x v="15"/>
    <s v="BAT "/>
    <s v="L"/>
    <x v="10"/>
    <d v="2010-04-15T00:00:00"/>
    <s v="16 Tahun 5 Bulan 13 Hari"/>
  </r>
  <r>
    <n v="193"/>
    <x v="192"/>
    <n v="83117969"/>
    <x v="0"/>
    <x v="15"/>
    <s v="BAT "/>
    <s v="L"/>
    <x v="10"/>
    <d v="2011-07-19T00:00:00"/>
    <s v="15 Tahun 2 Bulan 9 Hari"/>
  </r>
  <r>
    <n v="194"/>
    <x v="193"/>
    <n v="84122965"/>
    <x v="0"/>
    <x v="15"/>
    <s v="BAT "/>
    <s v="L"/>
    <x v="10"/>
    <d v="2012-08-08T00:00:00"/>
    <s v="14 Tahun 1 Bulan 20 Hari"/>
  </r>
  <r>
    <n v="195"/>
    <x v="194"/>
    <n v="83105168"/>
    <x v="0"/>
    <x v="15"/>
    <s v="BAT "/>
    <s v="L"/>
    <x v="10"/>
    <d v="2010-12-06T00:00:00"/>
    <s v="15 Tahun 9 Bulan 22 Hari"/>
  </r>
  <r>
    <n v="196"/>
    <x v="195"/>
    <n v="83104434"/>
    <x v="0"/>
    <x v="15"/>
    <s v="BAT "/>
    <s v="L"/>
    <x v="10"/>
    <d v="2010-10-28T00:00:00"/>
    <s v="15 Tahun 11 Bulan 0 Hari"/>
  </r>
  <r>
    <n v="197"/>
    <x v="196"/>
    <n v="83075242"/>
    <x v="0"/>
    <x v="15"/>
    <s v="BAT "/>
    <s v="L"/>
    <x v="10"/>
    <d v="2007-09-01T00:00:00"/>
    <s v="19 Tahun 0 Bulan 27 Hari"/>
  </r>
  <r>
    <n v="198"/>
    <x v="197"/>
    <n v="83086322"/>
    <x v="0"/>
    <x v="15"/>
    <s v="BAT "/>
    <s v="L"/>
    <x v="10"/>
    <d v="2008-02-20T00:00:00"/>
    <s v="18 Tahun 7 Bulan 8 Hari"/>
  </r>
  <r>
    <n v="199"/>
    <x v="198"/>
    <n v="83075245"/>
    <x v="0"/>
    <x v="35"/>
    <s v="BAT "/>
    <s v="L"/>
    <x v="10"/>
    <d v="2007-09-01T00:00:00"/>
    <s v="19 Tahun 0 Bulan 27 Hari"/>
  </r>
  <r>
    <n v="200"/>
    <x v="199"/>
    <n v="140219"/>
    <x v="0"/>
    <x v="15"/>
    <s v="BAT "/>
    <s v="L"/>
    <x v="10"/>
    <d v="2014-01-27T00:00:00"/>
    <s v="12 Tahun 8 Bulan 1 Hari"/>
  </r>
  <r>
    <n v="201"/>
    <x v="200"/>
    <n v="132513"/>
    <x v="0"/>
    <x v="15"/>
    <s v="BAT "/>
    <s v="L"/>
    <x v="10"/>
    <d v="2013-07-02T00:00:00"/>
    <s v="13 Tahun 2 Bulan 26 Hari"/>
  </r>
  <r>
    <n v="202"/>
    <x v="201"/>
    <n v="83102758"/>
    <x v="0"/>
    <x v="15"/>
    <s v="BAT "/>
    <s v="L"/>
    <x v="10"/>
    <d v="2010-06-14T00:00:00"/>
    <s v="16 Tahun 3 Bulan 14 Hari"/>
  </r>
  <r>
    <n v="203"/>
    <x v="202"/>
    <n v="141878"/>
    <x v="0"/>
    <x v="15"/>
    <s v="BAT "/>
    <s v="L"/>
    <x v="10"/>
    <d v="2014-05-08T00:00:00"/>
    <s v="12 Tahun 4 Bulan 20 Hari"/>
  </r>
  <r>
    <n v="204"/>
    <x v="203"/>
    <n v="152600"/>
    <x v="0"/>
    <x v="15"/>
    <s v="BAT "/>
    <s v="L"/>
    <x v="10"/>
    <d v="2015-08-03T00:00:00"/>
    <s v="11 Tahun 1 Bulan 25 Hari"/>
  </r>
  <r>
    <n v="205"/>
    <x v="204"/>
    <n v="83087494"/>
    <x v="0"/>
    <x v="36"/>
    <s v="BAT "/>
    <s v="L"/>
    <x v="10"/>
    <d v="2008-07-29T00:00:00"/>
    <s v="18 Tahun 1 Bulan 30 Hari"/>
  </r>
  <r>
    <n v="206"/>
    <x v="205"/>
    <n v="83040124"/>
    <x v="0"/>
    <x v="37"/>
    <s v="BAT "/>
    <s v="L"/>
    <x v="10"/>
    <d v="2003-12-05T00:00:00"/>
    <s v="22 Tahun 9 Bulan 23 Hari"/>
  </r>
  <r>
    <n v="207"/>
    <x v="206"/>
    <n v="84122956"/>
    <x v="0"/>
    <x v="15"/>
    <s v="BAT "/>
    <s v="L"/>
    <x v="10"/>
    <d v="2012-08-01T00:00:00"/>
    <s v="14 Tahun 1 Bulan 27 Hari"/>
  </r>
  <r>
    <n v="208"/>
    <x v="207"/>
    <n v="83086316"/>
    <x v="0"/>
    <x v="15"/>
    <s v="BAT "/>
    <s v="L"/>
    <x v="10"/>
    <d v="2008-02-20T00:00:00"/>
    <s v="18 Tahun 7 Bulan 8 Hari"/>
  </r>
  <r>
    <n v="209"/>
    <x v="208"/>
    <n v="83105157"/>
    <x v="0"/>
    <x v="15"/>
    <s v="BAT "/>
    <s v="L"/>
    <x v="10"/>
    <d v="2010-12-06T00:00:00"/>
    <s v="15 Tahun 9 Bulan 22 Hari"/>
  </r>
  <r>
    <n v="210"/>
    <x v="209"/>
    <n v="84122947"/>
    <x v="0"/>
    <x v="15"/>
    <s v="BAT "/>
    <s v="L"/>
    <x v="10"/>
    <d v="2012-08-01T00:00:00"/>
    <s v="14 Tahun 1 Bulan 27 Hari"/>
  </r>
  <r>
    <n v="211"/>
    <x v="210"/>
    <n v="83117959"/>
    <x v="0"/>
    <x v="15"/>
    <s v="BAT "/>
    <s v="L"/>
    <x v="10"/>
    <d v="2011-07-19T00:00:00"/>
    <s v="15 Tahun 2 Bulan 9 Hari"/>
  </r>
  <r>
    <n v="212"/>
    <x v="118"/>
    <n v="140296"/>
    <x v="0"/>
    <x v="15"/>
    <s v="BAT "/>
    <s v="L"/>
    <x v="10"/>
    <d v="2014-01-27T00:00:00"/>
    <s v="12 Tahun 8 Bulan 1 Hari"/>
  </r>
  <r>
    <n v="213"/>
    <x v="211"/>
    <n v="171982"/>
    <x v="0"/>
    <x v="15"/>
    <s v="BAT "/>
    <s v="L"/>
    <x v="10"/>
    <d v="2017-09-25T00:00:00"/>
    <s v="9 Tahun 0 Bulan 3 Hari"/>
  </r>
  <r>
    <n v="214"/>
    <x v="107"/>
    <n v="83074622"/>
    <x v="0"/>
    <x v="15"/>
    <s v="BAT "/>
    <s v="L"/>
    <x v="10"/>
    <d v="2007-04-11T00:00:00"/>
    <s v="19 Tahun 5 Bulan 17 Hari"/>
  </r>
  <r>
    <n v="215"/>
    <x v="212"/>
    <n v="83075877"/>
    <x v="0"/>
    <x v="38"/>
    <s v="BAT "/>
    <s v="L"/>
    <x v="10"/>
    <d v="2007-12-28T00:00:00"/>
    <s v="18 Tahun 9 Bulan 0 Hari"/>
  </r>
  <r>
    <n v="216"/>
    <x v="213"/>
    <n v="83040090"/>
    <x v="0"/>
    <x v="39"/>
    <s v="AAS"/>
    <s v="L"/>
    <x v="10"/>
    <d v="2004-10-01T00:00:00"/>
    <s v="21 Tahun 11 Bulan 27 Hari"/>
  </r>
  <r>
    <n v="217"/>
    <x v="214"/>
    <n v="83040048"/>
    <x v="0"/>
    <x v="15"/>
    <s v="AAS"/>
    <s v="L"/>
    <x v="10"/>
    <d v="2003-09-02T00:00:00"/>
    <s v="23 Tahun 0 Bulan 26 Hari"/>
  </r>
  <r>
    <n v="218"/>
    <x v="215"/>
    <n v="154176"/>
    <x v="0"/>
    <x v="15"/>
    <s v="AAS"/>
    <s v="L"/>
    <x v="10"/>
    <d v="2015-11-10T00:00:00"/>
    <s v="10 Tahun 10 Bulan 18 Hari"/>
  </r>
  <r>
    <n v="219"/>
    <x v="216"/>
    <n v="221925"/>
    <x v="0"/>
    <x v="15"/>
    <s v="AAS"/>
    <s v="L"/>
    <x v="10"/>
    <d v="2022-07-04T00:00:00"/>
    <s v="4 Tahun 2 Bulan 24 Hari"/>
  </r>
  <r>
    <n v="220"/>
    <x v="217"/>
    <n v="83104431"/>
    <x v="0"/>
    <x v="15"/>
    <s v="AAS"/>
    <s v="L"/>
    <x v="10"/>
    <d v="2010-10-28T00:00:00"/>
    <s v="15 Tahun 11 Bulan 0 Hari"/>
  </r>
  <r>
    <n v="221"/>
    <x v="218"/>
    <n v="147322"/>
    <x v="0"/>
    <x v="15"/>
    <s v="AAS"/>
    <s v="L"/>
    <x v="10"/>
    <d v="2014-12-02T00:00:00"/>
    <s v="11 Tahun 9 Bulan 26 Hari"/>
  </r>
  <r>
    <n v="222"/>
    <x v="219"/>
    <n v="83119917"/>
    <x v="0"/>
    <x v="15"/>
    <s v="AAS"/>
    <s v="L"/>
    <x v="10"/>
    <d v="2011-12-26T00:00:00"/>
    <s v="14 Tahun 9 Bulan 2 Hari"/>
  </r>
  <r>
    <n v="223"/>
    <x v="220"/>
    <n v="83102553"/>
    <x v="0"/>
    <x v="15"/>
    <s v="AAS"/>
    <s v="L"/>
    <x v="10"/>
    <d v="2010-05-24T00:00:00"/>
    <s v="16 Tahun 4 Bulan 4 Hari"/>
  </r>
  <r>
    <n v="224"/>
    <x v="221"/>
    <n v="83105165"/>
    <x v="0"/>
    <x v="15"/>
    <s v="AAS"/>
    <s v="L"/>
    <x v="10"/>
    <d v="2010-12-06T00:00:00"/>
    <s v="15 Tahun 9 Bulan 22 Hari"/>
  </r>
  <r>
    <n v="225"/>
    <x v="222"/>
    <n v="84122949"/>
    <x v="0"/>
    <x v="15"/>
    <s v="AAS"/>
    <s v="L"/>
    <x v="10"/>
    <d v="2012-08-01T00:00:00"/>
    <s v="14 Tahun 1 Bulan 27 Hari"/>
  </r>
  <r>
    <n v="226"/>
    <x v="223"/>
    <n v="83103415"/>
    <x v="0"/>
    <x v="15"/>
    <s v="AAS"/>
    <s v="L"/>
    <x v="10"/>
    <d v="2010-07-27T00:00:00"/>
    <s v="16 Tahun 2 Bulan 1 Hari"/>
  </r>
  <r>
    <n v="227"/>
    <x v="224"/>
    <n v="83102200"/>
    <x v="0"/>
    <x v="15"/>
    <s v="AAS"/>
    <s v="L"/>
    <x v="10"/>
    <d v="2010-04-15T00:00:00"/>
    <s v="16 Tahun 5 Bulan 13 Hari"/>
  </r>
  <r>
    <n v="228"/>
    <x v="225"/>
    <n v="83119918"/>
    <x v="0"/>
    <x v="15"/>
    <s v="AAS"/>
    <s v="L"/>
    <x v="10"/>
    <d v="2011-12-26T00:00:00"/>
    <s v="14 Tahun 9 Bulan 2 Hari"/>
  </r>
  <r>
    <n v="229"/>
    <x v="226"/>
    <n v="84122951"/>
    <x v="0"/>
    <x v="15"/>
    <s v="AAS"/>
    <s v="L"/>
    <x v="10"/>
    <d v="2012-08-01T00:00:00"/>
    <s v="14 Tahun 1 Bulan 27 Hari"/>
  </r>
  <r>
    <n v="230"/>
    <x v="227"/>
    <n v="83119926"/>
    <x v="0"/>
    <x v="15"/>
    <s v="AAS"/>
    <s v="L"/>
    <x v="10"/>
    <d v="2011-12-26T00:00:00"/>
    <s v="14 Tahun 9 Bulan 2 Hari"/>
  </r>
  <r>
    <n v="231"/>
    <x v="228"/>
    <n v="84124758"/>
    <x v="0"/>
    <x v="15"/>
    <s v="AAS"/>
    <s v="L"/>
    <x v="10"/>
    <d v="2012-01-01T00:00:00"/>
    <s v="14 Tahun 8 Bulan 27 Hari"/>
  </r>
  <r>
    <n v="232"/>
    <x v="229"/>
    <n v="83040095"/>
    <x v="0"/>
    <x v="15"/>
    <s v="AAS"/>
    <s v="L"/>
    <x v="10"/>
    <d v="2003-10-01T00:00:00"/>
    <s v="22 Tahun 11 Bulan 27 Hari"/>
  </r>
  <r>
    <n v="233"/>
    <x v="230"/>
    <n v="152561"/>
    <x v="0"/>
    <x v="15"/>
    <s v="AAS"/>
    <s v="L"/>
    <x v="10"/>
    <d v="2015-08-03T00:00:00"/>
    <s v="11 Tahun 1 Bulan 25 Hari"/>
  </r>
  <r>
    <n v="234"/>
    <x v="231"/>
    <n v="147361"/>
    <x v="0"/>
    <x v="15"/>
    <s v="AAS"/>
    <s v="L"/>
    <x v="10"/>
    <d v="2012-12-02T00:00:00"/>
    <s v="13 Tahun 9 Bulan 26 Hari"/>
  </r>
  <r>
    <n v="235"/>
    <x v="232"/>
    <n v="140274"/>
    <x v="0"/>
    <x v="15"/>
    <s v="AAS"/>
    <s v="L"/>
    <x v="10"/>
    <d v="2014-01-27T00:00:00"/>
    <s v="12 Tahun 8 Bulan 1 Hari"/>
  </r>
  <r>
    <n v="236"/>
    <x v="233"/>
    <n v="83087497"/>
    <x v="0"/>
    <x v="15"/>
    <s v="AAS"/>
    <s v="L"/>
    <x v="10"/>
    <d v="2008-07-29T00:00:00"/>
    <s v="18 Tahun 1 Bulan 30 Hari"/>
  </r>
  <r>
    <n v="237"/>
    <x v="234"/>
    <n v="152596"/>
    <x v="0"/>
    <x v="15"/>
    <s v="AAS"/>
    <s v="L"/>
    <x v="10"/>
    <d v="2025-07-11T00:00:00"/>
    <s v="1 Tahun 2 Bulan 17 Hari"/>
  </r>
  <r>
    <n v="238"/>
    <x v="235"/>
    <n v="83122109"/>
    <x v="0"/>
    <x v="15"/>
    <s v="AAS"/>
    <s v="L"/>
    <x v="10"/>
    <d v="2012-07-12T00:00:00"/>
    <s v="14 Tahun 2 Bulan 16 Hari"/>
  </r>
  <r>
    <n v="239"/>
    <x v="236"/>
    <n v="221926"/>
    <x v="0"/>
    <x v="15"/>
    <s v="AAS"/>
    <s v="L"/>
    <x v="10"/>
    <d v="2022-07-04T00:00:00"/>
    <s v="4 Tahun 2 Bulan 24 Hari"/>
  </r>
  <r>
    <n v="240"/>
    <x v="237"/>
    <n v="83099396"/>
    <x v="0"/>
    <x v="15"/>
    <s v="AAS"/>
    <s v="P"/>
    <x v="10"/>
    <d v="2009-02-23T00:00:00"/>
    <s v="17 Tahun 7 Bulan 5 Hari"/>
  </r>
  <r>
    <n v="241"/>
    <x v="238"/>
    <n v="140585"/>
    <x v="0"/>
    <x v="15"/>
    <s v="AAS"/>
    <s v="P"/>
    <x v="10"/>
    <d v="2014-02-13T00:00:00"/>
    <s v="12 Tahun 7 Bulan 15 Hari"/>
  </r>
  <r>
    <n v="242"/>
    <x v="239"/>
    <n v="83086318"/>
    <x v="0"/>
    <x v="15"/>
    <s v="AAS"/>
    <s v="P"/>
    <x v="10"/>
    <d v="2008-02-20T00:00:00"/>
    <s v="18 Tahun 7 Bulan 8 Hari"/>
  </r>
  <r>
    <n v="243"/>
    <x v="240"/>
    <n v="83103445"/>
    <x v="0"/>
    <x v="15"/>
    <s v="AAS"/>
    <s v="P"/>
    <x v="10"/>
    <d v="2010-07-27T00:00:00"/>
    <s v="16 Tahun 2 Bulan 1 Hari"/>
  </r>
  <r>
    <n v="244"/>
    <x v="241"/>
    <n v="84050998"/>
    <x v="0"/>
    <x v="15"/>
    <s v="AAS"/>
    <s v="P"/>
    <x v="10"/>
    <d v="2005-05-01T00:00:00"/>
    <s v="21 Tahun 4 Bulan 27 Hari"/>
  </r>
  <r>
    <n v="245"/>
    <x v="242"/>
    <n v="83074917"/>
    <x v="0"/>
    <x v="40"/>
    <s v="AAS"/>
    <s v="L"/>
    <x v="10"/>
    <d v="2007-07-02T00:00:00"/>
    <s v="19 Tahun 2 Bulan 26 Hari"/>
  </r>
  <r>
    <n v="246"/>
    <x v="243"/>
    <n v="152579"/>
    <x v="0"/>
    <x v="41"/>
    <s v="AAS"/>
    <s v="L"/>
    <x v="10"/>
    <d v="2015-08-03T00:00:00"/>
    <s v="11 Tahun 1 Bulan 25 Hari"/>
  </r>
  <r>
    <n v="247"/>
    <x v="244"/>
    <n v="141864"/>
    <x v="0"/>
    <x v="15"/>
    <s v="AAS"/>
    <s v="L"/>
    <x v="10"/>
    <d v="2014-05-08T00:00:00"/>
    <s v="12 Tahun 4 Bulan 20 Hari"/>
  </r>
  <r>
    <n v="248"/>
    <x v="245"/>
    <n v="152582"/>
    <x v="0"/>
    <x v="15"/>
    <s v="AAS"/>
    <s v="L"/>
    <x v="10"/>
    <d v="2015-08-03T00:00:00"/>
    <s v="11 Tahun 1 Bulan 25 Hari"/>
  </r>
  <r>
    <n v="249"/>
    <x v="246"/>
    <n v="83120900"/>
    <x v="0"/>
    <x v="15"/>
    <s v="AAS"/>
    <s v="L"/>
    <x v="10"/>
    <d v="2012-03-06T00:00:00"/>
    <s v="14 Tahun 6 Bulan 22 Hari"/>
  </r>
  <r>
    <n v="250"/>
    <x v="247"/>
    <n v="83075250"/>
    <x v="0"/>
    <x v="15"/>
    <s v="AAS"/>
    <s v="L"/>
    <x v="10"/>
    <d v="2007-09-01T00:00:00"/>
    <s v="19 Tahun 0 Bulan 27 Hari"/>
  </r>
  <r>
    <n v="251"/>
    <x v="248"/>
    <n v="83105164"/>
    <x v="0"/>
    <x v="15"/>
    <s v="AAS"/>
    <s v="L"/>
    <x v="10"/>
    <d v="2010-12-06T00:00:00"/>
    <s v="15 Tahun 9 Bulan 22 Hari"/>
  </r>
  <r>
    <n v="252"/>
    <x v="249"/>
    <n v="132527"/>
    <x v="0"/>
    <x v="15"/>
    <s v="AAS"/>
    <s v="L"/>
    <x v="10"/>
    <d v="2013-07-02T00:00:00"/>
    <s v="13 Tahun 2 Bulan 26 Hari"/>
  </r>
  <r>
    <n v="253"/>
    <x v="250"/>
    <n v="221920"/>
    <x v="0"/>
    <x v="15"/>
    <s v="AAS"/>
    <s v="L"/>
    <x v="10"/>
    <d v="2022-07-04T00:00:00"/>
    <s v="4 Tahun 2 Bulan 24 Hari"/>
  </r>
  <r>
    <n v="254"/>
    <x v="251"/>
    <n v="83086320"/>
    <x v="0"/>
    <x v="15"/>
    <s v="AAS"/>
    <s v="L"/>
    <x v="10"/>
    <d v="2008-02-20T00:00:00"/>
    <s v="18 Tahun 7 Bulan 8 Hari"/>
  </r>
  <r>
    <n v="255"/>
    <x v="252"/>
    <n v="134355"/>
    <x v="0"/>
    <x v="15"/>
    <s v="AAS"/>
    <s v="L"/>
    <x v="10"/>
    <d v="2013-09-26T00:00:00"/>
    <s v="13 Tahun 0 Bulan 2 Hari"/>
  </r>
  <r>
    <n v="256"/>
    <x v="253"/>
    <n v="221924"/>
    <x v="0"/>
    <x v="15"/>
    <s v="AAS"/>
    <s v="L"/>
    <x v="10"/>
    <d v="2022-07-04T00:00:00"/>
    <s v="4 Tahun 2 Bulan 24 Hari"/>
  </r>
  <r>
    <n v="257"/>
    <x v="254"/>
    <n v="147328"/>
    <x v="0"/>
    <x v="15"/>
    <s v="AAS"/>
    <s v="L"/>
    <x v="10"/>
    <d v="2014-12-02T00:00:00"/>
    <s v="11 Tahun 9 Bulan 26 Hari"/>
  </r>
  <r>
    <n v="258"/>
    <x v="255"/>
    <n v="83120032"/>
    <x v="0"/>
    <x v="15"/>
    <s v="AAS"/>
    <s v="L"/>
    <x v="10"/>
    <d v="2013-01-03T00:00:00"/>
    <s v="13 Tahun 8 Bulan 25 Hari"/>
  </r>
  <r>
    <n v="259"/>
    <x v="256"/>
    <n v="152597"/>
    <x v="0"/>
    <x v="15"/>
    <s v="AAS"/>
    <s v="L"/>
    <x v="10"/>
    <d v="2015-08-03T00:00:00"/>
    <s v="11 Tahun 1 Bulan 25 Hari"/>
  </r>
  <r>
    <n v="260"/>
    <x v="257"/>
    <n v="83122118"/>
    <x v="0"/>
    <x v="15"/>
    <s v="AAS"/>
    <s v="L"/>
    <x v="10"/>
    <d v="2012-05-14T00:00:00"/>
    <s v="14 Tahun 4 Bulan 14 Hari"/>
  </r>
  <r>
    <n v="261"/>
    <x v="258"/>
    <n v="141777"/>
    <x v="0"/>
    <x v="15"/>
    <s v="AAS"/>
    <s v="L"/>
    <x v="10"/>
    <d v="2014-05-08T00:00:00"/>
    <s v="12 Tahun 4 Bulan 20 Hari"/>
  </r>
  <r>
    <n v="262"/>
    <x v="259"/>
    <n v="221923"/>
    <x v="0"/>
    <x v="15"/>
    <s v="AAS"/>
    <s v="L"/>
    <x v="10"/>
    <d v="2022-07-04T00:00:00"/>
    <s v="4 Tahun 2 Bulan 24 Hari"/>
  </r>
  <r>
    <n v="263"/>
    <x v="260"/>
    <n v="147332"/>
    <x v="0"/>
    <x v="15"/>
    <s v="AAS"/>
    <s v="L"/>
    <x v="10"/>
    <d v="2014-12-02T00:00:00"/>
    <s v="11 Tahun 9 Bulan 26 Hari"/>
  </r>
  <r>
    <n v="264"/>
    <x v="261"/>
    <n v="132522"/>
    <x v="0"/>
    <x v="15"/>
    <s v="AAS"/>
    <s v="L"/>
    <x v="10"/>
    <d v="2013-07-02T00:00:00"/>
    <s v="13 Tahun 2 Bulan 26 Hari"/>
  </r>
  <r>
    <n v="265"/>
    <x v="262"/>
    <n v="140703"/>
    <x v="0"/>
    <x v="15"/>
    <s v="AAS"/>
    <s v="L"/>
    <x v="10"/>
    <d v="2014-02-13T00:00:00"/>
    <s v="12 Tahun 7 Bulan 15 Hari"/>
  </r>
  <r>
    <n v="266"/>
    <x v="263"/>
    <n v="132711"/>
    <x v="0"/>
    <x v="15"/>
    <s v="AAS"/>
    <s v="L"/>
    <x v="10"/>
    <d v="2013-07-10T00:00:00"/>
    <s v="13 Tahun 2 Bulan 18 Hari"/>
  </r>
  <r>
    <n v="267"/>
    <x v="264"/>
    <n v="84122962"/>
    <x v="0"/>
    <x v="15"/>
    <s v="AAS"/>
    <s v="L"/>
    <x v="10"/>
    <d v="2012-08-01T00:00:00"/>
    <s v="14 Tahun 1 Bulan 27 Hari"/>
  </r>
  <r>
    <n v="268"/>
    <x v="265"/>
    <n v="83086324"/>
    <x v="0"/>
    <x v="15"/>
    <s v="AAS"/>
    <s v="L"/>
    <x v="10"/>
    <d v="2008-02-20T00:00:00"/>
    <s v="18 Tahun 7 Bulan 8 Hari"/>
  </r>
  <r>
    <n v="269"/>
    <x v="266"/>
    <n v="140292"/>
    <x v="0"/>
    <x v="15"/>
    <s v="AAS"/>
    <s v="L"/>
    <x v="10"/>
    <d v="2014-01-27T00:00:00"/>
    <s v="12 Tahun 8 Bulan 1 Hari"/>
  </r>
  <r>
    <n v="270"/>
    <x v="267"/>
    <n v="221919"/>
    <x v="0"/>
    <x v="15"/>
    <s v="AAS"/>
    <s v="L"/>
    <x v="10"/>
    <d v="2022-07-04T00:00:00"/>
    <s v="4 Tahun 2 Bulan 24 Hari"/>
  </r>
  <r>
    <n v="271"/>
    <x v="268"/>
    <n v="152587"/>
    <x v="0"/>
    <x v="15"/>
    <s v="AAS"/>
    <s v="L"/>
    <x v="10"/>
    <d v="2015-08-03T00:00:00"/>
    <s v="11 Tahun 1 Bulan 25 Hari"/>
  </r>
  <r>
    <n v="272"/>
    <x v="269"/>
    <n v="147347"/>
    <x v="0"/>
    <x v="15"/>
    <s v="AAS"/>
    <s v="L"/>
    <x v="10"/>
    <d v="2014-12-02T00:00:00"/>
    <s v="11 Tahun 9 Bulan 26 Hari"/>
  </r>
  <r>
    <n v="273"/>
    <x v="270"/>
    <n v="84122948"/>
    <x v="0"/>
    <x v="15"/>
    <s v="AAS"/>
    <s v="L"/>
    <x v="10"/>
    <d v="2012-08-01T00:00:00"/>
    <s v="14 Tahun 1 Bulan 27 Hari"/>
  </r>
  <r>
    <n v="274"/>
    <x v="271"/>
    <n v="84124763"/>
    <x v="0"/>
    <x v="15"/>
    <s v="AAS"/>
    <s v="L"/>
    <x v="10"/>
    <d v="2012-12-14T00:00:00"/>
    <s v="13 Tahun 9 Bulan 14 Hari"/>
  </r>
  <r>
    <n v="275"/>
    <x v="272"/>
    <n v="221929"/>
    <x v="0"/>
    <x v="15"/>
    <s v="AAS"/>
    <s v="L"/>
    <x v="10"/>
    <d v="2022-07-18T00:00:00"/>
    <s v="4 Tahun 2 Bulan 10 Hari"/>
  </r>
  <r>
    <n v="276"/>
    <x v="273"/>
    <n v="147324"/>
    <x v="0"/>
    <x v="15"/>
    <s v="AAS"/>
    <s v="L"/>
    <x v="10"/>
    <d v="2014-12-02T00:00:00"/>
    <s v="11 Tahun 9 Bulan 26 Hari"/>
  </r>
  <r>
    <n v="277"/>
    <x v="197"/>
    <n v="83120037"/>
    <x v="0"/>
    <x v="15"/>
    <s v="AAS"/>
    <s v="L"/>
    <x v="10"/>
    <d v="2012-01-31T00:00:00"/>
    <s v="14 Tahun 7 Bulan 28 Hari"/>
  </r>
  <r>
    <n v="278"/>
    <x v="274"/>
    <n v="134566"/>
    <x v="0"/>
    <x v="15"/>
    <s v="AAS"/>
    <s v="L"/>
    <x v="10"/>
    <d v="2013-09-27T00:00:00"/>
    <s v="13 Tahun 0 Bulan 1 Hari"/>
  </r>
  <r>
    <n v="279"/>
    <x v="275"/>
    <n v="83117954"/>
    <x v="0"/>
    <x v="15"/>
    <s v="AAS"/>
    <s v="L"/>
    <x v="10"/>
    <d v="2011-07-19T00:00:00"/>
    <s v="15 Tahun 2 Bulan 9 Hari"/>
  </r>
  <r>
    <n v="280"/>
    <x v="276"/>
    <n v="132533"/>
    <x v="0"/>
    <x v="15"/>
    <s v="AAS"/>
    <s v="P"/>
    <x v="10"/>
    <d v="2013-07-02T00:00:00"/>
    <s v="13 Tahun 2 Bulan 26 Hari"/>
  </r>
  <r>
    <n v="281"/>
    <x v="277"/>
    <n v="134362"/>
    <x v="0"/>
    <x v="15"/>
    <s v="AAS"/>
    <s v="P"/>
    <x v="10"/>
    <d v="2013-09-26T00:00:00"/>
    <s v="13 Tahun 0 Bulan 2 Hari"/>
  </r>
  <r>
    <n v="282"/>
    <x v="278"/>
    <n v="134564"/>
    <x v="0"/>
    <x v="15"/>
    <s v="AAS"/>
    <s v="P"/>
    <x v="10"/>
    <d v="2013-09-27T00:00:00"/>
    <s v="13 Tahun 0 Bulan 1 Hari"/>
  </r>
  <r>
    <n v="283"/>
    <x v="279"/>
    <n v="83102190"/>
    <x v="0"/>
    <x v="15"/>
    <s v="AAS"/>
    <s v="P"/>
    <x v="10"/>
    <d v="2010-04-15T00:00:00"/>
    <s v="16 Tahun 5 Bulan 13 Hari"/>
  </r>
  <r>
    <n v="284"/>
    <x v="280"/>
    <n v="143572"/>
    <x v="0"/>
    <x v="15"/>
    <s v="AAS"/>
    <s v="P"/>
    <x v="10"/>
    <d v="2014-07-15T00:00:00"/>
    <s v="12 Tahun 2 Bulan 13 Hari"/>
  </r>
  <r>
    <n v="285"/>
    <x v="281"/>
    <n v="143585"/>
    <x v="0"/>
    <x v="15"/>
    <s v="AAS"/>
    <s v="P"/>
    <x v="10"/>
    <d v="2014-07-15T00:00:00"/>
    <s v="12 Tahun 2 Bulan 13 Hari"/>
  </r>
  <r>
    <n v="286"/>
    <x v="282"/>
    <n v="147334"/>
    <x v="0"/>
    <x v="15"/>
    <s v="AAS"/>
    <s v="P"/>
    <x v="10"/>
    <d v="2014-12-02T00:00:00"/>
    <s v="11 Tahun 9 Bulan 26 Hari"/>
  </r>
  <r>
    <n v="287"/>
    <x v="283"/>
    <n v="143582"/>
    <x v="0"/>
    <x v="15"/>
    <s v="AAS"/>
    <s v="P"/>
    <x v="10"/>
    <d v="2014-07-14T00:00:00"/>
    <s v="12 Tahun 2 Bulan 14 Hari"/>
  </r>
  <r>
    <n v="288"/>
    <x v="284"/>
    <n v="140691"/>
    <x v="0"/>
    <x v="15"/>
    <s v="AAS"/>
    <s v="P"/>
    <x v="10"/>
    <d v="2014-02-13T00:00:00"/>
    <s v="12 Tahun 7 Bulan 15 Hari"/>
  </r>
  <r>
    <n v="289"/>
    <x v="285"/>
    <n v="143583"/>
    <x v="0"/>
    <x v="15"/>
    <s v="AAS"/>
    <s v="P"/>
    <x v="10"/>
    <d v="2014-07-15T00:00:00"/>
    <s v="12 Tahun 2 Bulan 13 Hari"/>
  </r>
  <r>
    <n v="290"/>
    <x v="286"/>
    <n v="143577"/>
    <x v="0"/>
    <x v="15"/>
    <s v="AAS"/>
    <s v="P"/>
    <x v="10"/>
    <d v="2014-07-15T00:00:00"/>
    <s v="12 Tahun 2 Bulan 13 Hari"/>
  </r>
  <r>
    <n v="291"/>
    <x v="287"/>
    <n v="83086469"/>
    <x v="0"/>
    <x v="42"/>
    <s v="AAS"/>
    <s v="L"/>
    <x v="10"/>
    <d v="2008-03-18T00:00:00"/>
    <s v="18 Tahun 6 Bulan 10 Hari"/>
  </r>
  <r>
    <n v="292"/>
    <x v="288"/>
    <n v="83075874"/>
    <x v="0"/>
    <x v="15"/>
    <s v="AAS"/>
    <s v="L"/>
    <x v="10"/>
    <d v="2012-12-28T00:00:00"/>
    <s v="13 Tahun 9 Bulan 0 Hari"/>
  </r>
  <r>
    <n v="293"/>
    <x v="289"/>
    <n v="83040045"/>
    <x v="0"/>
    <x v="15"/>
    <s v="AAS"/>
    <s v="L"/>
    <x v="10"/>
    <d v="2003-09-01T00:00:00"/>
    <s v="23 Tahun 0 Bulan 27 Hari"/>
  </r>
  <r>
    <n v="294"/>
    <x v="290"/>
    <n v="83040208"/>
    <x v="0"/>
    <x v="15"/>
    <s v="AAS"/>
    <s v="P"/>
    <x v="10"/>
    <d v="2004-06-03T00:00:00"/>
    <s v="22 Tahun 3 Bulan 25 Hari"/>
  </r>
  <r>
    <n v="295"/>
    <x v="291"/>
    <n v="162692"/>
    <x v="0"/>
    <x v="15"/>
    <s v="AAS"/>
    <s v="L"/>
    <x v="10"/>
    <d v="2016-11-01T00:00:00"/>
    <s v="9 Tahun 10 Bulan 27 Hari"/>
  </r>
  <r>
    <n v="296"/>
    <x v="292"/>
    <n v="134354"/>
    <x v="0"/>
    <x v="15"/>
    <s v="AAS"/>
    <s v="L"/>
    <x v="10"/>
    <d v="2013-09-26T00:00:00"/>
    <s v="13 Tahun 0 Bulan 2 Hari"/>
  </r>
  <r>
    <n v="297"/>
    <x v="293"/>
    <n v="83102201"/>
    <x v="0"/>
    <x v="15"/>
    <s v="AAS"/>
    <s v="L"/>
    <x v="10"/>
    <d v="2010-04-15T00:00:00"/>
    <s v="16 Tahun 5 Bulan 13 Hari"/>
  </r>
  <r>
    <n v="298"/>
    <x v="294"/>
    <n v="84122966"/>
    <x v="0"/>
    <x v="15"/>
    <s v="AAS"/>
    <s v="L"/>
    <x v="10"/>
    <d v="2012-08-01T00:00:00"/>
    <s v="14 Tahun 1 Bulan 27 Hari"/>
  </r>
  <r>
    <n v="299"/>
    <x v="295"/>
    <n v="83105169"/>
    <x v="0"/>
    <x v="15"/>
    <s v="AAS"/>
    <s v="L"/>
    <x v="10"/>
    <d v="2010-12-06T00:00:00"/>
    <s v="15 Tahun 9 Bulan 22 Hari"/>
  </r>
  <r>
    <n v="300"/>
    <x v="296"/>
    <n v="132514"/>
    <x v="0"/>
    <x v="15"/>
    <s v="AAS"/>
    <s v="L"/>
    <x v="10"/>
    <d v="2013-06-13T00:00:00"/>
    <s v="13 Tahun 3 Bulan 15 Hari"/>
  </r>
  <r>
    <n v="301"/>
    <x v="297"/>
    <n v="221927"/>
    <x v="0"/>
    <x v="15"/>
    <s v="AAS"/>
    <s v="L"/>
    <x v="10"/>
    <d v="2022-07-04T00:00:00"/>
    <s v="4 Tahun 2 Bulan 24 Hari"/>
  </r>
  <r>
    <n v="302"/>
    <x v="298"/>
    <n v="83075885"/>
    <x v="0"/>
    <x v="15"/>
    <s v="AAS"/>
    <s v="L"/>
    <x v="10"/>
    <d v="2007-12-28T00:00:00"/>
    <s v="18 Tahun 9 Bulan 0 Hari"/>
  </r>
  <r>
    <n v="303"/>
    <x v="299"/>
    <n v="83102185"/>
    <x v="0"/>
    <x v="15"/>
    <s v="AAS"/>
    <s v="L"/>
    <x v="10"/>
    <d v="2010-04-15T00:00:00"/>
    <s v="16 Tahun 5 Bulan 13 Hari"/>
  </r>
  <r>
    <n v="304"/>
    <x v="300"/>
    <n v="221928"/>
    <x v="0"/>
    <x v="15"/>
    <s v="AAS"/>
    <s v="L"/>
    <x v="10"/>
    <d v="2022-07-04T00:00:00"/>
    <s v="4 Tahun 2 Bulan 24 Hari"/>
  </r>
  <r>
    <n v="305"/>
    <x v="301"/>
    <n v="83116138"/>
    <x v="0"/>
    <x v="15"/>
    <s v="AAS"/>
    <s v="L"/>
    <x v="10"/>
    <d v="2011-03-07T00:00:00"/>
    <s v="15 Tahun 6 Bulan 21 Hari"/>
  </r>
  <r>
    <n v="306"/>
    <x v="302"/>
    <n v="140685"/>
    <x v="0"/>
    <x v="15"/>
    <s v="AAS"/>
    <s v="L"/>
    <x v="10"/>
    <d v="2014-02-13T00:00:00"/>
    <s v="12 Tahun 7 Bulan 15 Hari"/>
  </r>
  <r>
    <n v="307"/>
    <x v="303"/>
    <n v="140689"/>
    <x v="0"/>
    <x v="15"/>
    <s v="AAS"/>
    <s v="L"/>
    <x v="10"/>
    <d v="2014-02-13T00:00:00"/>
    <s v="12 Tahun 7 Bulan 15 Hari"/>
  </r>
  <r>
    <n v="308"/>
    <x v="304"/>
    <n v="83074618"/>
    <x v="0"/>
    <x v="15"/>
    <s v="AAS"/>
    <s v="L"/>
    <x v="10"/>
    <d v="2007-04-11T00:00:00"/>
    <s v="19 Tahun 5 Bulan 17 Hari"/>
  </r>
  <r>
    <n v="309"/>
    <x v="305"/>
    <n v="147371"/>
    <x v="0"/>
    <x v="15"/>
    <s v="AAS"/>
    <s v="L"/>
    <x v="10"/>
    <d v="2014-12-02T00:00:00"/>
    <s v="11 Tahun 9 Bulan 26 Hari"/>
  </r>
  <r>
    <n v="310"/>
    <x v="306"/>
    <n v="154179"/>
    <x v="0"/>
    <x v="15"/>
    <s v="AAS"/>
    <s v="L"/>
    <x v="10"/>
    <d v="2015-11-10T00:00:00"/>
    <s v="10 Tahun 10 Bulan 18 Hari"/>
  </r>
  <r>
    <n v="311"/>
    <x v="307"/>
    <n v="83102749"/>
    <x v="0"/>
    <x v="15"/>
    <s v="AAS"/>
    <s v="L"/>
    <x v="10"/>
    <d v="2010-06-14T00:00:00"/>
    <s v="16 Tahun 3 Bulan 14 Hari"/>
  </r>
  <r>
    <n v="312"/>
    <x v="308"/>
    <n v="83088475"/>
    <x v="0"/>
    <x v="15"/>
    <s v="AAS"/>
    <s v="P"/>
    <x v="10"/>
    <d v="2008-10-30T00:00:00"/>
    <s v="17 Tahun 10 Bulan 29 Hari"/>
  </r>
  <r>
    <n v="313"/>
    <x v="309"/>
    <n v="83090015"/>
    <x v="0"/>
    <x v="15"/>
    <s v="AAS"/>
    <s v="P"/>
    <x v="10"/>
    <d v="2009-07-01T00:00:00"/>
    <s v="17 Tahun 2 Bulan 27 Hari"/>
  </r>
  <r>
    <n v="314"/>
    <x v="310"/>
    <n v="147365"/>
    <x v="0"/>
    <x v="15"/>
    <s v="AAS"/>
    <s v="P"/>
    <x v="10"/>
    <d v="2014-12-02T00:00:00"/>
    <s v="11 Tahun 9 Bulan 26 Hari"/>
  </r>
  <r>
    <n v="315"/>
    <x v="311"/>
    <n v="83102429"/>
    <x v="0"/>
    <x v="15"/>
    <s v="AAS"/>
    <s v="P"/>
    <x v="10"/>
    <d v="2010-05-05T00:00:00"/>
    <s v="16 Tahun 4 Bulan 23 Hari"/>
  </r>
  <r>
    <n v="316"/>
    <x v="312"/>
    <n v="83119911"/>
    <x v="0"/>
    <x v="15"/>
    <s v="AAS"/>
    <s v="P"/>
    <x v="10"/>
    <d v="2011-12-26T00:00:00"/>
    <s v="14 Tahun 9 Bulan 2 Hari"/>
  </r>
  <r>
    <n v="317"/>
    <x v="313"/>
    <n v="140594"/>
    <x v="0"/>
    <x v="15"/>
    <s v="AAS"/>
    <s v="P"/>
    <x v="10"/>
    <d v="2014-02-13T00:00:00"/>
    <s v="12 Tahun 7 Bulan 15 Hari"/>
  </r>
  <r>
    <n v="318"/>
    <x v="314"/>
    <n v="134584"/>
    <x v="0"/>
    <x v="15"/>
    <s v="AAS"/>
    <s v="L"/>
    <x v="10"/>
    <d v="2013-09-27T00:00:00"/>
    <s v="13 Tahun 0 Bulan 1 Hari"/>
  </r>
  <r>
    <n v="319"/>
    <x v="315"/>
    <n v="83103429"/>
    <x v="0"/>
    <x v="15"/>
    <s v="AAS"/>
    <s v="L"/>
    <x v="10"/>
    <d v="2010-07-27T00:00:00"/>
    <s v="16 Tahun 2 Bulan 1 Hari"/>
  </r>
  <r>
    <n v="320"/>
    <x v="316"/>
    <n v="84122840"/>
    <x v="0"/>
    <x v="15"/>
    <s v="AAS"/>
    <s v="L"/>
    <x v="10"/>
    <d v="2012-07-17T00:00:00"/>
    <s v="14 Tahun 2 Bulan 11 Hari"/>
  </r>
  <r>
    <n v="321"/>
    <x v="317"/>
    <n v="140692"/>
    <x v="0"/>
    <x v="15"/>
    <s v="AAS"/>
    <s v="P"/>
    <x v="10"/>
    <d v="2014-02-13T00:00:00"/>
    <s v="12 Tahun 7 Bulan 15 Hari"/>
  </r>
  <r>
    <n v="322"/>
    <x v="318"/>
    <n v="147356"/>
    <x v="0"/>
    <x v="15"/>
    <s v="AAS"/>
    <s v="P"/>
    <x v="10"/>
    <d v="2014-02-12T00:00:00"/>
    <s v="12 Tahun 7 Bulan 16 Hari"/>
  </r>
  <r>
    <n v="323"/>
    <x v="319"/>
    <n v="83105221"/>
    <x v="0"/>
    <x v="15"/>
    <s v="AAS"/>
    <s v="L"/>
    <x v="10"/>
    <d v="2010-12-06T00:00:00"/>
    <s v="15 Tahun 9 Bulan 22 Hari"/>
  </r>
  <r>
    <n v="324"/>
    <x v="320"/>
    <n v="143586"/>
    <x v="0"/>
    <x v="15"/>
    <s v="AAS"/>
    <s v="P"/>
    <x v="10"/>
    <d v="2014-07-14T00:00:00"/>
    <s v="12 Tahun 2 Bulan 14 Hari"/>
  </r>
  <r>
    <n v="325"/>
    <x v="321"/>
    <n v="221918"/>
    <x v="0"/>
    <x v="15"/>
    <s v="AAS"/>
    <s v="L"/>
    <x v="10"/>
    <d v="2022-07-04T00:00:00"/>
    <s v="4 Tahun 2 Bulan 24 Hari"/>
  </r>
  <r>
    <n v="326"/>
    <x v="322"/>
    <n v="134550"/>
    <x v="0"/>
    <x v="15"/>
    <s v="AAS"/>
    <s v="P"/>
    <x v="10"/>
    <d v="2013-09-27T00:00:00"/>
    <s v="13 Tahun 0 Bulan 1 Hari"/>
  </r>
  <r>
    <n v="327"/>
    <x v="323"/>
    <n v="83116127"/>
    <x v="0"/>
    <x v="15"/>
    <s v="AAS"/>
    <s v="L"/>
    <x v="10"/>
    <d v="2011-03-07T00:00:00"/>
    <s v="15 Tahun 6 Bulan 21 Hari"/>
  </r>
  <r>
    <n v="328"/>
    <x v="324"/>
    <n v="241131"/>
    <x v="0"/>
    <x v="15"/>
    <s v="AAS"/>
    <s v="L"/>
    <x v="10"/>
    <d v="2024-07-08T00:00:00"/>
    <s v="2 Tahun 2 Bulan 20 Hari"/>
  </r>
  <r>
    <n v="329"/>
    <x v="325"/>
    <n v="241137"/>
    <x v="0"/>
    <x v="15"/>
    <s v="AAS"/>
    <s v="L"/>
    <x v="10"/>
    <d v="2024-07-08T00:00:00"/>
    <s v="2 Tahun 2 Bulan 20 Hari"/>
  </r>
  <r>
    <n v="330"/>
    <x v="326"/>
    <n v="241133"/>
    <x v="0"/>
    <x v="15"/>
    <s v="AAS"/>
    <s v="P"/>
    <x v="10"/>
    <d v="2024-07-08T00:00:00"/>
    <s v="2 Tahun 2 Bulan 20 Hari"/>
  </r>
  <r>
    <n v="331"/>
    <x v="327"/>
    <n v="241136"/>
    <x v="0"/>
    <x v="15"/>
    <s v="AAS"/>
    <s v="L"/>
    <x v="10"/>
    <d v="2024-07-08T00:00:00"/>
    <s v="2 Tahun 2 Bulan 20 Hari"/>
  </r>
  <r>
    <n v="332"/>
    <x v="328"/>
    <n v="241138"/>
    <x v="0"/>
    <x v="15"/>
    <s v="AAS"/>
    <s v="P"/>
    <x v="10"/>
    <d v="2024-07-08T00:00:00"/>
    <s v="2 Tahun 2 Bulan 20 Hari"/>
  </r>
  <r>
    <n v="333"/>
    <x v="329"/>
    <n v="241134"/>
    <x v="0"/>
    <x v="15"/>
    <s v="AAS"/>
    <s v="P"/>
    <x v="10"/>
    <d v="2024-07-08T00:00:00"/>
    <s v="2 Tahun 2 Bulan 20 Hari"/>
  </r>
  <r>
    <n v="334"/>
    <x v="330"/>
    <n v="241552"/>
    <x v="0"/>
    <x v="15"/>
    <s v="AAS"/>
    <s v="P"/>
    <x v="10"/>
    <d v="2024-08-30T00:00:00"/>
    <s v="2 Tahun 0 Bulan 29 Hari"/>
  </r>
  <r>
    <n v="335"/>
    <x v="331"/>
    <n v="241553"/>
    <x v="0"/>
    <x v="15"/>
    <s v="AAS"/>
    <s v="P"/>
    <x v="10"/>
    <d v="2024-08-30T00:00:00"/>
    <s v="2 Tahun 0 Bulan 29 Hari"/>
  </r>
  <r>
    <n v="336"/>
    <x v="332"/>
    <n v="241554"/>
    <x v="0"/>
    <x v="15"/>
    <s v="AAS"/>
    <s v="P"/>
    <x v="10"/>
    <d v="2024-08-30T00:00:00"/>
    <s v="2 Tahun 0 Bulan 29 Hari"/>
  </r>
  <r>
    <n v="337"/>
    <x v="333"/>
    <n v="241555"/>
    <x v="0"/>
    <x v="15"/>
    <s v="AAS"/>
    <s v="L"/>
    <x v="10"/>
    <d v="2024-08-30T00:00:00"/>
    <s v="2 Tahun 0 Bulan 29 Hari"/>
  </r>
  <r>
    <n v="338"/>
    <x v="334"/>
    <n v="241556"/>
    <x v="0"/>
    <x v="15"/>
    <s v="AAS"/>
    <s v="L"/>
    <x v="10"/>
    <d v="2024-08-30T00:00:00"/>
    <s v="2 Tahun 0 Bulan 29 Hari"/>
  </r>
  <r>
    <n v="339"/>
    <x v="335"/>
    <n v="241557"/>
    <x v="0"/>
    <x v="15"/>
    <s v="AAS"/>
    <s v="L"/>
    <x v="10"/>
    <d v="2024-08-30T00:00:00"/>
    <s v="2 Tahun 0 Bulan 29 Hari"/>
  </r>
  <r>
    <n v="340"/>
    <x v="336"/>
    <n v="241559"/>
    <x v="0"/>
    <x v="15"/>
    <s v="AAS"/>
    <s v="L"/>
    <x v="10"/>
    <d v="2024-08-30T00:00:00"/>
    <s v="2 Tahun 0 Bulan 29 Hari"/>
  </r>
  <r>
    <n v="341"/>
    <x v="337"/>
    <n v="241560"/>
    <x v="0"/>
    <x v="15"/>
    <s v="AAS"/>
    <s v="L"/>
    <x v="10"/>
    <d v="2024-08-30T00:00:00"/>
    <s v="2 Tahun 0 Bulan 29 Hari"/>
  </r>
  <r>
    <n v="342"/>
    <x v="338"/>
    <n v="241561"/>
    <x v="0"/>
    <x v="15"/>
    <s v="AAS"/>
    <s v="P"/>
    <x v="10"/>
    <d v="2024-08-30T00:00:00"/>
    <s v="2 Tahun 0 Bulan 29 Hari"/>
  </r>
  <r>
    <n v="343"/>
    <x v="339"/>
    <n v="242165"/>
    <x v="0"/>
    <x v="15"/>
    <s v="AAS"/>
    <s v="L"/>
    <x v="10"/>
    <d v="2025-10-15T00:00:00"/>
    <s v="0 Tahun 11 Bulan 13 Hari"/>
  </r>
  <r>
    <n v="344"/>
    <x v="340"/>
    <n v="242159"/>
    <x v="0"/>
    <x v="15"/>
    <s v="AAS"/>
    <s v="P"/>
    <x v="10"/>
    <d v="2024-10-14T00:00:00"/>
    <s v="1 Tahun 11 Bulan 14 Hari"/>
  </r>
  <r>
    <n v="345"/>
    <x v="341"/>
    <n v="242184"/>
    <x v="0"/>
    <x v="15"/>
    <s v="AAS"/>
    <s v="L"/>
    <x v="10"/>
    <d v="2024-10-22T00:00:00"/>
    <s v="1 Tahun 11 Bulan 6 Hari"/>
  </r>
  <r>
    <n v="346"/>
    <x v="342"/>
    <n v="242185"/>
    <x v="0"/>
    <x v="15"/>
    <s v="AAS"/>
    <s v="L"/>
    <x v="10"/>
    <d v="2024-10-22T00:00:00"/>
    <s v="1 Tahun 11 Bulan 6 Hari"/>
  </r>
  <r>
    <n v="347"/>
    <x v="343"/>
    <n v="242186"/>
    <x v="0"/>
    <x v="15"/>
    <s v="AAS"/>
    <s v="L"/>
    <x v="10"/>
    <d v="2024-10-22T00:00:00"/>
    <s v="1 Tahun 11 Bulan 6 Hari"/>
  </r>
  <r>
    <n v="348"/>
    <x v="344"/>
    <n v="242209"/>
    <x v="0"/>
    <x v="15"/>
    <s v="AAS"/>
    <s v="L"/>
    <x v="10"/>
    <d v="2024-10-23T00:00:00"/>
    <s v="1 Tahun 11 Bulan 5 Hari"/>
  </r>
  <r>
    <n v="349"/>
    <x v="345"/>
    <n v="242407"/>
    <x v="0"/>
    <x v="15"/>
    <s v="AAS"/>
    <s v="P"/>
    <x v="10"/>
    <d v="2024-11-25T00:00:00"/>
    <s v="1 Tahun 10 Bulan 3 Hari"/>
  </r>
  <r>
    <n v="350"/>
    <x v="346"/>
    <n v="242408"/>
    <x v="0"/>
    <x v="15"/>
    <s v="AAS"/>
    <s v="L"/>
    <x v="10"/>
    <d v="2024-11-25T00:00:00"/>
    <s v="1 Tahun 10 Bulan 3 Hari"/>
  </r>
  <r>
    <n v="351"/>
    <x v="347"/>
    <n v="242409"/>
    <x v="0"/>
    <x v="15"/>
    <s v="AAS"/>
    <s v="P"/>
    <x v="10"/>
    <d v="2025-11-25T00:00:00"/>
    <s v="0 Tahun 10 Bulan 3 Hari"/>
  </r>
  <r>
    <n v="352"/>
    <x v="348"/>
    <n v="242410"/>
    <x v="0"/>
    <x v="15"/>
    <s v="AAS"/>
    <s v="L"/>
    <x v="10"/>
    <d v="2024-11-25T00:00:00"/>
    <s v="1 Tahun 10 Bulan 3 Hari"/>
  </r>
  <r>
    <n v="353"/>
    <x v="349"/>
    <n v="242411"/>
    <x v="0"/>
    <x v="15"/>
    <s v="AAS"/>
    <s v="L"/>
    <x v="10"/>
    <d v="2024-11-25T00:00:00"/>
    <s v="1 Tahun 10 Bulan 3 Hari"/>
  </r>
  <r>
    <n v="354"/>
    <x v="350"/>
    <n v="242412"/>
    <x v="0"/>
    <x v="15"/>
    <s v="AAS"/>
    <s v="P"/>
    <x v="10"/>
    <d v="2025-07-14T00:00:00"/>
    <s v="1 Tahun 2 Bulan 14 Hari"/>
  </r>
  <r>
    <n v="355"/>
    <x v="351"/>
    <n v="242413"/>
    <x v="0"/>
    <x v="15"/>
    <s v="AAS"/>
    <s v="L"/>
    <x v="10"/>
    <d v="2024-11-25T00:00:00"/>
    <s v="1 Tahun 10 Bulan 3 Hari"/>
  </r>
  <r>
    <n v="356"/>
    <x v="352"/>
    <n v="242417"/>
    <x v="0"/>
    <x v="15"/>
    <s v="AAS"/>
    <s v="L"/>
    <x v="10"/>
    <d v="2024-11-25T00:00:00"/>
    <s v="1 Tahun 10 Bulan 3 Hari"/>
  </r>
  <r>
    <n v="357"/>
    <x v="353"/>
    <n v="250755"/>
    <x v="0"/>
    <x v="15"/>
    <s v="AAS"/>
    <s v="P"/>
    <x v="10"/>
    <d v="2025-04-09T00:00:00"/>
    <s v="1 Tahun 5 Bulan 19 Hari"/>
  </r>
  <r>
    <n v="358"/>
    <x v="354"/>
    <n v="83075887"/>
    <x v="0"/>
    <x v="15"/>
    <s v="AAS"/>
    <s v="L"/>
    <x v="10"/>
    <d v="2007-12-28T00:00:00"/>
    <s v="18 Tahun 9 Bulan 0 Hari"/>
  </r>
  <r>
    <n v="359"/>
    <x v="355"/>
    <n v="241562"/>
    <x v="0"/>
    <x v="15"/>
    <s v="AAS"/>
    <s v="L"/>
    <x v="10"/>
    <d v="2024-08-30T00:00:00"/>
    <s v="2 Tahun 0 Bulan 29 Hari"/>
  </r>
  <r>
    <n v="360"/>
    <x v="356"/>
    <n v="83123708"/>
    <x v="5"/>
    <x v="43"/>
    <s v="BAT "/>
    <s v="L"/>
    <x v="9"/>
    <d v="2012-09-20T00:00:00"/>
    <s v="14 Tahun 0 Bulan 8 Hari"/>
  </r>
  <r>
    <n v="361"/>
    <x v="357"/>
    <n v="83123707"/>
    <x v="5"/>
    <x v="14"/>
    <s v="BAT "/>
    <s v="L"/>
    <x v="9"/>
    <d v="2012-10-01T00:00:00"/>
    <s v="13 Tahun 11 Bulan 27 Hari"/>
  </r>
  <r>
    <n v="362"/>
    <x v="358"/>
    <n v="145074"/>
    <x v="5"/>
    <x v="14"/>
    <s v="BAT "/>
    <s v="L"/>
    <x v="9"/>
    <d v="2014-10-01T00:00:00"/>
    <s v="11 Tahun 11 Bulan 27 Hari"/>
  </r>
  <r>
    <n v="363"/>
    <x v="359"/>
    <n v="83085782"/>
    <x v="5"/>
    <x v="14"/>
    <s v="BAT "/>
    <s v="L"/>
    <x v="9"/>
    <d v="2008-05-09T00:00:00"/>
    <s v="18 Tahun 4 Bulan 19 Hari"/>
  </r>
  <r>
    <n v="364"/>
    <x v="360"/>
    <n v="83124750"/>
    <x v="6"/>
    <x v="44"/>
    <s v="BAT "/>
    <s v="L"/>
    <x v="4"/>
    <d v="2012-12-12T00:00:00"/>
    <s v="13 Tahun 9 Bulan 16 Hari"/>
  </r>
  <r>
    <n v="365"/>
    <x v="361"/>
    <n v="135037"/>
    <x v="6"/>
    <x v="14"/>
    <s v="BAT "/>
    <s v="L"/>
    <x v="4"/>
    <d v="2013-10-10T00:00:00"/>
    <s v="12 Tahun 11 Bulan 18 Hari"/>
  </r>
  <r>
    <n v="366"/>
    <x v="362"/>
    <n v="83086689"/>
    <x v="6"/>
    <x v="14"/>
    <s v="BAT "/>
    <s v="L"/>
    <x v="4"/>
    <d v="2008-04-28T00:00:00"/>
    <s v="18 Tahun 5 Bulan 0 Hari"/>
  </r>
  <r>
    <n v="367"/>
    <x v="363"/>
    <n v="83124751"/>
    <x v="6"/>
    <x v="45"/>
    <s v="BAT "/>
    <s v="L"/>
    <x v="4"/>
    <d v="2012-12-12T00:00:00"/>
    <s v="13 Tahun 9 Bulan 16 Hari"/>
  </r>
  <r>
    <n v="368"/>
    <x v="364"/>
    <n v="145329"/>
    <x v="6"/>
    <x v="14"/>
    <s v="BAT "/>
    <s v="L"/>
    <x v="4"/>
    <d v="2014-10-13T00:00:00"/>
    <s v="11 Tahun 11 Bulan 15 Hari"/>
  </r>
  <r>
    <n v="369"/>
    <x v="365"/>
    <n v="83086304"/>
    <x v="6"/>
    <x v="14"/>
    <s v="BAT "/>
    <s v="L"/>
    <x v="4"/>
    <d v="2008-02-20T00:00:00"/>
    <s v="18 Tahun 7 Bulan 8 Hari"/>
  </r>
  <r>
    <n v="370"/>
    <x v="366"/>
    <n v="83102211"/>
    <x v="6"/>
    <x v="46"/>
    <s v="BAT "/>
    <s v="L"/>
    <x v="4"/>
    <d v="1995-06-03T00:00:00"/>
    <s v="31 Tahun 3 Bulan 25 Hari"/>
  </r>
  <r>
    <n v="371"/>
    <x v="367"/>
    <n v="142244"/>
    <x v="6"/>
    <x v="14"/>
    <s v="BAT "/>
    <s v="L"/>
    <x v="4"/>
    <d v="2014-04-28T00:00:00"/>
    <s v="12 Tahun 5 Bulan 0 Hari"/>
  </r>
  <r>
    <n v="372"/>
    <x v="368"/>
    <n v="145315"/>
    <x v="6"/>
    <x v="14"/>
    <s v="BAT "/>
    <s v="L"/>
    <x v="4"/>
    <d v="2014-10-13T00:00:00"/>
    <s v="11 Tahun 11 Bulan 15 Hari"/>
  </r>
  <r>
    <n v="373"/>
    <x v="369"/>
    <n v="145347"/>
    <x v="6"/>
    <x v="47"/>
    <s v="BAT "/>
    <s v="L"/>
    <x v="4"/>
    <d v="2014-11-13T00:00:00"/>
    <s v="11 Tahun 10 Bulan 15 Hari"/>
  </r>
  <r>
    <n v="374"/>
    <x v="370"/>
    <n v="151728"/>
    <x v="6"/>
    <x v="14"/>
    <s v="BAT "/>
    <s v="L"/>
    <x v="4"/>
    <d v="2015-06-11T00:00:00"/>
    <s v="11 Tahun 3 Bulan 17 Hari"/>
  </r>
  <r>
    <n v="375"/>
    <x v="371"/>
    <n v="145341"/>
    <x v="6"/>
    <x v="14"/>
    <s v="BAT "/>
    <s v="L"/>
    <x v="4"/>
    <d v="2014-10-13T00:00:00"/>
    <s v="11 Tahun 11 Bulan 15 Hari"/>
  </r>
  <r>
    <n v="376"/>
    <x v="372"/>
    <n v="154599"/>
    <x v="6"/>
    <x v="48"/>
    <s v="AAS"/>
    <s v="L"/>
    <x v="10"/>
    <d v="2015-11-20T00:00:00"/>
    <s v="10 Tahun 10 Bulan 8 Hari"/>
  </r>
  <r>
    <n v="377"/>
    <x v="373"/>
    <n v="150928"/>
    <x v="6"/>
    <x v="15"/>
    <s v="BAT "/>
    <s v="L"/>
    <x v="10"/>
    <d v="2015-03-09T00:00:00"/>
    <s v="11 Tahun 6 Bulan 19 Hari"/>
  </r>
  <r>
    <n v="378"/>
    <x v="374"/>
    <n v="147326"/>
    <x v="6"/>
    <x v="15"/>
    <s v="AAS"/>
    <s v="L"/>
    <x v="10"/>
    <d v="2014-12-02T00:00:00"/>
    <s v="11 Tahun 9 Bulan 26 Hari"/>
  </r>
  <r>
    <n v="379"/>
    <x v="375"/>
    <n v="134571"/>
    <x v="6"/>
    <x v="15"/>
    <s v="AAS"/>
    <s v="L"/>
    <x v="10"/>
    <d v="2013-09-27T00:00:00"/>
    <s v="13 Tahun 0 Bulan 1 Hari"/>
  </r>
  <r>
    <n v="380"/>
    <x v="376"/>
    <n v="251126"/>
    <x v="6"/>
    <x v="15"/>
    <s v="AAS"/>
    <s v="L"/>
    <x v="10"/>
    <d v="2025-05-22T00:00:00"/>
    <s v="1 Tahun 4 Bulan 6 Hari"/>
  </r>
  <r>
    <n v="381"/>
    <x v="377"/>
    <n v="83040081"/>
    <x v="6"/>
    <x v="48"/>
    <s v="AAS"/>
    <s v="L"/>
    <x v="10"/>
    <d v="2003-10-01T00:00:00"/>
    <s v="22 Tahun 11 Bulan 27 Hari"/>
  </r>
  <r>
    <n v="382"/>
    <x v="378"/>
    <n v="152573"/>
    <x v="6"/>
    <x v="15"/>
    <s v="AAS"/>
    <s v="L"/>
    <x v="10"/>
    <d v="2015-08-03T00:00:00"/>
    <s v="11 Tahun 1 Bulan 25 Hari"/>
  </r>
  <r>
    <n v="383"/>
    <x v="379"/>
    <n v="162697"/>
    <x v="6"/>
    <x v="15"/>
    <s v="AAS"/>
    <s v="L"/>
    <x v="10"/>
    <d v="2016-11-01T00:00:00"/>
    <s v="9 Tahun 10 Bulan 27 Hari"/>
  </r>
  <r>
    <n v="384"/>
    <x v="380"/>
    <n v="162705"/>
    <x v="6"/>
    <x v="15"/>
    <s v="AAS"/>
    <s v="L"/>
    <x v="10"/>
    <d v="2016-11-02T00:00:00"/>
    <s v="9 Tahun 10 Bulan 26 Hari"/>
  </r>
  <r>
    <n v="385"/>
    <x v="381"/>
    <n v="154184"/>
    <x v="6"/>
    <x v="15"/>
    <s v="AAS"/>
    <s v="L"/>
    <x v="10"/>
    <d v="2015-11-10T00:00:00"/>
    <s v="10 Tahun 10 Bulan 18 Hari"/>
  </r>
  <r>
    <n v="386"/>
    <x v="382"/>
    <n v="83102118"/>
    <x v="6"/>
    <x v="12"/>
    <s v="BAT "/>
    <s v="L"/>
    <x v="6"/>
    <d v="2010-04-14T00:00:00"/>
    <s v="16 Tahun 5 Bulan 14 Hari"/>
  </r>
  <r>
    <n v="387"/>
    <x v="383"/>
    <n v="147843"/>
    <x v="6"/>
    <x v="12"/>
    <s v="BAT "/>
    <s v="L"/>
    <x v="6"/>
    <d v="2014-12-15T00:00:00"/>
    <s v="11 Tahun 9 Bulan 13 Hari"/>
  </r>
  <r>
    <n v="388"/>
    <x v="384"/>
    <n v="83102208"/>
    <x v="7"/>
    <x v="49"/>
    <s v="BAT "/>
    <s v="L"/>
    <x v="1"/>
    <d v="2010-04-15T00:00:00"/>
    <s v="16 Tahun 5 Bulan 13 Hari"/>
  </r>
  <r>
    <n v="389"/>
    <x v="385"/>
    <n v="83123675"/>
    <x v="7"/>
    <x v="50"/>
    <s v="BAT "/>
    <s v="L"/>
    <x v="9"/>
    <d v="2012-09-20T00:00:00"/>
    <s v="14 Tahun 0 Bulan 8 Hari"/>
  </r>
  <r>
    <n v="390"/>
    <x v="386"/>
    <n v="183507"/>
    <x v="7"/>
    <x v="14"/>
    <s v="BAT "/>
    <s v="L"/>
    <x v="9"/>
    <d v="2018-10-16T00:00:00"/>
    <s v="7 Tahun 11 Bulan 12 Hari"/>
  </r>
  <r>
    <n v="391"/>
    <x v="387"/>
    <n v="150717"/>
    <x v="7"/>
    <x v="14"/>
    <s v="BAT "/>
    <s v="L"/>
    <x v="9"/>
    <d v="2015-02-01T00:00:00"/>
    <s v="11 Tahun 7 Bulan 27 Hari"/>
  </r>
  <r>
    <n v="392"/>
    <x v="388"/>
    <n v="83104214"/>
    <x v="7"/>
    <x v="14"/>
    <s v="BAT "/>
    <s v="L"/>
    <x v="9"/>
    <d v="2010-09-07T00:00:00"/>
    <s v="16 Tahun 0 Bulan 21 Hari"/>
  </r>
  <r>
    <n v="393"/>
    <x v="389"/>
    <n v="83123690"/>
    <x v="7"/>
    <x v="14"/>
    <s v="BAT "/>
    <s v="L"/>
    <x v="9"/>
    <d v="2012-10-10T00:00:00"/>
    <s v="13 Tahun 11 Bulan 18 Hari"/>
  </r>
  <r>
    <n v="394"/>
    <x v="390"/>
    <n v="83123687"/>
    <x v="7"/>
    <x v="51"/>
    <s v="BAT "/>
    <s v="L"/>
    <x v="9"/>
    <d v="2012-10-01T00:00:00"/>
    <s v="13 Tahun 11 Bulan 27 Hari"/>
  </r>
  <r>
    <n v="395"/>
    <x v="391"/>
    <n v="141439"/>
    <x v="7"/>
    <x v="14"/>
    <s v="BAT "/>
    <s v="L"/>
    <x v="9"/>
    <d v="2014-03-17T00:00:00"/>
    <s v="12 Tahun 6 Bulan 11 Hari"/>
  </r>
  <r>
    <n v="396"/>
    <x v="392"/>
    <n v="141440"/>
    <x v="7"/>
    <x v="14"/>
    <s v="BAT "/>
    <s v="L"/>
    <x v="9"/>
    <d v="2014-03-17T00:00:00"/>
    <s v="12 Tahun 6 Bulan 11 Hari"/>
  </r>
  <r>
    <n v="397"/>
    <x v="393"/>
    <n v="83123683"/>
    <x v="7"/>
    <x v="14"/>
    <s v="BAT "/>
    <s v="L"/>
    <x v="9"/>
    <d v="2012-10-01T00:00:00"/>
    <s v="13 Tahun 11 Bulan 27 Hari"/>
  </r>
  <r>
    <n v="398"/>
    <x v="394"/>
    <n v="145565"/>
    <x v="7"/>
    <x v="52"/>
    <s v="BAT "/>
    <s v="L"/>
    <x v="9"/>
    <d v="2014-10-13T00:00:00"/>
    <s v="11 Tahun 11 Bulan 15 Hari"/>
  </r>
  <r>
    <n v="399"/>
    <x v="395"/>
    <n v="142875"/>
    <x v="7"/>
    <x v="14"/>
    <s v="BAT "/>
    <s v="L"/>
    <x v="9"/>
    <d v="2014-05-01T00:00:00"/>
    <s v="12 Tahun 4 Bulan 27 Hari"/>
  </r>
  <r>
    <n v="400"/>
    <x v="396"/>
    <n v="135705"/>
    <x v="7"/>
    <x v="14"/>
    <s v="BAT "/>
    <s v="L"/>
    <x v="9"/>
    <d v="2013-12-15T00:00:00"/>
    <s v="12 Tahun 9 Bulan 13 Hari"/>
  </r>
  <r>
    <n v="401"/>
    <x v="397"/>
    <n v="83123685"/>
    <x v="7"/>
    <x v="53"/>
    <s v="BAT "/>
    <s v="L"/>
    <x v="9"/>
    <d v="2012-10-01T00:00:00"/>
    <s v="13 Tahun 11 Bulan 27 Hari"/>
  </r>
  <r>
    <n v="402"/>
    <x v="398"/>
    <n v="83123688"/>
    <x v="7"/>
    <x v="14"/>
    <s v="BAT "/>
    <s v="L"/>
    <x v="9"/>
    <d v="2012-09-20T00:00:00"/>
    <s v="14 Tahun 0 Bulan 8 Hari"/>
  </r>
  <r>
    <n v="403"/>
    <x v="399"/>
    <n v="83123686"/>
    <x v="7"/>
    <x v="14"/>
    <s v="BAT "/>
    <s v="L"/>
    <x v="9"/>
    <d v="2012-10-01T00:00:00"/>
    <s v="13 Tahun 11 Bulan 27 Hari"/>
  </r>
  <r>
    <n v="404"/>
    <x v="400"/>
    <n v="83123689"/>
    <x v="7"/>
    <x v="14"/>
    <s v="BAT "/>
    <s v="L"/>
    <x v="9"/>
    <d v="2012-09-20T00:00:00"/>
    <s v="14 Tahun 0 Bulan 8 Hari"/>
  </r>
  <r>
    <n v="405"/>
    <x v="401"/>
    <n v="183506"/>
    <x v="7"/>
    <x v="14"/>
    <s v="BAT "/>
    <s v="L"/>
    <x v="9"/>
    <d v="2018-10-16T00:00:00"/>
    <s v="7 Tahun 11 Bulan 12 Hari"/>
  </r>
  <r>
    <n v="406"/>
    <x v="402"/>
    <n v="83103566"/>
    <x v="7"/>
    <x v="15"/>
    <s v="BAT "/>
    <s v="L"/>
    <x v="8"/>
    <d v="2024-09-01T00:00:00"/>
    <s v="2 Tahun 0 Bulan 27 Hari"/>
  </r>
  <r>
    <n v="407"/>
    <x v="403"/>
    <n v="83117001"/>
    <x v="7"/>
    <x v="15"/>
    <s v="BAT "/>
    <s v="L"/>
    <x v="8"/>
    <d v="2011-04-27T00:00:00"/>
    <s v="15 Tahun 5 Bulan 1 Hari"/>
  </r>
  <r>
    <n v="408"/>
    <x v="404"/>
    <n v="83103403"/>
    <x v="7"/>
    <x v="15"/>
    <s v="BAT "/>
    <s v="L"/>
    <x v="8"/>
    <d v="2010-07-03T00:00:00"/>
    <s v="16 Tahun 2 Bulan 25 Hari"/>
  </r>
  <r>
    <n v="409"/>
    <x v="405"/>
    <n v="84088210"/>
    <x v="7"/>
    <x v="54"/>
    <s v="AAS"/>
    <s v="L"/>
    <x v="8"/>
    <d v="2008-09-30T00:00:00"/>
    <s v="17 Tahun 11 Bulan 29 Hari"/>
  </r>
  <r>
    <n v="410"/>
    <x v="406"/>
    <n v="133792"/>
    <x v="7"/>
    <x v="15"/>
    <s v="BAT "/>
    <s v="L"/>
    <x v="8"/>
    <d v="2013-09-02T00:00:00"/>
    <s v="13 Tahun 0 Bulan 26 Hari"/>
  </r>
  <r>
    <n v="411"/>
    <x v="407"/>
    <n v="183516"/>
    <x v="7"/>
    <x v="15"/>
    <s v="BAT "/>
    <s v="L"/>
    <x v="8"/>
    <d v="2018-10-16T00:00:00"/>
    <s v="7 Tahun 11 Bulan 12 Hari"/>
  </r>
  <r>
    <n v="412"/>
    <x v="408"/>
    <n v="83103111"/>
    <x v="7"/>
    <x v="15"/>
    <s v="BAT "/>
    <s v="L"/>
    <x v="8"/>
    <d v="2010-07-04T00:00:00"/>
    <s v="16 Tahun 2 Bulan 24 Hari"/>
  </r>
  <r>
    <n v="413"/>
    <x v="409"/>
    <n v="183517"/>
    <x v="7"/>
    <x v="15"/>
    <s v="BAT "/>
    <s v="L"/>
    <x v="8"/>
    <d v="2018-10-16T00:00:00"/>
    <s v="7 Tahun 11 Bulan 12 Hari"/>
  </r>
  <r>
    <n v="414"/>
    <x v="410"/>
    <n v="84130564"/>
    <x v="7"/>
    <x v="15"/>
    <s v="BAT "/>
    <s v="L"/>
    <x v="8"/>
    <d v="2013-02-05T00:00:00"/>
    <s v="13 Tahun 7 Bulan 23 Hari"/>
  </r>
  <r>
    <n v="415"/>
    <x v="411"/>
    <n v="133799"/>
    <x v="7"/>
    <x v="15"/>
    <s v="BAT "/>
    <s v="L"/>
    <x v="8"/>
    <d v="2013-09-02T00:00:00"/>
    <s v="13 Tahun 0 Bulan 26 Hari"/>
  </r>
  <r>
    <n v="416"/>
    <x v="412"/>
    <n v="183523"/>
    <x v="7"/>
    <x v="15"/>
    <s v="BAT "/>
    <s v="L"/>
    <x v="8"/>
    <d v="2018-10-16T00:00:00"/>
    <s v="7 Tahun 11 Bulan 12 Hari"/>
  </r>
  <r>
    <n v="417"/>
    <x v="413"/>
    <n v="83102441"/>
    <x v="7"/>
    <x v="15"/>
    <s v="BAT "/>
    <s v="L"/>
    <x v="8"/>
    <d v="2010-04-16T00:00:00"/>
    <s v="16 Tahun 5 Bulan 12 Hari"/>
  </r>
  <r>
    <n v="418"/>
    <x v="414"/>
    <n v="84124047"/>
    <x v="7"/>
    <x v="15"/>
    <s v="BAT "/>
    <s v="L"/>
    <x v="8"/>
    <d v="2012-10-18T00:00:00"/>
    <s v="13 Tahun 11 Bulan 10 Hari"/>
  </r>
  <r>
    <n v="419"/>
    <x v="415"/>
    <n v="183490"/>
    <x v="7"/>
    <x v="15"/>
    <s v="BAT "/>
    <s v="L"/>
    <x v="8"/>
    <d v="2018-08-16T00:00:00"/>
    <s v="8 Tahun 1 Bulan 12 Hari"/>
  </r>
  <r>
    <n v="420"/>
    <x v="416"/>
    <n v="83088944"/>
    <x v="7"/>
    <x v="15"/>
    <s v="BAT "/>
    <s v="L"/>
    <x v="8"/>
    <d v="2008-12-10T00:00:00"/>
    <s v="17 Tahun 9 Bulan 18 Hari"/>
  </r>
  <r>
    <n v="421"/>
    <x v="417"/>
    <n v="84088184"/>
    <x v="7"/>
    <x v="15"/>
    <s v="BAT "/>
    <s v="L"/>
    <x v="8"/>
    <d v="2008-09-30T00:00:00"/>
    <s v="17 Tahun 11 Bulan 29 Hari"/>
  </r>
  <r>
    <n v="422"/>
    <x v="418"/>
    <n v="84124054"/>
    <x v="7"/>
    <x v="15"/>
    <s v="BAT "/>
    <s v="L"/>
    <x v="8"/>
    <d v="2012-10-18T00:00:00"/>
    <s v="13 Tahun 11 Bulan 10 Hari"/>
  </r>
  <r>
    <n v="423"/>
    <x v="419"/>
    <n v="133797"/>
    <x v="7"/>
    <x v="15"/>
    <s v="BAT "/>
    <s v="L"/>
    <x v="8"/>
    <d v="2013-09-02T00:00:00"/>
    <s v="13 Tahun 0 Bulan 26 Hari"/>
  </r>
  <r>
    <n v="424"/>
    <x v="420"/>
    <n v="84088198"/>
    <x v="7"/>
    <x v="55"/>
    <s v="BAT "/>
    <s v="L"/>
    <x v="8"/>
    <d v="2008-09-30T00:00:00"/>
    <s v="17 Tahun 11 Bulan 29 Hari"/>
  </r>
  <r>
    <n v="425"/>
    <x v="421"/>
    <n v="146657"/>
    <x v="7"/>
    <x v="15"/>
    <s v="BAT "/>
    <s v="L"/>
    <x v="8"/>
    <d v="2014-11-01T00:00:00"/>
    <s v="11 Tahun 10 Bulan 27 Hari"/>
  </r>
  <r>
    <n v="426"/>
    <x v="422"/>
    <n v="142426"/>
    <x v="7"/>
    <x v="15"/>
    <s v="BAT "/>
    <s v="L"/>
    <x v="8"/>
    <d v="2014-04-25T00:00:00"/>
    <s v="12 Tahun 5 Bulan 3 Hari"/>
  </r>
  <r>
    <n v="427"/>
    <x v="423"/>
    <n v="84122168"/>
    <x v="7"/>
    <x v="15"/>
    <s v="BAT "/>
    <s v="L"/>
    <x v="8"/>
    <d v="2012-05-09T00:00:00"/>
    <s v="14 Tahun 4 Bulan 19 Hari"/>
  </r>
  <r>
    <n v="428"/>
    <x v="424"/>
    <n v="84120249"/>
    <x v="7"/>
    <x v="15"/>
    <s v="BAT "/>
    <s v="L"/>
    <x v="8"/>
    <d v="2009-06-13T00:00:00"/>
    <s v="17 Tahun 3 Bulan 15 Hari"/>
  </r>
  <r>
    <n v="429"/>
    <x v="425"/>
    <n v="183510"/>
    <x v="7"/>
    <x v="15"/>
    <s v="AAS"/>
    <s v="L"/>
    <x v="8"/>
    <d v="2018-10-16T00:00:00"/>
    <s v="7 Tahun 11 Bulan 12 Hari"/>
  </r>
  <r>
    <n v="430"/>
    <x v="426"/>
    <n v="84088200"/>
    <x v="7"/>
    <x v="15"/>
    <s v="AAS"/>
    <s v="L"/>
    <x v="8"/>
    <d v="2008-09-30T00:00:00"/>
    <s v="17 Tahun 11 Bulan 29 Hari"/>
  </r>
  <r>
    <n v="431"/>
    <x v="427"/>
    <n v="83119865"/>
    <x v="7"/>
    <x v="15"/>
    <s v="AAS"/>
    <s v="L"/>
    <x v="8"/>
    <d v="2011-12-07T00:00:00"/>
    <s v="14 Tahun 9 Bulan 21 Hari"/>
  </r>
  <r>
    <n v="432"/>
    <x v="428"/>
    <n v="84124049"/>
    <x v="7"/>
    <x v="15"/>
    <s v="AAS"/>
    <s v="L"/>
    <x v="8"/>
    <d v="2010-09-20T00:00:00"/>
    <s v="16 Tahun 0 Bulan 8 Hari"/>
  </r>
  <r>
    <n v="433"/>
    <x v="429"/>
    <n v="183521"/>
    <x v="7"/>
    <x v="15"/>
    <s v="AAS"/>
    <s v="L"/>
    <x v="8"/>
    <d v="2018-10-16T00:00:00"/>
    <s v="7 Tahun 11 Bulan 12 Hari"/>
  </r>
  <r>
    <n v="434"/>
    <x v="430"/>
    <n v="240739"/>
    <x v="7"/>
    <x v="56"/>
    <s v="AAS"/>
    <s v="L"/>
    <x v="8"/>
    <d v="2014-11-06T00:00:00"/>
    <s v="11 Tahun 10 Bulan 22 Hari"/>
  </r>
  <r>
    <n v="435"/>
    <x v="431"/>
    <n v="133821"/>
    <x v="7"/>
    <x v="15"/>
    <s v="AAS"/>
    <s v="L"/>
    <x v="8"/>
    <d v="2013-09-02T00:00:00"/>
    <s v="13 Tahun 0 Bulan 26 Hari"/>
  </r>
  <r>
    <n v="436"/>
    <x v="432"/>
    <n v="83120875"/>
    <x v="7"/>
    <x v="15"/>
    <s v="AAS"/>
    <s v="L"/>
    <x v="8"/>
    <d v="2012-02-13T00:00:00"/>
    <s v="14 Tahun 7 Bulan 15 Hari"/>
  </r>
  <r>
    <n v="437"/>
    <x v="433"/>
    <n v="84088206"/>
    <x v="7"/>
    <x v="15"/>
    <s v="AAS"/>
    <s v="L"/>
    <x v="8"/>
    <d v="2008-09-30T00:00:00"/>
    <s v="17 Tahun 11 Bulan 29 Hari"/>
  </r>
  <r>
    <n v="438"/>
    <x v="434"/>
    <n v="83104215"/>
    <x v="7"/>
    <x v="15"/>
    <s v="AAS"/>
    <s v="L"/>
    <x v="8"/>
    <d v="2010-09-07T00:00:00"/>
    <s v="16 Tahun 0 Bulan 21 Hari"/>
  </r>
  <r>
    <n v="439"/>
    <x v="435"/>
    <n v="84099267"/>
    <x v="7"/>
    <x v="15"/>
    <s v="AAS"/>
    <s v="L"/>
    <x v="8"/>
    <d v="2009-02-10T00:00:00"/>
    <s v="17 Tahun 7 Bulan 18 Hari"/>
  </r>
  <r>
    <n v="440"/>
    <x v="436"/>
    <n v="150161"/>
    <x v="7"/>
    <x v="15"/>
    <s v="AAS"/>
    <s v="L"/>
    <x v="8"/>
    <d v="2015-01-02T00:00:00"/>
    <s v="11 Tahun 8 Bulan 26 Hari"/>
  </r>
  <r>
    <n v="441"/>
    <x v="437"/>
    <n v="183487"/>
    <x v="7"/>
    <x v="15"/>
    <s v="BAT "/>
    <s v="L"/>
    <x v="8"/>
    <d v="2018-10-16T00:00:00"/>
    <s v="7 Tahun 11 Bulan 12 Hari"/>
  </r>
  <r>
    <n v="442"/>
    <x v="438"/>
    <n v="131759"/>
    <x v="7"/>
    <x v="57"/>
    <s v="AAS"/>
    <s v="L"/>
    <x v="8"/>
    <d v="2013-04-18T00:00:00"/>
    <s v="13 Tahun 5 Bulan 10 Hari"/>
  </r>
  <r>
    <n v="443"/>
    <x v="439"/>
    <n v="142493"/>
    <x v="7"/>
    <x v="15"/>
    <s v="AAS"/>
    <s v="L"/>
    <x v="8"/>
    <d v="2024-04-24T00:00:00"/>
    <s v="2 Tahun 5 Bulan 4 Hari"/>
  </r>
  <r>
    <n v="444"/>
    <x v="440"/>
    <n v="250050"/>
    <x v="7"/>
    <x v="15"/>
    <s v="AAS"/>
    <s v="L"/>
    <x v="8"/>
    <d v="2025-01-14T00:00:00"/>
    <s v="1 Tahun 8 Bulan 14 Hari"/>
  </r>
  <r>
    <n v="445"/>
    <x v="441"/>
    <n v="251413"/>
    <x v="7"/>
    <x v="15"/>
    <s v="AAS"/>
    <s v="L"/>
    <x v="8"/>
    <d v="2025-06-03T00:00:00"/>
    <s v="1 Tahun 3 Bulan 25 Hari"/>
  </r>
  <r>
    <n v="446"/>
    <x v="442"/>
    <n v="83119342"/>
    <x v="8"/>
    <x v="58"/>
    <s v="BAT "/>
    <s v="L"/>
    <x v="9"/>
    <d v="2011-10-24T00:00:00"/>
    <s v="14 Tahun 11 Bulan 4 Hari"/>
  </r>
  <r>
    <n v="447"/>
    <x v="443"/>
    <n v="142961"/>
    <x v="8"/>
    <x v="14"/>
    <s v="BAT "/>
    <s v="L"/>
    <x v="9"/>
    <d v="2014-05-02T00:00:00"/>
    <s v="12 Tahun 4 Bulan 26 Hari"/>
  </r>
  <r>
    <n v="448"/>
    <x v="444"/>
    <n v="201434"/>
    <x v="8"/>
    <x v="14"/>
    <s v="BAT "/>
    <s v="L"/>
    <x v="9"/>
    <d v="2020-09-01T00:00:00"/>
    <s v="6 Tahun 0 Bulan 27 Hari"/>
  </r>
  <r>
    <n v="449"/>
    <x v="445"/>
    <n v="141670"/>
    <x v="8"/>
    <x v="14"/>
    <s v="BAT "/>
    <s v="L"/>
    <x v="9"/>
    <d v="2014-04-01T00:00:00"/>
    <s v="12 Tahun 5 Bulan 27 Hari"/>
  </r>
  <r>
    <n v="450"/>
    <x v="446"/>
    <n v="141671"/>
    <x v="8"/>
    <x v="59"/>
    <s v="BAT "/>
    <s v="L "/>
    <x v="9"/>
    <d v="2014-04-01T00:00:00"/>
    <s v="12 Tahun 5 Bulan 27 Hari"/>
  </r>
  <r>
    <n v="451"/>
    <x v="447"/>
    <n v="83119340"/>
    <x v="8"/>
    <x v="60"/>
    <s v="BAT "/>
    <s v="L"/>
    <x v="8"/>
    <d v="2011-10-24T00:00:00"/>
    <s v="14 Tahun 11 Bulan 4 Hari"/>
  </r>
  <r>
    <n v="452"/>
    <x v="448"/>
    <n v="142959"/>
    <x v="8"/>
    <x v="15"/>
    <s v="BAT "/>
    <s v="L"/>
    <x v="8"/>
    <d v="2014-05-21T00:00:00"/>
    <s v="12 Tahun 4 Bulan 7 Hari"/>
  </r>
  <r>
    <n v="453"/>
    <x v="449"/>
    <n v="140533"/>
    <x v="8"/>
    <x v="15"/>
    <s v="BAT "/>
    <s v="L"/>
    <x v="8"/>
    <d v="2014-01-21T00:00:00"/>
    <s v="12 Tahun 8 Bulan 7 Hari"/>
  </r>
  <r>
    <n v="454"/>
    <x v="450"/>
    <n v="83119337"/>
    <x v="8"/>
    <x v="15"/>
    <s v="BAT "/>
    <s v="L"/>
    <x v="8"/>
    <d v="2011-10-10T00:00:00"/>
    <s v="14 Tahun 11 Bulan 18 Hari"/>
  </r>
  <r>
    <n v="455"/>
    <x v="451"/>
    <n v="83119336"/>
    <x v="8"/>
    <x v="15"/>
    <s v="BAT "/>
    <s v="L"/>
    <x v="8"/>
    <d v="2011-10-24T00:00:00"/>
    <s v="14 Tahun 11 Bulan 4 Hari"/>
  </r>
  <r>
    <n v="456"/>
    <x v="452"/>
    <n v="83119339"/>
    <x v="8"/>
    <x v="15"/>
    <s v="BAT "/>
    <s v="L"/>
    <x v="8"/>
    <d v="2011-10-11T00:00:00"/>
    <s v="14 Tahun 11 Bulan 17 Hari"/>
  </r>
  <r>
    <n v="457"/>
    <x v="453"/>
    <n v="135668"/>
    <x v="8"/>
    <x v="15"/>
    <s v="BAT "/>
    <s v="L"/>
    <x v="8"/>
    <d v="2013-11-25T00:00:00"/>
    <s v="12 Tahun 10 Bulan 3 Hari"/>
  </r>
  <r>
    <n v="458"/>
    <x v="454"/>
    <n v="83104988"/>
    <x v="9"/>
    <x v="14"/>
    <s v="BAT "/>
    <s v="L"/>
    <x v="7"/>
    <d v="2010-11-16T00:00:00"/>
    <s v="15 Tahun 10 Bulan 12 Hari"/>
  </r>
  <r>
    <n v="459"/>
    <x v="455"/>
    <n v="147959"/>
    <x v="9"/>
    <x v="14"/>
    <s v="BAT "/>
    <s v="L"/>
    <x v="7"/>
    <d v="2014-12-22T00:00:00"/>
    <s v="11 Tahun 9 Bulan 6 Hari"/>
  </r>
  <r>
    <n v="460"/>
    <x v="456"/>
    <n v="145843"/>
    <x v="9"/>
    <x v="14"/>
    <s v="BAT "/>
    <s v="L"/>
    <x v="7"/>
    <d v="2014-10-27T00:00:00"/>
    <s v="11 Tahun 11 Bulan 1 Hari"/>
  </r>
  <r>
    <n v="461"/>
    <x v="457"/>
    <n v="131864"/>
    <x v="10"/>
    <x v="61"/>
    <s v="BAT "/>
    <s v="L"/>
    <x v="7"/>
    <d v="2013-05-16T00:00:00"/>
    <s v="13 Tahun 4 Bulan 12 Hari"/>
  </r>
  <r>
    <n v="462"/>
    <x v="458"/>
    <n v="143744"/>
    <x v="10"/>
    <x v="14"/>
    <s v="BAT "/>
    <s v="L"/>
    <x v="7"/>
    <d v="2014-07-16T00:00:00"/>
    <s v="12 Tahun 2 Bulan 12 Hari"/>
  </r>
  <r>
    <n v="463"/>
    <x v="459"/>
    <n v="143748"/>
    <x v="10"/>
    <x v="14"/>
    <s v="BAT "/>
    <s v="L"/>
    <x v="7"/>
    <d v="2014-07-16T00:00:00"/>
    <s v="12 Tahun 2 Bulan 12 Hari"/>
  </r>
  <r>
    <n v="464"/>
    <x v="460"/>
    <n v="143745"/>
    <x v="10"/>
    <x v="14"/>
    <s v="BAT "/>
    <s v="L"/>
    <x v="7"/>
    <d v="2014-07-16T00:00:00"/>
    <s v="12 Tahun 2 Bulan 12 Hari"/>
  </r>
  <r>
    <n v="465"/>
    <x v="461"/>
    <n v="143743"/>
    <x v="10"/>
    <x v="14"/>
    <s v="BAT "/>
    <s v="L"/>
    <x v="7"/>
    <d v="2014-07-16T00:00:00"/>
    <s v="12 Tahun 2 Bulan 12 Hari"/>
  </r>
  <r>
    <n v="466"/>
    <x v="462"/>
    <n v="145725"/>
    <x v="10"/>
    <x v="14"/>
    <s v="BAT "/>
    <s v="L"/>
    <x v="7"/>
    <d v="2022-01-20T00:00:00"/>
    <s v="4 Tahun 8 Bulan 8 Hari"/>
  </r>
  <r>
    <n v="467"/>
    <x v="463"/>
    <n v="201451"/>
    <x v="10"/>
    <x v="14"/>
    <s v="BAT "/>
    <s v="L"/>
    <x v="7"/>
    <d v="1899-12-31T00:00:00"/>
    <s v="126 Tahun 8 Bulan 27 Hari"/>
  </r>
  <r>
    <n v="468"/>
    <x v="464"/>
    <n v="240881"/>
    <x v="10"/>
    <x v="62"/>
    <s v="AAS"/>
    <s v="P"/>
    <x v="8"/>
    <d v="2024-06-20T00:00:00"/>
    <s v="2 Tahun 3 Bulan 8 Hari"/>
  </r>
  <r>
    <n v="469"/>
    <x v="465"/>
    <n v="83117673"/>
    <x v="10"/>
    <x v="15"/>
    <s v="BAT "/>
    <s v="L"/>
    <x v="8"/>
    <d v="2011-07-01T00:00:00"/>
    <s v="15 Tahun 2 Bulan 27 Hari"/>
  </r>
  <r>
    <n v="470"/>
    <x v="466"/>
    <n v="147850"/>
    <x v="10"/>
    <x v="15"/>
    <s v="BAT "/>
    <s v="L"/>
    <x v="8"/>
    <d v="2014-10-23T00:00:00"/>
    <s v="11 Tahun 11 Bulan 5 Hari"/>
  </r>
  <r>
    <n v="471"/>
    <x v="467"/>
    <n v="146328"/>
    <x v="10"/>
    <x v="15"/>
    <s v="BAT "/>
    <s v="L"/>
    <x v="8"/>
    <d v="2014-10-23T00:00:00"/>
    <s v="11 Tahun 11 Bulan 5 Hari"/>
  </r>
  <r>
    <n v="472"/>
    <x v="468"/>
    <n v="83117649"/>
    <x v="10"/>
    <x v="15"/>
    <s v="BAT "/>
    <s v="L"/>
    <x v="8"/>
    <d v="2011-07-01T00:00:00"/>
    <s v="15 Tahun 2 Bulan 27 Hari"/>
  </r>
  <r>
    <n v="473"/>
    <x v="469"/>
    <n v="83117667"/>
    <x v="10"/>
    <x v="15"/>
    <s v="AAS"/>
    <s v="L"/>
    <x v="8"/>
    <d v="2011-07-01T00:00:00"/>
    <s v="15 Tahun 2 Bulan 27 Hari"/>
  </r>
  <r>
    <n v="474"/>
    <x v="470"/>
    <n v="84130089"/>
    <x v="10"/>
    <x v="15"/>
    <s v="AAS"/>
    <s v="L"/>
    <x v="8"/>
    <d v="2013-01-01T00:00:00"/>
    <s v="13 Tahun 8 Bulan 27 Hari"/>
  </r>
  <r>
    <n v="475"/>
    <x v="471"/>
    <n v="145063"/>
    <x v="10"/>
    <x v="15"/>
    <s v="AAS"/>
    <s v="L"/>
    <x v="8"/>
    <d v="2014-09-05T00:00:00"/>
    <s v="12 Tahun 0 Bulan 23 Hari"/>
  </r>
  <r>
    <n v="476"/>
    <x v="472"/>
    <n v="242414"/>
    <x v="10"/>
    <x v="15"/>
    <s v="AAS"/>
    <s v="L"/>
    <x v="8"/>
    <d v="2024-11-25T00:00:00"/>
    <s v="1 Tahun 10 Bulan 3 Hari"/>
  </r>
  <r>
    <n v="477"/>
    <x v="473"/>
    <n v="250409"/>
    <x v="10"/>
    <x v="15"/>
    <s v="AAS"/>
    <s v="P"/>
    <x v="8"/>
    <d v="2025-03-04T00:00:00"/>
    <s v="1 Tahun 6 Bulan 24 Hari"/>
  </r>
  <r>
    <n v="478"/>
    <x v="474"/>
    <n v="142710"/>
    <x v="11"/>
    <x v="14"/>
    <s v="BAT "/>
    <s v="L "/>
    <x v="9"/>
    <d v="2020-09-01T00:00:00"/>
    <s v="6 Tahun 0 Bulan 27 Hari"/>
  </r>
  <r>
    <n v="479"/>
    <x v="475"/>
    <n v="150639"/>
    <x v="11"/>
    <x v="14"/>
    <s v="BAT "/>
    <s v="L"/>
    <x v="9"/>
    <d v="2015-02-09T00:00:00"/>
    <s v="11 Tahun 7 Bulan 19 Hari"/>
  </r>
  <r>
    <n v="480"/>
    <x v="476"/>
    <n v="142711"/>
    <x v="11"/>
    <x v="14"/>
    <s v="BAT "/>
    <s v="L"/>
    <x v="9"/>
    <d v="2014-05-16T00:00:00"/>
    <s v="12 Tahun 4 Bulan 12 Hari"/>
  </r>
  <r>
    <n v="481"/>
    <x v="477"/>
    <n v="141441"/>
    <x v="12"/>
    <x v="14"/>
    <s v="BAT "/>
    <s v="L"/>
    <x v="9"/>
    <d v="2014-03-17T00:00:00"/>
    <s v="12 Tahun 6 Bulan 11 Hari"/>
  </r>
  <r>
    <n v="482"/>
    <x v="478"/>
    <n v="146656"/>
    <x v="12"/>
    <x v="14"/>
    <s v="AAS"/>
    <s v="L"/>
    <x v="9"/>
    <d v="2014-11-01T00:00:00"/>
    <s v="11 Tahun 10 Bulan 27 Hari"/>
  </r>
  <r>
    <n v="483"/>
    <x v="479"/>
    <n v="83123713"/>
    <x v="13"/>
    <x v="63"/>
    <s v="BAT "/>
    <s v="L"/>
    <x v="9"/>
    <d v="2012-09-20T00:00:00"/>
    <s v="14 Tahun 0 Bulan 8 Hari"/>
  </r>
  <r>
    <n v="484"/>
    <x v="480"/>
    <n v="132911"/>
    <x v="13"/>
    <x v="14"/>
    <s v="BAT "/>
    <s v="L"/>
    <x v="9"/>
    <d v="2013-07-01T00:00:00"/>
    <s v="13 Tahun 2 Bulan 27 Hari"/>
  </r>
  <r>
    <n v="485"/>
    <x v="481"/>
    <n v="83122936"/>
    <x v="13"/>
    <x v="14"/>
    <s v="BAT "/>
    <s v="L"/>
    <x v="9"/>
    <d v="2012-07-30T00:00:00"/>
    <s v="14 Tahun 1 Bulan 29 Hari"/>
  </r>
  <r>
    <n v="486"/>
    <x v="482"/>
    <n v="83122937"/>
    <x v="13"/>
    <x v="14"/>
    <s v="BAT "/>
    <s v="L"/>
    <x v="9"/>
    <d v="2012-07-30T00:00:00"/>
    <s v="14 Tahun 1 Bulan 29 Hari"/>
  </r>
  <r>
    <n v="487"/>
    <x v="483"/>
    <n v="83115978"/>
    <x v="13"/>
    <x v="14"/>
    <s v="BAT "/>
    <s v="L"/>
    <x v="9"/>
    <d v="2011-02-14T00:00:00"/>
    <s v="15 Tahun 7 Bulan 14 Hari"/>
  </r>
  <r>
    <n v="488"/>
    <x v="484"/>
    <n v="143965"/>
    <x v="14"/>
    <x v="64"/>
    <s v="BAT "/>
    <s v="L"/>
    <x v="7"/>
    <d v="2014-07-16T00:00:00"/>
    <s v="12 Tahun 2 Bulan 12 Hari"/>
  </r>
  <r>
    <n v="489"/>
    <x v="485"/>
    <n v="83102125"/>
    <x v="14"/>
    <x v="14"/>
    <s v="BAT "/>
    <s v="L"/>
    <x v="7"/>
    <d v="2010-04-14T00:00:00"/>
    <s v="16 Tahun 5 Bulan 14 Hari"/>
  </r>
  <r>
    <n v="490"/>
    <x v="486"/>
    <n v="83130394"/>
    <x v="14"/>
    <x v="14"/>
    <s v="BAT "/>
    <s v="L"/>
    <x v="7"/>
    <d v="2013-02-02T00:00:00"/>
    <s v="13 Tahun 7 Bulan 26 Hari"/>
  </r>
  <r>
    <n v="491"/>
    <x v="487"/>
    <n v="135415"/>
    <x v="14"/>
    <x v="14"/>
    <s v="BAT "/>
    <s v="L"/>
    <x v="7"/>
    <d v="2013-11-25T00:00:00"/>
    <s v="12 Tahun 10 Bulan 3 Hari"/>
  </r>
  <r>
    <n v="492"/>
    <x v="488"/>
    <n v="83074619"/>
    <x v="14"/>
    <x v="14"/>
    <s v="BAT "/>
    <s v="L"/>
    <x v="7"/>
    <d v="2007-04-11T00:00:00"/>
    <s v="19 Tahun 5 Bulan 17 Hari"/>
  </r>
  <r>
    <n v="493"/>
    <x v="489"/>
    <n v="83123157"/>
    <x v="15"/>
    <x v="65"/>
    <s v="BAT "/>
    <s v="L"/>
    <x v="7"/>
    <d v="2012-08-01T00:00:00"/>
    <s v="14 Tahun 1 Bulan 27 Hari"/>
  </r>
  <r>
    <n v="494"/>
    <x v="490"/>
    <n v="83118305"/>
    <x v="15"/>
    <x v="14"/>
    <s v="BAT "/>
    <s v="L"/>
    <x v="7"/>
    <d v="2011-09-08T00:00:00"/>
    <s v="15 Tahun 0 Bulan 20 Hari"/>
  </r>
  <r>
    <n v="495"/>
    <x v="491"/>
    <n v="87074719"/>
    <x v="15"/>
    <x v="14"/>
    <s v="BAT "/>
    <s v="L"/>
    <x v="7"/>
    <d v="2007-05-04T00:00:00"/>
    <s v="19 Tahun 4 Bulan 24 Hari"/>
  </r>
  <r>
    <n v="496"/>
    <x v="492"/>
    <n v="83102598"/>
    <x v="15"/>
    <x v="14"/>
    <s v="BAT "/>
    <s v="L"/>
    <x v="7"/>
    <d v="2010-05-13T00:00:00"/>
    <s v="16 Tahun 4 Bulan 15 Hari"/>
  </r>
  <r>
    <n v="497"/>
    <x v="493"/>
    <n v="83117855"/>
    <x v="15"/>
    <x v="14"/>
    <s v="BAT "/>
    <s v="L"/>
    <x v="7"/>
    <d v="2011-07-25T00:00:00"/>
    <s v="15 Tahun 2 Bulan 3 Hari"/>
  </r>
  <r>
    <n v="498"/>
    <x v="494"/>
    <n v="83086608"/>
    <x v="16"/>
    <x v="66"/>
    <s v="BAT "/>
    <s v="L"/>
    <x v="1"/>
    <d v="2008-03-20T00:00:00"/>
    <s v="18 Tahun 6 Bulan 8 Hari"/>
  </r>
  <r>
    <n v="499"/>
    <x v="495"/>
    <n v="83123141"/>
    <x v="16"/>
    <x v="67"/>
    <s v="BAT "/>
    <s v="L"/>
    <x v="7"/>
    <d v="2012-08-01T00:00:00"/>
    <s v="14 Tahun 1 Bulan 27 Hari"/>
  </r>
  <r>
    <n v="500"/>
    <x v="496"/>
    <n v="83123151"/>
    <x v="16"/>
    <x v="14"/>
    <s v="BAT "/>
    <s v="L"/>
    <x v="7"/>
    <d v="2012-08-01T00:00:00"/>
    <s v="14 Tahun 1 Bulan 27 Hari"/>
  </r>
  <r>
    <n v="501"/>
    <x v="497"/>
    <n v="143960"/>
    <x v="16"/>
    <x v="14"/>
    <s v="BAT "/>
    <s v="L"/>
    <x v="7"/>
    <d v="2014-07-16T00:00:00"/>
    <s v="12 Tahun 2 Bulan 12 Hari"/>
  </r>
  <r>
    <n v="502"/>
    <x v="498"/>
    <n v="83123152"/>
    <x v="16"/>
    <x v="14"/>
    <s v="BAT "/>
    <s v="L"/>
    <x v="7"/>
    <d v="2012-08-01T00:00:00"/>
    <s v="14 Tahun 1 Bulan 27 Hari"/>
  </r>
  <r>
    <n v="503"/>
    <x v="499"/>
    <n v="84099753"/>
    <x v="16"/>
    <x v="14"/>
    <s v="BAT "/>
    <s v="L"/>
    <x v="7"/>
    <d v="2009-05-06T00:00:00"/>
    <s v="17 Tahun 4 Bulan 22 Hari"/>
  </r>
  <r>
    <n v="504"/>
    <x v="500"/>
    <n v="83123159"/>
    <x v="16"/>
    <x v="14"/>
    <s v="BAT "/>
    <s v="L"/>
    <x v="7"/>
    <d v="2012-08-01T00:00:00"/>
    <s v="14 Tahun 1 Bulan 27 Hari"/>
  </r>
  <r>
    <n v="505"/>
    <x v="501"/>
    <n v="143968"/>
    <x v="16"/>
    <x v="68"/>
    <s v="BAT "/>
    <s v="L"/>
    <x v="7"/>
    <d v="2014-07-16T00:00:00"/>
    <s v="12 Tahun 2 Bulan 12 Hari"/>
  </r>
  <r>
    <n v="506"/>
    <x v="502"/>
    <n v="83123143"/>
    <x v="16"/>
    <x v="14"/>
    <s v="BAT "/>
    <s v="L"/>
    <x v="7"/>
    <d v="2012-08-01T00:00:00"/>
    <s v="14 Tahun 1 Bulan 27 Hari"/>
  </r>
  <r>
    <n v="507"/>
    <x v="503"/>
    <n v="83123140"/>
    <x v="16"/>
    <x v="14"/>
    <s v="BAT "/>
    <s v="L"/>
    <x v="7"/>
    <d v="2012-08-01T00:00:00"/>
    <s v="14 Tahun 1 Bulan 27 Hari"/>
  </r>
  <r>
    <n v="508"/>
    <x v="504"/>
    <n v="143956"/>
    <x v="16"/>
    <x v="14"/>
    <s v="BAT "/>
    <s v="L"/>
    <x v="7"/>
    <d v="2014-07-16T00:00:00"/>
    <s v="12 Tahun 2 Bulan 12 Hari"/>
  </r>
  <r>
    <n v="509"/>
    <x v="505"/>
    <n v="83123160"/>
    <x v="16"/>
    <x v="69"/>
    <s v="BAT "/>
    <s v="L"/>
    <x v="7"/>
    <d v="2012-08-01T00:00:00"/>
    <s v="14 Tahun 1 Bulan 27 Hari"/>
  </r>
  <r>
    <n v="510"/>
    <x v="506"/>
    <n v="83123148"/>
    <x v="16"/>
    <x v="14"/>
    <s v="BAT "/>
    <s v="L"/>
    <x v="7"/>
    <d v="1994-04-06T00:00:00"/>
    <s v="32 Tahun 5 Bulan 22 Hari"/>
  </r>
  <r>
    <n v="511"/>
    <x v="507"/>
    <n v="143966"/>
    <x v="16"/>
    <x v="14"/>
    <s v="BAT "/>
    <s v="L"/>
    <x v="7"/>
    <d v="2014-07-16T00:00:00"/>
    <s v="12 Tahun 2 Bulan 12 Hari"/>
  </r>
  <r>
    <n v="512"/>
    <x v="508"/>
    <n v="83123144"/>
    <x v="16"/>
    <x v="14"/>
    <s v="BAT "/>
    <s v="L"/>
    <x v="7"/>
    <d v="2012-08-01T00:00:00"/>
    <s v="14 Tahun 1 Bulan 27 Hari"/>
  </r>
  <r>
    <n v="513"/>
    <x v="509"/>
    <n v="222340"/>
    <x v="16"/>
    <x v="14"/>
    <s v="BAT "/>
    <s v="L"/>
    <x v="7"/>
    <d v="2022-08-12T00:00:00"/>
    <s v="4 Tahun 1 Bulan 16 Hari"/>
  </r>
  <r>
    <n v="514"/>
    <x v="510"/>
    <n v="83123145"/>
    <x v="16"/>
    <x v="70"/>
    <s v="BAT "/>
    <s v="L"/>
    <x v="7"/>
    <d v="2012-08-01T00:00:00"/>
    <s v="14 Tahun 1 Bulan 27 Hari"/>
  </r>
  <r>
    <n v="515"/>
    <x v="511"/>
    <n v="145147"/>
    <x v="16"/>
    <x v="14"/>
    <s v="BAT "/>
    <s v="L"/>
    <x v="7"/>
    <d v="2014-09-16T00:00:00"/>
    <s v="12 Tahun 0 Bulan 12 Hari"/>
  </r>
  <r>
    <n v="516"/>
    <x v="512"/>
    <n v="143964"/>
    <x v="16"/>
    <x v="14"/>
    <s v="BAT "/>
    <s v="L"/>
    <x v="7"/>
    <d v="2014-07-16T00:00:00"/>
    <s v="12 Tahun 2 Bulan 12 Hari"/>
  </r>
  <r>
    <n v="517"/>
    <x v="513"/>
    <n v="143961"/>
    <x v="16"/>
    <x v="14"/>
    <s v="BAT "/>
    <s v="L"/>
    <x v="7"/>
    <d v="2014-07-16T00:00:00"/>
    <s v="12 Tahun 2 Bulan 12 Hari"/>
  </r>
  <r>
    <n v="518"/>
    <x v="514"/>
    <n v="83099621"/>
    <x v="16"/>
    <x v="14"/>
    <s v="BAT "/>
    <s v="L"/>
    <x v="7"/>
    <d v="2009-03-17T00:00:00"/>
    <s v="17 Tahun 6 Bulan 11 Hari"/>
  </r>
  <r>
    <n v="519"/>
    <x v="515"/>
    <n v="134729"/>
    <x v="16"/>
    <x v="14"/>
    <s v="BAT "/>
    <s v="L"/>
    <x v="7"/>
    <d v="2013-09-10T00:00:00"/>
    <s v="13 Tahun 0 Bulan 18 Hari"/>
  </r>
  <r>
    <n v="520"/>
    <x v="516"/>
    <n v="134119"/>
    <x v="16"/>
    <x v="59"/>
    <s v="BAT "/>
    <s v="L"/>
    <x v="7"/>
    <d v="2013-09-17T00:00:00"/>
    <s v="13 Tahun 0 Bulan 11 Hari"/>
  </r>
  <r>
    <n v="521"/>
    <x v="517"/>
    <n v="142105"/>
    <x v="16"/>
    <x v="12"/>
    <s v="BAT "/>
    <s v="L"/>
    <x v="6"/>
    <d v="2014-03-01T00:00:00"/>
    <s v="12 Tahun 6 Bulan 27 Hari"/>
  </r>
  <r>
    <n v="522"/>
    <x v="518"/>
    <n v="134099"/>
    <x v="16"/>
    <x v="12"/>
    <s v="BAT "/>
    <s v="L"/>
    <x v="6"/>
    <d v="2013-09-09T00:00:00"/>
    <s v="13 Tahun 0 Bulan 19 Hari"/>
  </r>
  <r>
    <n v="523"/>
    <x v="519"/>
    <n v="143957"/>
    <x v="16"/>
    <x v="12"/>
    <s v="BAT "/>
    <s v="L"/>
    <x v="6"/>
    <d v="2014-07-16T00:00:00"/>
    <s v="12 Tahun 2 Bulan 12 Hari"/>
  </r>
  <r>
    <n v="524"/>
    <x v="520"/>
    <n v="83104426"/>
    <x v="16"/>
    <x v="71"/>
    <s v="BAT "/>
    <s v="L"/>
    <x v="8"/>
    <d v="2010-10-28T00:00:00"/>
    <s v="15 Tahun 11 Bulan 0 Hari"/>
  </r>
  <r>
    <n v="525"/>
    <x v="521"/>
    <n v="83117269"/>
    <x v="16"/>
    <x v="72"/>
    <s v="BAT "/>
    <s v="L"/>
    <x v="8"/>
    <d v="2011-05-14T00:00:00"/>
    <s v="15 Tahun 4 Bulan 14 Hari"/>
  </r>
  <r>
    <n v="526"/>
    <x v="522"/>
    <n v="83117279"/>
    <x v="16"/>
    <x v="73"/>
    <s v="AAS"/>
    <s v="L"/>
    <x v="8"/>
    <d v="2011-05-25T00:00:00"/>
    <s v="15 Tahun 4 Bulan 3 Hari"/>
  </r>
  <r>
    <n v="527"/>
    <x v="523"/>
    <n v="83099034"/>
    <x v="16"/>
    <x v="15"/>
    <s v="BAT "/>
    <s v="L"/>
    <x v="8"/>
    <d v="2009-01-12T00:00:00"/>
    <s v="17 Tahun 8 Bulan 16 Hari"/>
  </r>
  <r>
    <n v="528"/>
    <x v="524"/>
    <n v="83117506"/>
    <x v="16"/>
    <x v="15"/>
    <s v="BAT "/>
    <s v="L"/>
    <x v="8"/>
    <d v="2011-06-28T00:00:00"/>
    <s v="15 Tahun 3 Bulan 0 Hari"/>
  </r>
  <r>
    <n v="529"/>
    <x v="525"/>
    <n v="83117264"/>
    <x v="16"/>
    <x v="15"/>
    <s v="BAT "/>
    <s v="L"/>
    <x v="8"/>
    <d v="2011-05-14T00:00:00"/>
    <s v="15 Tahun 4 Bulan 14 Hari"/>
  </r>
  <r>
    <n v="530"/>
    <x v="526"/>
    <n v="83117266"/>
    <x v="16"/>
    <x v="15"/>
    <s v="BAT "/>
    <s v="L"/>
    <x v="8"/>
    <d v="2011-05-14T00:00:00"/>
    <s v="15 Tahun 4 Bulan 14 Hari"/>
  </r>
  <r>
    <n v="531"/>
    <x v="527"/>
    <n v="136038"/>
    <x v="16"/>
    <x v="15"/>
    <s v="BAT "/>
    <s v="L"/>
    <x v="8"/>
    <d v="2013-12-23T00:00:00"/>
    <s v="12 Tahun 9 Bulan 5 Hari"/>
  </r>
  <r>
    <n v="532"/>
    <x v="528"/>
    <n v="148188"/>
    <x v="16"/>
    <x v="15"/>
    <s v="BAT "/>
    <s v="L"/>
    <x v="8"/>
    <d v="2014-12-31T00:00:00"/>
    <s v="11 Tahun 8 Bulan 28 Hari"/>
  </r>
  <r>
    <n v="533"/>
    <x v="529"/>
    <n v="148190"/>
    <x v="16"/>
    <x v="15"/>
    <s v="BAT "/>
    <s v="L"/>
    <x v="8"/>
    <d v="2014-12-29T00:00:00"/>
    <s v="11 Tahun 8 Bulan 30 Hari"/>
  </r>
  <r>
    <n v="534"/>
    <x v="530"/>
    <n v="148192"/>
    <x v="16"/>
    <x v="15"/>
    <s v="BAT "/>
    <s v="L"/>
    <x v="8"/>
    <d v="2014-12-29T00:00:00"/>
    <s v="11 Tahun 8 Bulan 30 Hari"/>
  </r>
  <r>
    <n v="535"/>
    <x v="531"/>
    <n v="148194"/>
    <x v="16"/>
    <x v="15"/>
    <s v="BAT "/>
    <s v="L"/>
    <x v="8"/>
    <d v="2014-12-29T00:00:00"/>
    <s v="11 Tahun 8 Bulan 30 Hari"/>
  </r>
  <r>
    <n v="536"/>
    <x v="532"/>
    <n v="148195"/>
    <x v="16"/>
    <x v="15"/>
    <s v="BAT "/>
    <s v="L"/>
    <x v="8"/>
    <d v="2014-12-29T00:00:00"/>
    <s v="11 Tahun 8 Bulan 30 Hari"/>
  </r>
  <r>
    <n v="537"/>
    <x v="533"/>
    <n v="148200"/>
    <x v="16"/>
    <x v="15"/>
    <s v="BAT "/>
    <s v="L"/>
    <x v="8"/>
    <d v="2014-12-29T00:00:00"/>
    <s v="11 Tahun 8 Bulan 30 Hari"/>
  </r>
  <r>
    <n v="538"/>
    <x v="534"/>
    <n v="148201"/>
    <x v="16"/>
    <x v="15"/>
    <s v="BAT "/>
    <s v="L"/>
    <x v="8"/>
    <d v="2014-12-29T00:00:00"/>
    <s v="11 Tahun 8 Bulan 30 Hari"/>
  </r>
  <r>
    <n v="539"/>
    <x v="535"/>
    <n v="148208"/>
    <x v="16"/>
    <x v="15"/>
    <s v="BAT "/>
    <s v="L"/>
    <x v="8"/>
    <d v="2014-12-29T00:00:00"/>
    <s v="11 Tahun 8 Bulan 30 Hari"/>
  </r>
  <r>
    <n v="540"/>
    <x v="536"/>
    <n v="162487"/>
    <x v="16"/>
    <x v="15"/>
    <s v="BAT "/>
    <s v="L"/>
    <x v="8"/>
    <d v="2016-10-28T00:00:00"/>
    <s v="9 Tahun 11 Bulan 0 Hari"/>
  </r>
  <r>
    <n v="541"/>
    <x v="537"/>
    <n v="162490"/>
    <x v="16"/>
    <x v="15"/>
    <s v="BAT "/>
    <s v="L"/>
    <x v="8"/>
    <d v="2016-10-28T00:00:00"/>
    <s v="9 Tahun 11 Bulan 0 Hari"/>
  </r>
  <r>
    <n v="542"/>
    <x v="538"/>
    <n v="162491"/>
    <x v="16"/>
    <x v="15"/>
    <s v="BAT "/>
    <s v="L"/>
    <x v="8"/>
    <d v="2016-10-28T00:00:00"/>
    <s v="9 Tahun 11 Bulan 0 Hari"/>
  </r>
  <r>
    <n v="543"/>
    <x v="539"/>
    <n v="162493"/>
    <x v="16"/>
    <x v="15"/>
    <s v="BAT "/>
    <s v="L"/>
    <x v="8"/>
    <d v="2016-10-28T00:00:00"/>
    <s v="9 Tahun 11 Bulan 0 Hari"/>
  </r>
  <r>
    <n v="544"/>
    <x v="540"/>
    <n v="162494"/>
    <x v="16"/>
    <x v="15"/>
    <s v="BAT "/>
    <s v="L"/>
    <x v="8"/>
    <d v="2016-10-28T00:00:00"/>
    <s v="9 Tahun 11 Bulan 0 Hari"/>
  </r>
  <r>
    <n v="545"/>
    <x v="541"/>
    <n v="162495"/>
    <x v="16"/>
    <x v="15"/>
    <s v="BAT "/>
    <s v="L"/>
    <x v="8"/>
    <d v="2016-10-28T00:00:00"/>
    <s v="9 Tahun 11 Bulan 0 Hari"/>
  </r>
  <r>
    <n v="546"/>
    <x v="542"/>
    <n v="162497"/>
    <x v="16"/>
    <x v="15"/>
    <s v="BAT "/>
    <s v="L"/>
    <x v="8"/>
    <d v="2016-10-28T00:00:00"/>
    <s v="9 Tahun 11 Bulan 0 Hari"/>
  </r>
  <r>
    <n v="547"/>
    <x v="543"/>
    <n v="162503"/>
    <x v="16"/>
    <x v="15"/>
    <s v="BAT "/>
    <s v="L"/>
    <x v="8"/>
    <d v="2016-10-28T00:00:00"/>
    <s v="9 Tahun 11 Bulan 0 Hari"/>
  </r>
  <r>
    <n v="548"/>
    <x v="544"/>
    <n v="162506"/>
    <x v="16"/>
    <x v="15"/>
    <s v="BAT "/>
    <s v="L"/>
    <x v="8"/>
    <d v="2016-10-28T00:00:00"/>
    <s v="9 Tahun 11 Bulan 0 Hari"/>
  </r>
  <r>
    <n v="549"/>
    <x v="545"/>
    <n v="162510"/>
    <x v="16"/>
    <x v="15"/>
    <s v="BAT "/>
    <s v="L"/>
    <x v="8"/>
    <d v="2016-10-28T00:00:00"/>
    <s v="9 Tahun 11 Bulan 0 Hari"/>
  </r>
  <r>
    <n v="550"/>
    <x v="546"/>
    <n v="162511"/>
    <x v="16"/>
    <x v="15"/>
    <s v="BAT "/>
    <s v="L"/>
    <x v="8"/>
    <d v="2016-10-28T00:00:00"/>
    <s v="9 Tahun 11 Bulan 0 Hari"/>
  </r>
  <r>
    <n v="551"/>
    <x v="547"/>
    <n v="162512"/>
    <x v="16"/>
    <x v="15"/>
    <s v="BAT "/>
    <s v="L"/>
    <x v="8"/>
    <d v="2016-10-28T00:00:00"/>
    <s v="9 Tahun 11 Bulan 0 Hari"/>
  </r>
  <r>
    <n v="552"/>
    <x v="548"/>
    <n v="162515"/>
    <x v="16"/>
    <x v="15"/>
    <s v="BAT "/>
    <s v="L"/>
    <x v="8"/>
    <d v="2016-10-28T00:00:00"/>
    <s v="9 Tahun 11 Bulan 0 Hari"/>
  </r>
  <r>
    <n v="553"/>
    <x v="549"/>
    <n v="162516"/>
    <x v="16"/>
    <x v="15"/>
    <s v="BAT "/>
    <s v="L"/>
    <x v="8"/>
    <d v="2016-10-28T00:00:00"/>
    <s v="9 Tahun 11 Bulan 0 Hari"/>
  </r>
  <r>
    <n v="554"/>
    <x v="550"/>
    <n v="83117277"/>
    <x v="16"/>
    <x v="74"/>
    <s v="AAS"/>
    <s v="L"/>
    <x v="8"/>
    <d v="2011-05-14T00:00:00"/>
    <s v="15 Tahun 4 Bulan 14 Hari"/>
  </r>
  <r>
    <n v="555"/>
    <x v="551"/>
    <n v="83117271"/>
    <x v="16"/>
    <x v="15"/>
    <s v="AAS"/>
    <s v="L"/>
    <x v="8"/>
    <d v="2011-05-14T00:00:00"/>
    <s v="15 Tahun 4 Bulan 14 Hari"/>
  </r>
  <r>
    <n v="556"/>
    <x v="552"/>
    <n v="83117268"/>
    <x v="16"/>
    <x v="15"/>
    <s v="AAS"/>
    <s v="L"/>
    <x v="8"/>
    <d v="2011-05-14T00:00:00"/>
    <s v="15 Tahun 4 Bulan 14 Hari"/>
  </r>
  <r>
    <n v="557"/>
    <x v="553"/>
    <n v="83117505"/>
    <x v="16"/>
    <x v="15"/>
    <s v="AAS"/>
    <s v="L"/>
    <x v="8"/>
    <d v="2011-06-28T00:00:00"/>
    <s v="15 Tahun 3 Bulan 0 Hari"/>
  </r>
  <r>
    <n v="558"/>
    <x v="554"/>
    <n v="162489"/>
    <x v="16"/>
    <x v="15"/>
    <s v="AAS"/>
    <s v="L"/>
    <x v="8"/>
    <d v="2016-10-28T00:00:00"/>
    <s v="9 Tahun 11 Bulan 0 Hari"/>
  </r>
  <r>
    <n v="559"/>
    <x v="555"/>
    <n v="148204"/>
    <x v="16"/>
    <x v="15"/>
    <s v="AAS"/>
    <s v="L"/>
    <x v="8"/>
    <d v="2014-12-29T00:00:00"/>
    <s v="11 Tahun 8 Bulan 30 Hari"/>
  </r>
  <r>
    <n v="560"/>
    <x v="556"/>
    <n v="83121091"/>
    <x v="16"/>
    <x v="15"/>
    <s v="AAS"/>
    <s v="L"/>
    <x v="8"/>
    <d v="2012-04-09T00:00:00"/>
    <s v="14 Tahun 5 Bulan 19 Hari"/>
  </r>
  <r>
    <n v="561"/>
    <x v="557"/>
    <n v="83117504"/>
    <x v="16"/>
    <x v="15"/>
    <s v="AAS"/>
    <s v="L"/>
    <x v="8"/>
    <d v="2011-06-28T00:00:00"/>
    <s v="15 Tahun 3 Bulan 0 Hari"/>
  </r>
  <r>
    <n v="562"/>
    <x v="558"/>
    <n v="83117808"/>
    <x v="16"/>
    <x v="15"/>
    <s v="AAS"/>
    <s v="L"/>
    <x v="8"/>
    <d v="2011-07-14T00:00:00"/>
    <s v="15 Tahun 2 Bulan 14 Hari"/>
  </r>
  <r>
    <n v="563"/>
    <x v="559"/>
    <n v="162505"/>
    <x v="16"/>
    <x v="15"/>
    <s v="AAS"/>
    <s v="L"/>
    <x v="8"/>
    <d v="2016-10-28T00:00:00"/>
    <s v="9 Tahun 11 Bulan 0 Hari"/>
  </r>
  <r>
    <n v="564"/>
    <x v="560"/>
    <n v="162499"/>
    <x v="16"/>
    <x v="15"/>
    <s v="AAS"/>
    <s v="L"/>
    <x v="8"/>
    <d v="2016-10-28T00:00:00"/>
    <s v="9 Tahun 11 Bulan 0 Hari"/>
  </r>
  <r>
    <n v="565"/>
    <x v="561"/>
    <n v="83117278"/>
    <x v="16"/>
    <x v="15"/>
    <s v="AAS"/>
    <s v="L"/>
    <x v="8"/>
    <d v="2011-05-20T00:00:00"/>
    <s v="15 Tahun 4 Bulan 8 Hari"/>
  </r>
  <r>
    <n v="566"/>
    <x v="562"/>
    <n v="162496"/>
    <x v="16"/>
    <x v="15"/>
    <s v="AAS"/>
    <s v="L"/>
    <x v="8"/>
    <d v="2016-10-28T00:00:00"/>
    <s v="9 Tahun 11 Bulan 0 Hari"/>
  </r>
  <r>
    <n v="567"/>
    <x v="563"/>
    <n v="148212"/>
    <x v="16"/>
    <x v="15"/>
    <s v="AAS"/>
    <s v="L"/>
    <x v="8"/>
    <d v="2014-12-29T00:00:00"/>
    <s v="11 Tahun 8 Bulan 30 Hari"/>
  </r>
  <r>
    <n v="568"/>
    <x v="564"/>
    <n v="148205"/>
    <x v="16"/>
    <x v="15"/>
    <s v="AAS"/>
    <s v="L"/>
    <x v="8"/>
    <d v="2014-12-29T00:00:00"/>
    <s v="11 Tahun 8 Bulan 30 Hari"/>
  </r>
  <r>
    <n v="569"/>
    <x v="565"/>
    <n v="148207"/>
    <x v="16"/>
    <x v="15"/>
    <s v="AAS"/>
    <s v="L"/>
    <x v="8"/>
    <d v="2014-12-29T00:00:00"/>
    <s v="11 Tahun 8 Bulan 30 Hari"/>
  </r>
  <r>
    <n v="570"/>
    <x v="566"/>
    <n v="162508"/>
    <x v="16"/>
    <x v="15"/>
    <s v="AAS"/>
    <s v="L"/>
    <x v="8"/>
    <d v="2016-10-28T00:00:00"/>
    <s v="9 Tahun 11 Bulan 0 Hari"/>
  </r>
  <r>
    <n v="571"/>
    <x v="567"/>
    <n v="162500"/>
    <x v="16"/>
    <x v="15"/>
    <s v="AAS"/>
    <s v="L"/>
    <x v="8"/>
    <d v="2016-10-28T00:00:00"/>
    <s v="9 Tahun 11 Bulan 0 Hari"/>
  </r>
  <r>
    <n v="572"/>
    <x v="568"/>
    <n v="148198"/>
    <x v="16"/>
    <x v="15"/>
    <s v="AAS"/>
    <s v="L"/>
    <x v="8"/>
    <d v="2014-12-29T00:00:00"/>
    <s v="11 Tahun 8 Bulan 30 Hari"/>
  </r>
  <r>
    <n v="573"/>
    <x v="569"/>
    <n v="148196"/>
    <x v="16"/>
    <x v="15"/>
    <s v="AAS"/>
    <s v="L"/>
    <x v="8"/>
    <d v="2014-12-29T00:00:00"/>
    <s v="11 Tahun 8 Bulan 30 Hari"/>
  </r>
  <r>
    <n v="574"/>
    <x v="570"/>
    <n v="162507"/>
    <x v="16"/>
    <x v="15"/>
    <s v="AAS"/>
    <s v="L"/>
    <x v="8"/>
    <d v="2016-10-28T00:00:00"/>
    <s v="9 Tahun 11 Bulan 0 Hari"/>
  </r>
  <r>
    <n v="575"/>
    <x v="571"/>
    <n v="162513"/>
    <x v="16"/>
    <x v="15"/>
    <s v="AAS"/>
    <s v="L"/>
    <x v="8"/>
    <d v="2016-10-28T00:00:00"/>
    <s v="9 Tahun 11 Bulan 0 Hari"/>
  </r>
  <r>
    <n v="576"/>
    <x v="572"/>
    <n v="83121092"/>
    <x v="16"/>
    <x v="15"/>
    <s v="AAS"/>
    <s v="L"/>
    <x v="8"/>
    <d v="2012-04-09T00:00:00"/>
    <s v="14 Tahun 5 Bulan 19 Hari"/>
  </r>
  <r>
    <n v="577"/>
    <x v="573"/>
    <n v="83117274"/>
    <x v="16"/>
    <x v="15"/>
    <s v="AAS"/>
    <s v="L"/>
    <x v="8"/>
    <d v="2011-05-11T00:00:00"/>
    <s v="15 Tahun 4 Bulan 17 Hari"/>
  </r>
  <r>
    <n v="578"/>
    <x v="574"/>
    <n v="162501"/>
    <x v="16"/>
    <x v="15"/>
    <s v="AAS"/>
    <s v="L"/>
    <x v="8"/>
    <d v="2016-10-28T00:00:00"/>
    <s v="9 Tahun 11 Bulan 0 Hari"/>
  </r>
  <r>
    <n v="579"/>
    <x v="575"/>
    <n v="162509"/>
    <x v="16"/>
    <x v="15"/>
    <s v="AAS"/>
    <s v="L"/>
    <x v="8"/>
    <d v="2016-10-28T00:00:00"/>
    <s v="9 Tahun 11 Bulan 0 Hari"/>
  </r>
  <r>
    <n v="580"/>
    <x v="576"/>
    <n v="148193"/>
    <x v="16"/>
    <x v="15"/>
    <s v="AAS"/>
    <s v="L"/>
    <x v="8"/>
    <d v="2014-12-29T00:00:00"/>
    <s v="11 Tahun 8 Bulan 30 Hari"/>
  </r>
  <r>
    <n v="581"/>
    <x v="577"/>
    <n v="162498"/>
    <x v="16"/>
    <x v="15"/>
    <s v="AAS"/>
    <s v="L"/>
    <x v="8"/>
    <d v="2016-10-28T00:00:00"/>
    <s v="9 Tahun 11 Bulan 0 Hari"/>
  </r>
  <r>
    <n v="582"/>
    <x v="578"/>
    <n v="148191"/>
    <x v="16"/>
    <x v="15"/>
    <s v="AAS"/>
    <s v="L"/>
    <x v="8"/>
    <d v="2014-12-29T00:00:00"/>
    <s v="11 Tahun 8 Bulan 30 Hari"/>
  </r>
  <r>
    <n v="583"/>
    <x v="579"/>
    <n v="148199"/>
    <x v="16"/>
    <x v="15"/>
    <s v="AAS"/>
    <s v="L"/>
    <x v="8"/>
    <d v="2014-12-29T00:00:00"/>
    <s v="11 Tahun 8 Bulan 30 Hari"/>
  </r>
  <r>
    <n v="584"/>
    <x v="580"/>
    <n v="162504"/>
    <x v="16"/>
    <x v="15"/>
    <s v="AAS"/>
    <s v="L"/>
    <x v="8"/>
    <d v="2016-10-28T00:00:00"/>
    <s v="9 Tahun 11 Bulan 0 Hari"/>
  </r>
  <r>
    <n v="585"/>
    <x v="581"/>
    <n v="84087806"/>
    <x v="17"/>
    <x v="75"/>
    <s v="BAT "/>
    <s v="L"/>
    <x v="7"/>
    <d v="2008-08-19T00:00:00"/>
    <s v="18 Tahun 1 Bulan 9 Hari"/>
  </r>
  <r>
    <n v="586"/>
    <x v="582"/>
    <n v="83123693"/>
    <x v="17"/>
    <x v="76"/>
    <s v="BAT "/>
    <s v="L"/>
    <x v="7"/>
    <d v="2012-10-01T00:00:00"/>
    <s v="13 Tahun 11 Bulan 27 Hari"/>
  </r>
  <r>
    <n v="587"/>
    <x v="583"/>
    <n v="83123695"/>
    <x v="17"/>
    <x v="77"/>
    <s v="BAT "/>
    <s v="L"/>
    <x v="7"/>
    <d v="2012-09-20T00:00:00"/>
    <s v="14 Tahun 0 Bulan 8 Hari"/>
  </r>
  <r>
    <n v="588"/>
    <x v="584"/>
    <n v="84087817"/>
    <x v="17"/>
    <x v="78"/>
    <s v="BAT "/>
    <s v="L"/>
    <x v="7"/>
    <d v="2008-08-19T00:00:00"/>
    <s v="18 Tahun 1 Bulan 9 Hari"/>
  </r>
  <r>
    <n v="589"/>
    <x v="585"/>
    <n v="83123706"/>
    <x v="17"/>
    <x v="14"/>
    <s v="BAT "/>
    <s v="L"/>
    <x v="7"/>
    <d v="2012-10-01T00:00:00"/>
    <s v="13 Tahun 11 Bulan 27 Hari"/>
  </r>
  <r>
    <n v="590"/>
    <x v="586"/>
    <n v="83123694"/>
    <x v="17"/>
    <x v="14"/>
    <s v="BAT "/>
    <s v="L"/>
    <x v="7"/>
    <d v="2012-09-20T00:00:00"/>
    <s v="14 Tahun 0 Bulan 8 Hari"/>
  </r>
  <r>
    <n v="591"/>
    <x v="587"/>
    <n v="83123701"/>
    <x v="17"/>
    <x v="14"/>
    <s v="BAT "/>
    <s v="L"/>
    <x v="7"/>
    <d v="2012-09-20T00:00:00"/>
    <s v="14 Tahun 0 Bulan 8 Hari"/>
  </r>
  <r>
    <n v="592"/>
    <x v="588"/>
    <n v="143402"/>
    <x v="17"/>
    <x v="14"/>
    <s v="BAT "/>
    <s v="L"/>
    <x v="7"/>
    <d v="2014-06-12T00:00:00"/>
    <s v="12 Tahun 3 Bulan 16 Hari"/>
  </r>
  <r>
    <n v="593"/>
    <x v="589"/>
    <n v="83123700"/>
    <x v="17"/>
    <x v="14"/>
    <s v="BAT "/>
    <s v="L"/>
    <x v="7"/>
    <d v="2012-10-01T00:00:00"/>
    <s v="13 Tahun 11 Bulan 27 Hari"/>
  </r>
  <r>
    <n v="594"/>
    <x v="590"/>
    <n v="83123697"/>
    <x v="17"/>
    <x v="14"/>
    <s v="BAT "/>
    <s v="L"/>
    <x v="7"/>
    <d v="2012-10-01T00:00:00"/>
    <s v="13 Tahun 11 Bulan 27 Hari"/>
  </r>
  <r>
    <n v="595"/>
    <x v="591"/>
    <n v="143398"/>
    <x v="17"/>
    <x v="14"/>
    <s v="BAT "/>
    <s v="L"/>
    <x v="7"/>
    <d v="2014-06-12T00:00:00"/>
    <s v="12 Tahun 3 Bulan 16 Hari"/>
  </r>
  <r>
    <n v="596"/>
    <x v="592"/>
    <n v="143409"/>
    <x v="17"/>
    <x v="14"/>
    <s v="BAT "/>
    <s v="L"/>
    <x v="7"/>
    <d v="2014-06-12T00:00:00"/>
    <s v="12 Tahun 3 Bulan 16 Hari"/>
  </r>
  <r>
    <n v="597"/>
    <x v="593"/>
    <n v="83123699"/>
    <x v="17"/>
    <x v="14"/>
    <s v="BAT "/>
    <s v="L"/>
    <x v="7"/>
    <d v="2012-10-01T00:00:00"/>
    <s v="13 Tahun 11 Bulan 27 Hari"/>
  </r>
  <r>
    <n v="598"/>
    <x v="594"/>
    <n v="83123703"/>
    <x v="17"/>
    <x v="14"/>
    <s v="BAT "/>
    <s v="L"/>
    <x v="7"/>
    <d v="2012-10-01T00:00:00"/>
    <s v="13 Tahun 11 Bulan 27 Hari"/>
  </r>
  <r>
    <n v="599"/>
    <x v="595"/>
    <n v="83123698"/>
    <x v="17"/>
    <x v="14"/>
    <s v="BAT "/>
    <s v="L"/>
    <x v="7"/>
    <d v="2012-10-01T00:00:00"/>
    <s v="13 Tahun 11 Bulan 27 Hari"/>
  </r>
  <r>
    <n v="600"/>
    <x v="596"/>
    <n v="84087843"/>
    <x v="17"/>
    <x v="14"/>
    <s v="BAT "/>
    <s v="L"/>
    <x v="7"/>
    <d v="2008-08-19T00:00:00"/>
    <s v="18 Tahun 1 Bulan 9 Hari"/>
  </r>
  <r>
    <n v="601"/>
    <x v="597"/>
    <n v="84124080"/>
    <x v="17"/>
    <x v="14"/>
    <s v="BAT "/>
    <s v="L"/>
    <x v="7"/>
    <d v="2012-10-15T00:00:00"/>
    <s v="13 Tahun 11 Bulan 13 Hari"/>
  </r>
  <r>
    <n v="602"/>
    <x v="598"/>
    <n v="143659"/>
    <x v="17"/>
    <x v="14"/>
    <s v="BAT "/>
    <s v="L"/>
    <x v="7"/>
    <d v="2014-07-04T00:00:00"/>
    <s v="12 Tahun 2 Bulan 24 Hari"/>
  </r>
  <r>
    <n v="603"/>
    <x v="599"/>
    <n v="83090515"/>
    <x v="17"/>
    <x v="14"/>
    <s v="BAT "/>
    <s v="L"/>
    <x v="7"/>
    <d v="2009-09-01T00:00:00"/>
    <s v="17 Tahun 0 Bulan 27 Hari"/>
  </r>
  <r>
    <n v="604"/>
    <x v="600"/>
    <n v="83117886"/>
    <x v="17"/>
    <x v="79"/>
    <s v="AAS"/>
    <s v="L"/>
    <x v="8"/>
    <d v="2008-07-01T00:00:00"/>
    <s v="18 Tahun 2 Bulan 27 Hari"/>
  </r>
  <r>
    <n v="605"/>
    <x v="601"/>
    <n v="83117892"/>
    <x v="17"/>
    <x v="80"/>
    <s v="BAT "/>
    <s v="L"/>
    <x v="8"/>
    <d v="2008-07-01T00:00:00"/>
    <s v="18 Tahun 2 Bulan 27 Hari"/>
  </r>
  <r>
    <n v="606"/>
    <x v="602"/>
    <n v="83117915"/>
    <x v="17"/>
    <x v="81"/>
    <s v="AAS"/>
    <s v="L"/>
    <x v="8"/>
    <d v="2008-07-01T00:00:00"/>
    <s v="18 Tahun 2 Bulan 27 Hari"/>
  </r>
  <r>
    <n v="607"/>
    <x v="603"/>
    <n v="83117941"/>
    <x v="17"/>
    <x v="82"/>
    <s v="AAS"/>
    <s v="L"/>
    <x v="8"/>
    <d v="2008-07-15T00:00:00"/>
    <s v="18 Tahun 2 Bulan 13 Hari"/>
  </r>
  <r>
    <n v="608"/>
    <x v="604"/>
    <n v="83103335"/>
    <x v="17"/>
    <x v="15"/>
    <s v="BAT "/>
    <s v="L"/>
    <x v="8"/>
    <d v="2010-08-01T00:00:00"/>
    <s v="16 Tahun 1 Bulan 27 Hari"/>
  </r>
  <r>
    <n v="609"/>
    <x v="605"/>
    <n v="141588"/>
    <x v="17"/>
    <x v="15"/>
    <s v="BAT "/>
    <s v="L"/>
    <x v="8"/>
    <d v="2014-03-12T00:00:00"/>
    <s v="12 Tahun 6 Bulan 16 Hari"/>
  </r>
  <r>
    <n v="610"/>
    <x v="606"/>
    <n v="83117938"/>
    <x v="17"/>
    <x v="15"/>
    <s v="BAT "/>
    <s v="L"/>
    <x v="8"/>
    <d v="2008-07-01T00:00:00"/>
    <s v="18 Tahun 2 Bulan 27 Hari"/>
  </r>
  <r>
    <n v="611"/>
    <x v="607"/>
    <n v="145752"/>
    <x v="17"/>
    <x v="15"/>
    <s v="BAT "/>
    <s v="L"/>
    <x v="8"/>
    <d v="2014-09-19T00:00:00"/>
    <s v="12 Tahun 0 Bulan 9 Hari"/>
  </r>
  <r>
    <n v="612"/>
    <x v="608"/>
    <n v="141589"/>
    <x v="17"/>
    <x v="15"/>
    <s v="BAT "/>
    <s v="L"/>
    <x v="8"/>
    <d v="2014-03-12T00:00:00"/>
    <s v="12 Tahun 6 Bulan 16 Hari"/>
  </r>
  <r>
    <n v="613"/>
    <x v="587"/>
    <n v="83103336"/>
    <x v="17"/>
    <x v="15"/>
    <s v="BAT "/>
    <s v="L"/>
    <x v="8"/>
    <d v="2010-08-01T00:00:00"/>
    <s v="16 Tahun 1 Bulan 27 Hari"/>
  </r>
  <r>
    <n v="614"/>
    <x v="609"/>
    <n v="141587"/>
    <x v="17"/>
    <x v="15"/>
    <s v="BAT "/>
    <s v="L"/>
    <x v="8"/>
    <d v="2014-03-12T00:00:00"/>
    <s v="12 Tahun 6 Bulan 16 Hari"/>
  </r>
  <r>
    <n v="615"/>
    <x v="610"/>
    <n v="132387"/>
    <x v="17"/>
    <x v="15"/>
    <s v="BAT "/>
    <s v="L"/>
    <x v="8"/>
    <d v="2013-06-15T00:00:00"/>
    <s v="13 Tahun 3 Bulan 13 Hari"/>
  </r>
  <r>
    <n v="616"/>
    <x v="611"/>
    <n v="141580"/>
    <x v="17"/>
    <x v="15"/>
    <s v="BAT "/>
    <s v="L"/>
    <x v="8"/>
    <d v="2014-03-12T00:00:00"/>
    <s v="12 Tahun 6 Bulan 16 Hari"/>
  </r>
  <r>
    <n v="617"/>
    <x v="612"/>
    <n v="84123768"/>
    <x v="17"/>
    <x v="15"/>
    <s v="BAT "/>
    <s v="L"/>
    <x v="8"/>
    <d v="2012-09-15T00:00:00"/>
    <s v="14 Tahun 0 Bulan 13 Hari"/>
  </r>
  <r>
    <n v="618"/>
    <x v="613"/>
    <n v="141583"/>
    <x v="17"/>
    <x v="15"/>
    <s v="BAT "/>
    <s v="L"/>
    <x v="8"/>
    <d v="2014-03-12T00:00:00"/>
    <s v="12 Tahun 6 Bulan 16 Hari"/>
  </r>
  <r>
    <n v="619"/>
    <x v="614"/>
    <n v="141579"/>
    <x v="17"/>
    <x v="15"/>
    <s v="BAT "/>
    <s v="L"/>
    <x v="8"/>
    <d v="2014-03-12T00:00:00"/>
    <s v="12 Tahun 6 Bulan 16 Hari"/>
  </r>
  <r>
    <n v="620"/>
    <x v="615"/>
    <n v="83101972"/>
    <x v="17"/>
    <x v="15"/>
    <s v="BAT "/>
    <s v="L"/>
    <x v="8"/>
    <d v="2010-03-12T00:00:00"/>
    <s v="16 Tahun 6 Bulan 16 Hari"/>
  </r>
  <r>
    <n v="621"/>
    <x v="616"/>
    <n v="83117885"/>
    <x v="17"/>
    <x v="15"/>
    <s v="BAT "/>
    <s v="L"/>
    <x v="8"/>
    <d v="2008-07-01T00:00:00"/>
    <s v="18 Tahun 2 Bulan 27 Hari"/>
  </r>
  <r>
    <n v="622"/>
    <x v="617"/>
    <n v="83119567"/>
    <x v="17"/>
    <x v="15"/>
    <s v="BAT "/>
    <s v="L"/>
    <x v="8"/>
    <d v="2011-11-01T00:00:00"/>
    <s v="14 Tahun 10 Bulan 27 Hari"/>
  </r>
  <r>
    <n v="623"/>
    <x v="618"/>
    <n v="83117914"/>
    <x v="17"/>
    <x v="15"/>
    <s v="AAS"/>
    <s v="L"/>
    <x v="8"/>
    <d v="2008-07-01T00:00:00"/>
    <s v="18 Tahun 2 Bulan 27 Hari"/>
  </r>
  <r>
    <n v="624"/>
    <x v="619"/>
    <n v="84123769"/>
    <x v="17"/>
    <x v="15"/>
    <s v="AAS"/>
    <s v="L"/>
    <x v="8"/>
    <d v="2012-09-15T00:00:00"/>
    <s v="14 Tahun 0 Bulan 13 Hari"/>
  </r>
  <r>
    <n v="625"/>
    <x v="620"/>
    <n v="84123770"/>
    <x v="17"/>
    <x v="15"/>
    <s v="AAS"/>
    <s v="L"/>
    <x v="8"/>
    <d v="2012-09-15T00:00:00"/>
    <s v="14 Tahun 0 Bulan 13 Hari"/>
  </r>
  <r>
    <n v="626"/>
    <x v="621"/>
    <n v="141581"/>
    <x v="17"/>
    <x v="15"/>
    <s v="AAS"/>
    <s v="L"/>
    <x v="8"/>
    <d v="2014-03-12T00:00:00"/>
    <s v="12 Tahun 6 Bulan 16 Hari"/>
  </r>
  <r>
    <n v="627"/>
    <x v="622"/>
    <n v="83103330"/>
    <x v="17"/>
    <x v="15"/>
    <s v="AAS"/>
    <s v="L"/>
    <x v="8"/>
    <d v="2010-08-01T00:00:00"/>
    <s v="16 Tahun 1 Bulan 27 Hari"/>
  </r>
  <r>
    <n v="628"/>
    <x v="623"/>
    <n v="141590"/>
    <x v="17"/>
    <x v="15"/>
    <s v="AAS"/>
    <s v="L"/>
    <x v="8"/>
    <d v="2014-03-12T00:00:00"/>
    <s v="12 Tahun 6 Bulan 16 Hari"/>
  </r>
  <r>
    <n v="629"/>
    <x v="624"/>
    <n v="83117899"/>
    <x v="17"/>
    <x v="15"/>
    <s v="AAS"/>
    <s v="L"/>
    <x v="8"/>
    <d v="2008-07-01T00:00:00"/>
    <s v="18 Tahun 2 Bulan 27 Hari"/>
  </r>
  <r>
    <n v="630"/>
    <x v="625"/>
    <n v="84130582"/>
    <x v="17"/>
    <x v="15"/>
    <s v="AAS"/>
    <s v="L"/>
    <x v="8"/>
    <d v="2013-02-01T00:00:00"/>
    <s v="13 Tahun 7 Bulan 27 Hari"/>
  </r>
  <r>
    <n v="631"/>
    <x v="626"/>
    <n v="83118004"/>
    <x v="17"/>
    <x v="15"/>
    <s v="AAS"/>
    <s v="L"/>
    <x v="8"/>
    <d v="2011-07-15T00:00:00"/>
    <s v="15 Tahun 2 Bulan 13 Hari"/>
  </r>
  <r>
    <n v="632"/>
    <x v="627"/>
    <n v="83103340"/>
    <x v="17"/>
    <x v="15"/>
    <s v="AAS"/>
    <s v="L"/>
    <x v="8"/>
    <d v="2010-08-01T00:00:00"/>
    <s v="16 Tahun 1 Bulan 27 Hari"/>
  </r>
  <r>
    <n v="633"/>
    <x v="628"/>
    <n v="83117910"/>
    <x v="17"/>
    <x v="15"/>
    <s v="AAS"/>
    <s v="L"/>
    <x v="8"/>
    <d v="1972-12-23T00:00:00"/>
    <s v="53 Tahun 9 Bulan 5 Hari"/>
  </r>
  <r>
    <n v="634"/>
    <x v="629"/>
    <n v="84124082"/>
    <x v="17"/>
    <x v="15"/>
    <s v="AAS"/>
    <s v="L"/>
    <x v="8"/>
    <d v="2012-10-15T00:00:00"/>
    <s v="13 Tahun 11 Bulan 13 Hari"/>
  </r>
  <r>
    <n v="635"/>
    <x v="630"/>
    <n v="84117918"/>
    <x v="17"/>
    <x v="15"/>
    <s v="AAS"/>
    <s v="L"/>
    <x v="8"/>
    <d v="2008-07-01T00:00:00"/>
    <s v="18 Tahun 2 Bulan 27 Hari"/>
  </r>
  <r>
    <n v="636"/>
    <x v="631"/>
    <n v="84123771"/>
    <x v="17"/>
    <x v="15"/>
    <s v="AAS"/>
    <s v="L"/>
    <x v="8"/>
    <d v="2012-09-15T00:00:00"/>
    <s v="14 Tahun 0 Bulan 13 Hari"/>
  </r>
  <r>
    <n v="637"/>
    <x v="632"/>
    <n v="132386"/>
    <x v="17"/>
    <x v="15"/>
    <s v="AAS"/>
    <s v="L"/>
    <x v="8"/>
    <d v="2013-06-15T00:00:00"/>
    <s v="13 Tahun 3 Bulan 13 Hari"/>
  </r>
  <r>
    <n v="638"/>
    <x v="633"/>
    <n v="84124081"/>
    <x v="17"/>
    <x v="15"/>
    <s v="AAS"/>
    <s v="L"/>
    <x v="8"/>
    <d v="2012-10-15T00:00:00"/>
    <s v="13 Tahun 11 Bulan 13 Hari"/>
  </r>
  <r>
    <n v="639"/>
    <x v="634"/>
    <n v="141585"/>
    <x v="17"/>
    <x v="15"/>
    <s v="AAS"/>
    <s v="L"/>
    <x v="8"/>
    <d v="1992-05-27T00:00:00"/>
    <s v="34 Tahun 4 Bulan 1 Hari"/>
  </r>
  <r>
    <n v="640"/>
    <x v="635"/>
    <n v="251635"/>
    <x v="17"/>
    <x v="15"/>
    <s v="AAS"/>
    <s v="L"/>
    <x v="8"/>
    <d v="2000-01-16T00:00:00"/>
    <s v="26 Tahun 8 Bulan 12 Hari"/>
  </r>
  <r>
    <n v="641"/>
    <x v="636"/>
    <n v="83122380"/>
    <x v="18"/>
    <x v="14"/>
    <s v="BAT "/>
    <s v="L"/>
    <x v="7"/>
    <d v="2012-06-18T00:00:00"/>
    <s v="14 Tahun 3 Bulan 10 Har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U86" firstHeaderRow="1" firstDataRow="2" firstDataCol="1"/>
  <pivotFields count="10">
    <pivotField showAll="0"/>
    <pivotField dataField="1" showAll="0">
      <items count="638">
        <item x="616"/>
        <item x="621"/>
        <item x="596"/>
        <item x="517"/>
        <item x="97"/>
        <item x="52"/>
        <item x="99"/>
        <item x="435"/>
        <item x="307"/>
        <item x="413"/>
        <item x="548"/>
        <item x="367"/>
        <item x="306"/>
        <item x="84"/>
        <item x="136"/>
        <item x="321"/>
        <item x="76"/>
        <item x="113"/>
        <item x="400"/>
        <item x="380"/>
        <item x="592"/>
        <item x="567"/>
        <item x="324"/>
        <item x="525"/>
        <item x="508"/>
        <item x="382"/>
        <item x="539"/>
        <item x="218"/>
        <item x="60"/>
        <item x="304"/>
        <item x="406"/>
        <item x="524"/>
        <item x="277"/>
        <item x="109"/>
        <item x="115"/>
        <item x="39"/>
        <item x="12"/>
        <item x="541"/>
        <item x="580"/>
        <item x="204"/>
        <item x="20"/>
        <item x="526"/>
        <item x="544"/>
        <item x="165"/>
        <item x="474"/>
        <item x="55"/>
        <item x="124"/>
        <item x="200"/>
        <item x="480"/>
        <item x="484"/>
        <item x="208"/>
        <item x="543"/>
        <item x="49"/>
        <item x="46"/>
        <item x="600"/>
        <item x="370"/>
        <item x="273"/>
        <item x="22"/>
        <item x="101"/>
        <item x="28"/>
        <item x="145"/>
        <item x="157"/>
        <item x="191"/>
        <item x="267"/>
        <item x="196"/>
        <item x="95"/>
        <item x="257"/>
        <item x="292"/>
        <item x="226"/>
        <item x="223"/>
        <item x="263"/>
        <item x="392"/>
        <item x="35"/>
        <item x="323"/>
        <item x="401"/>
        <item x="528"/>
        <item x="393"/>
        <item x="121"/>
        <item x="376"/>
        <item x="187"/>
        <item x="140"/>
        <item x="610"/>
        <item x="98"/>
        <item x="374"/>
        <item x="513"/>
        <item x="540"/>
        <item x="211"/>
        <item x="85"/>
        <item x="377"/>
        <item x="24"/>
        <item x="590"/>
        <item x="577"/>
        <item x="441"/>
        <item x="488"/>
        <item x="481"/>
        <item x="19"/>
        <item x="407"/>
        <item x="437"/>
        <item x="529"/>
        <item x="378"/>
        <item x="17"/>
        <item x="160"/>
        <item x="302"/>
        <item x="404"/>
        <item x="254"/>
        <item x="609"/>
        <item x="588"/>
        <item x="166"/>
        <item x="268"/>
        <item x="316"/>
        <item x="325"/>
        <item x="185"/>
        <item x="396"/>
        <item x="601"/>
        <item x="497"/>
        <item x="64"/>
        <item x="408"/>
        <item x="102"/>
        <item x="589"/>
        <item x="128"/>
        <item x="383"/>
        <item x="275"/>
        <item x="276"/>
        <item x="131"/>
        <item x="112"/>
        <item x="150"/>
        <item x="214"/>
        <item x="586"/>
        <item x="516"/>
        <item x="40"/>
        <item x="170"/>
        <item x="456"/>
        <item x="454"/>
        <item x="198"/>
        <item x="202"/>
        <item x="402"/>
        <item x="258"/>
        <item x="2"/>
        <item x="424"/>
        <item x="578"/>
        <item x="371"/>
        <item x="489"/>
        <item x="502"/>
        <item x="164"/>
        <item x="365"/>
        <item x="366"/>
        <item x="135"/>
        <item x="260"/>
        <item x="417"/>
        <item x="184"/>
        <item x="330"/>
        <item x="297"/>
        <item x="264"/>
        <item x="478"/>
        <item x="331"/>
        <item x="287"/>
        <item x="33"/>
        <item x="542"/>
        <item x="105"/>
        <item x="142"/>
        <item x="152"/>
        <item x="615"/>
        <item x="122"/>
        <item x="499"/>
        <item x="280"/>
        <item x="271"/>
        <item x="387"/>
        <item x="288"/>
        <item x="177"/>
        <item x="51"/>
        <item x="6"/>
        <item x="146"/>
        <item x="358"/>
        <item x="282"/>
        <item x="293"/>
        <item x="14"/>
        <item x="238"/>
        <item x="511"/>
        <item x="530"/>
        <item x="4"/>
        <item x="340"/>
        <item x="491"/>
        <item x="5"/>
        <item x="492"/>
        <item x="552"/>
        <item x="153"/>
        <item x="547"/>
        <item x="576"/>
        <item x="13"/>
        <item x="56"/>
        <item x="604"/>
        <item x="531"/>
        <item x="458"/>
        <item x="532"/>
        <item x="363"/>
        <item x="418"/>
        <item x="553"/>
        <item x="244"/>
        <item x="361"/>
        <item x="332"/>
        <item x="313"/>
        <item x="281"/>
        <item x="243"/>
        <item x="569"/>
        <item x="270"/>
        <item x="438"/>
        <item x="620"/>
        <item x="352"/>
        <item x="467"/>
        <item x="607"/>
        <item x="521"/>
        <item x="10"/>
        <item x="617"/>
        <item x="58"/>
        <item x="512"/>
        <item x="395"/>
        <item x="27"/>
        <item x="425"/>
        <item x="442"/>
        <item x="303"/>
        <item x="41"/>
        <item x="147"/>
        <item x="451"/>
        <item x="210"/>
        <item x="501"/>
        <item x="611"/>
        <item x="44"/>
        <item x="432"/>
        <item x="416"/>
        <item x="224"/>
        <item x="568"/>
        <item x="527"/>
        <item x="461"/>
        <item x="314"/>
        <item x="193"/>
        <item x="368"/>
        <item x="624"/>
        <item x="250"/>
        <item x="523"/>
        <item x="428"/>
        <item x="92"/>
        <item x="626"/>
        <item x="468"/>
        <item x="446"/>
        <item x="581"/>
        <item x="514"/>
        <item x="391"/>
        <item x="551"/>
        <item x="595"/>
        <item x="63"/>
        <item x="11"/>
        <item x="235"/>
        <item x="447"/>
        <item x="54"/>
        <item x="448"/>
        <item x="397"/>
        <item x="622"/>
        <item x="79"/>
        <item x="388"/>
        <item x="312"/>
        <item x="485"/>
        <item x="172"/>
        <item x="593"/>
        <item x="80"/>
        <item x="439"/>
        <item x="86"/>
        <item x="286"/>
        <item x="247"/>
        <item x="100"/>
        <item x="579"/>
        <item x="614"/>
        <item x="359"/>
        <item x="356"/>
        <item x="398"/>
        <item x="459"/>
        <item x="212"/>
        <item x="284"/>
        <item x="246"/>
        <item x="635"/>
        <item x="25"/>
        <item x="269"/>
        <item x="139"/>
        <item x="559"/>
        <item x="248"/>
        <item x="533"/>
        <item x="597"/>
        <item x="534"/>
        <item x="294"/>
        <item x="419"/>
        <item x="582"/>
        <item x="558"/>
        <item x="144"/>
        <item x="462"/>
        <item x="171"/>
        <item x="628"/>
        <item x="450"/>
        <item x="436"/>
        <item x="132"/>
        <item x="186"/>
        <item x="255"/>
        <item x="173"/>
        <item x="37"/>
        <item x="430"/>
        <item x="333"/>
        <item x="315"/>
        <item x="479"/>
        <item x="72"/>
        <item x="71"/>
        <item x="411"/>
        <item x="7"/>
        <item x="18"/>
        <item x="134"/>
        <item x="29"/>
        <item x="410"/>
        <item x="618"/>
        <item x="602"/>
        <item x="120"/>
        <item x="326"/>
        <item x="129"/>
        <item x="549"/>
        <item x="15"/>
        <item x="317"/>
        <item x="159"/>
        <item x="57"/>
        <item x="3"/>
        <item x="506"/>
        <item x="482"/>
        <item x="504"/>
        <item x="167"/>
        <item x="126"/>
        <item x="426"/>
        <item x="421"/>
        <item x="455"/>
        <item x="48"/>
        <item x="77"/>
        <item x="278"/>
        <item x="464"/>
        <item x="345"/>
        <item x="308"/>
        <item x="168"/>
        <item x="155"/>
        <item x="339"/>
        <item x="16"/>
        <item x="169"/>
        <item x="341"/>
        <item x="93"/>
        <item x="242"/>
        <item x="219"/>
        <item x="560"/>
        <item x="509"/>
        <item x="299"/>
        <item x="180"/>
        <item x="225"/>
        <item x="386"/>
        <item x="422"/>
        <item x="228"/>
        <item x="221"/>
        <item x="449"/>
        <item x="320"/>
        <item x="252"/>
        <item x="496"/>
        <item x="433"/>
        <item x="346"/>
        <item x="445"/>
        <item x="444"/>
        <item x="469"/>
        <item x="188"/>
        <item x="381"/>
        <item x="143"/>
        <item x="463"/>
        <item x="274"/>
        <item x="21"/>
        <item x="520"/>
        <item x="117"/>
        <item x="510"/>
        <item x="575"/>
        <item x="162"/>
        <item x="344"/>
        <item x="505"/>
        <item x="500"/>
        <item x="574"/>
        <item x="515"/>
        <item x="1"/>
        <item x="507"/>
        <item x="203"/>
        <item x="342"/>
        <item x="137"/>
        <item x="522"/>
        <item x="518"/>
        <item x="546"/>
        <item x="555"/>
        <item x="629"/>
        <item x="82"/>
        <item x="631"/>
        <item x="633"/>
        <item x="598"/>
        <item x="630"/>
        <item x="591"/>
        <item x="32"/>
        <item x="230"/>
        <item x="194"/>
        <item x="106"/>
        <item x="564"/>
        <item x="34"/>
        <item x="364"/>
        <item x="334"/>
        <item x="215"/>
        <item x="565"/>
        <item x="23"/>
        <item x="335"/>
        <item x="75"/>
        <item x="138"/>
        <item x="127"/>
        <item x="209"/>
        <item x="403"/>
        <item x="8"/>
        <item x="291"/>
        <item x="415"/>
        <item x="420"/>
        <item x="409"/>
        <item x="562"/>
        <item x="414"/>
        <item x="537"/>
        <item x="434"/>
        <item x="65"/>
        <item x="584"/>
        <item x="375"/>
        <item x="571"/>
        <item x="301"/>
        <item x="327"/>
        <item x="423"/>
        <item x="207"/>
        <item x="457"/>
        <item x="234"/>
        <item x="535"/>
        <item x="123"/>
        <item x="67"/>
        <item x="412"/>
        <item x="612"/>
        <item x="237"/>
        <item x="222"/>
        <item x="163"/>
        <item x="460"/>
        <item x="594"/>
        <item x="154"/>
        <item x="350"/>
        <item x="206"/>
        <item x="175"/>
        <item x="384"/>
        <item x="385"/>
        <item x="192"/>
        <item x="233"/>
        <item x="26"/>
        <item x="613"/>
        <item x="87"/>
        <item x="608"/>
        <item x="347"/>
        <item x="114"/>
        <item x="573"/>
        <item x="585"/>
        <item x="0"/>
        <item x="259"/>
        <item x="289"/>
        <item x="295"/>
        <item x="519"/>
        <item x="179"/>
        <item x="318"/>
        <item x="178"/>
        <item x="176"/>
        <item x="475"/>
        <item x="466"/>
        <item x="343"/>
        <item x="605"/>
        <item x="493"/>
        <item x="103"/>
        <item x="239"/>
        <item x="379"/>
        <item x="47"/>
        <item x="59"/>
        <item x="357"/>
        <item x="62"/>
        <item x="369"/>
        <item x="348"/>
        <item x="182"/>
        <item x="503"/>
        <item x="336"/>
        <item x="130"/>
        <item x="389"/>
        <item x="107"/>
        <item x="429"/>
        <item x="472"/>
        <item x="360"/>
        <item x="45"/>
        <item x="108"/>
        <item x="104"/>
        <item x="372"/>
        <item x="351"/>
        <item x="476"/>
        <item x="151"/>
        <item x="399"/>
        <item x="599"/>
        <item x="572"/>
        <item x="538"/>
        <item x="431"/>
        <item x="253"/>
        <item x="61"/>
        <item x="216"/>
        <item x="9"/>
        <item x="158"/>
        <item x="563"/>
        <item x="183"/>
        <item x="229"/>
        <item x="262"/>
        <item x="322"/>
        <item x="249"/>
        <item x="470"/>
        <item x="298"/>
        <item x="78"/>
        <item x="31"/>
        <item x="213"/>
        <item x="561"/>
        <item x="261"/>
        <item x="427"/>
        <item x="190"/>
        <item x="231"/>
        <item x="328"/>
        <item x="625"/>
        <item x="148"/>
        <item x="353"/>
        <item x="149"/>
        <item x="69"/>
        <item x="556"/>
        <item x="603"/>
        <item x="90"/>
        <item x="362"/>
        <item x="94"/>
        <item x="570"/>
        <item x="483"/>
        <item x="337"/>
        <item x="30"/>
        <item x="141"/>
        <item x="452"/>
        <item x="240"/>
        <item x="311"/>
        <item x="310"/>
        <item x="634"/>
        <item x="68"/>
        <item x="251"/>
        <item x="465"/>
        <item x="290"/>
        <item x="42"/>
        <item x="623"/>
        <item x="89"/>
        <item x="619"/>
        <item x="227"/>
        <item x="205"/>
        <item x="116"/>
        <item x="550"/>
        <item x="96"/>
        <item x="305"/>
        <item x="309"/>
        <item x="181"/>
        <item x="566"/>
        <item x="36"/>
        <item x="201"/>
        <item x="279"/>
        <item x="53"/>
        <item x="88"/>
        <item x="220"/>
        <item x="174"/>
        <item x="394"/>
        <item x="91"/>
        <item x="197"/>
        <item x="283"/>
        <item x="545"/>
        <item x="119"/>
        <item x="319"/>
        <item x="636"/>
        <item x="300"/>
        <item x="338"/>
        <item x="70"/>
        <item x="156"/>
        <item x="583"/>
        <item x="81"/>
        <item x="627"/>
        <item x="111"/>
        <item x="118"/>
        <item x="587"/>
        <item x="189"/>
        <item x="110"/>
        <item x="349"/>
        <item x="38"/>
        <item x="199"/>
        <item x="440"/>
        <item x="373"/>
        <item x="266"/>
        <item x="443"/>
        <item x="355"/>
        <item x="236"/>
        <item x="217"/>
        <item x="265"/>
        <item x="486"/>
        <item x="241"/>
        <item x="245"/>
        <item x="296"/>
        <item x="161"/>
        <item x="50"/>
        <item x="83"/>
        <item x="232"/>
        <item x="494"/>
        <item x="487"/>
        <item x="125"/>
        <item x="285"/>
        <item x="133"/>
        <item x="498"/>
        <item x="471"/>
        <item x="490"/>
        <item x="195"/>
        <item x="390"/>
        <item x="43"/>
        <item x="256"/>
        <item x="74"/>
        <item x="329"/>
        <item x="632"/>
        <item x="73"/>
        <item x="554"/>
        <item x="557"/>
        <item x="477"/>
        <item x="453"/>
        <item x="354"/>
        <item x="536"/>
        <item x="495"/>
        <item x="272"/>
        <item x="66"/>
        <item x="405"/>
        <item x="473"/>
        <item x="606"/>
        <item t="default"/>
      </items>
    </pivotField>
    <pivotField showAll="0"/>
    <pivotField axis="axisCol" showAll="0">
      <items count="21">
        <item x="1"/>
        <item x="2"/>
        <item x="3"/>
        <item x="4"/>
        <item x="0"/>
        <item x="5"/>
        <item x="6"/>
        <item x="7"/>
        <item m="1" x="19"/>
        <item x="8"/>
        <item x="9"/>
        <item x="10"/>
        <item x="11"/>
        <item x="12"/>
        <item x="13"/>
        <item x="15"/>
        <item x="14"/>
        <item x="16"/>
        <item x="17"/>
        <item x="18"/>
        <item t="default"/>
      </items>
    </pivotField>
    <pivotField axis="axisRow" showAll="0">
      <items count="84">
        <item x="12"/>
        <item x="1"/>
        <item x="37"/>
        <item x="35"/>
        <item x="42"/>
        <item x="34"/>
        <item x="36"/>
        <item x="33"/>
        <item x="40"/>
        <item x="41"/>
        <item x="38"/>
        <item x="32"/>
        <item x="39"/>
        <item x="16"/>
        <item x="17"/>
        <item x="48"/>
        <item x="55"/>
        <item x="56"/>
        <item x="54"/>
        <item x="57"/>
        <item x="60"/>
        <item x="62"/>
        <item x="71"/>
        <item x="72"/>
        <item x="73"/>
        <item x="74"/>
        <item x="79"/>
        <item x="80"/>
        <item x="81"/>
        <item x="82"/>
        <item x="13"/>
        <item x="43"/>
        <item x="44"/>
        <item x="45"/>
        <item x="46"/>
        <item x="47"/>
        <item x="19"/>
        <item x="29"/>
        <item x="24"/>
        <item x="50"/>
        <item x="51"/>
        <item x="52"/>
        <item x="53"/>
        <item x="58"/>
        <item x="61"/>
        <item x="8"/>
        <item x="9"/>
        <item x="10"/>
        <item x="20"/>
        <item x="21"/>
        <item x="27"/>
        <item x="28"/>
        <item x="63"/>
        <item x="65"/>
        <item x="64"/>
        <item x="67"/>
        <item x="68"/>
        <item x="69"/>
        <item x="70"/>
        <item x="5"/>
        <item x="75"/>
        <item x="78"/>
        <item x="76"/>
        <item x="77"/>
        <item x="23"/>
        <item x="26"/>
        <item x="25"/>
        <item x="22"/>
        <item x="14"/>
        <item x="59"/>
        <item x="0"/>
        <item x="30"/>
        <item x="31"/>
        <item x="11"/>
        <item x="4"/>
        <item x="18"/>
        <item x="7"/>
        <item x="66"/>
        <item x="49"/>
        <item x="2"/>
        <item x="15"/>
        <item x="6"/>
        <item x="3"/>
        <item t="default"/>
      </items>
    </pivotField>
    <pivotField showAll="0"/>
    <pivotField showAll="0"/>
    <pivotField showAll="0">
      <items count="12">
        <item sd="0" x="5"/>
        <item sd="0" x="2"/>
        <item sd="0" x="0"/>
        <item sd="0" x="3"/>
        <item sd="0" x="10"/>
        <item sd="0" x="4"/>
        <item sd="0" x="9"/>
        <item sd="0" x="6"/>
        <item sd="0" x="1"/>
        <item sd="0" x="8"/>
        <item sd="0" x="7"/>
        <item t="default"/>
      </items>
    </pivotField>
    <pivotField showAll="0"/>
    <pivotField showAll="0"/>
  </pivotFields>
  <rowFields count="1">
    <field x="4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Fields count="1">
    <field x="3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NAMA " fld="1" subtotal="count" baseField="0" baseItem="0"/>
  </dataFields>
  <formats count="33"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3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4" type="button" dataOnly="0" labelOnly="1" outline="0" axis="axisRow" fieldPosition="0"/>
    </format>
    <format dxfId="79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8">
      <pivotArea dataOnly="0" labelOnly="1" fieldPosition="0">
        <references count="1">
          <reference field="4" count="3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grandCol="1" outline="0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3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7">
      <pivotArea dataOnly="0" labelOnly="1" fieldPosition="0">
        <references count="1">
          <reference field="4" count="3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1">
          <reference field="3" count="0"/>
        </references>
      </pivotArea>
    </format>
    <format dxfId="64">
      <pivotArea dataOnly="0" labelOnly="1" grandCol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3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4" type="button" dataOnly="0" labelOnly="1" outline="0" axis="axisRow" fieldPosition="0"/>
    </format>
    <format dxfId="57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6">
      <pivotArea dataOnly="0" labelOnly="1" fieldPosition="0">
        <references count="1">
          <reference field="4" count="3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3" count="0"/>
        </references>
      </pivotArea>
    </format>
    <format dxfId="53">
      <pivotArea dataOnly="0" labelOnly="1" grandCol="1" outline="0" fieldPosition="0"/>
    </format>
  </formats>
  <pivotTableStyleInfo name="PivotStyleLight16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U16" firstHeaderRow="1" firstDataRow="2" firstDataCol="1" rowPageCount="1" colPageCount="1"/>
  <pivotFields count="10">
    <pivotField showAll="0"/>
    <pivotField dataField="1" showAll="0"/>
    <pivotField showAll="0"/>
    <pivotField axis="axisCol" showAll="0">
      <items count="21">
        <item x="1"/>
        <item x="2"/>
        <item x="3"/>
        <item x="4"/>
        <item x="0"/>
        <item x="5"/>
        <item x="6"/>
        <item x="7"/>
        <item m="1" x="19"/>
        <item x="8"/>
        <item x="9"/>
        <item x="10"/>
        <item x="11"/>
        <item x="12"/>
        <item x="13"/>
        <item x="15"/>
        <item x="14"/>
        <item x="16"/>
        <item x="17"/>
        <item x="18"/>
        <item t="default"/>
      </items>
    </pivotField>
    <pivotField axis="axisPage" showAll="0">
      <items count="84">
        <item x="12"/>
        <item x="1"/>
        <item x="37"/>
        <item x="35"/>
        <item x="42"/>
        <item x="34"/>
        <item x="36"/>
        <item x="33"/>
        <item x="40"/>
        <item x="41"/>
        <item x="38"/>
        <item x="32"/>
        <item x="39"/>
        <item x="16"/>
        <item x="17"/>
        <item x="48"/>
        <item x="55"/>
        <item x="56"/>
        <item x="54"/>
        <item x="57"/>
        <item x="60"/>
        <item x="62"/>
        <item x="71"/>
        <item x="72"/>
        <item x="73"/>
        <item x="74"/>
        <item x="79"/>
        <item x="80"/>
        <item x="81"/>
        <item x="82"/>
        <item x="13"/>
        <item x="43"/>
        <item x="44"/>
        <item x="45"/>
        <item x="46"/>
        <item x="47"/>
        <item x="19"/>
        <item x="29"/>
        <item x="24"/>
        <item x="50"/>
        <item x="51"/>
        <item x="52"/>
        <item x="53"/>
        <item x="58"/>
        <item x="61"/>
        <item x="8"/>
        <item x="9"/>
        <item x="10"/>
        <item x="20"/>
        <item x="21"/>
        <item x="27"/>
        <item x="28"/>
        <item x="63"/>
        <item x="65"/>
        <item x="64"/>
        <item x="67"/>
        <item x="68"/>
        <item x="69"/>
        <item x="70"/>
        <item x="5"/>
        <item x="75"/>
        <item x="78"/>
        <item x="76"/>
        <item x="77"/>
        <item x="23"/>
        <item x="26"/>
        <item x="25"/>
        <item x="22"/>
        <item x="14"/>
        <item x="59"/>
        <item x="0"/>
        <item x="30"/>
        <item x="31"/>
        <item x="11"/>
        <item x="4"/>
        <item x="18"/>
        <item x="7"/>
        <item x="66"/>
        <item x="49"/>
        <item x="2"/>
        <item x="15"/>
        <item x="6"/>
        <item x="3"/>
        <item t="default"/>
      </items>
    </pivotField>
    <pivotField showAll="0"/>
    <pivotField showAll="0"/>
    <pivotField axis="axisRow" showAll="0">
      <items count="12">
        <item x="5"/>
        <item x="2"/>
        <item x="0"/>
        <item x="3"/>
        <item x="10"/>
        <item x="4"/>
        <item x="9"/>
        <item x="6"/>
        <item x="1"/>
        <item x="8"/>
        <item x="7"/>
        <item t="default"/>
      </items>
    </pivotField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pageFields count="1">
    <pageField fld="4" hier="-1"/>
  </pageFields>
  <dataFields count="1">
    <dataField name="Count of NAMA " fld="1" subtotal="count" baseField="0" baseItem="0"/>
  </dataFields>
  <formats count="30">
    <format dxfId="52">
      <pivotArea outline="0" collapsedLevelsAreSubtotals="1" fieldPosition="0"/>
    </format>
    <format dxfId="51">
      <pivotArea field="7" type="button" dataOnly="0" labelOnly="1" outline="0" axis="axisRow" fieldPosition="0"/>
    </format>
    <format dxfId="50">
      <pivotArea dataOnly="0" labelOnly="1" fieldPosition="0">
        <references count="1">
          <reference field="7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6">
      <pivotArea outline="0" collapsedLevelsAreSubtotals="1" fieldPosition="0"/>
    </format>
    <format dxfId="45">
      <pivotArea field="7" type="button" dataOnly="0" labelOnly="1" outline="0" axis="axisRow" fieldPosition="0"/>
    </format>
    <format dxfId="44">
      <pivotArea dataOnly="0" labelOnly="1" fieldPosition="0">
        <references count="1">
          <reference field="7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3" count="0"/>
        </references>
      </pivotArea>
    </format>
    <format dxfId="41">
      <pivotArea dataOnly="0" labelOnly="1" grandCol="1" outline="0" fieldPosition="0"/>
    </format>
    <format dxfId="40">
      <pivotArea outline="0" collapsedLevelsAreSubtotals="1" fieldPosition="0"/>
    </format>
    <format dxfId="39">
      <pivotArea field="7" type="button" dataOnly="0" labelOnly="1" outline="0" axis="axisRow" fieldPosition="0"/>
    </format>
    <format dxfId="38">
      <pivotArea dataOnly="0" labelOnly="1" fieldPosition="0">
        <references count="1">
          <reference field="7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grandCol="1" outline="0" fieldPosition="0"/>
    </format>
    <format dxfId="34">
      <pivotArea outline="0" collapsedLevelsAreSubtotals="1" fieldPosition="0"/>
    </format>
    <format dxfId="33">
      <pivotArea field="7" type="button" dataOnly="0" labelOnly="1" outline="0" axis="axisRow" fieldPosition="0"/>
    </format>
    <format dxfId="32">
      <pivotArea dataOnly="0" labelOnly="1" fieldPosition="0">
        <references count="1">
          <reference field="7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Col="1" outline="0" fieldPosition="0"/>
    </format>
    <format dxfId="28">
      <pivotArea outline="0" collapsedLevelsAreSubtotals="1" fieldPosition="0"/>
    </format>
    <format dxfId="27">
      <pivotArea field="7" type="button" dataOnly="0" labelOnly="1" outline="0" axis="axisRow" fieldPosition="0"/>
    </format>
    <format dxfId="26">
      <pivotArea dataOnly="0" labelOnly="1" fieldPosition="0">
        <references count="1">
          <reference field="7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D1:H1189"/>
  <sheetViews>
    <sheetView topLeftCell="A1139" workbookViewId="0">
      <selection activeCell="E7" sqref="E7"/>
    </sheetView>
  </sheetViews>
  <sheetFormatPr defaultColWidth="9" defaultRowHeight="18" customHeight="1"/>
  <cols>
    <col min="4" max="4" width="10" style="65" customWidth="1"/>
    <col min="5" max="5" width="26.42578125" customWidth="1"/>
    <col min="6" max="6" width="10.42578125" customWidth="1"/>
    <col min="7" max="7" width="24.85546875" customWidth="1"/>
    <col min="8" max="8" width="30.140625" customWidth="1"/>
  </cols>
  <sheetData>
    <row r="1" spans="4:8" ht="18" customHeight="1">
      <c r="D1"/>
    </row>
    <row r="2" spans="4:8" ht="18" customHeight="1">
      <c r="D2"/>
    </row>
    <row r="4" spans="4:8" ht="18" customHeight="1">
      <c r="D4" s="66" t="s">
        <v>119</v>
      </c>
      <c r="E4" s="66" t="s">
        <v>120</v>
      </c>
      <c r="F4" s="66" t="s">
        <v>121</v>
      </c>
      <c r="G4" s="66" t="s">
        <v>107</v>
      </c>
      <c r="H4" s="67" t="s">
        <v>122</v>
      </c>
    </row>
    <row r="5" spans="4:8" ht="18" customHeight="1">
      <c r="D5" s="68">
        <v>53030503</v>
      </c>
      <c r="E5" s="69" t="s">
        <v>114</v>
      </c>
      <c r="F5" s="70" t="s">
        <v>5</v>
      </c>
      <c r="G5" s="70" t="s">
        <v>123</v>
      </c>
      <c r="H5" s="71" t="s">
        <v>124</v>
      </c>
    </row>
    <row r="6" spans="4:8" ht="18" customHeight="1">
      <c r="D6" s="70">
        <v>240863</v>
      </c>
      <c r="E6" s="70" t="s">
        <v>125</v>
      </c>
      <c r="F6" s="70" t="s">
        <v>5</v>
      </c>
      <c r="G6" s="70" t="s">
        <v>126</v>
      </c>
      <c r="H6" s="71" t="s">
        <v>109</v>
      </c>
    </row>
    <row r="7" spans="4:8" ht="18" customHeight="1">
      <c r="D7" s="70">
        <v>241925</v>
      </c>
      <c r="E7" s="70" t="s">
        <v>127</v>
      </c>
      <c r="F7" s="70" t="s">
        <v>5</v>
      </c>
      <c r="G7" s="70" t="s">
        <v>126</v>
      </c>
      <c r="H7" s="71" t="s">
        <v>109</v>
      </c>
    </row>
    <row r="8" spans="4:8" ht="18" customHeight="1">
      <c r="D8" s="70">
        <v>241926</v>
      </c>
      <c r="E8" s="70" t="s">
        <v>128</v>
      </c>
      <c r="F8" s="70" t="s">
        <v>5</v>
      </c>
      <c r="G8" s="70" t="s">
        <v>126</v>
      </c>
      <c r="H8" s="71" t="s">
        <v>109</v>
      </c>
    </row>
    <row r="9" spans="4:8" ht="18" customHeight="1">
      <c r="D9" s="70">
        <v>171981</v>
      </c>
      <c r="E9" s="70" t="s">
        <v>129</v>
      </c>
      <c r="F9" s="70" t="s">
        <v>130</v>
      </c>
      <c r="G9" s="70" t="s">
        <v>131</v>
      </c>
      <c r="H9" s="71" t="s">
        <v>132</v>
      </c>
    </row>
    <row r="10" spans="4:8" ht="18" customHeight="1">
      <c r="D10" s="70">
        <v>143710</v>
      </c>
      <c r="E10" s="72" t="s">
        <v>133</v>
      </c>
      <c r="F10" s="70" t="s">
        <v>2</v>
      </c>
      <c r="G10" s="70" t="s">
        <v>134</v>
      </c>
      <c r="H10" s="71" t="s">
        <v>135</v>
      </c>
    </row>
    <row r="11" spans="4:8" ht="18" customHeight="1">
      <c r="D11" s="70">
        <v>83040148</v>
      </c>
      <c r="E11" s="70" t="s">
        <v>136</v>
      </c>
      <c r="F11" s="70" t="s">
        <v>2</v>
      </c>
      <c r="G11" s="70" t="s">
        <v>84</v>
      </c>
      <c r="H11" s="71" t="s">
        <v>135</v>
      </c>
    </row>
    <row r="12" spans="4:8" ht="18" customHeight="1">
      <c r="D12" s="70">
        <v>131846</v>
      </c>
      <c r="E12" s="70" t="s">
        <v>137</v>
      </c>
      <c r="F12" s="70" t="s">
        <v>2</v>
      </c>
      <c r="G12" s="70" t="s">
        <v>84</v>
      </c>
      <c r="H12" s="71" t="s">
        <v>135</v>
      </c>
    </row>
    <row r="13" spans="4:8" ht="18" customHeight="1">
      <c r="D13" s="73">
        <v>146097</v>
      </c>
      <c r="E13" s="69" t="s">
        <v>138</v>
      </c>
      <c r="F13" s="73" t="s">
        <v>2</v>
      </c>
      <c r="G13" s="70" t="s">
        <v>131</v>
      </c>
      <c r="H13" s="71" t="s">
        <v>132</v>
      </c>
    </row>
    <row r="14" spans="4:8" ht="18" customHeight="1">
      <c r="D14" s="68">
        <v>83119910</v>
      </c>
      <c r="E14" s="69" t="s">
        <v>139</v>
      </c>
      <c r="F14" s="70" t="s">
        <v>5</v>
      </c>
      <c r="G14" s="70" t="s">
        <v>140</v>
      </c>
      <c r="H14" s="71" t="s">
        <v>141</v>
      </c>
    </row>
    <row r="15" spans="4:8" ht="18" customHeight="1">
      <c r="D15" s="74">
        <v>83064072</v>
      </c>
      <c r="E15" s="69" t="s">
        <v>142</v>
      </c>
      <c r="F15" s="70" t="s">
        <v>5</v>
      </c>
      <c r="G15" s="70" t="s">
        <v>143</v>
      </c>
      <c r="H15" s="71" t="s">
        <v>141</v>
      </c>
    </row>
    <row r="16" spans="4:8" ht="18" customHeight="1">
      <c r="D16" s="68">
        <v>83102220</v>
      </c>
      <c r="E16" s="69" t="s">
        <v>144</v>
      </c>
      <c r="F16" s="70" t="s">
        <v>5</v>
      </c>
      <c r="G16" s="70" t="s">
        <v>84</v>
      </c>
      <c r="H16" s="71" t="s">
        <v>145</v>
      </c>
    </row>
    <row r="17" spans="4:8" ht="18" customHeight="1">
      <c r="D17" s="68">
        <v>83122886</v>
      </c>
      <c r="E17" s="69" t="s">
        <v>146</v>
      </c>
      <c r="F17" s="70" t="s">
        <v>5</v>
      </c>
      <c r="G17" s="70" t="s">
        <v>84</v>
      </c>
      <c r="H17" s="71" t="s">
        <v>145</v>
      </c>
    </row>
    <row r="18" spans="4:8" ht="18" customHeight="1">
      <c r="D18" s="68">
        <v>83040027</v>
      </c>
      <c r="E18" s="75" t="s">
        <v>147</v>
      </c>
      <c r="F18" s="70" t="s">
        <v>5</v>
      </c>
      <c r="G18" s="69" t="s">
        <v>148</v>
      </c>
      <c r="H18" s="71" t="s">
        <v>145</v>
      </c>
    </row>
    <row r="19" spans="4:8" ht="18" customHeight="1">
      <c r="D19" s="68">
        <v>53020311</v>
      </c>
      <c r="E19" s="69" t="s">
        <v>109</v>
      </c>
      <c r="F19" s="70" t="s">
        <v>5</v>
      </c>
      <c r="G19" s="69" t="s">
        <v>149</v>
      </c>
      <c r="H19" s="71" t="s">
        <v>141</v>
      </c>
    </row>
    <row r="20" spans="4:8" ht="18" customHeight="1">
      <c r="D20" s="76">
        <v>83099398</v>
      </c>
      <c r="E20" s="69" t="s">
        <v>150</v>
      </c>
      <c r="F20" s="70" t="s">
        <v>5</v>
      </c>
      <c r="G20" s="70" t="s">
        <v>151</v>
      </c>
      <c r="H20" s="71" t="s">
        <v>141</v>
      </c>
    </row>
    <row r="21" spans="4:8" ht="18" customHeight="1">
      <c r="D21" s="77">
        <v>83074889</v>
      </c>
      <c r="E21" s="70" t="s">
        <v>152</v>
      </c>
      <c r="F21" s="70" t="s">
        <v>5</v>
      </c>
      <c r="G21" s="70" t="s">
        <v>84</v>
      </c>
      <c r="H21" s="71" t="s">
        <v>145</v>
      </c>
    </row>
    <row r="22" spans="4:8" ht="18" customHeight="1">
      <c r="D22" s="68">
        <v>142262</v>
      </c>
      <c r="E22" s="69" t="s">
        <v>153</v>
      </c>
      <c r="F22" s="70" t="s">
        <v>5</v>
      </c>
      <c r="G22" s="69" t="s">
        <v>154</v>
      </c>
      <c r="H22" s="71" t="s">
        <v>117</v>
      </c>
    </row>
    <row r="23" spans="4:8" ht="18" customHeight="1">
      <c r="D23" s="76">
        <v>83040093</v>
      </c>
      <c r="E23" s="69" t="s">
        <v>155</v>
      </c>
      <c r="F23" s="70" t="s">
        <v>5</v>
      </c>
      <c r="G23" s="70" t="s">
        <v>156</v>
      </c>
      <c r="H23" s="71" t="s">
        <v>145</v>
      </c>
    </row>
    <row r="24" spans="4:8" ht="18" customHeight="1">
      <c r="D24" s="76">
        <v>83040049</v>
      </c>
      <c r="E24" s="69" t="s">
        <v>157</v>
      </c>
      <c r="F24" s="70" t="s">
        <v>5</v>
      </c>
      <c r="G24" s="70" t="s">
        <v>84</v>
      </c>
      <c r="H24" s="71" t="s">
        <v>145</v>
      </c>
    </row>
    <row r="25" spans="4:8" ht="18" customHeight="1">
      <c r="D25" s="76">
        <v>145350</v>
      </c>
      <c r="E25" s="69" t="s">
        <v>158</v>
      </c>
      <c r="F25" s="70" t="s">
        <v>5</v>
      </c>
      <c r="G25" s="70" t="s">
        <v>84</v>
      </c>
      <c r="H25" s="71" t="s">
        <v>145</v>
      </c>
    </row>
    <row r="26" spans="4:8" ht="18" customHeight="1">
      <c r="D26" s="68">
        <v>145571</v>
      </c>
      <c r="E26" s="69" t="s">
        <v>159</v>
      </c>
      <c r="F26" s="70" t="s">
        <v>5</v>
      </c>
      <c r="G26" s="70" t="s">
        <v>84</v>
      </c>
      <c r="H26" s="71" t="s">
        <v>145</v>
      </c>
    </row>
    <row r="27" spans="4:8" ht="18" customHeight="1">
      <c r="D27" s="77">
        <v>83051931</v>
      </c>
      <c r="E27" s="70" t="s">
        <v>160</v>
      </c>
      <c r="F27" s="70" t="s">
        <v>5</v>
      </c>
      <c r="G27" s="70" t="s">
        <v>84</v>
      </c>
      <c r="H27" s="71" t="s">
        <v>145</v>
      </c>
    </row>
    <row r="28" spans="4:8" ht="18" customHeight="1">
      <c r="D28" s="76">
        <v>83117964</v>
      </c>
      <c r="E28" s="69" t="s">
        <v>161</v>
      </c>
      <c r="F28" s="70" t="s">
        <v>5</v>
      </c>
      <c r="G28" s="70" t="s">
        <v>84</v>
      </c>
      <c r="H28" s="71" t="s">
        <v>145</v>
      </c>
    </row>
    <row r="29" spans="4:8" ht="18" customHeight="1">
      <c r="D29" s="68">
        <v>131851</v>
      </c>
      <c r="E29" s="69" t="s">
        <v>162</v>
      </c>
      <c r="F29" s="70" t="s">
        <v>5</v>
      </c>
      <c r="G29" s="70" t="s">
        <v>84</v>
      </c>
      <c r="H29" s="71" t="s">
        <v>145</v>
      </c>
    </row>
    <row r="30" spans="4:8" ht="18" customHeight="1">
      <c r="D30" s="76">
        <v>83074619</v>
      </c>
      <c r="E30" s="69" t="s">
        <v>163</v>
      </c>
      <c r="F30" s="70" t="s">
        <v>5</v>
      </c>
      <c r="G30" s="70" t="s">
        <v>84</v>
      </c>
      <c r="H30" s="71" t="s">
        <v>145</v>
      </c>
    </row>
    <row r="31" spans="4:8" ht="18" customHeight="1">
      <c r="D31" s="78">
        <v>142247</v>
      </c>
      <c r="E31" s="69" t="s">
        <v>164</v>
      </c>
      <c r="F31" s="70" t="s">
        <v>5</v>
      </c>
      <c r="G31" s="70" t="s">
        <v>84</v>
      </c>
      <c r="H31" s="71" t="s">
        <v>145</v>
      </c>
    </row>
    <row r="32" spans="4:8" ht="18" customHeight="1">
      <c r="D32" s="68">
        <v>162712</v>
      </c>
      <c r="E32" s="69" t="s">
        <v>165</v>
      </c>
      <c r="F32" s="70" t="s">
        <v>5</v>
      </c>
      <c r="G32" s="70" t="s">
        <v>84</v>
      </c>
      <c r="H32" s="71" t="s">
        <v>145</v>
      </c>
    </row>
    <row r="33" spans="4:8" ht="18" customHeight="1">
      <c r="D33" s="68">
        <v>145529</v>
      </c>
      <c r="E33" s="69" t="s">
        <v>166</v>
      </c>
      <c r="F33" s="70" t="s">
        <v>5</v>
      </c>
      <c r="G33" s="70" t="s">
        <v>84</v>
      </c>
      <c r="H33" s="71" t="s">
        <v>145</v>
      </c>
    </row>
    <row r="34" spans="4:8" ht="18" customHeight="1">
      <c r="D34" s="68">
        <v>145323</v>
      </c>
      <c r="E34" s="69" t="s">
        <v>167</v>
      </c>
      <c r="F34" s="70" t="s">
        <v>5</v>
      </c>
      <c r="G34" s="70" t="s">
        <v>168</v>
      </c>
      <c r="H34" s="71" t="s">
        <v>150</v>
      </c>
    </row>
    <row r="35" spans="4:8" ht="18" customHeight="1">
      <c r="D35" s="68">
        <v>145574</v>
      </c>
      <c r="E35" s="69" t="s">
        <v>169</v>
      </c>
      <c r="F35" s="70" t="s">
        <v>5</v>
      </c>
      <c r="G35" s="70" t="s">
        <v>84</v>
      </c>
      <c r="H35" s="71" t="s">
        <v>145</v>
      </c>
    </row>
    <row r="36" spans="4:8" ht="18" customHeight="1">
      <c r="D36" s="68">
        <v>152474</v>
      </c>
      <c r="E36" s="69" t="s">
        <v>170</v>
      </c>
      <c r="F36" s="70" t="s">
        <v>5</v>
      </c>
      <c r="G36" s="70" t="s">
        <v>84</v>
      </c>
      <c r="H36" s="71" t="s">
        <v>145</v>
      </c>
    </row>
    <row r="37" spans="4:8" ht="18" customHeight="1">
      <c r="D37" s="74">
        <v>83122898</v>
      </c>
      <c r="E37" s="69" t="s">
        <v>171</v>
      </c>
      <c r="F37" s="70" t="s">
        <v>5</v>
      </c>
      <c r="G37" s="70" t="s">
        <v>84</v>
      </c>
      <c r="H37" s="71" t="s">
        <v>145</v>
      </c>
    </row>
    <row r="38" spans="4:8" ht="18" customHeight="1">
      <c r="D38" s="68">
        <v>83122881</v>
      </c>
      <c r="E38" s="69" t="s">
        <v>172</v>
      </c>
      <c r="F38" s="70" t="s">
        <v>5</v>
      </c>
      <c r="G38" s="70" t="s">
        <v>84</v>
      </c>
      <c r="H38" s="71" t="s">
        <v>145</v>
      </c>
    </row>
    <row r="39" spans="4:8" ht="18" customHeight="1">
      <c r="D39" s="68">
        <v>152480</v>
      </c>
      <c r="E39" s="69" t="s">
        <v>173</v>
      </c>
      <c r="F39" s="70" t="s">
        <v>5</v>
      </c>
      <c r="G39" s="70" t="s">
        <v>84</v>
      </c>
      <c r="H39" s="71" t="s">
        <v>145</v>
      </c>
    </row>
    <row r="40" spans="4:8" ht="18" customHeight="1">
      <c r="D40" s="68">
        <v>83122880</v>
      </c>
      <c r="E40" s="69" t="s">
        <v>174</v>
      </c>
      <c r="F40" s="70" t="s">
        <v>5</v>
      </c>
      <c r="G40" s="70" t="s">
        <v>84</v>
      </c>
      <c r="H40" s="71" t="s">
        <v>145</v>
      </c>
    </row>
    <row r="41" spans="4:8" ht="18" customHeight="1">
      <c r="D41" s="79">
        <v>152587</v>
      </c>
      <c r="E41" s="70" t="s">
        <v>175</v>
      </c>
      <c r="F41" s="80" t="s">
        <v>5</v>
      </c>
      <c r="G41" s="70" t="s">
        <v>131</v>
      </c>
      <c r="H41" s="71" t="s">
        <v>118</v>
      </c>
    </row>
    <row r="42" spans="4:8" ht="18" customHeight="1">
      <c r="D42" s="79">
        <v>83086469</v>
      </c>
      <c r="E42" s="70" t="s">
        <v>176</v>
      </c>
      <c r="F42" s="80" t="s">
        <v>5</v>
      </c>
      <c r="G42" s="70" t="s">
        <v>24</v>
      </c>
      <c r="H42" s="71" t="s">
        <v>118</v>
      </c>
    </row>
    <row r="43" spans="4:8" ht="18" customHeight="1">
      <c r="D43" s="79">
        <v>83075253</v>
      </c>
      <c r="E43" s="70" t="s">
        <v>177</v>
      </c>
      <c r="F43" s="80" t="s">
        <v>5</v>
      </c>
      <c r="G43" s="70" t="s">
        <v>154</v>
      </c>
      <c r="H43" s="71" t="s">
        <v>117</v>
      </c>
    </row>
    <row r="44" spans="4:8" ht="18" customHeight="1">
      <c r="D44" s="73">
        <v>152573</v>
      </c>
      <c r="E44" s="69" t="s">
        <v>178</v>
      </c>
      <c r="F44" s="73" t="s">
        <v>7</v>
      </c>
      <c r="G44" s="70" t="s">
        <v>131</v>
      </c>
      <c r="H44" s="71" t="s">
        <v>118</v>
      </c>
    </row>
    <row r="45" spans="4:8" ht="18" customHeight="1">
      <c r="D45" s="73">
        <v>154184</v>
      </c>
      <c r="E45" s="69" t="s">
        <v>179</v>
      </c>
      <c r="F45" s="73" t="s">
        <v>7</v>
      </c>
      <c r="G45" s="70" t="s">
        <v>131</v>
      </c>
      <c r="H45" s="71" t="s">
        <v>118</v>
      </c>
    </row>
    <row r="46" spans="4:8" ht="18" customHeight="1">
      <c r="D46" s="73">
        <v>134571</v>
      </c>
      <c r="E46" s="69" t="s">
        <v>180</v>
      </c>
      <c r="F46" s="73" t="s">
        <v>7</v>
      </c>
      <c r="G46" s="70" t="s">
        <v>131</v>
      </c>
      <c r="H46" s="71" t="s">
        <v>118</v>
      </c>
    </row>
    <row r="47" spans="4:8" ht="18" customHeight="1">
      <c r="D47" s="81">
        <v>83123683</v>
      </c>
      <c r="E47" s="70" t="s">
        <v>181</v>
      </c>
      <c r="F47" s="70" t="s">
        <v>8</v>
      </c>
      <c r="G47" s="70" t="s">
        <v>84</v>
      </c>
      <c r="H47" s="71" t="s">
        <v>182</v>
      </c>
    </row>
    <row r="48" spans="4:8" ht="18" customHeight="1">
      <c r="D48" s="81">
        <v>83123675</v>
      </c>
      <c r="E48" s="70" t="s">
        <v>183</v>
      </c>
      <c r="F48" s="70" t="s">
        <v>8</v>
      </c>
      <c r="G48" s="70" t="s">
        <v>84</v>
      </c>
      <c r="H48" s="71" t="s">
        <v>182</v>
      </c>
    </row>
    <row r="49" spans="4:8" ht="18" customHeight="1">
      <c r="D49" s="81">
        <v>83123713</v>
      </c>
      <c r="E49" s="70" t="s">
        <v>184</v>
      </c>
      <c r="F49" s="70" t="s">
        <v>13</v>
      </c>
      <c r="G49" s="70" t="s">
        <v>84</v>
      </c>
      <c r="H49" s="71" t="s">
        <v>182</v>
      </c>
    </row>
    <row r="50" spans="4:8" ht="18" customHeight="1">
      <c r="D50" s="70">
        <v>133797</v>
      </c>
      <c r="E50" s="70" t="s">
        <v>185</v>
      </c>
      <c r="F50" s="70" t="s">
        <v>8</v>
      </c>
      <c r="G50" s="70" t="s">
        <v>131</v>
      </c>
      <c r="H50" s="71" t="s">
        <v>132</v>
      </c>
    </row>
    <row r="51" spans="4:8" ht="18" customHeight="1">
      <c r="D51" s="70">
        <v>142493</v>
      </c>
      <c r="E51" s="70" t="s">
        <v>186</v>
      </c>
      <c r="F51" s="73" t="s">
        <v>8</v>
      </c>
      <c r="G51" s="70" t="s">
        <v>131</v>
      </c>
      <c r="H51" s="71" t="s">
        <v>132</v>
      </c>
    </row>
    <row r="52" spans="4:8" ht="18" customHeight="1">
      <c r="D52" s="73">
        <v>250049</v>
      </c>
      <c r="E52" s="69" t="s">
        <v>187</v>
      </c>
      <c r="F52" s="70" t="s">
        <v>12</v>
      </c>
      <c r="G52" s="70" t="s">
        <v>131</v>
      </c>
      <c r="H52" s="71" t="s">
        <v>132</v>
      </c>
    </row>
    <row r="53" spans="4:8" ht="18" customHeight="1">
      <c r="D53" s="82">
        <v>83086608</v>
      </c>
      <c r="E53" s="70" t="s">
        <v>116</v>
      </c>
      <c r="F53" s="70" t="s">
        <v>16</v>
      </c>
      <c r="G53" s="69" t="s">
        <v>188</v>
      </c>
      <c r="H53" s="71" t="s">
        <v>135</v>
      </c>
    </row>
    <row r="54" spans="4:8" ht="18" customHeight="1">
      <c r="D54" s="82">
        <v>83123143</v>
      </c>
      <c r="E54" s="70" t="s">
        <v>189</v>
      </c>
      <c r="F54" s="70" t="s">
        <v>16</v>
      </c>
      <c r="G54" s="70" t="s">
        <v>84</v>
      </c>
      <c r="H54" s="71" t="s">
        <v>135</v>
      </c>
    </row>
    <row r="55" spans="4:8" ht="18" customHeight="1">
      <c r="D55" s="83">
        <v>83123140</v>
      </c>
      <c r="E55" s="70" t="s">
        <v>190</v>
      </c>
      <c r="F55" s="70" t="s">
        <v>16</v>
      </c>
      <c r="G55" s="70" t="s">
        <v>84</v>
      </c>
      <c r="H55" s="71" t="s">
        <v>135</v>
      </c>
    </row>
    <row r="56" spans="4:8" ht="18" customHeight="1">
      <c r="D56" s="83">
        <v>143956</v>
      </c>
      <c r="E56" s="70" t="s">
        <v>191</v>
      </c>
      <c r="F56" s="70" t="s">
        <v>16</v>
      </c>
      <c r="G56" s="70" t="s">
        <v>84</v>
      </c>
      <c r="H56" s="71" t="s">
        <v>135</v>
      </c>
    </row>
    <row r="57" spans="4:8" ht="18" customHeight="1">
      <c r="D57" s="83">
        <v>83123145</v>
      </c>
      <c r="E57" s="70" t="s">
        <v>192</v>
      </c>
      <c r="F57" s="70" t="s">
        <v>16</v>
      </c>
      <c r="G57" s="70" t="s">
        <v>74</v>
      </c>
      <c r="H57" s="71" t="s">
        <v>135</v>
      </c>
    </row>
    <row r="58" spans="4:8" ht="18" customHeight="1">
      <c r="D58" s="82">
        <v>145147</v>
      </c>
      <c r="E58" s="70" t="s">
        <v>193</v>
      </c>
      <c r="F58" s="70" t="s">
        <v>16</v>
      </c>
      <c r="G58" s="70" t="s">
        <v>84</v>
      </c>
      <c r="H58" s="71" t="s">
        <v>135</v>
      </c>
    </row>
    <row r="59" spans="4:8" ht="18" customHeight="1">
      <c r="D59" s="84">
        <v>143964</v>
      </c>
      <c r="E59" s="70" t="s">
        <v>194</v>
      </c>
      <c r="F59" s="70" t="s">
        <v>16</v>
      </c>
      <c r="G59" s="70" t="s">
        <v>84</v>
      </c>
      <c r="H59" s="71" t="s">
        <v>135</v>
      </c>
    </row>
    <row r="60" spans="4:8" ht="18" customHeight="1">
      <c r="D60" s="85">
        <v>162510</v>
      </c>
      <c r="E60" s="70" t="s">
        <v>195</v>
      </c>
      <c r="F60" s="70" t="s">
        <v>16</v>
      </c>
      <c r="G60" s="70" t="s">
        <v>131</v>
      </c>
      <c r="H60" s="71" t="s">
        <v>132</v>
      </c>
    </row>
    <row r="61" spans="4:8" ht="18" customHeight="1">
      <c r="D61" s="73">
        <v>162489</v>
      </c>
      <c r="E61" s="69" t="s">
        <v>196</v>
      </c>
      <c r="F61" s="73" t="s">
        <v>16</v>
      </c>
      <c r="G61" s="70" t="s">
        <v>131</v>
      </c>
      <c r="H61" s="71" t="s">
        <v>132</v>
      </c>
    </row>
    <row r="62" spans="4:8" ht="18" customHeight="1">
      <c r="D62" s="73">
        <v>83117274</v>
      </c>
      <c r="E62" s="69" t="s">
        <v>197</v>
      </c>
      <c r="F62" s="73" t="s">
        <v>16</v>
      </c>
      <c r="G62" s="70" t="s">
        <v>131</v>
      </c>
      <c r="H62" s="71" t="s">
        <v>132</v>
      </c>
    </row>
    <row r="63" spans="4:8" ht="18" customHeight="1">
      <c r="D63" s="73">
        <v>83117941</v>
      </c>
      <c r="E63" s="70" t="s">
        <v>198</v>
      </c>
      <c r="F63" s="73" t="s">
        <v>17</v>
      </c>
      <c r="G63" s="70" t="s">
        <v>48</v>
      </c>
      <c r="H63" s="71" t="s">
        <v>132</v>
      </c>
    </row>
    <row r="64" spans="4:8" ht="18" customHeight="1">
      <c r="D64" s="73">
        <v>84124081</v>
      </c>
      <c r="E64" s="70" t="s">
        <v>199</v>
      </c>
      <c r="F64" s="73" t="s">
        <v>17</v>
      </c>
      <c r="G64" s="70" t="s">
        <v>131</v>
      </c>
      <c r="H64" s="71" t="s">
        <v>132</v>
      </c>
    </row>
    <row r="65" spans="4:8" ht="18" customHeight="1">
      <c r="D65" s="77">
        <v>83122942</v>
      </c>
      <c r="E65" s="70" t="s">
        <v>200</v>
      </c>
      <c r="F65" s="70" t="s">
        <v>10</v>
      </c>
      <c r="G65" s="70" t="s">
        <v>84</v>
      </c>
      <c r="H65" s="71" t="s">
        <v>182</v>
      </c>
    </row>
    <row r="66" spans="4:8" ht="18" customHeight="1">
      <c r="D66" s="68">
        <v>83086309</v>
      </c>
      <c r="E66" s="69" t="s">
        <v>201</v>
      </c>
      <c r="F66" s="70" t="s">
        <v>10</v>
      </c>
      <c r="G66" s="70" t="s">
        <v>84</v>
      </c>
      <c r="H66" s="71" t="s">
        <v>182</v>
      </c>
    </row>
    <row r="67" spans="4:8" ht="18" customHeight="1">
      <c r="D67" s="78">
        <v>83124753</v>
      </c>
      <c r="E67" s="69" t="s">
        <v>202</v>
      </c>
      <c r="F67" s="70" t="s">
        <v>10</v>
      </c>
      <c r="G67" s="70" t="s">
        <v>84</v>
      </c>
      <c r="H67" s="71" t="s">
        <v>182</v>
      </c>
    </row>
    <row r="68" spans="4:8" ht="18" customHeight="1">
      <c r="D68" s="76">
        <v>145358</v>
      </c>
      <c r="E68" s="69" t="s">
        <v>203</v>
      </c>
      <c r="F68" s="70" t="s">
        <v>10</v>
      </c>
      <c r="G68" s="70" t="s">
        <v>84</v>
      </c>
      <c r="H68" s="71" t="s">
        <v>182</v>
      </c>
    </row>
    <row r="69" spans="4:8" ht="18" customHeight="1">
      <c r="D69" s="70">
        <v>240740</v>
      </c>
      <c r="E69" s="70" t="s">
        <v>204</v>
      </c>
      <c r="F69" s="70" t="s">
        <v>5</v>
      </c>
      <c r="G69" s="70" t="s">
        <v>126</v>
      </c>
      <c r="H69" s="71" t="s">
        <v>109</v>
      </c>
    </row>
    <row r="70" spans="4:8" ht="18" customHeight="1">
      <c r="D70" s="70">
        <v>240739</v>
      </c>
      <c r="E70" s="70" t="s">
        <v>205</v>
      </c>
      <c r="F70" s="70" t="s">
        <v>5</v>
      </c>
      <c r="G70" s="70" t="s">
        <v>126</v>
      </c>
      <c r="H70" s="71" t="s">
        <v>109</v>
      </c>
    </row>
    <row r="71" spans="4:8" ht="18" customHeight="1">
      <c r="D71" s="70">
        <v>240879</v>
      </c>
      <c r="E71" s="70" t="s">
        <v>206</v>
      </c>
      <c r="F71" s="70" t="s">
        <v>5</v>
      </c>
      <c r="G71" s="70" t="s">
        <v>126</v>
      </c>
      <c r="H71" s="71" t="s">
        <v>109</v>
      </c>
    </row>
    <row r="72" spans="4:8" ht="18" customHeight="1">
      <c r="D72" s="70">
        <v>240862</v>
      </c>
      <c r="E72" s="70" t="s">
        <v>207</v>
      </c>
      <c r="F72" s="70" t="s">
        <v>5</v>
      </c>
      <c r="G72" s="70" t="s">
        <v>126</v>
      </c>
      <c r="H72" s="71" t="s">
        <v>109</v>
      </c>
    </row>
    <row r="73" spans="4:8" ht="18" customHeight="1">
      <c r="D73" s="68">
        <v>53041523</v>
      </c>
      <c r="E73" s="69" t="s">
        <v>208</v>
      </c>
      <c r="F73" s="70" t="s">
        <v>5</v>
      </c>
      <c r="G73" s="70" t="s">
        <v>126</v>
      </c>
      <c r="H73" s="71" t="s">
        <v>109</v>
      </c>
    </row>
    <row r="74" spans="4:8" ht="18" customHeight="1">
      <c r="D74" s="70">
        <v>241923</v>
      </c>
      <c r="E74" s="70" t="s">
        <v>209</v>
      </c>
      <c r="F74" s="70" t="s">
        <v>5</v>
      </c>
      <c r="G74" s="70" t="s">
        <v>126</v>
      </c>
      <c r="H74" s="71" t="s">
        <v>109</v>
      </c>
    </row>
    <row r="75" spans="4:8" ht="18" customHeight="1">
      <c r="D75" s="70">
        <v>241924</v>
      </c>
      <c r="E75" s="70" t="s">
        <v>210</v>
      </c>
      <c r="F75" s="70" t="s">
        <v>5</v>
      </c>
      <c r="G75" s="70" t="s">
        <v>126</v>
      </c>
      <c r="H75" s="71" t="s">
        <v>109</v>
      </c>
    </row>
    <row r="76" spans="4:8" ht="18" customHeight="1">
      <c r="D76" s="86">
        <v>145060</v>
      </c>
      <c r="E76" s="72" t="s">
        <v>211</v>
      </c>
      <c r="F76" s="70" t="s">
        <v>1</v>
      </c>
      <c r="G76" s="70" t="s">
        <v>212</v>
      </c>
      <c r="H76" s="71" t="s">
        <v>135</v>
      </c>
    </row>
    <row r="77" spans="4:8" ht="18" customHeight="1">
      <c r="D77" s="86">
        <v>191558</v>
      </c>
      <c r="E77" s="70" t="s">
        <v>213</v>
      </c>
      <c r="F77" s="70" t="s">
        <v>1</v>
      </c>
      <c r="G77" s="70" t="s">
        <v>84</v>
      </c>
      <c r="H77" s="71" t="s">
        <v>135</v>
      </c>
    </row>
    <row r="78" spans="4:8" ht="18" customHeight="1">
      <c r="D78" s="86">
        <v>145059</v>
      </c>
      <c r="E78" s="70" t="s">
        <v>214</v>
      </c>
      <c r="F78" s="70" t="s">
        <v>1</v>
      </c>
      <c r="G78" s="70" t="s">
        <v>84</v>
      </c>
      <c r="H78" s="71" t="s">
        <v>135</v>
      </c>
    </row>
    <row r="79" spans="4:8" ht="18" customHeight="1">
      <c r="D79" s="86">
        <v>131642</v>
      </c>
      <c r="E79" s="70" t="s">
        <v>215</v>
      </c>
      <c r="F79" s="70" t="s">
        <v>1</v>
      </c>
      <c r="G79" s="70" t="s">
        <v>84</v>
      </c>
      <c r="H79" s="71" t="s">
        <v>135</v>
      </c>
    </row>
    <row r="80" spans="4:8" ht="18" customHeight="1">
      <c r="D80" s="86">
        <v>133572</v>
      </c>
      <c r="E80" s="70" t="s">
        <v>216</v>
      </c>
      <c r="F80" s="70" t="s">
        <v>1</v>
      </c>
      <c r="G80" s="70" t="s">
        <v>131</v>
      </c>
      <c r="H80" s="71" t="s">
        <v>132</v>
      </c>
    </row>
    <row r="81" spans="4:8" ht="18" customHeight="1">
      <c r="D81" s="86">
        <v>135259</v>
      </c>
      <c r="E81" s="70" t="s">
        <v>217</v>
      </c>
      <c r="F81" s="70" t="s">
        <v>1</v>
      </c>
      <c r="G81" s="70" t="s">
        <v>131</v>
      </c>
      <c r="H81" s="71" t="s">
        <v>132</v>
      </c>
    </row>
    <row r="82" spans="4:8" ht="18" customHeight="1">
      <c r="D82" s="86">
        <v>135733</v>
      </c>
      <c r="E82" s="70" t="s">
        <v>218</v>
      </c>
      <c r="F82" s="70" t="s">
        <v>1</v>
      </c>
      <c r="G82" s="70" t="s">
        <v>131</v>
      </c>
      <c r="H82" s="71" t="s">
        <v>132</v>
      </c>
    </row>
    <row r="83" spans="4:8" ht="18" customHeight="1">
      <c r="D83" s="73">
        <v>83120957</v>
      </c>
      <c r="E83" s="69" t="s">
        <v>219</v>
      </c>
      <c r="F83" s="73" t="s">
        <v>2</v>
      </c>
      <c r="G83" s="70" t="s">
        <v>131</v>
      </c>
      <c r="H83" s="71" t="s">
        <v>132</v>
      </c>
    </row>
    <row r="84" spans="4:8" ht="18" customHeight="1">
      <c r="D84" s="73">
        <v>83119823</v>
      </c>
      <c r="E84" s="69" t="s">
        <v>220</v>
      </c>
      <c r="F84" s="73" t="s">
        <v>2</v>
      </c>
      <c r="G84" s="70" t="s">
        <v>131</v>
      </c>
      <c r="H84" s="71" t="s">
        <v>132</v>
      </c>
    </row>
    <row r="85" spans="4:8" ht="18" customHeight="1">
      <c r="D85" s="73">
        <v>131240</v>
      </c>
      <c r="E85" s="69" t="s">
        <v>221</v>
      </c>
      <c r="F85" s="73" t="s">
        <v>2</v>
      </c>
      <c r="G85" s="70" t="s">
        <v>222</v>
      </c>
      <c r="H85" s="71" t="s">
        <v>132</v>
      </c>
    </row>
    <row r="86" spans="4:8" ht="18" customHeight="1">
      <c r="D86" s="73">
        <v>142954</v>
      </c>
      <c r="E86" s="69" t="s">
        <v>223</v>
      </c>
      <c r="F86" s="73" t="s">
        <v>2</v>
      </c>
      <c r="G86" s="70" t="s">
        <v>131</v>
      </c>
      <c r="H86" s="71" t="s">
        <v>132</v>
      </c>
    </row>
    <row r="87" spans="4:8" ht="18" customHeight="1">
      <c r="D87" s="73">
        <v>145964</v>
      </c>
      <c r="E87" s="69" t="s">
        <v>224</v>
      </c>
      <c r="F87" s="73" t="s">
        <v>2</v>
      </c>
      <c r="G87" s="70" t="s">
        <v>131</v>
      </c>
      <c r="H87" s="71" t="s">
        <v>132</v>
      </c>
    </row>
    <row r="88" spans="4:8" ht="18" customHeight="1">
      <c r="D88" s="73">
        <v>145976</v>
      </c>
      <c r="E88" s="69" t="s">
        <v>225</v>
      </c>
      <c r="F88" s="73" t="s">
        <v>2</v>
      </c>
      <c r="G88" s="70" t="s">
        <v>131</v>
      </c>
      <c r="H88" s="71" t="s">
        <v>132</v>
      </c>
    </row>
    <row r="89" spans="4:8" ht="18" customHeight="1">
      <c r="D89" s="79">
        <v>160810</v>
      </c>
      <c r="E89" s="70" t="s">
        <v>226</v>
      </c>
      <c r="F89" s="79" t="s">
        <v>2</v>
      </c>
      <c r="G89" s="70" t="s">
        <v>131</v>
      </c>
      <c r="H89" s="71" t="s">
        <v>132</v>
      </c>
    </row>
    <row r="90" spans="4:8" ht="18" customHeight="1">
      <c r="D90" s="73">
        <v>146453</v>
      </c>
      <c r="E90" s="69" t="s">
        <v>227</v>
      </c>
      <c r="F90" s="73" t="s">
        <v>2</v>
      </c>
      <c r="G90" s="70" t="s">
        <v>131</v>
      </c>
      <c r="H90" s="71" t="s">
        <v>132</v>
      </c>
    </row>
    <row r="91" spans="4:8" ht="18" customHeight="1">
      <c r="D91" s="73">
        <v>146112</v>
      </c>
      <c r="E91" s="69" t="s">
        <v>228</v>
      </c>
      <c r="F91" s="73" t="s">
        <v>2</v>
      </c>
      <c r="G91" s="70" t="s">
        <v>131</v>
      </c>
      <c r="H91" s="71" t="s">
        <v>132</v>
      </c>
    </row>
    <row r="92" spans="4:8" ht="18" customHeight="1">
      <c r="D92" s="73">
        <v>160797</v>
      </c>
      <c r="E92" s="69" t="s">
        <v>229</v>
      </c>
      <c r="F92" s="73" t="s">
        <v>2</v>
      </c>
      <c r="G92" s="70" t="s">
        <v>131</v>
      </c>
      <c r="H92" s="71" t="s">
        <v>132</v>
      </c>
    </row>
    <row r="93" spans="4:8" ht="18" customHeight="1">
      <c r="D93" s="73">
        <v>153242</v>
      </c>
      <c r="E93" s="69" t="s">
        <v>230</v>
      </c>
      <c r="F93" s="73" t="s">
        <v>2</v>
      </c>
      <c r="G93" s="70" t="s">
        <v>131</v>
      </c>
      <c r="H93" s="71" t="s">
        <v>132</v>
      </c>
    </row>
    <row r="94" spans="4:8" ht="18" customHeight="1">
      <c r="D94" s="73">
        <v>160829</v>
      </c>
      <c r="E94" s="69" t="s">
        <v>231</v>
      </c>
      <c r="F94" s="73" t="s">
        <v>2</v>
      </c>
      <c r="G94" s="70" t="s">
        <v>131</v>
      </c>
      <c r="H94" s="71" t="s">
        <v>132</v>
      </c>
    </row>
    <row r="95" spans="4:8" ht="18" customHeight="1">
      <c r="D95" s="79">
        <v>173162</v>
      </c>
      <c r="E95" s="70" t="s">
        <v>232</v>
      </c>
      <c r="F95" s="79" t="s">
        <v>2</v>
      </c>
      <c r="G95" s="70" t="s">
        <v>131</v>
      </c>
      <c r="H95" s="71" t="s">
        <v>132</v>
      </c>
    </row>
    <row r="96" spans="4:8" ht="18" customHeight="1">
      <c r="D96" s="73">
        <v>145973</v>
      </c>
      <c r="E96" s="69" t="s">
        <v>233</v>
      </c>
      <c r="F96" s="73" t="s">
        <v>2</v>
      </c>
      <c r="G96" s="70" t="s">
        <v>131</v>
      </c>
      <c r="H96" s="71" t="s">
        <v>132</v>
      </c>
    </row>
    <row r="97" spans="4:8" ht="18" customHeight="1">
      <c r="D97" s="73">
        <v>155000</v>
      </c>
      <c r="E97" s="69" t="s">
        <v>234</v>
      </c>
      <c r="F97" s="73" t="s">
        <v>3</v>
      </c>
      <c r="G97" s="70" t="s">
        <v>34</v>
      </c>
      <c r="H97" s="71" t="s">
        <v>132</v>
      </c>
    </row>
    <row r="98" spans="4:8" ht="18" customHeight="1">
      <c r="D98" s="73">
        <v>155002</v>
      </c>
      <c r="E98" s="69" t="s">
        <v>235</v>
      </c>
      <c r="F98" s="73" t="s">
        <v>3</v>
      </c>
      <c r="G98" s="70" t="s">
        <v>131</v>
      </c>
      <c r="H98" s="71" t="s">
        <v>132</v>
      </c>
    </row>
    <row r="99" spans="4:8" ht="18" customHeight="1">
      <c r="D99" s="79">
        <v>173528</v>
      </c>
      <c r="E99" s="69" t="s">
        <v>236</v>
      </c>
      <c r="F99" s="73" t="s">
        <v>3</v>
      </c>
      <c r="G99" s="70" t="s">
        <v>131</v>
      </c>
      <c r="H99" s="71" t="s">
        <v>132</v>
      </c>
    </row>
    <row r="100" spans="4:8" ht="18" customHeight="1">
      <c r="D100" s="73">
        <v>144643</v>
      </c>
      <c r="E100" s="69" t="s">
        <v>237</v>
      </c>
      <c r="F100" s="73" t="s">
        <v>3</v>
      </c>
      <c r="G100" s="70" t="s">
        <v>131</v>
      </c>
      <c r="H100" s="71" t="s">
        <v>132</v>
      </c>
    </row>
    <row r="101" spans="4:8" ht="18" customHeight="1">
      <c r="D101" s="79">
        <v>173508</v>
      </c>
      <c r="E101" s="69" t="s">
        <v>238</v>
      </c>
      <c r="F101" s="73" t="s">
        <v>3</v>
      </c>
      <c r="G101" s="70" t="s">
        <v>131</v>
      </c>
      <c r="H101" s="71" t="s">
        <v>132</v>
      </c>
    </row>
    <row r="102" spans="4:8" ht="18" customHeight="1">
      <c r="D102" s="79">
        <v>173512</v>
      </c>
      <c r="E102" s="69" t="s">
        <v>239</v>
      </c>
      <c r="F102" s="73" t="s">
        <v>3</v>
      </c>
      <c r="G102" s="70" t="s">
        <v>131</v>
      </c>
      <c r="H102" s="71" t="s">
        <v>132</v>
      </c>
    </row>
    <row r="103" spans="4:8" ht="18" customHeight="1">
      <c r="D103" s="79">
        <v>183399</v>
      </c>
      <c r="E103" s="69" t="s">
        <v>240</v>
      </c>
      <c r="F103" s="73" t="s">
        <v>3</v>
      </c>
      <c r="G103" s="70" t="s">
        <v>131</v>
      </c>
      <c r="H103" s="71" t="s">
        <v>132</v>
      </c>
    </row>
    <row r="104" spans="4:8" ht="18" customHeight="1">
      <c r="D104" s="70">
        <v>83103440</v>
      </c>
      <c r="E104" s="70" t="s">
        <v>241</v>
      </c>
      <c r="F104" s="70" t="s">
        <v>4</v>
      </c>
      <c r="G104" s="70" t="s">
        <v>84</v>
      </c>
      <c r="H104" s="71" t="s">
        <v>135</v>
      </c>
    </row>
    <row r="105" spans="4:8" ht="18" customHeight="1">
      <c r="D105" s="70">
        <v>84087034</v>
      </c>
      <c r="E105" s="70" t="s">
        <v>242</v>
      </c>
      <c r="F105" s="70" t="s">
        <v>4</v>
      </c>
      <c r="G105" s="70" t="s">
        <v>84</v>
      </c>
      <c r="H105" s="71" t="s">
        <v>135</v>
      </c>
    </row>
    <row r="106" spans="4:8" ht="18" customHeight="1">
      <c r="D106" s="68">
        <v>83130108</v>
      </c>
      <c r="E106" s="69" t="s">
        <v>243</v>
      </c>
      <c r="F106" s="70" t="s">
        <v>5</v>
      </c>
      <c r="G106" s="70" t="s">
        <v>154</v>
      </c>
      <c r="H106" s="71" t="s">
        <v>117</v>
      </c>
    </row>
    <row r="107" spans="4:8" ht="18" customHeight="1">
      <c r="D107" s="68">
        <v>83075489</v>
      </c>
      <c r="E107" s="69" t="s">
        <v>244</v>
      </c>
      <c r="F107" s="70" t="s">
        <v>5</v>
      </c>
      <c r="G107" s="70" t="s">
        <v>84</v>
      </c>
      <c r="H107" s="71" t="s">
        <v>145</v>
      </c>
    </row>
    <row r="108" spans="4:8" ht="18" customHeight="1">
      <c r="D108" s="68">
        <v>145550</v>
      </c>
      <c r="E108" s="69" t="s">
        <v>245</v>
      </c>
      <c r="F108" s="70" t="s">
        <v>5</v>
      </c>
      <c r="G108" s="70" t="s">
        <v>84</v>
      </c>
      <c r="H108" s="71" t="s">
        <v>145</v>
      </c>
    </row>
    <row r="109" spans="4:8" ht="18" customHeight="1">
      <c r="D109" s="68">
        <v>83040052</v>
      </c>
      <c r="E109" s="69" t="s">
        <v>246</v>
      </c>
      <c r="F109" s="70" t="s">
        <v>5</v>
      </c>
      <c r="G109" s="70" t="s">
        <v>84</v>
      </c>
      <c r="H109" s="71" t="s">
        <v>145</v>
      </c>
    </row>
    <row r="110" spans="4:8" ht="18" customHeight="1">
      <c r="D110" s="68">
        <v>53030510</v>
      </c>
      <c r="E110" s="69" t="s">
        <v>247</v>
      </c>
      <c r="F110" s="70" t="s">
        <v>5</v>
      </c>
      <c r="G110" s="70" t="s">
        <v>84</v>
      </c>
      <c r="H110" s="71" t="s">
        <v>145</v>
      </c>
    </row>
    <row r="111" spans="4:8" ht="18" customHeight="1">
      <c r="D111" s="68">
        <v>83040043</v>
      </c>
      <c r="E111" s="69" t="s">
        <v>248</v>
      </c>
      <c r="F111" s="70" t="s">
        <v>5</v>
      </c>
      <c r="G111" s="69" t="s">
        <v>249</v>
      </c>
      <c r="H111" s="71" t="s">
        <v>141</v>
      </c>
    </row>
    <row r="112" spans="4:8" ht="18" customHeight="1">
      <c r="D112" s="68">
        <v>83040026</v>
      </c>
      <c r="E112" s="69" t="s">
        <v>250</v>
      </c>
      <c r="F112" s="70" t="s">
        <v>5</v>
      </c>
      <c r="G112" s="69" t="s">
        <v>251</v>
      </c>
      <c r="H112" s="71" t="s">
        <v>145</v>
      </c>
    </row>
    <row r="113" spans="4:8" ht="18" customHeight="1">
      <c r="D113" s="68">
        <v>83040029</v>
      </c>
      <c r="E113" s="69" t="s">
        <v>252</v>
      </c>
      <c r="F113" s="70" t="s">
        <v>5</v>
      </c>
      <c r="G113" s="69" t="s">
        <v>68</v>
      </c>
      <c r="H113" s="71" t="s">
        <v>145</v>
      </c>
    </row>
    <row r="114" spans="4:8" ht="18" customHeight="1">
      <c r="D114" s="68">
        <v>152469</v>
      </c>
      <c r="E114" s="69" t="s">
        <v>253</v>
      </c>
      <c r="F114" s="70" t="s">
        <v>5</v>
      </c>
      <c r="G114" s="69" t="s">
        <v>83</v>
      </c>
      <c r="H114" s="71" t="s">
        <v>145</v>
      </c>
    </row>
    <row r="115" spans="4:8" ht="18" customHeight="1">
      <c r="D115" s="77">
        <v>83086305</v>
      </c>
      <c r="E115" s="70" t="s">
        <v>254</v>
      </c>
      <c r="F115" s="70" t="s">
        <v>5</v>
      </c>
      <c r="G115" s="70" t="s">
        <v>84</v>
      </c>
      <c r="H115" s="71" t="s">
        <v>145</v>
      </c>
    </row>
    <row r="116" spans="4:8" ht="18" customHeight="1">
      <c r="D116" s="76">
        <v>83088479</v>
      </c>
      <c r="E116" s="69" t="s">
        <v>255</v>
      </c>
      <c r="F116" s="70" t="s">
        <v>5</v>
      </c>
      <c r="G116" s="69" t="s">
        <v>256</v>
      </c>
      <c r="H116" s="71" t="s">
        <v>145</v>
      </c>
    </row>
    <row r="117" spans="4:8" ht="18" customHeight="1">
      <c r="D117" s="76">
        <v>53031170</v>
      </c>
      <c r="E117" s="69" t="s">
        <v>257</v>
      </c>
      <c r="F117" s="70" t="s">
        <v>5</v>
      </c>
      <c r="G117" s="70" t="s">
        <v>84</v>
      </c>
      <c r="H117" s="71" t="s">
        <v>145</v>
      </c>
    </row>
    <row r="118" spans="4:8" ht="18" customHeight="1">
      <c r="D118" s="76">
        <v>53030976</v>
      </c>
      <c r="E118" s="69" t="s">
        <v>258</v>
      </c>
      <c r="F118" s="70" t="s">
        <v>5</v>
      </c>
      <c r="G118" s="70" t="s">
        <v>84</v>
      </c>
      <c r="H118" s="71" t="s">
        <v>145</v>
      </c>
    </row>
    <row r="119" spans="4:8" ht="18" customHeight="1">
      <c r="D119" s="68">
        <v>145556</v>
      </c>
      <c r="E119" s="69" t="s">
        <v>259</v>
      </c>
      <c r="F119" s="70" t="s">
        <v>5</v>
      </c>
      <c r="G119" s="70" t="s">
        <v>84</v>
      </c>
      <c r="H119" s="71" t="s">
        <v>145</v>
      </c>
    </row>
    <row r="120" spans="4:8" ht="18" customHeight="1">
      <c r="D120" s="76">
        <v>145331</v>
      </c>
      <c r="E120" s="69" t="s">
        <v>260</v>
      </c>
      <c r="F120" s="70" t="s">
        <v>5</v>
      </c>
      <c r="G120" s="70" t="s">
        <v>84</v>
      </c>
      <c r="H120" s="71" t="s">
        <v>145</v>
      </c>
    </row>
    <row r="121" spans="4:8" ht="18" customHeight="1">
      <c r="D121" s="68">
        <v>135044</v>
      </c>
      <c r="E121" s="69" t="s">
        <v>261</v>
      </c>
      <c r="F121" s="70" t="s">
        <v>5</v>
      </c>
      <c r="G121" s="70" t="s">
        <v>84</v>
      </c>
      <c r="H121" s="71" t="s">
        <v>145</v>
      </c>
    </row>
    <row r="122" spans="4:8" ht="18" customHeight="1">
      <c r="D122" s="68">
        <v>145568</v>
      </c>
      <c r="E122" s="69" t="s">
        <v>262</v>
      </c>
      <c r="F122" s="70" t="s">
        <v>5</v>
      </c>
      <c r="G122" s="70" t="s">
        <v>84</v>
      </c>
      <c r="H122" s="71" t="s">
        <v>145</v>
      </c>
    </row>
    <row r="123" spans="4:8" ht="18" customHeight="1">
      <c r="D123" s="74">
        <v>142264</v>
      </c>
      <c r="E123" s="69" t="s">
        <v>263</v>
      </c>
      <c r="F123" s="70" t="s">
        <v>5</v>
      </c>
      <c r="G123" s="70" t="s">
        <v>84</v>
      </c>
      <c r="H123" s="71" t="s">
        <v>145</v>
      </c>
    </row>
    <row r="124" spans="4:8" ht="18" customHeight="1">
      <c r="D124" s="68">
        <v>83040098</v>
      </c>
      <c r="E124" s="69" t="s">
        <v>264</v>
      </c>
      <c r="F124" s="70" t="s">
        <v>5</v>
      </c>
      <c r="G124" s="70" t="s">
        <v>84</v>
      </c>
      <c r="H124" s="71" t="s">
        <v>145</v>
      </c>
    </row>
    <row r="125" spans="4:8" ht="18" customHeight="1">
      <c r="D125" s="76">
        <v>145318</v>
      </c>
      <c r="E125" s="69" t="s">
        <v>265</v>
      </c>
      <c r="F125" s="70" t="s">
        <v>5</v>
      </c>
      <c r="G125" s="69" t="s">
        <v>82</v>
      </c>
      <c r="H125" s="71" t="s">
        <v>145</v>
      </c>
    </row>
    <row r="126" spans="4:8" ht="18" customHeight="1">
      <c r="D126" s="76">
        <v>145569</v>
      </c>
      <c r="E126" s="69" t="s">
        <v>266</v>
      </c>
      <c r="F126" s="70" t="s">
        <v>5</v>
      </c>
      <c r="G126" s="70" t="s">
        <v>84</v>
      </c>
      <c r="H126" s="71" t="s">
        <v>145</v>
      </c>
    </row>
    <row r="127" spans="4:8" ht="18" customHeight="1">
      <c r="D127" s="76">
        <v>142243</v>
      </c>
      <c r="E127" s="69" t="s">
        <v>267</v>
      </c>
      <c r="F127" s="70" t="s">
        <v>5</v>
      </c>
      <c r="G127" s="70" t="s">
        <v>84</v>
      </c>
      <c r="H127" s="71" t="s">
        <v>145</v>
      </c>
    </row>
    <row r="128" spans="4:8" ht="18" customHeight="1">
      <c r="D128" s="76">
        <v>135015</v>
      </c>
      <c r="E128" s="69" t="s">
        <v>268</v>
      </c>
      <c r="F128" s="70" t="s">
        <v>5</v>
      </c>
      <c r="G128" s="70" t="s">
        <v>84</v>
      </c>
      <c r="H128" s="71" t="s">
        <v>145</v>
      </c>
    </row>
    <row r="129" spans="4:8" ht="18" customHeight="1">
      <c r="D129" s="78">
        <v>145359</v>
      </c>
      <c r="E129" s="69" t="s">
        <v>269</v>
      </c>
      <c r="F129" s="70" t="s">
        <v>5</v>
      </c>
      <c r="G129" s="70" t="s">
        <v>84</v>
      </c>
      <c r="H129" s="71" t="s">
        <v>145</v>
      </c>
    </row>
    <row r="130" spans="4:8" ht="18" customHeight="1">
      <c r="D130" s="77">
        <v>83122888</v>
      </c>
      <c r="E130" s="87" t="s">
        <v>270</v>
      </c>
      <c r="F130" s="70" t="s">
        <v>5</v>
      </c>
      <c r="G130" s="70" t="s">
        <v>84</v>
      </c>
      <c r="H130" s="71" t="s">
        <v>145</v>
      </c>
    </row>
    <row r="131" spans="4:8" ht="18" customHeight="1">
      <c r="D131" s="76">
        <v>135047</v>
      </c>
      <c r="E131" s="69" t="s">
        <v>271</v>
      </c>
      <c r="F131" s="70" t="s">
        <v>5</v>
      </c>
      <c r="G131" s="69" t="s">
        <v>81</v>
      </c>
      <c r="H131" s="71" t="s">
        <v>145</v>
      </c>
    </row>
    <row r="132" spans="4:8" ht="18" customHeight="1">
      <c r="D132" s="76">
        <v>83122944</v>
      </c>
      <c r="E132" s="69" t="s">
        <v>272</v>
      </c>
      <c r="F132" s="70" t="s">
        <v>5</v>
      </c>
      <c r="G132" s="70" t="s">
        <v>84</v>
      </c>
      <c r="H132" s="71" t="s">
        <v>145</v>
      </c>
    </row>
    <row r="133" spans="4:8" ht="18" customHeight="1">
      <c r="D133" s="77">
        <v>83040239</v>
      </c>
      <c r="E133" s="70" t="s">
        <v>273</v>
      </c>
      <c r="F133" s="70" t="s">
        <v>5</v>
      </c>
      <c r="G133" s="70" t="s">
        <v>84</v>
      </c>
      <c r="H133" s="71" t="s">
        <v>145</v>
      </c>
    </row>
    <row r="134" spans="4:8" ht="18" customHeight="1">
      <c r="D134" s="74">
        <v>83122902</v>
      </c>
      <c r="E134" s="69" t="s">
        <v>274</v>
      </c>
      <c r="F134" s="70" t="s">
        <v>5</v>
      </c>
      <c r="G134" s="69" t="s">
        <v>275</v>
      </c>
      <c r="H134" s="71" t="s">
        <v>145</v>
      </c>
    </row>
    <row r="135" spans="4:8" ht="18" customHeight="1">
      <c r="D135" s="76">
        <v>145346</v>
      </c>
      <c r="E135" s="69" t="s">
        <v>276</v>
      </c>
      <c r="F135" s="70" t="s">
        <v>5</v>
      </c>
      <c r="G135" s="70" t="s">
        <v>84</v>
      </c>
      <c r="H135" s="71" t="s">
        <v>145</v>
      </c>
    </row>
    <row r="136" spans="4:8" ht="18" customHeight="1">
      <c r="D136" s="68">
        <v>200371</v>
      </c>
      <c r="E136" s="69" t="s">
        <v>277</v>
      </c>
      <c r="F136" s="70" t="s">
        <v>5</v>
      </c>
      <c r="G136" s="70" t="s">
        <v>84</v>
      </c>
      <c r="H136" s="71" t="s">
        <v>145</v>
      </c>
    </row>
    <row r="137" spans="4:8" ht="18" customHeight="1">
      <c r="D137" s="68">
        <v>145540</v>
      </c>
      <c r="E137" s="69" t="s">
        <v>278</v>
      </c>
      <c r="F137" s="70" t="s">
        <v>5</v>
      </c>
      <c r="G137" s="70" t="s">
        <v>84</v>
      </c>
      <c r="H137" s="71" t="s">
        <v>145</v>
      </c>
    </row>
    <row r="138" spans="4:8" ht="18" customHeight="1">
      <c r="D138" s="76">
        <v>135040</v>
      </c>
      <c r="E138" s="69" t="s">
        <v>279</v>
      </c>
      <c r="F138" s="70" t="s">
        <v>5</v>
      </c>
      <c r="G138" s="70" t="s">
        <v>280</v>
      </c>
      <c r="H138" s="71" t="s">
        <v>150</v>
      </c>
    </row>
    <row r="139" spans="4:8" ht="18" customHeight="1">
      <c r="D139" s="76">
        <v>145560</v>
      </c>
      <c r="E139" s="69" t="s">
        <v>281</v>
      </c>
      <c r="F139" s="70" t="s">
        <v>5</v>
      </c>
      <c r="G139" s="70" t="s">
        <v>84</v>
      </c>
      <c r="H139" s="71" t="s">
        <v>145</v>
      </c>
    </row>
    <row r="140" spans="4:8" ht="18" customHeight="1">
      <c r="D140" s="76">
        <v>83122104</v>
      </c>
      <c r="E140" s="69" t="s">
        <v>282</v>
      </c>
      <c r="F140" s="70" t="s">
        <v>5</v>
      </c>
      <c r="G140" s="70" t="s">
        <v>84</v>
      </c>
      <c r="H140" s="71" t="s">
        <v>145</v>
      </c>
    </row>
    <row r="141" spans="4:8" ht="18" customHeight="1">
      <c r="D141" s="76">
        <v>83123906</v>
      </c>
      <c r="E141" s="69" t="s">
        <v>283</v>
      </c>
      <c r="F141" s="70" t="s">
        <v>5</v>
      </c>
      <c r="G141" s="70" t="s">
        <v>84</v>
      </c>
      <c r="H141" s="71" t="s">
        <v>145</v>
      </c>
    </row>
    <row r="142" spans="4:8" ht="18" customHeight="1">
      <c r="D142" s="68">
        <v>152476</v>
      </c>
      <c r="E142" s="69" t="s">
        <v>284</v>
      </c>
      <c r="F142" s="70" t="s">
        <v>5</v>
      </c>
      <c r="G142" s="70" t="s">
        <v>84</v>
      </c>
      <c r="H142" s="71" t="s">
        <v>145</v>
      </c>
    </row>
    <row r="143" spans="4:8" ht="18" customHeight="1">
      <c r="D143" s="78">
        <v>83122893</v>
      </c>
      <c r="E143" s="69" t="s">
        <v>285</v>
      </c>
      <c r="F143" s="70" t="s">
        <v>5</v>
      </c>
      <c r="G143" s="70" t="s">
        <v>84</v>
      </c>
      <c r="H143" s="71" t="s">
        <v>145</v>
      </c>
    </row>
    <row r="144" spans="4:8" ht="18" customHeight="1">
      <c r="D144" s="78">
        <v>133429</v>
      </c>
      <c r="E144" s="69" t="s">
        <v>286</v>
      </c>
      <c r="F144" s="70" t="s">
        <v>5</v>
      </c>
      <c r="G144" s="70" t="s">
        <v>84</v>
      </c>
      <c r="H144" s="71" t="s">
        <v>145</v>
      </c>
    </row>
    <row r="145" spans="4:8" ht="18" customHeight="1">
      <c r="D145" s="68">
        <v>152473</v>
      </c>
      <c r="E145" s="69" t="s">
        <v>287</v>
      </c>
      <c r="F145" s="70" t="s">
        <v>5</v>
      </c>
      <c r="G145" s="70" t="s">
        <v>84</v>
      </c>
      <c r="H145" s="71" t="s">
        <v>145</v>
      </c>
    </row>
    <row r="146" spans="4:8" ht="18" customHeight="1">
      <c r="D146" s="68">
        <v>135031</v>
      </c>
      <c r="E146" s="69" t="s">
        <v>288</v>
      </c>
      <c r="F146" s="70" t="s">
        <v>5</v>
      </c>
      <c r="G146" s="70" t="s">
        <v>84</v>
      </c>
      <c r="H146" s="71" t="s">
        <v>145</v>
      </c>
    </row>
    <row r="147" spans="4:8" ht="18" customHeight="1">
      <c r="D147" s="68">
        <v>83040096</v>
      </c>
      <c r="E147" s="69" t="s">
        <v>289</v>
      </c>
      <c r="F147" s="70" t="s">
        <v>5</v>
      </c>
      <c r="G147" s="70" t="s">
        <v>84</v>
      </c>
      <c r="H147" s="71" t="s">
        <v>145</v>
      </c>
    </row>
    <row r="148" spans="4:8" ht="18" customHeight="1">
      <c r="D148" s="68">
        <v>83102183</v>
      </c>
      <c r="E148" s="69" t="s">
        <v>290</v>
      </c>
      <c r="F148" s="70" t="s">
        <v>5</v>
      </c>
      <c r="G148" s="70" t="s">
        <v>84</v>
      </c>
      <c r="H148" s="71" t="s">
        <v>145</v>
      </c>
    </row>
    <row r="149" spans="4:8" ht="18" customHeight="1">
      <c r="D149" s="78">
        <v>145575</v>
      </c>
      <c r="E149" s="69" t="s">
        <v>291</v>
      </c>
      <c r="F149" s="70" t="s">
        <v>5</v>
      </c>
      <c r="G149" s="70" t="s">
        <v>84</v>
      </c>
      <c r="H149" s="71" t="s">
        <v>145</v>
      </c>
    </row>
    <row r="150" spans="4:8" ht="18" customHeight="1">
      <c r="D150" s="78">
        <v>200386</v>
      </c>
      <c r="E150" s="69" t="s">
        <v>292</v>
      </c>
      <c r="F150" s="70" t="s">
        <v>5</v>
      </c>
      <c r="G150" s="70" t="s">
        <v>84</v>
      </c>
      <c r="H150" s="71" t="s">
        <v>145</v>
      </c>
    </row>
    <row r="151" spans="4:8" ht="18" customHeight="1">
      <c r="D151" s="68">
        <v>132166</v>
      </c>
      <c r="E151" s="69" t="s">
        <v>293</v>
      </c>
      <c r="F151" s="70" t="s">
        <v>5</v>
      </c>
      <c r="G151" s="70" t="s">
        <v>84</v>
      </c>
      <c r="H151" s="71" t="s">
        <v>145</v>
      </c>
    </row>
    <row r="152" spans="4:8" ht="18" customHeight="1">
      <c r="D152" s="68">
        <v>152477</v>
      </c>
      <c r="E152" s="69" t="s">
        <v>294</v>
      </c>
      <c r="F152" s="70" t="s">
        <v>5</v>
      </c>
      <c r="G152" s="70" t="s">
        <v>84</v>
      </c>
      <c r="H152" s="71" t="s">
        <v>145</v>
      </c>
    </row>
    <row r="153" spans="4:8" ht="18" customHeight="1">
      <c r="D153" s="68">
        <v>83086308</v>
      </c>
      <c r="E153" s="69" t="s">
        <v>295</v>
      </c>
      <c r="F153" s="70" t="s">
        <v>5</v>
      </c>
      <c r="G153" s="70" t="s">
        <v>84</v>
      </c>
      <c r="H153" s="71" t="s">
        <v>145</v>
      </c>
    </row>
    <row r="154" spans="4:8" ht="18" customHeight="1">
      <c r="D154" s="68">
        <v>83122885</v>
      </c>
      <c r="E154" s="69" t="s">
        <v>296</v>
      </c>
      <c r="F154" s="70" t="s">
        <v>5</v>
      </c>
      <c r="G154" s="70" t="s">
        <v>84</v>
      </c>
      <c r="H154" s="71" t="s">
        <v>145</v>
      </c>
    </row>
    <row r="155" spans="4:8" ht="18" customHeight="1">
      <c r="D155" s="88">
        <v>83102209</v>
      </c>
      <c r="E155" s="70" t="s">
        <v>297</v>
      </c>
      <c r="F155" s="70" t="s">
        <v>5</v>
      </c>
      <c r="G155" s="70" t="s">
        <v>154</v>
      </c>
      <c r="H155" s="71" t="s">
        <v>117</v>
      </c>
    </row>
    <row r="156" spans="4:8" ht="18" customHeight="1">
      <c r="D156" s="76">
        <v>83040047</v>
      </c>
      <c r="E156" s="69" t="s">
        <v>298</v>
      </c>
      <c r="F156" s="70" t="s">
        <v>5</v>
      </c>
      <c r="G156" s="70" t="s">
        <v>56</v>
      </c>
      <c r="H156" s="71" t="s">
        <v>145</v>
      </c>
    </row>
    <row r="157" spans="4:8" ht="18" customHeight="1">
      <c r="D157" s="76">
        <v>83117955</v>
      </c>
      <c r="E157" s="69" t="s">
        <v>299</v>
      </c>
      <c r="F157" s="70" t="s">
        <v>5</v>
      </c>
      <c r="G157" s="70" t="s">
        <v>84</v>
      </c>
      <c r="H157" s="71" t="s">
        <v>145</v>
      </c>
    </row>
    <row r="158" spans="4:8" ht="18" customHeight="1">
      <c r="D158" s="68">
        <v>145555</v>
      </c>
      <c r="E158" s="69" t="s">
        <v>300</v>
      </c>
      <c r="F158" s="70" t="s">
        <v>5</v>
      </c>
      <c r="G158" s="70" t="s">
        <v>84</v>
      </c>
      <c r="H158" s="71" t="s">
        <v>145</v>
      </c>
    </row>
    <row r="159" spans="4:8" ht="18" customHeight="1">
      <c r="D159" s="74">
        <v>200378</v>
      </c>
      <c r="E159" s="69" t="s">
        <v>301</v>
      </c>
      <c r="F159" s="70" t="s">
        <v>5</v>
      </c>
      <c r="G159" s="70" t="s">
        <v>84</v>
      </c>
      <c r="H159" s="71" t="s">
        <v>145</v>
      </c>
    </row>
    <row r="160" spans="4:8" ht="18" customHeight="1">
      <c r="D160" s="68">
        <v>131847</v>
      </c>
      <c r="E160" s="69" t="s">
        <v>302</v>
      </c>
      <c r="F160" s="70" t="s">
        <v>5</v>
      </c>
      <c r="G160" s="70" t="s">
        <v>84</v>
      </c>
      <c r="H160" s="71" t="s">
        <v>145</v>
      </c>
    </row>
    <row r="161" spans="4:8" ht="18" customHeight="1">
      <c r="D161" s="77">
        <v>145354</v>
      </c>
      <c r="E161" s="70" t="s">
        <v>303</v>
      </c>
      <c r="F161" s="70" t="s">
        <v>5</v>
      </c>
      <c r="G161" s="70" t="s">
        <v>84</v>
      </c>
      <c r="H161" s="71" t="s">
        <v>145</v>
      </c>
    </row>
    <row r="162" spans="4:8" ht="18" customHeight="1">
      <c r="D162" s="76">
        <v>145330</v>
      </c>
      <c r="E162" s="69" t="s">
        <v>304</v>
      </c>
      <c r="F162" s="70" t="s">
        <v>5</v>
      </c>
      <c r="G162" s="70" t="s">
        <v>305</v>
      </c>
      <c r="H162" s="71" t="s">
        <v>150</v>
      </c>
    </row>
    <row r="163" spans="4:8" ht="18" customHeight="1">
      <c r="D163" s="76">
        <v>131849</v>
      </c>
      <c r="E163" s="69" t="s">
        <v>306</v>
      </c>
      <c r="F163" s="70" t="s">
        <v>5</v>
      </c>
      <c r="G163" s="70" t="s">
        <v>84</v>
      </c>
      <c r="H163" s="71" t="s">
        <v>145</v>
      </c>
    </row>
    <row r="164" spans="4:8" ht="18" customHeight="1">
      <c r="D164" s="76">
        <v>83122892</v>
      </c>
      <c r="E164" s="69" t="s">
        <v>307</v>
      </c>
      <c r="F164" s="70" t="s">
        <v>5</v>
      </c>
      <c r="G164" s="70" t="s">
        <v>84</v>
      </c>
      <c r="H164" s="71" t="s">
        <v>145</v>
      </c>
    </row>
    <row r="165" spans="4:8" ht="18" customHeight="1">
      <c r="D165" s="76">
        <v>83040085</v>
      </c>
      <c r="E165" s="69" t="s">
        <v>308</v>
      </c>
      <c r="F165" s="70" t="s">
        <v>5</v>
      </c>
      <c r="G165" s="70" t="s">
        <v>84</v>
      </c>
      <c r="H165" s="71" t="s">
        <v>145</v>
      </c>
    </row>
    <row r="166" spans="4:8" ht="18" customHeight="1">
      <c r="D166" s="74">
        <v>145542</v>
      </c>
      <c r="E166" s="69" t="s">
        <v>309</v>
      </c>
      <c r="F166" s="70" t="s">
        <v>5</v>
      </c>
      <c r="G166" s="70" t="s">
        <v>84</v>
      </c>
      <c r="H166" s="71" t="s">
        <v>145</v>
      </c>
    </row>
    <row r="167" spans="4:8" ht="18" customHeight="1">
      <c r="D167" s="76">
        <v>135048</v>
      </c>
      <c r="E167" s="69" t="s">
        <v>310</v>
      </c>
      <c r="F167" s="70" t="s">
        <v>5</v>
      </c>
      <c r="G167" s="70" t="s">
        <v>84</v>
      </c>
      <c r="H167" s="71" t="s">
        <v>145</v>
      </c>
    </row>
    <row r="168" spans="4:8" ht="18" customHeight="1">
      <c r="D168" s="76">
        <v>135062</v>
      </c>
      <c r="E168" s="69" t="s">
        <v>311</v>
      </c>
      <c r="F168" s="70" t="s">
        <v>5</v>
      </c>
      <c r="G168" s="70" t="s">
        <v>84</v>
      </c>
      <c r="H168" s="71" t="s">
        <v>145</v>
      </c>
    </row>
    <row r="169" spans="4:8" ht="18" customHeight="1">
      <c r="D169" s="68">
        <v>83103414</v>
      </c>
      <c r="E169" s="69" t="s">
        <v>312</v>
      </c>
      <c r="F169" s="70" t="s">
        <v>5</v>
      </c>
      <c r="G169" s="70" t="s">
        <v>84</v>
      </c>
      <c r="H169" s="71" t="s">
        <v>145</v>
      </c>
    </row>
    <row r="170" spans="4:8" ht="18" customHeight="1">
      <c r="D170" s="68">
        <v>83123908</v>
      </c>
      <c r="E170" s="69" t="s">
        <v>313</v>
      </c>
      <c r="F170" s="70" t="s">
        <v>5</v>
      </c>
      <c r="G170" s="70" t="s">
        <v>84</v>
      </c>
      <c r="H170" s="71" t="s">
        <v>145</v>
      </c>
    </row>
    <row r="171" spans="4:8" ht="18" customHeight="1">
      <c r="D171" s="74">
        <v>135045</v>
      </c>
      <c r="E171" s="69" t="s">
        <v>314</v>
      </c>
      <c r="F171" s="70" t="s">
        <v>5</v>
      </c>
      <c r="G171" s="70" t="s">
        <v>84</v>
      </c>
      <c r="H171" s="71" t="s">
        <v>145</v>
      </c>
    </row>
    <row r="172" spans="4:8" ht="18" customHeight="1">
      <c r="D172" s="74">
        <v>145328</v>
      </c>
      <c r="E172" s="69" t="s">
        <v>315</v>
      </c>
      <c r="F172" s="70" t="s">
        <v>5</v>
      </c>
      <c r="G172" s="70" t="s">
        <v>84</v>
      </c>
      <c r="H172" s="71" t="s">
        <v>145</v>
      </c>
    </row>
    <row r="173" spans="4:8" ht="18" customHeight="1">
      <c r="D173" s="68">
        <v>145313</v>
      </c>
      <c r="E173" s="69" t="s">
        <v>316</v>
      </c>
      <c r="F173" s="70" t="s">
        <v>5</v>
      </c>
      <c r="G173" s="70" t="s">
        <v>84</v>
      </c>
      <c r="H173" s="71" t="s">
        <v>145</v>
      </c>
    </row>
    <row r="174" spans="4:8" ht="18" customHeight="1">
      <c r="D174" s="68">
        <v>152450</v>
      </c>
      <c r="E174" s="69" t="s">
        <v>317</v>
      </c>
      <c r="F174" s="70" t="s">
        <v>5</v>
      </c>
      <c r="G174" s="70" t="s">
        <v>84</v>
      </c>
      <c r="H174" s="71" t="s">
        <v>145</v>
      </c>
    </row>
    <row r="175" spans="4:8" ht="18" customHeight="1">
      <c r="D175" s="78">
        <v>142271</v>
      </c>
      <c r="E175" s="69" t="s">
        <v>318</v>
      </c>
      <c r="F175" s="70" t="s">
        <v>5</v>
      </c>
      <c r="G175" s="70" t="s">
        <v>84</v>
      </c>
      <c r="H175" s="71" t="s">
        <v>145</v>
      </c>
    </row>
    <row r="176" spans="4:8" ht="18" customHeight="1">
      <c r="D176" s="74">
        <v>83124744</v>
      </c>
      <c r="E176" s="69" t="s">
        <v>319</v>
      </c>
      <c r="F176" s="70" t="s">
        <v>5</v>
      </c>
      <c r="G176" s="70" t="s">
        <v>84</v>
      </c>
      <c r="H176" s="71" t="s">
        <v>145</v>
      </c>
    </row>
    <row r="177" spans="4:8" ht="18" customHeight="1">
      <c r="D177" s="68">
        <v>152483</v>
      </c>
      <c r="E177" s="69" t="s">
        <v>320</v>
      </c>
      <c r="F177" s="70" t="s">
        <v>5</v>
      </c>
      <c r="G177" s="70" t="s">
        <v>84</v>
      </c>
      <c r="H177" s="71" t="s">
        <v>145</v>
      </c>
    </row>
    <row r="178" spans="4:8" ht="18" customHeight="1">
      <c r="D178" s="68">
        <v>135030</v>
      </c>
      <c r="E178" s="69" t="s">
        <v>321</v>
      </c>
      <c r="F178" s="70" t="s">
        <v>5</v>
      </c>
      <c r="G178" s="70" t="s">
        <v>84</v>
      </c>
      <c r="H178" s="71" t="s">
        <v>145</v>
      </c>
    </row>
    <row r="179" spans="4:8" ht="18" customHeight="1">
      <c r="D179" s="68">
        <v>142253</v>
      </c>
      <c r="E179" s="69" t="s">
        <v>322</v>
      </c>
      <c r="F179" s="70" t="s">
        <v>5</v>
      </c>
      <c r="G179" s="70" t="s">
        <v>84</v>
      </c>
      <c r="H179" s="71" t="s">
        <v>145</v>
      </c>
    </row>
    <row r="180" spans="4:8" ht="18" customHeight="1">
      <c r="D180" s="68">
        <v>162709</v>
      </c>
      <c r="E180" s="69" t="s">
        <v>323</v>
      </c>
      <c r="F180" s="70" t="s">
        <v>5</v>
      </c>
      <c r="G180" s="70" t="s">
        <v>84</v>
      </c>
      <c r="H180" s="71" t="s">
        <v>145</v>
      </c>
    </row>
    <row r="181" spans="4:8" ht="18" customHeight="1">
      <c r="D181" s="74">
        <v>200377</v>
      </c>
      <c r="E181" s="69" t="s">
        <v>324</v>
      </c>
      <c r="F181" s="70" t="s">
        <v>5</v>
      </c>
      <c r="G181" s="70" t="s">
        <v>84</v>
      </c>
      <c r="H181" s="71" t="s">
        <v>145</v>
      </c>
    </row>
    <row r="182" spans="4:8" ht="18" customHeight="1">
      <c r="D182" s="68">
        <v>135046</v>
      </c>
      <c r="E182" s="69" t="s">
        <v>325</v>
      </c>
      <c r="F182" s="70" t="s">
        <v>5</v>
      </c>
      <c r="G182" s="70" t="s">
        <v>84</v>
      </c>
      <c r="H182" s="71" t="s">
        <v>145</v>
      </c>
    </row>
    <row r="183" spans="4:8" ht="18" customHeight="1">
      <c r="D183" s="68">
        <v>142274</v>
      </c>
      <c r="E183" s="69" t="s">
        <v>326</v>
      </c>
      <c r="F183" s="70" t="s">
        <v>5</v>
      </c>
      <c r="G183" s="69" t="s">
        <v>103</v>
      </c>
      <c r="H183" s="71" t="s">
        <v>145</v>
      </c>
    </row>
    <row r="184" spans="4:8" ht="18" customHeight="1">
      <c r="D184" s="76">
        <v>145334</v>
      </c>
      <c r="E184" s="69" t="s">
        <v>327</v>
      </c>
      <c r="F184" s="70" t="s">
        <v>5</v>
      </c>
      <c r="G184" s="70" t="s">
        <v>328</v>
      </c>
      <c r="H184" s="71" t="s">
        <v>150</v>
      </c>
    </row>
    <row r="185" spans="4:8" ht="18" customHeight="1">
      <c r="D185" s="68">
        <v>152475</v>
      </c>
      <c r="E185" s="69" t="s">
        <v>329</v>
      </c>
      <c r="F185" s="70" t="s">
        <v>5</v>
      </c>
      <c r="G185" s="70" t="s">
        <v>154</v>
      </c>
      <c r="H185" s="71" t="s">
        <v>117</v>
      </c>
    </row>
    <row r="186" spans="4:8" ht="18" customHeight="1">
      <c r="D186" s="68">
        <v>145572</v>
      </c>
      <c r="E186" s="69" t="s">
        <v>330</v>
      </c>
      <c r="F186" s="70" t="s">
        <v>5</v>
      </c>
      <c r="G186" s="70" t="s">
        <v>84</v>
      </c>
      <c r="H186" s="71" t="s">
        <v>145</v>
      </c>
    </row>
    <row r="187" spans="4:8" ht="18" customHeight="1">
      <c r="D187" s="68">
        <v>83123907</v>
      </c>
      <c r="E187" s="69" t="s">
        <v>331</v>
      </c>
      <c r="F187" s="70" t="s">
        <v>5</v>
      </c>
      <c r="G187" s="70" t="s">
        <v>84</v>
      </c>
      <c r="H187" s="71" t="s">
        <v>145</v>
      </c>
    </row>
    <row r="188" spans="4:8" ht="18" customHeight="1">
      <c r="D188" s="68">
        <v>53030972</v>
      </c>
      <c r="E188" s="69" t="s">
        <v>332</v>
      </c>
      <c r="F188" s="70" t="s">
        <v>5</v>
      </c>
      <c r="G188" s="69" t="s">
        <v>333</v>
      </c>
      <c r="H188" s="71" t="s">
        <v>334</v>
      </c>
    </row>
    <row r="189" spans="4:8" ht="18" customHeight="1">
      <c r="D189" s="68">
        <v>145340</v>
      </c>
      <c r="E189" s="69" t="s">
        <v>113</v>
      </c>
      <c r="F189" s="70" t="s">
        <v>5</v>
      </c>
      <c r="G189" s="69" t="s">
        <v>335</v>
      </c>
      <c r="H189" s="71" t="s">
        <v>141</v>
      </c>
    </row>
    <row r="190" spans="4:8" ht="18" customHeight="1">
      <c r="D190" s="77">
        <v>83123905</v>
      </c>
      <c r="E190" s="70" t="s">
        <v>336</v>
      </c>
      <c r="F190" s="70" t="s">
        <v>5</v>
      </c>
      <c r="G190" s="69" t="s">
        <v>333</v>
      </c>
      <c r="H190" s="71" t="s">
        <v>334</v>
      </c>
    </row>
    <row r="191" spans="4:8" ht="18" customHeight="1">
      <c r="D191" s="77">
        <v>135016</v>
      </c>
      <c r="E191" s="70" t="s">
        <v>337</v>
      </c>
      <c r="F191" s="70" t="s">
        <v>5</v>
      </c>
      <c r="G191" s="69" t="s">
        <v>333</v>
      </c>
      <c r="H191" s="71" t="s">
        <v>334</v>
      </c>
    </row>
    <row r="192" spans="4:8" ht="18" customHeight="1">
      <c r="D192" s="77">
        <v>131844</v>
      </c>
      <c r="E192" s="70" t="s">
        <v>338</v>
      </c>
      <c r="F192" s="70" t="s">
        <v>5</v>
      </c>
      <c r="G192" s="69" t="s">
        <v>333</v>
      </c>
      <c r="H192" s="71" t="s">
        <v>334</v>
      </c>
    </row>
    <row r="193" spans="4:8" ht="18" customHeight="1">
      <c r="D193" s="77">
        <v>83123903</v>
      </c>
      <c r="E193" s="70" t="s">
        <v>339</v>
      </c>
      <c r="F193" s="70" t="s">
        <v>5</v>
      </c>
      <c r="G193" s="69" t="s">
        <v>333</v>
      </c>
      <c r="H193" s="71" t="s">
        <v>334</v>
      </c>
    </row>
    <row r="194" spans="4:8" ht="18" customHeight="1">
      <c r="D194" s="77">
        <v>145524</v>
      </c>
      <c r="E194" s="70" t="s">
        <v>340</v>
      </c>
      <c r="F194" s="70" t="s">
        <v>5</v>
      </c>
      <c r="G194" s="69" t="s">
        <v>333</v>
      </c>
      <c r="H194" s="71" t="s">
        <v>334</v>
      </c>
    </row>
    <row r="195" spans="4:8" ht="18" customHeight="1">
      <c r="D195" s="77">
        <v>83123901</v>
      </c>
      <c r="E195" s="70" t="s">
        <v>341</v>
      </c>
      <c r="F195" s="70" t="s">
        <v>5</v>
      </c>
      <c r="G195" s="69" t="s">
        <v>333</v>
      </c>
      <c r="H195" s="71" t="s">
        <v>334</v>
      </c>
    </row>
    <row r="196" spans="4:8" ht="18" customHeight="1">
      <c r="D196" s="77">
        <v>145526</v>
      </c>
      <c r="E196" s="70" t="s">
        <v>342</v>
      </c>
      <c r="F196" s="70" t="s">
        <v>5</v>
      </c>
      <c r="G196" s="69" t="s">
        <v>333</v>
      </c>
      <c r="H196" s="71" t="s">
        <v>334</v>
      </c>
    </row>
    <row r="197" spans="4:8" ht="18" customHeight="1">
      <c r="D197" s="77">
        <v>53031290</v>
      </c>
      <c r="E197" s="70" t="s">
        <v>343</v>
      </c>
      <c r="F197" s="70" t="s">
        <v>5</v>
      </c>
      <c r="G197" s="69" t="s">
        <v>333</v>
      </c>
      <c r="H197" s="71" t="s">
        <v>334</v>
      </c>
    </row>
    <row r="198" spans="4:8" ht="18" customHeight="1">
      <c r="D198" s="77">
        <v>53041688</v>
      </c>
      <c r="E198" s="70" t="s">
        <v>344</v>
      </c>
      <c r="F198" s="70" t="s">
        <v>5</v>
      </c>
      <c r="G198" s="69" t="s">
        <v>333</v>
      </c>
      <c r="H198" s="71" t="s">
        <v>334</v>
      </c>
    </row>
    <row r="199" spans="4:8" ht="18" customHeight="1">
      <c r="D199" s="77">
        <v>135028</v>
      </c>
      <c r="E199" s="70" t="s">
        <v>345</v>
      </c>
      <c r="F199" s="70" t="s">
        <v>5</v>
      </c>
      <c r="G199" s="69" t="s">
        <v>333</v>
      </c>
      <c r="H199" s="71" t="s">
        <v>334</v>
      </c>
    </row>
    <row r="200" spans="4:8" ht="18" customHeight="1">
      <c r="D200" s="77">
        <v>131857</v>
      </c>
      <c r="E200" s="70" t="s">
        <v>346</v>
      </c>
      <c r="F200" s="70" t="s">
        <v>5</v>
      </c>
      <c r="G200" s="69" t="s">
        <v>333</v>
      </c>
      <c r="H200" s="71" t="s">
        <v>334</v>
      </c>
    </row>
    <row r="201" spans="4:8" ht="18" customHeight="1">
      <c r="D201" s="77">
        <v>84122960</v>
      </c>
      <c r="E201" s="70" t="s">
        <v>347</v>
      </c>
      <c r="F201" s="70" t="s">
        <v>5</v>
      </c>
      <c r="G201" s="70" t="s">
        <v>154</v>
      </c>
      <c r="H201" s="71" t="s">
        <v>117</v>
      </c>
    </row>
    <row r="202" spans="4:8" ht="18" customHeight="1">
      <c r="D202" s="77">
        <v>83040044</v>
      </c>
      <c r="E202" s="70" t="s">
        <v>348</v>
      </c>
      <c r="F202" s="70" t="s">
        <v>5</v>
      </c>
      <c r="G202" s="70" t="s">
        <v>31</v>
      </c>
      <c r="H202" s="71" t="s">
        <v>118</v>
      </c>
    </row>
    <row r="203" spans="4:8" ht="18" customHeight="1">
      <c r="D203" s="77">
        <v>83075406</v>
      </c>
      <c r="E203" s="70" t="s">
        <v>349</v>
      </c>
      <c r="F203" s="70" t="s">
        <v>5</v>
      </c>
      <c r="G203" s="70" t="s">
        <v>350</v>
      </c>
      <c r="H203" s="71" t="s">
        <v>141</v>
      </c>
    </row>
    <row r="204" spans="4:8" ht="18" customHeight="1">
      <c r="D204" s="77">
        <v>83040032</v>
      </c>
      <c r="E204" s="70" t="s">
        <v>351</v>
      </c>
      <c r="F204" s="70" t="s">
        <v>5</v>
      </c>
      <c r="G204" s="70" t="s">
        <v>131</v>
      </c>
      <c r="H204" s="71" t="s">
        <v>118</v>
      </c>
    </row>
    <row r="205" spans="4:8" ht="18" customHeight="1">
      <c r="D205" s="77">
        <v>83040130</v>
      </c>
      <c r="E205" s="70" t="s">
        <v>352</v>
      </c>
      <c r="F205" s="70" t="s">
        <v>5</v>
      </c>
      <c r="G205" s="70" t="s">
        <v>131</v>
      </c>
      <c r="H205" s="71" t="s">
        <v>118</v>
      </c>
    </row>
    <row r="206" spans="4:8" ht="18" customHeight="1">
      <c r="D206" s="77">
        <v>83040046</v>
      </c>
      <c r="E206" s="70" t="s">
        <v>353</v>
      </c>
      <c r="F206" s="70" t="s">
        <v>5</v>
      </c>
      <c r="G206" s="70" t="s">
        <v>131</v>
      </c>
      <c r="H206" s="71" t="s">
        <v>118</v>
      </c>
    </row>
    <row r="207" spans="4:8" ht="18" customHeight="1">
      <c r="D207" s="77">
        <v>83102177</v>
      </c>
      <c r="E207" s="70" t="s">
        <v>354</v>
      </c>
      <c r="F207" s="70" t="s">
        <v>5</v>
      </c>
      <c r="G207" s="70" t="s">
        <v>131</v>
      </c>
      <c r="H207" s="71" t="s">
        <v>118</v>
      </c>
    </row>
    <row r="208" spans="4:8" ht="18" customHeight="1">
      <c r="D208" s="77">
        <v>83040194</v>
      </c>
      <c r="E208" s="70" t="s">
        <v>355</v>
      </c>
      <c r="F208" s="70" t="s">
        <v>5</v>
      </c>
      <c r="G208" s="70" t="s">
        <v>131</v>
      </c>
      <c r="H208" s="71" t="s">
        <v>118</v>
      </c>
    </row>
    <row r="209" spans="4:8" ht="18" customHeight="1">
      <c r="D209" s="77">
        <v>140244</v>
      </c>
      <c r="E209" s="70" t="s">
        <v>356</v>
      </c>
      <c r="F209" s="70" t="s">
        <v>5</v>
      </c>
      <c r="G209" s="70" t="s">
        <v>131</v>
      </c>
      <c r="H209" s="71" t="s">
        <v>118</v>
      </c>
    </row>
    <row r="210" spans="4:8" ht="18" customHeight="1">
      <c r="D210" s="77">
        <v>83075884</v>
      </c>
      <c r="E210" s="70" t="s">
        <v>357</v>
      </c>
      <c r="F210" s="70" t="s">
        <v>5</v>
      </c>
      <c r="G210" s="70" t="s">
        <v>131</v>
      </c>
      <c r="H210" s="71" t="s">
        <v>118</v>
      </c>
    </row>
    <row r="211" spans="4:8" ht="18" customHeight="1">
      <c r="D211" s="77">
        <v>83103420</v>
      </c>
      <c r="E211" s="70" t="s">
        <v>358</v>
      </c>
      <c r="F211" s="70" t="s">
        <v>5</v>
      </c>
      <c r="G211" s="70" t="s">
        <v>131</v>
      </c>
      <c r="H211" s="71" t="s">
        <v>118</v>
      </c>
    </row>
    <row r="212" spans="4:8" ht="18" customHeight="1">
      <c r="D212" s="77">
        <v>83116130</v>
      </c>
      <c r="E212" s="70" t="s">
        <v>359</v>
      </c>
      <c r="F212" s="70" t="s">
        <v>5</v>
      </c>
      <c r="G212" s="70" t="s">
        <v>131</v>
      </c>
      <c r="H212" s="71" t="s">
        <v>118</v>
      </c>
    </row>
    <row r="213" spans="4:8" ht="18" customHeight="1">
      <c r="D213" s="77">
        <v>83086810</v>
      </c>
      <c r="E213" s="70" t="s">
        <v>360</v>
      </c>
      <c r="F213" s="70" t="s">
        <v>5</v>
      </c>
      <c r="G213" s="70" t="s">
        <v>27</v>
      </c>
      <c r="H213" s="71" t="s">
        <v>118</v>
      </c>
    </row>
    <row r="214" spans="4:8" ht="18" customHeight="1">
      <c r="D214" s="77">
        <v>83075871</v>
      </c>
      <c r="E214" s="70" t="s">
        <v>361</v>
      </c>
      <c r="F214" s="70" t="s">
        <v>5</v>
      </c>
      <c r="G214" s="70" t="s">
        <v>25</v>
      </c>
      <c r="H214" s="71" t="s">
        <v>118</v>
      </c>
    </row>
    <row r="215" spans="4:8" ht="18" customHeight="1">
      <c r="D215" s="77">
        <v>83117968</v>
      </c>
      <c r="E215" s="70" t="s">
        <v>362</v>
      </c>
      <c r="F215" s="70" t="s">
        <v>5</v>
      </c>
      <c r="G215" s="70" t="s">
        <v>131</v>
      </c>
      <c r="H215" s="71" t="s">
        <v>118</v>
      </c>
    </row>
    <row r="216" spans="4:8" ht="18" customHeight="1">
      <c r="D216" s="77">
        <v>84122957</v>
      </c>
      <c r="E216" s="70" t="s">
        <v>363</v>
      </c>
      <c r="F216" s="70" t="s">
        <v>5</v>
      </c>
      <c r="G216" s="70" t="s">
        <v>131</v>
      </c>
      <c r="H216" s="71" t="s">
        <v>118</v>
      </c>
    </row>
    <row r="217" spans="4:8" ht="18" customHeight="1">
      <c r="D217" s="77">
        <v>83040133</v>
      </c>
      <c r="E217" s="70" t="s">
        <v>364</v>
      </c>
      <c r="F217" s="70" t="s">
        <v>5</v>
      </c>
      <c r="G217" s="70" t="s">
        <v>131</v>
      </c>
      <c r="H217" s="71" t="s">
        <v>118</v>
      </c>
    </row>
    <row r="218" spans="4:8" ht="18" customHeight="1">
      <c r="D218" s="77">
        <v>83102181</v>
      </c>
      <c r="E218" s="70" t="s">
        <v>365</v>
      </c>
      <c r="F218" s="70" t="s">
        <v>5</v>
      </c>
      <c r="G218" s="70" t="s">
        <v>131</v>
      </c>
      <c r="H218" s="71" t="s">
        <v>118</v>
      </c>
    </row>
    <row r="219" spans="4:8" ht="18" customHeight="1">
      <c r="D219" s="77">
        <v>83117969</v>
      </c>
      <c r="E219" s="70" t="s">
        <v>366</v>
      </c>
      <c r="F219" s="70" t="s">
        <v>5</v>
      </c>
      <c r="G219" s="70" t="s">
        <v>131</v>
      </c>
      <c r="H219" s="71" t="s">
        <v>118</v>
      </c>
    </row>
    <row r="220" spans="4:8" ht="18" customHeight="1">
      <c r="D220" s="77">
        <v>84122965</v>
      </c>
      <c r="E220" s="70" t="s">
        <v>367</v>
      </c>
      <c r="F220" s="70" t="s">
        <v>5</v>
      </c>
      <c r="G220" s="70" t="s">
        <v>131</v>
      </c>
      <c r="H220" s="71" t="s">
        <v>118</v>
      </c>
    </row>
    <row r="221" spans="4:8" ht="18" customHeight="1">
      <c r="D221" s="77">
        <v>83105168</v>
      </c>
      <c r="E221" s="70" t="s">
        <v>368</v>
      </c>
      <c r="F221" s="70" t="s">
        <v>5</v>
      </c>
      <c r="G221" s="70" t="s">
        <v>131</v>
      </c>
      <c r="H221" s="71" t="s">
        <v>118</v>
      </c>
    </row>
    <row r="222" spans="4:8" ht="18" customHeight="1">
      <c r="D222" s="77">
        <v>83104434</v>
      </c>
      <c r="E222" s="70" t="s">
        <v>369</v>
      </c>
      <c r="F222" s="70" t="s">
        <v>5</v>
      </c>
      <c r="G222" s="70" t="s">
        <v>131</v>
      </c>
      <c r="H222" s="71" t="s">
        <v>118</v>
      </c>
    </row>
    <row r="223" spans="4:8" ht="18" customHeight="1">
      <c r="D223" s="77">
        <v>83075242</v>
      </c>
      <c r="E223" s="70" t="s">
        <v>370</v>
      </c>
      <c r="F223" s="70" t="s">
        <v>5</v>
      </c>
      <c r="G223" s="70" t="s">
        <v>131</v>
      </c>
      <c r="H223" s="71" t="s">
        <v>118</v>
      </c>
    </row>
    <row r="224" spans="4:8" ht="18" customHeight="1">
      <c r="D224" s="77">
        <v>83063945</v>
      </c>
      <c r="E224" s="72" t="s">
        <v>371</v>
      </c>
      <c r="F224" s="70" t="s">
        <v>5</v>
      </c>
      <c r="G224" s="70" t="s">
        <v>372</v>
      </c>
      <c r="H224" s="71" t="s">
        <v>117</v>
      </c>
    </row>
    <row r="225" spans="4:8" ht="18" customHeight="1">
      <c r="D225" s="77">
        <v>83086322</v>
      </c>
      <c r="E225" s="70" t="s">
        <v>373</v>
      </c>
      <c r="F225" s="70" t="s">
        <v>5</v>
      </c>
      <c r="G225" s="70" t="s">
        <v>131</v>
      </c>
      <c r="H225" s="71" t="s">
        <v>118</v>
      </c>
    </row>
    <row r="226" spans="4:8" ht="18" customHeight="1">
      <c r="D226" s="77">
        <v>83075245</v>
      </c>
      <c r="E226" s="70" t="s">
        <v>374</v>
      </c>
      <c r="F226" s="70" t="s">
        <v>5</v>
      </c>
      <c r="G226" s="70" t="s">
        <v>375</v>
      </c>
      <c r="H226" s="71" t="s">
        <v>118</v>
      </c>
    </row>
    <row r="227" spans="4:8" ht="18" customHeight="1">
      <c r="D227" s="77">
        <v>140219</v>
      </c>
      <c r="E227" s="70" t="s">
        <v>376</v>
      </c>
      <c r="F227" s="70" t="s">
        <v>5</v>
      </c>
      <c r="G227" s="70" t="s">
        <v>131</v>
      </c>
      <c r="H227" s="71" t="s">
        <v>118</v>
      </c>
    </row>
    <row r="228" spans="4:8" ht="18" customHeight="1">
      <c r="D228" s="77">
        <v>132513</v>
      </c>
      <c r="E228" s="70" t="s">
        <v>377</v>
      </c>
      <c r="F228" s="70" t="s">
        <v>5</v>
      </c>
      <c r="G228" s="70" t="s">
        <v>131</v>
      </c>
      <c r="H228" s="71" t="s">
        <v>118</v>
      </c>
    </row>
    <row r="229" spans="4:8" ht="18" customHeight="1">
      <c r="D229" s="77">
        <v>83103441</v>
      </c>
      <c r="E229" s="70" t="s">
        <v>378</v>
      </c>
      <c r="F229" s="70" t="s">
        <v>5</v>
      </c>
      <c r="G229" s="70" t="s">
        <v>131</v>
      </c>
      <c r="H229" s="71" t="s">
        <v>118</v>
      </c>
    </row>
    <row r="230" spans="4:8" ht="18" customHeight="1">
      <c r="D230" s="77">
        <v>83102758</v>
      </c>
      <c r="E230" s="70" t="s">
        <v>379</v>
      </c>
      <c r="F230" s="70" t="s">
        <v>5</v>
      </c>
      <c r="G230" s="70" t="s">
        <v>131</v>
      </c>
      <c r="H230" s="71" t="s">
        <v>118</v>
      </c>
    </row>
    <row r="231" spans="4:8" ht="18" customHeight="1">
      <c r="D231" s="77">
        <v>141878</v>
      </c>
      <c r="E231" s="70" t="s">
        <v>380</v>
      </c>
      <c r="F231" s="70" t="s">
        <v>5</v>
      </c>
      <c r="G231" s="70" t="s">
        <v>131</v>
      </c>
      <c r="H231" s="71" t="s">
        <v>118</v>
      </c>
    </row>
    <row r="232" spans="4:8" ht="18" customHeight="1">
      <c r="D232" s="77">
        <v>152600</v>
      </c>
      <c r="E232" s="69" t="s">
        <v>381</v>
      </c>
      <c r="F232" s="70" t="s">
        <v>5</v>
      </c>
      <c r="G232" s="70" t="s">
        <v>131</v>
      </c>
      <c r="H232" s="71" t="s">
        <v>118</v>
      </c>
    </row>
    <row r="233" spans="4:8" ht="18" customHeight="1">
      <c r="D233" s="77">
        <v>83087494</v>
      </c>
      <c r="E233" s="70" t="s">
        <v>382</v>
      </c>
      <c r="F233" s="70" t="s">
        <v>5</v>
      </c>
      <c r="G233" s="70" t="s">
        <v>26</v>
      </c>
      <c r="H233" s="71" t="s">
        <v>118</v>
      </c>
    </row>
    <row r="234" spans="4:8" ht="18" customHeight="1">
      <c r="D234" s="77">
        <v>83040124</v>
      </c>
      <c r="E234" s="70" t="s">
        <v>383</v>
      </c>
      <c r="F234" s="70" t="s">
        <v>5</v>
      </c>
      <c r="G234" s="70" t="s">
        <v>384</v>
      </c>
      <c r="H234" s="71" t="s">
        <v>118</v>
      </c>
    </row>
    <row r="235" spans="4:8" ht="18" customHeight="1">
      <c r="D235" s="77">
        <v>84122956</v>
      </c>
      <c r="E235" s="70" t="s">
        <v>385</v>
      </c>
      <c r="F235" s="70" t="s">
        <v>5</v>
      </c>
      <c r="G235" s="70" t="s">
        <v>131</v>
      </c>
      <c r="H235" s="71" t="s">
        <v>118</v>
      </c>
    </row>
    <row r="236" spans="4:8" ht="18" customHeight="1">
      <c r="D236" s="77">
        <v>83086316</v>
      </c>
      <c r="E236" s="70" t="s">
        <v>386</v>
      </c>
      <c r="F236" s="70" t="s">
        <v>5</v>
      </c>
      <c r="G236" s="70" t="s">
        <v>131</v>
      </c>
      <c r="H236" s="71" t="s">
        <v>118</v>
      </c>
    </row>
    <row r="237" spans="4:8" ht="18" customHeight="1">
      <c r="D237" s="77">
        <v>83105157</v>
      </c>
      <c r="E237" s="70" t="s">
        <v>387</v>
      </c>
      <c r="F237" s="70" t="s">
        <v>5</v>
      </c>
      <c r="G237" s="70" t="s">
        <v>131</v>
      </c>
      <c r="H237" s="71" t="s">
        <v>118</v>
      </c>
    </row>
    <row r="238" spans="4:8" ht="18" customHeight="1">
      <c r="D238" s="77">
        <v>84122947</v>
      </c>
      <c r="E238" s="70" t="s">
        <v>388</v>
      </c>
      <c r="F238" s="70" t="s">
        <v>5</v>
      </c>
      <c r="G238" s="70" t="s">
        <v>131</v>
      </c>
      <c r="H238" s="71" t="s">
        <v>118</v>
      </c>
    </row>
    <row r="239" spans="4:8" ht="18" customHeight="1">
      <c r="D239" s="77">
        <v>83117959</v>
      </c>
      <c r="E239" s="70" t="s">
        <v>389</v>
      </c>
      <c r="F239" s="70" t="s">
        <v>5</v>
      </c>
      <c r="G239" s="70" t="s">
        <v>131</v>
      </c>
      <c r="H239" s="71" t="s">
        <v>118</v>
      </c>
    </row>
    <row r="240" spans="4:8" ht="18" customHeight="1">
      <c r="D240" s="77">
        <v>140296</v>
      </c>
      <c r="E240" s="70" t="s">
        <v>285</v>
      </c>
      <c r="F240" s="70" t="s">
        <v>5</v>
      </c>
      <c r="G240" s="70" t="s">
        <v>131</v>
      </c>
      <c r="H240" s="71" t="s">
        <v>118</v>
      </c>
    </row>
    <row r="241" spans="4:8" ht="18" customHeight="1">
      <c r="D241" s="77">
        <v>171982</v>
      </c>
      <c r="E241" s="70" t="s">
        <v>390</v>
      </c>
      <c r="F241" s="70" t="s">
        <v>5</v>
      </c>
      <c r="G241" s="70" t="s">
        <v>131</v>
      </c>
      <c r="H241" s="71" t="s">
        <v>118</v>
      </c>
    </row>
    <row r="242" spans="4:8" ht="18" customHeight="1">
      <c r="D242" s="77">
        <v>83074622</v>
      </c>
      <c r="E242" s="70" t="s">
        <v>391</v>
      </c>
      <c r="F242" s="70" t="s">
        <v>5</v>
      </c>
      <c r="G242" s="70" t="s">
        <v>131</v>
      </c>
      <c r="H242" s="71" t="s">
        <v>118</v>
      </c>
    </row>
    <row r="243" spans="4:8" ht="18" customHeight="1">
      <c r="D243" s="77">
        <v>83099400</v>
      </c>
      <c r="E243" s="70" t="s">
        <v>392</v>
      </c>
      <c r="F243" s="70" t="s">
        <v>5</v>
      </c>
      <c r="G243" s="70" t="s">
        <v>154</v>
      </c>
      <c r="H243" s="71" t="s">
        <v>118</v>
      </c>
    </row>
    <row r="244" spans="4:8" ht="18" customHeight="1">
      <c r="D244" s="79">
        <v>83075877</v>
      </c>
      <c r="E244" s="70" t="s">
        <v>393</v>
      </c>
      <c r="F244" s="80" t="s">
        <v>5</v>
      </c>
      <c r="G244" s="70" t="s">
        <v>30</v>
      </c>
      <c r="H244" s="71" t="s">
        <v>118</v>
      </c>
    </row>
    <row r="245" spans="4:8" ht="18" customHeight="1">
      <c r="D245" s="79">
        <v>83040090</v>
      </c>
      <c r="E245" s="70" t="s">
        <v>394</v>
      </c>
      <c r="F245" s="80" t="s">
        <v>5</v>
      </c>
      <c r="G245" s="70" t="s">
        <v>32</v>
      </c>
      <c r="H245" s="71" t="s">
        <v>118</v>
      </c>
    </row>
    <row r="246" spans="4:8" ht="18" customHeight="1">
      <c r="D246" s="79">
        <v>83040048</v>
      </c>
      <c r="E246" s="70" t="s">
        <v>395</v>
      </c>
      <c r="F246" s="80" t="s">
        <v>5</v>
      </c>
      <c r="G246" s="70" t="s">
        <v>131</v>
      </c>
      <c r="H246" s="71" t="s">
        <v>118</v>
      </c>
    </row>
    <row r="247" spans="4:8" ht="18" customHeight="1">
      <c r="D247" s="79">
        <v>154176</v>
      </c>
      <c r="E247" s="70" t="s">
        <v>396</v>
      </c>
      <c r="F247" s="80" t="s">
        <v>5</v>
      </c>
      <c r="G247" s="70" t="s">
        <v>131</v>
      </c>
      <c r="H247" s="71" t="s">
        <v>118</v>
      </c>
    </row>
    <row r="248" spans="4:8" ht="18" customHeight="1">
      <c r="D248" s="79">
        <v>221925</v>
      </c>
      <c r="E248" s="69" t="s">
        <v>397</v>
      </c>
      <c r="F248" s="80" t="s">
        <v>5</v>
      </c>
      <c r="G248" s="70" t="s">
        <v>131</v>
      </c>
      <c r="H248" s="71" t="s">
        <v>118</v>
      </c>
    </row>
    <row r="249" spans="4:8" ht="18" customHeight="1">
      <c r="D249" s="79">
        <v>83104431</v>
      </c>
      <c r="E249" s="70" t="s">
        <v>398</v>
      </c>
      <c r="F249" s="80" t="s">
        <v>5</v>
      </c>
      <c r="G249" s="70" t="s">
        <v>131</v>
      </c>
      <c r="H249" s="71" t="s">
        <v>118</v>
      </c>
    </row>
    <row r="250" spans="4:8" ht="18" customHeight="1">
      <c r="D250" s="79">
        <v>147322</v>
      </c>
      <c r="E250" s="70" t="s">
        <v>399</v>
      </c>
      <c r="F250" s="80" t="s">
        <v>5</v>
      </c>
      <c r="G250" s="70" t="s">
        <v>131</v>
      </c>
      <c r="H250" s="71" t="s">
        <v>118</v>
      </c>
    </row>
    <row r="251" spans="4:8" ht="18" customHeight="1">
      <c r="D251" s="79">
        <v>83119917</v>
      </c>
      <c r="E251" s="70" t="s">
        <v>400</v>
      </c>
      <c r="F251" s="80" t="s">
        <v>5</v>
      </c>
      <c r="G251" s="70" t="s">
        <v>131</v>
      </c>
      <c r="H251" s="71" t="s">
        <v>118</v>
      </c>
    </row>
    <row r="252" spans="4:8" ht="18" customHeight="1">
      <c r="D252" s="79">
        <v>83102553</v>
      </c>
      <c r="E252" s="70" t="s">
        <v>401</v>
      </c>
      <c r="F252" s="80" t="s">
        <v>5</v>
      </c>
      <c r="G252" s="70" t="s">
        <v>131</v>
      </c>
      <c r="H252" s="71" t="s">
        <v>118</v>
      </c>
    </row>
    <row r="253" spans="4:8" ht="18" customHeight="1">
      <c r="D253" s="79">
        <v>83105165</v>
      </c>
      <c r="E253" s="70" t="s">
        <v>402</v>
      </c>
      <c r="F253" s="80" t="s">
        <v>5</v>
      </c>
      <c r="G253" s="70" t="s">
        <v>131</v>
      </c>
      <c r="H253" s="71" t="s">
        <v>118</v>
      </c>
    </row>
    <row r="254" spans="4:8" ht="18" customHeight="1">
      <c r="D254" s="79">
        <v>84122949</v>
      </c>
      <c r="E254" s="70" t="s">
        <v>403</v>
      </c>
      <c r="F254" s="80" t="s">
        <v>5</v>
      </c>
      <c r="G254" s="70" t="s">
        <v>131</v>
      </c>
      <c r="H254" s="71" t="s">
        <v>118</v>
      </c>
    </row>
    <row r="255" spans="4:8" ht="18" customHeight="1">
      <c r="D255" s="79">
        <v>83103415</v>
      </c>
      <c r="E255" s="70" t="s">
        <v>404</v>
      </c>
      <c r="F255" s="80" t="s">
        <v>5</v>
      </c>
      <c r="G255" s="70" t="s">
        <v>131</v>
      </c>
      <c r="H255" s="71" t="s">
        <v>118</v>
      </c>
    </row>
    <row r="256" spans="4:8" ht="18" customHeight="1">
      <c r="D256" s="79">
        <v>83102200</v>
      </c>
      <c r="E256" s="70" t="s">
        <v>405</v>
      </c>
      <c r="F256" s="80" t="s">
        <v>5</v>
      </c>
      <c r="G256" s="70" t="s">
        <v>131</v>
      </c>
      <c r="H256" s="71" t="s">
        <v>118</v>
      </c>
    </row>
    <row r="257" spans="4:8" ht="18" customHeight="1">
      <c r="D257" s="79">
        <v>83119918</v>
      </c>
      <c r="E257" s="70" t="s">
        <v>406</v>
      </c>
      <c r="F257" s="80" t="s">
        <v>5</v>
      </c>
      <c r="G257" s="70" t="s">
        <v>131</v>
      </c>
      <c r="H257" s="71" t="s">
        <v>118</v>
      </c>
    </row>
    <row r="258" spans="4:8" ht="18" customHeight="1">
      <c r="D258" s="79">
        <v>84122951</v>
      </c>
      <c r="E258" s="70" t="s">
        <v>407</v>
      </c>
      <c r="F258" s="80" t="s">
        <v>5</v>
      </c>
      <c r="G258" s="70" t="s">
        <v>131</v>
      </c>
      <c r="H258" s="71" t="s">
        <v>118</v>
      </c>
    </row>
    <row r="259" spans="4:8" ht="18" customHeight="1">
      <c r="D259" s="79">
        <v>83119926</v>
      </c>
      <c r="E259" s="70" t="s">
        <v>408</v>
      </c>
      <c r="F259" s="80" t="s">
        <v>5</v>
      </c>
      <c r="G259" s="70" t="s">
        <v>131</v>
      </c>
      <c r="H259" s="71" t="s">
        <v>118</v>
      </c>
    </row>
    <row r="260" spans="4:8" ht="18" customHeight="1">
      <c r="D260" s="79">
        <v>84124758</v>
      </c>
      <c r="E260" s="70" t="s">
        <v>409</v>
      </c>
      <c r="F260" s="80" t="s">
        <v>5</v>
      </c>
      <c r="G260" s="70" t="s">
        <v>131</v>
      </c>
      <c r="H260" s="71" t="s">
        <v>118</v>
      </c>
    </row>
    <row r="261" spans="4:8" ht="18" customHeight="1">
      <c r="D261" s="79">
        <v>83040095</v>
      </c>
      <c r="E261" s="70" t="s">
        <v>410</v>
      </c>
      <c r="F261" s="80" t="s">
        <v>5</v>
      </c>
      <c r="G261" s="70" t="s">
        <v>131</v>
      </c>
      <c r="H261" s="71" t="s">
        <v>118</v>
      </c>
    </row>
    <row r="262" spans="4:8" ht="18" customHeight="1">
      <c r="D262" s="79">
        <v>152561</v>
      </c>
      <c r="E262" s="70" t="s">
        <v>411</v>
      </c>
      <c r="F262" s="80" t="s">
        <v>5</v>
      </c>
      <c r="G262" s="70" t="s">
        <v>131</v>
      </c>
      <c r="H262" s="71" t="s">
        <v>118</v>
      </c>
    </row>
    <row r="263" spans="4:8" ht="18" customHeight="1">
      <c r="D263" s="79">
        <v>147361</v>
      </c>
      <c r="E263" s="70" t="s">
        <v>412</v>
      </c>
      <c r="F263" s="80" t="s">
        <v>5</v>
      </c>
      <c r="G263" s="70" t="s">
        <v>131</v>
      </c>
      <c r="H263" s="71" t="s">
        <v>118</v>
      </c>
    </row>
    <row r="264" spans="4:8" ht="18" customHeight="1">
      <c r="D264" s="79">
        <v>140274</v>
      </c>
      <c r="E264" s="70" t="s">
        <v>413</v>
      </c>
      <c r="F264" s="80" t="s">
        <v>5</v>
      </c>
      <c r="G264" s="70" t="s">
        <v>131</v>
      </c>
      <c r="H264" s="71" t="s">
        <v>118</v>
      </c>
    </row>
    <row r="265" spans="4:8" ht="18" customHeight="1">
      <c r="D265" s="79">
        <v>83087497</v>
      </c>
      <c r="E265" s="70" t="s">
        <v>414</v>
      </c>
      <c r="F265" s="80" t="s">
        <v>5</v>
      </c>
      <c r="G265" s="70" t="s">
        <v>131</v>
      </c>
      <c r="H265" s="71" t="s">
        <v>118</v>
      </c>
    </row>
    <row r="266" spans="4:8" ht="18" customHeight="1">
      <c r="D266" s="79">
        <v>152596</v>
      </c>
      <c r="E266" s="70" t="s">
        <v>415</v>
      </c>
      <c r="F266" s="80" t="s">
        <v>5</v>
      </c>
      <c r="G266" s="70" t="s">
        <v>131</v>
      </c>
      <c r="H266" s="71" t="s">
        <v>118</v>
      </c>
    </row>
    <row r="267" spans="4:8" ht="18" customHeight="1">
      <c r="D267" s="79">
        <v>83122109</v>
      </c>
      <c r="E267" s="70" t="s">
        <v>416</v>
      </c>
      <c r="F267" s="80" t="s">
        <v>5</v>
      </c>
      <c r="G267" s="70" t="s">
        <v>131</v>
      </c>
      <c r="H267" s="71" t="s">
        <v>118</v>
      </c>
    </row>
    <row r="268" spans="4:8" ht="18" customHeight="1">
      <c r="D268" s="79">
        <v>221926</v>
      </c>
      <c r="E268" s="69" t="s">
        <v>417</v>
      </c>
      <c r="F268" s="80" t="s">
        <v>5</v>
      </c>
      <c r="G268" s="70" t="s">
        <v>131</v>
      </c>
      <c r="H268" s="71" t="s">
        <v>118</v>
      </c>
    </row>
    <row r="269" spans="4:8" ht="18" customHeight="1">
      <c r="D269" s="79">
        <v>83099396</v>
      </c>
      <c r="E269" s="70" t="s">
        <v>418</v>
      </c>
      <c r="F269" s="80" t="s">
        <v>5</v>
      </c>
      <c r="G269" s="70" t="s">
        <v>131</v>
      </c>
      <c r="H269" s="71" t="s">
        <v>118</v>
      </c>
    </row>
    <row r="270" spans="4:8" ht="18" customHeight="1">
      <c r="D270" s="79">
        <v>140585</v>
      </c>
      <c r="E270" s="70" t="s">
        <v>419</v>
      </c>
      <c r="F270" s="80" t="s">
        <v>5</v>
      </c>
      <c r="G270" s="70" t="s">
        <v>131</v>
      </c>
      <c r="H270" s="71" t="s">
        <v>118</v>
      </c>
    </row>
    <row r="271" spans="4:8" ht="18" customHeight="1">
      <c r="D271" s="79">
        <v>83086318</v>
      </c>
      <c r="E271" s="70" t="s">
        <v>420</v>
      </c>
      <c r="F271" s="80" t="s">
        <v>5</v>
      </c>
      <c r="G271" s="70" t="s">
        <v>131</v>
      </c>
      <c r="H271" s="71" t="s">
        <v>118</v>
      </c>
    </row>
    <row r="272" spans="4:8" ht="18" customHeight="1">
      <c r="D272" s="79">
        <v>134551</v>
      </c>
      <c r="E272" s="70" t="s">
        <v>421</v>
      </c>
      <c r="F272" s="80" t="s">
        <v>5</v>
      </c>
      <c r="G272" s="70" t="s">
        <v>131</v>
      </c>
      <c r="H272" s="71" t="s">
        <v>118</v>
      </c>
    </row>
    <row r="273" spans="4:8" ht="18" customHeight="1">
      <c r="D273" s="79">
        <v>83075887</v>
      </c>
      <c r="E273" s="70" t="s">
        <v>422</v>
      </c>
      <c r="F273" s="80" t="s">
        <v>5</v>
      </c>
      <c r="G273" s="70" t="s">
        <v>131</v>
      </c>
      <c r="H273" s="71" t="s">
        <v>118</v>
      </c>
    </row>
    <row r="274" spans="4:8" ht="18" customHeight="1">
      <c r="D274" s="79">
        <v>83103445</v>
      </c>
      <c r="E274" s="70" t="s">
        <v>423</v>
      </c>
      <c r="F274" s="80" t="s">
        <v>5</v>
      </c>
      <c r="G274" s="70" t="s">
        <v>131</v>
      </c>
      <c r="H274" s="71" t="s">
        <v>118</v>
      </c>
    </row>
    <row r="275" spans="4:8" ht="18" customHeight="1">
      <c r="D275" s="79">
        <v>84050998</v>
      </c>
      <c r="E275" s="70" t="s">
        <v>424</v>
      </c>
      <c r="F275" s="80" t="s">
        <v>5</v>
      </c>
      <c r="G275" s="70" t="s">
        <v>131</v>
      </c>
      <c r="H275" s="71" t="s">
        <v>118</v>
      </c>
    </row>
    <row r="276" spans="4:8" ht="18" customHeight="1">
      <c r="D276" s="79">
        <v>83075251</v>
      </c>
      <c r="E276" s="70" t="s">
        <v>425</v>
      </c>
      <c r="F276" s="80" t="s">
        <v>5</v>
      </c>
      <c r="G276" s="70" t="s">
        <v>426</v>
      </c>
      <c r="H276" s="71" t="s">
        <v>141</v>
      </c>
    </row>
    <row r="277" spans="4:8" ht="18" customHeight="1">
      <c r="D277" s="79">
        <v>83074917</v>
      </c>
      <c r="E277" s="70" t="s">
        <v>427</v>
      </c>
      <c r="F277" s="80" t="s">
        <v>5</v>
      </c>
      <c r="G277" s="70" t="s">
        <v>428</v>
      </c>
      <c r="H277" s="71" t="s">
        <v>118</v>
      </c>
    </row>
    <row r="278" spans="4:8" ht="18" customHeight="1">
      <c r="D278" s="79">
        <v>152579</v>
      </c>
      <c r="E278" s="70" t="s">
        <v>429</v>
      </c>
      <c r="F278" s="80" t="s">
        <v>5</v>
      </c>
      <c r="G278" s="70" t="s">
        <v>29</v>
      </c>
      <c r="H278" s="71" t="s">
        <v>118</v>
      </c>
    </row>
    <row r="279" spans="4:8" ht="18" customHeight="1">
      <c r="D279" s="79">
        <v>141864</v>
      </c>
      <c r="E279" s="70" t="s">
        <v>430</v>
      </c>
      <c r="F279" s="80" t="s">
        <v>5</v>
      </c>
      <c r="G279" s="70" t="s">
        <v>131</v>
      </c>
      <c r="H279" s="71" t="s">
        <v>118</v>
      </c>
    </row>
    <row r="280" spans="4:8" ht="18" customHeight="1">
      <c r="D280" s="79">
        <v>152582</v>
      </c>
      <c r="E280" s="70" t="s">
        <v>431</v>
      </c>
      <c r="F280" s="80" t="s">
        <v>5</v>
      </c>
      <c r="G280" s="70" t="s">
        <v>131</v>
      </c>
      <c r="H280" s="71" t="s">
        <v>118</v>
      </c>
    </row>
    <row r="281" spans="4:8" ht="18" customHeight="1">
      <c r="D281" s="79">
        <v>83120900</v>
      </c>
      <c r="E281" s="70" t="s">
        <v>432</v>
      </c>
      <c r="F281" s="80" t="s">
        <v>5</v>
      </c>
      <c r="G281" s="70" t="s">
        <v>131</v>
      </c>
      <c r="H281" s="71" t="s">
        <v>118</v>
      </c>
    </row>
    <row r="282" spans="4:8" ht="18" customHeight="1">
      <c r="D282" s="79">
        <v>83075250</v>
      </c>
      <c r="E282" s="70" t="s">
        <v>433</v>
      </c>
      <c r="F282" s="80" t="s">
        <v>5</v>
      </c>
      <c r="G282" s="70" t="s">
        <v>131</v>
      </c>
      <c r="H282" s="71" t="s">
        <v>118</v>
      </c>
    </row>
    <row r="283" spans="4:8" ht="18" customHeight="1">
      <c r="D283" s="79">
        <v>83105164</v>
      </c>
      <c r="E283" s="70" t="s">
        <v>434</v>
      </c>
      <c r="F283" s="80" t="s">
        <v>5</v>
      </c>
      <c r="G283" s="70" t="s">
        <v>131</v>
      </c>
      <c r="H283" s="71" t="s">
        <v>118</v>
      </c>
    </row>
    <row r="284" spans="4:8" ht="18" customHeight="1">
      <c r="D284" s="79">
        <v>132527</v>
      </c>
      <c r="E284" s="70" t="s">
        <v>435</v>
      </c>
      <c r="F284" s="80" t="s">
        <v>5</v>
      </c>
      <c r="G284" s="70" t="s">
        <v>131</v>
      </c>
      <c r="H284" s="71" t="s">
        <v>118</v>
      </c>
    </row>
    <row r="285" spans="4:8" ht="18" customHeight="1">
      <c r="D285" s="79">
        <v>221920</v>
      </c>
      <c r="E285" s="69" t="s">
        <v>436</v>
      </c>
      <c r="F285" s="80" t="s">
        <v>5</v>
      </c>
      <c r="G285" s="70" t="s">
        <v>131</v>
      </c>
      <c r="H285" s="71" t="s">
        <v>118</v>
      </c>
    </row>
    <row r="286" spans="4:8" ht="18" customHeight="1">
      <c r="D286" s="79">
        <v>83086320</v>
      </c>
      <c r="E286" s="70" t="s">
        <v>437</v>
      </c>
      <c r="F286" s="80" t="s">
        <v>5</v>
      </c>
      <c r="G286" s="70" t="s">
        <v>131</v>
      </c>
      <c r="H286" s="71" t="s">
        <v>118</v>
      </c>
    </row>
    <row r="287" spans="4:8" ht="18" customHeight="1">
      <c r="D287" s="79">
        <v>134355</v>
      </c>
      <c r="E287" s="70" t="s">
        <v>438</v>
      </c>
      <c r="F287" s="80" t="s">
        <v>5</v>
      </c>
      <c r="G287" s="70" t="s">
        <v>131</v>
      </c>
      <c r="H287" s="71" t="s">
        <v>118</v>
      </c>
    </row>
    <row r="288" spans="4:8" ht="18" customHeight="1">
      <c r="D288" s="79">
        <v>221924</v>
      </c>
      <c r="E288" s="69" t="s">
        <v>439</v>
      </c>
      <c r="F288" s="80" t="s">
        <v>5</v>
      </c>
      <c r="G288" s="70" t="s">
        <v>131</v>
      </c>
      <c r="H288" s="71" t="s">
        <v>118</v>
      </c>
    </row>
    <row r="289" spans="4:8" ht="18" customHeight="1">
      <c r="D289" s="79">
        <v>147328</v>
      </c>
      <c r="E289" s="70" t="s">
        <v>440</v>
      </c>
      <c r="F289" s="80" t="s">
        <v>5</v>
      </c>
      <c r="G289" s="70" t="s">
        <v>131</v>
      </c>
      <c r="H289" s="71" t="s">
        <v>118</v>
      </c>
    </row>
    <row r="290" spans="4:8" ht="18" customHeight="1">
      <c r="D290" s="79">
        <v>83120032</v>
      </c>
      <c r="E290" s="70" t="s">
        <v>441</v>
      </c>
      <c r="F290" s="80" t="s">
        <v>5</v>
      </c>
      <c r="G290" s="70" t="s">
        <v>131</v>
      </c>
      <c r="H290" s="71" t="s">
        <v>118</v>
      </c>
    </row>
    <row r="291" spans="4:8" ht="18" customHeight="1">
      <c r="D291" s="79">
        <v>152597</v>
      </c>
      <c r="E291" s="70" t="s">
        <v>442</v>
      </c>
      <c r="F291" s="80" t="s">
        <v>5</v>
      </c>
      <c r="G291" s="70" t="s">
        <v>131</v>
      </c>
      <c r="H291" s="71" t="s">
        <v>118</v>
      </c>
    </row>
    <row r="292" spans="4:8" ht="18" customHeight="1">
      <c r="D292" s="79">
        <v>83122118</v>
      </c>
      <c r="E292" s="70" t="s">
        <v>443</v>
      </c>
      <c r="F292" s="80" t="s">
        <v>5</v>
      </c>
      <c r="G292" s="70" t="s">
        <v>131</v>
      </c>
      <c r="H292" s="71" t="s">
        <v>118</v>
      </c>
    </row>
    <row r="293" spans="4:8" ht="18" customHeight="1">
      <c r="D293" s="79">
        <v>141777</v>
      </c>
      <c r="E293" s="70" t="s">
        <v>444</v>
      </c>
      <c r="F293" s="80" t="s">
        <v>5</v>
      </c>
      <c r="G293" s="70" t="s">
        <v>131</v>
      </c>
      <c r="H293" s="71" t="s">
        <v>118</v>
      </c>
    </row>
    <row r="294" spans="4:8" ht="18" customHeight="1">
      <c r="D294" s="79">
        <v>221923</v>
      </c>
      <c r="E294" s="69" t="s">
        <v>445</v>
      </c>
      <c r="F294" s="80" t="s">
        <v>5</v>
      </c>
      <c r="G294" s="70" t="s">
        <v>131</v>
      </c>
      <c r="H294" s="71" t="s">
        <v>118</v>
      </c>
    </row>
    <row r="295" spans="4:8" ht="18" customHeight="1">
      <c r="D295" s="79">
        <v>147332</v>
      </c>
      <c r="E295" s="70" t="s">
        <v>446</v>
      </c>
      <c r="F295" s="80" t="s">
        <v>5</v>
      </c>
      <c r="G295" s="70" t="s">
        <v>131</v>
      </c>
      <c r="H295" s="71" t="s">
        <v>118</v>
      </c>
    </row>
    <row r="296" spans="4:8" ht="18" customHeight="1">
      <c r="D296" s="79">
        <v>132522</v>
      </c>
      <c r="E296" s="70" t="s">
        <v>447</v>
      </c>
      <c r="F296" s="80" t="s">
        <v>5</v>
      </c>
      <c r="G296" s="70" t="s">
        <v>131</v>
      </c>
      <c r="H296" s="71" t="s">
        <v>118</v>
      </c>
    </row>
    <row r="297" spans="4:8" ht="18" customHeight="1">
      <c r="D297" s="79">
        <v>140703</v>
      </c>
      <c r="E297" s="70" t="s">
        <v>448</v>
      </c>
      <c r="F297" s="80" t="s">
        <v>5</v>
      </c>
      <c r="G297" s="70" t="s">
        <v>131</v>
      </c>
      <c r="H297" s="71" t="s">
        <v>118</v>
      </c>
    </row>
    <row r="298" spans="4:8" ht="18" customHeight="1">
      <c r="D298" s="79">
        <v>132711</v>
      </c>
      <c r="E298" s="70" t="s">
        <v>449</v>
      </c>
      <c r="F298" s="80" t="s">
        <v>5</v>
      </c>
      <c r="G298" s="70" t="s">
        <v>131</v>
      </c>
      <c r="H298" s="71" t="s">
        <v>118</v>
      </c>
    </row>
    <row r="299" spans="4:8" ht="18" customHeight="1">
      <c r="D299" s="79">
        <v>84122962</v>
      </c>
      <c r="E299" s="70" t="s">
        <v>450</v>
      </c>
      <c r="F299" s="80" t="s">
        <v>5</v>
      </c>
      <c r="G299" s="70" t="s">
        <v>131</v>
      </c>
      <c r="H299" s="71" t="s">
        <v>118</v>
      </c>
    </row>
    <row r="300" spans="4:8" ht="18" customHeight="1">
      <c r="D300" s="79">
        <v>83086324</v>
      </c>
      <c r="E300" s="70" t="s">
        <v>451</v>
      </c>
      <c r="F300" s="80" t="s">
        <v>5</v>
      </c>
      <c r="G300" s="70" t="s">
        <v>131</v>
      </c>
      <c r="H300" s="71" t="s">
        <v>118</v>
      </c>
    </row>
    <row r="301" spans="4:8" ht="18" customHeight="1">
      <c r="D301" s="79">
        <v>140292</v>
      </c>
      <c r="E301" s="70" t="s">
        <v>452</v>
      </c>
      <c r="F301" s="80" t="s">
        <v>5</v>
      </c>
      <c r="G301" s="70" t="s">
        <v>131</v>
      </c>
      <c r="H301" s="71" t="s">
        <v>118</v>
      </c>
    </row>
    <row r="302" spans="4:8" ht="18" customHeight="1">
      <c r="D302" s="79">
        <v>221919</v>
      </c>
      <c r="E302" s="69" t="s">
        <v>453</v>
      </c>
      <c r="F302" s="80" t="s">
        <v>5</v>
      </c>
      <c r="G302" s="70" t="s">
        <v>131</v>
      </c>
      <c r="H302" s="71" t="s">
        <v>118</v>
      </c>
    </row>
    <row r="303" spans="4:8" ht="18" customHeight="1">
      <c r="D303" s="79">
        <v>147347</v>
      </c>
      <c r="E303" s="70" t="s">
        <v>454</v>
      </c>
      <c r="F303" s="80" t="s">
        <v>5</v>
      </c>
      <c r="G303" s="70" t="s">
        <v>131</v>
      </c>
      <c r="H303" s="71" t="s">
        <v>118</v>
      </c>
    </row>
    <row r="304" spans="4:8" ht="18" customHeight="1">
      <c r="D304" s="79">
        <v>84122948</v>
      </c>
      <c r="E304" s="70" t="s">
        <v>455</v>
      </c>
      <c r="F304" s="80" t="s">
        <v>5</v>
      </c>
      <c r="G304" s="70" t="s">
        <v>131</v>
      </c>
      <c r="H304" s="71" t="s">
        <v>118</v>
      </c>
    </row>
    <row r="305" spans="4:8" ht="18" customHeight="1">
      <c r="D305" s="79">
        <v>84124763</v>
      </c>
      <c r="E305" s="70" t="s">
        <v>456</v>
      </c>
      <c r="F305" s="80" t="s">
        <v>5</v>
      </c>
      <c r="G305" s="70" t="s">
        <v>131</v>
      </c>
      <c r="H305" s="71" t="s">
        <v>118</v>
      </c>
    </row>
    <row r="306" spans="4:8" ht="18" customHeight="1">
      <c r="D306" s="79">
        <v>221929</v>
      </c>
      <c r="E306" s="69" t="s">
        <v>457</v>
      </c>
      <c r="F306" s="80" t="s">
        <v>5</v>
      </c>
      <c r="G306" s="70" t="s">
        <v>131</v>
      </c>
      <c r="H306" s="71" t="s">
        <v>118</v>
      </c>
    </row>
    <row r="307" spans="4:8" ht="18" customHeight="1">
      <c r="D307" s="79">
        <v>147324</v>
      </c>
      <c r="E307" s="70" t="s">
        <v>458</v>
      </c>
      <c r="F307" s="80" t="s">
        <v>5</v>
      </c>
      <c r="G307" s="70" t="s">
        <v>131</v>
      </c>
      <c r="H307" s="71" t="s">
        <v>118</v>
      </c>
    </row>
    <row r="308" spans="4:8" ht="18" customHeight="1">
      <c r="D308" s="79">
        <v>83120037</v>
      </c>
      <c r="E308" s="70" t="s">
        <v>373</v>
      </c>
      <c r="F308" s="80" t="s">
        <v>5</v>
      </c>
      <c r="G308" s="70" t="s">
        <v>131</v>
      </c>
      <c r="H308" s="71" t="s">
        <v>118</v>
      </c>
    </row>
    <row r="309" spans="4:8" ht="18" customHeight="1">
      <c r="D309" s="79">
        <v>134566</v>
      </c>
      <c r="E309" s="70" t="s">
        <v>459</v>
      </c>
      <c r="F309" s="80" t="s">
        <v>5</v>
      </c>
      <c r="G309" s="70" t="s">
        <v>131</v>
      </c>
      <c r="H309" s="71" t="s">
        <v>118</v>
      </c>
    </row>
    <row r="310" spans="4:8" ht="18" customHeight="1">
      <c r="D310" s="79">
        <v>141769</v>
      </c>
      <c r="E310" s="70" t="s">
        <v>460</v>
      </c>
      <c r="F310" s="80" t="s">
        <v>5</v>
      </c>
      <c r="G310" s="70" t="s">
        <v>131</v>
      </c>
      <c r="H310" s="71" t="s">
        <v>118</v>
      </c>
    </row>
    <row r="311" spans="4:8" ht="18" customHeight="1">
      <c r="D311" s="79">
        <v>83117954</v>
      </c>
      <c r="E311" s="70" t="s">
        <v>461</v>
      </c>
      <c r="F311" s="80" t="s">
        <v>5</v>
      </c>
      <c r="G311" s="70" t="s">
        <v>131</v>
      </c>
      <c r="H311" s="71" t="s">
        <v>118</v>
      </c>
    </row>
    <row r="312" spans="4:8" ht="18" customHeight="1">
      <c r="D312" s="79">
        <v>132533</v>
      </c>
      <c r="E312" s="70" t="s">
        <v>462</v>
      </c>
      <c r="F312" s="80" t="s">
        <v>5</v>
      </c>
      <c r="G312" s="70" t="s">
        <v>131</v>
      </c>
      <c r="H312" s="71" t="s">
        <v>118</v>
      </c>
    </row>
    <row r="313" spans="4:8" ht="18" customHeight="1">
      <c r="D313" s="79">
        <v>134362</v>
      </c>
      <c r="E313" s="70" t="s">
        <v>463</v>
      </c>
      <c r="F313" s="80" t="s">
        <v>5</v>
      </c>
      <c r="G313" s="70" t="s">
        <v>131</v>
      </c>
      <c r="H313" s="71" t="s">
        <v>118</v>
      </c>
    </row>
    <row r="314" spans="4:8" ht="18" customHeight="1">
      <c r="D314" s="79">
        <v>134564</v>
      </c>
      <c r="E314" s="70" t="s">
        <v>464</v>
      </c>
      <c r="F314" s="80" t="s">
        <v>5</v>
      </c>
      <c r="G314" s="70" t="s">
        <v>131</v>
      </c>
      <c r="H314" s="71" t="s">
        <v>118</v>
      </c>
    </row>
    <row r="315" spans="4:8" ht="18" customHeight="1">
      <c r="D315" s="79">
        <v>83102190</v>
      </c>
      <c r="E315" s="70" t="s">
        <v>465</v>
      </c>
      <c r="F315" s="80" t="s">
        <v>5</v>
      </c>
      <c r="G315" s="70" t="s">
        <v>131</v>
      </c>
      <c r="H315" s="71" t="s">
        <v>118</v>
      </c>
    </row>
    <row r="316" spans="4:8" ht="18" customHeight="1">
      <c r="D316" s="79">
        <v>143572</v>
      </c>
      <c r="E316" s="70" t="s">
        <v>466</v>
      </c>
      <c r="F316" s="80" t="s">
        <v>5</v>
      </c>
      <c r="G316" s="70" t="s">
        <v>131</v>
      </c>
      <c r="H316" s="71" t="s">
        <v>118</v>
      </c>
    </row>
    <row r="317" spans="4:8" ht="18" customHeight="1">
      <c r="D317" s="79">
        <v>143585</v>
      </c>
      <c r="E317" s="70" t="s">
        <v>467</v>
      </c>
      <c r="F317" s="80" t="s">
        <v>5</v>
      </c>
      <c r="G317" s="70" t="s">
        <v>131</v>
      </c>
      <c r="H317" s="71" t="s">
        <v>118</v>
      </c>
    </row>
    <row r="318" spans="4:8" ht="18" customHeight="1">
      <c r="D318" s="79">
        <v>147334</v>
      </c>
      <c r="E318" s="70" t="s">
        <v>468</v>
      </c>
      <c r="F318" s="80" t="s">
        <v>5</v>
      </c>
      <c r="G318" s="70" t="s">
        <v>131</v>
      </c>
      <c r="H318" s="71" t="s">
        <v>118</v>
      </c>
    </row>
    <row r="319" spans="4:8" ht="18" customHeight="1">
      <c r="D319" s="79">
        <v>143582</v>
      </c>
      <c r="E319" s="70" t="s">
        <v>469</v>
      </c>
      <c r="F319" s="80" t="s">
        <v>5</v>
      </c>
      <c r="G319" s="70" t="s">
        <v>131</v>
      </c>
      <c r="H319" s="71" t="s">
        <v>118</v>
      </c>
    </row>
    <row r="320" spans="4:8" ht="18" customHeight="1">
      <c r="D320" s="79">
        <v>140691</v>
      </c>
      <c r="E320" s="70" t="s">
        <v>470</v>
      </c>
      <c r="F320" s="80" t="s">
        <v>5</v>
      </c>
      <c r="G320" s="70" t="s">
        <v>131</v>
      </c>
      <c r="H320" s="71" t="s">
        <v>118</v>
      </c>
    </row>
    <row r="321" spans="4:8" ht="18" customHeight="1">
      <c r="D321" s="79">
        <v>143583</v>
      </c>
      <c r="E321" s="70" t="s">
        <v>471</v>
      </c>
      <c r="F321" s="80" t="s">
        <v>5</v>
      </c>
      <c r="G321" s="70" t="s">
        <v>131</v>
      </c>
      <c r="H321" s="71" t="s">
        <v>118</v>
      </c>
    </row>
    <row r="322" spans="4:8" ht="18" customHeight="1">
      <c r="D322" s="79">
        <v>143577</v>
      </c>
      <c r="E322" s="70" t="s">
        <v>472</v>
      </c>
      <c r="F322" s="80" t="s">
        <v>5</v>
      </c>
      <c r="G322" s="70" t="s">
        <v>131</v>
      </c>
      <c r="H322" s="71" t="s">
        <v>118</v>
      </c>
    </row>
    <row r="323" spans="4:8" ht="18" customHeight="1">
      <c r="D323" s="79">
        <v>83075874</v>
      </c>
      <c r="E323" s="70" t="s">
        <v>473</v>
      </c>
      <c r="F323" s="80" t="s">
        <v>5</v>
      </c>
      <c r="G323" s="70" t="s">
        <v>131</v>
      </c>
      <c r="H323" s="71" t="s">
        <v>118</v>
      </c>
    </row>
    <row r="324" spans="4:8" ht="18" customHeight="1">
      <c r="D324" s="79">
        <v>83040045</v>
      </c>
      <c r="E324" s="70" t="s">
        <v>474</v>
      </c>
      <c r="F324" s="80" t="s">
        <v>5</v>
      </c>
      <c r="G324" s="70" t="s">
        <v>131</v>
      </c>
      <c r="H324" s="71" t="s">
        <v>118</v>
      </c>
    </row>
    <row r="325" spans="4:8" ht="18" customHeight="1">
      <c r="D325" s="79">
        <v>83040208</v>
      </c>
      <c r="E325" s="70" t="s">
        <v>475</v>
      </c>
      <c r="F325" s="80" t="s">
        <v>5</v>
      </c>
      <c r="G325" s="70" t="s">
        <v>131</v>
      </c>
      <c r="H325" s="71" t="s">
        <v>118</v>
      </c>
    </row>
    <row r="326" spans="4:8" ht="18" customHeight="1">
      <c r="D326" s="79">
        <v>162692</v>
      </c>
      <c r="E326" s="70" t="s">
        <v>476</v>
      </c>
      <c r="F326" s="80" t="s">
        <v>5</v>
      </c>
      <c r="G326" s="70" t="s">
        <v>131</v>
      </c>
      <c r="H326" s="71" t="s">
        <v>118</v>
      </c>
    </row>
    <row r="327" spans="4:8" ht="18" customHeight="1">
      <c r="D327" s="79">
        <v>134354</v>
      </c>
      <c r="E327" s="70" t="s">
        <v>477</v>
      </c>
      <c r="F327" s="80" t="s">
        <v>5</v>
      </c>
      <c r="G327" s="70" t="s">
        <v>131</v>
      </c>
      <c r="H327" s="71" t="s">
        <v>118</v>
      </c>
    </row>
    <row r="328" spans="4:8" ht="18" customHeight="1">
      <c r="D328" s="79">
        <v>83102201</v>
      </c>
      <c r="E328" s="70" t="s">
        <v>478</v>
      </c>
      <c r="F328" s="80" t="s">
        <v>5</v>
      </c>
      <c r="G328" s="70" t="s">
        <v>131</v>
      </c>
      <c r="H328" s="71" t="s">
        <v>118</v>
      </c>
    </row>
    <row r="329" spans="4:8" ht="18" customHeight="1">
      <c r="D329" s="79">
        <v>84122966</v>
      </c>
      <c r="E329" s="70" t="s">
        <v>479</v>
      </c>
      <c r="F329" s="80" t="s">
        <v>5</v>
      </c>
      <c r="G329" s="70" t="s">
        <v>131</v>
      </c>
      <c r="H329" s="71" t="s">
        <v>118</v>
      </c>
    </row>
    <row r="330" spans="4:8" ht="18" customHeight="1">
      <c r="D330" s="79">
        <v>83105169</v>
      </c>
      <c r="E330" s="70" t="s">
        <v>480</v>
      </c>
      <c r="F330" s="80" t="s">
        <v>5</v>
      </c>
      <c r="G330" s="70" t="s">
        <v>131</v>
      </c>
      <c r="H330" s="71" t="s">
        <v>118</v>
      </c>
    </row>
    <row r="331" spans="4:8" ht="18" customHeight="1">
      <c r="D331" s="79">
        <v>132514</v>
      </c>
      <c r="E331" s="70" t="s">
        <v>481</v>
      </c>
      <c r="F331" s="80" t="s">
        <v>5</v>
      </c>
      <c r="G331" s="70" t="s">
        <v>131</v>
      </c>
      <c r="H331" s="71" t="s">
        <v>118</v>
      </c>
    </row>
    <row r="332" spans="4:8" ht="18" customHeight="1">
      <c r="D332" s="79">
        <v>221927</v>
      </c>
      <c r="E332" s="69" t="s">
        <v>482</v>
      </c>
      <c r="F332" s="80" t="s">
        <v>5</v>
      </c>
      <c r="G332" s="70" t="s">
        <v>131</v>
      </c>
      <c r="H332" s="71" t="s">
        <v>118</v>
      </c>
    </row>
    <row r="333" spans="4:8" ht="18" customHeight="1">
      <c r="D333" s="79">
        <v>83075885</v>
      </c>
      <c r="E333" s="70" t="s">
        <v>483</v>
      </c>
      <c r="F333" s="80" t="s">
        <v>5</v>
      </c>
      <c r="G333" s="70" t="s">
        <v>131</v>
      </c>
      <c r="H333" s="71" t="s">
        <v>118</v>
      </c>
    </row>
    <row r="334" spans="4:8" ht="18" customHeight="1">
      <c r="D334" s="79">
        <v>83102185</v>
      </c>
      <c r="E334" s="70" t="s">
        <v>484</v>
      </c>
      <c r="F334" s="80" t="s">
        <v>5</v>
      </c>
      <c r="G334" s="70" t="s">
        <v>131</v>
      </c>
      <c r="H334" s="71" t="s">
        <v>118</v>
      </c>
    </row>
    <row r="335" spans="4:8" ht="18" customHeight="1">
      <c r="D335" s="79">
        <v>221928</v>
      </c>
      <c r="E335" s="69" t="s">
        <v>485</v>
      </c>
      <c r="F335" s="80" t="s">
        <v>5</v>
      </c>
      <c r="G335" s="70" t="s">
        <v>131</v>
      </c>
      <c r="H335" s="71" t="s">
        <v>118</v>
      </c>
    </row>
    <row r="336" spans="4:8" ht="18" customHeight="1">
      <c r="D336" s="79">
        <v>83116138</v>
      </c>
      <c r="E336" s="70" t="s">
        <v>486</v>
      </c>
      <c r="F336" s="80" t="s">
        <v>5</v>
      </c>
      <c r="G336" s="70" t="s">
        <v>131</v>
      </c>
      <c r="H336" s="71" t="s">
        <v>118</v>
      </c>
    </row>
    <row r="337" spans="4:8" ht="18" customHeight="1">
      <c r="D337" s="79">
        <v>140685</v>
      </c>
      <c r="E337" s="70" t="s">
        <v>487</v>
      </c>
      <c r="F337" s="80" t="s">
        <v>5</v>
      </c>
      <c r="G337" s="70" t="s">
        <v>131</v>
      </c>
      <c r="H337" s="71" t="s">
        <v>118</v>
      </c>
    </row>
    <row r="338" spans="4:8" ht="18" customHeight="1">
      <c r="D338" s="79">
        <v>140689</v>
      </c>
      <c r="E338" s="70" t="s">
        <v>488</v>
      </c>
      <c r="F338" s="80" t="s">
        <v>5</v>
      </c>
      <c r="G338" s="70" t="s">
        <v>131</v>
      </c>
      <c r="H338" s="71" t="s">
        <v>118</v>
      </c>
    </row>
    <row r="339" spans="4:8" ht="18" customHeight="1">
      <c r="D339" s="79">
        <v>83074618</v>
      </c>
      <c r="E339" s="70" t="s">
        <v>489</v>
      </c>
      <c r="F339" s="80" t="s">
        <v>5</v>
      </c>
      <c r="G339" s="70" t="s">
        <v>131</v>
      </c>
      <c r="H339" s="71" t="s">
        <v>118</v>
      </c>
    </row>
    <row r="340" spans="4:8" ht="18" customHeight="1">
      <c r="D340" s="79">
        <v>147371</v>
      </c>
      <c r="E340" s="70" t="s">
        <v>490</v>
      </c>
      <c r="F340" s="80" t="s">
        <v>5</v>
      </c>
      <c r="G340" s="70" t="s">
        <v>131</v>
      </c>
      <c r="H340" s="71" t="s">
        <v>118</v>
      </c>
    </row>
    <row r="341" spans="4:8" ht="18" customHeight="1">
      <c r="D341" s="79">
        <v>154179</v>
      </c>
      <c r="E341" s="70" t="s">
        <v>491</v>
      </c>
      <c r="F341" s="80" t="s">
        <v>5</v>
      </c>
      <c r="G341" s="70" t="s">
        <v>131</v>
      </c>
      <c r="H341" s="71" t="s">
        <v>118</v>
      </c>
    </row>
    <row r="342" spans="4:8" ht="18" customHeight="1">
      <c r="D342" s="79">
        <v>83102749</v>
      </c>
      <c r="E342" s="70" t="s">
        <v>492</v>
      </c>
      <c r="F342" s="80" t="s">
        <v>5</v>
      </c>
      <c r="G342" s="70" t="s">
        <v>131</v>
      </c>
      <c r="H342" s="71" t="s">
        <v>118</v>
      </c>
    </row>
    <row r="343" spans="4:8" ht="18" customHeight="1">
      <c r="D343" s="79">
        <v>83088475</v>
      </c>
      <c r="E343" s="70" t="s">
        <v>493</v>
      </c>
      <c r="F343" s="80" t="s">
        <v>5</v>
      </c>
      <c r="G343" s="70" t="s">
        <v>131</v>
      </c>
      <c r="H343" s="71" t="s">
        <v>118</v>
      </c>
    </row>
    <row r="344" spans="4:8" ht="18" customHeight="1">
      <c r="D344" s="79">
        <v>83090015</v>
      </c>
      <c r="E344" s="70" t="s">
        <v>494</v>
      </c>
      <c r="F344" s="80" t="s">
        <v>5</v>
      </c>
      <c r="G344" s="70" t="s">
        <v>131</v>
      </c>
      <c r="H344" s="71" t="s">
        <v>118</v>
      </c>
    </row>
    <row r="345" spans="4:8" ht="18" customHeight="1">
      <c r="D345" s="79">
        <v>147365</v>
      </c>
      <c r="E345" s="70" t="s">
        <v>495</v>
      </c>
      <c r="F345" s="80" t="s">
        <v>5</v>
      </c>
      <c r="G345" s="70" t="s">
        <v>131</v>
      </c>
      <c r="H345" s="71" t="s">
        <v>118</v>
      </c>
    </row>
    <row r="346" spans="4:8" ht="18" customHeight="1">
      <c r="D346" s="79">
        <v>83102429</v>
      </c>
      <c r="E346" s="70" t="s">
        <v>496</v>
      </c>
      <c r="F346" s="80" t="s">
        <v>5</v>
      </c>
      <c r="G346" s="70" t="s">
        <v>131</v>
      </c>
      <c r="H346" s="71" t="s">
        <v>118</v>
      </c>
    </row>
    <row r="347" spans="4:8" ht="18" customHeight="1">
      <c r="D347" s="79">
        <v>83119911</v>
      </c>
      <c r="E347" s="70" t="s">
        <v>497</v>
      </c>
      <c r="F347" s="80" t="s">
        <v>5</v>
      </c>
      <c r="G347" s="70" t="s">
        <v>131</v>
      </c>
      <c r="H347" s="71" t="s">
        <v>118</v>
      </c>
    </row>
    <row r="348" spans="4:8" ht="18" customHeight="1">
      <c r="D348" s="79">
        <v>140594</v>
      </c>
      <c r="E348" s="70" t="s">
        <v>498</v>
      </c>
      <c r="F348" s="80" t="s">
        <v>5</v>
      </c>
      <c r="G348" s="70" t="s">
        <v>131</v>
      </c>
      <c r="H348" s="71" t="s">
        <v>118</v>
      </c>
    </row>
    <row r="349" spans="4:8" ht="18" customHeight="1">
      <c r="D349" s="79">
        <v>134584</v>
      </c>
      <c r="E349" s="70" t="s">
        <v>499</v>
      </c>
      <c r="F349" s="80" t="s">
        <v>5</v>
      </c>
      <c r="G349" s="70" t="s">
        <v>131</v>
      </c>
      <c r="H349" s="71" t="s">
        <v>118</v>
      </c>
    </row>
    <row r="350" spans="4:8" ht="18" customHeight="1">
      <c r="D350" s="79">
        <v>83103429</v>
      </c>
      <c r="E350" s="70" t="s">
        <v>500</v>
      </c>
      <c r="F350" s="80" t="s">
        <v>5</v>
      </c>
      <c r="G350" s="70" t="s">
        <v>131</v>
      </c>
      <c r="H350" s="71" t="s">
        <v>118</v>
      </c>
    </row>
    <row r="351" spans="4:8" ht="18" customHeight="1">
      <c r="D351" s="79">
        <v>84122840</v>
      </c>
      <c r="E351" s="70" t="s">
        <v>501</v>
      </c>
      <c r="F351" s="80" t="s">
        <v>5</v>
      </c>
      <c r="G351" s="70" t="s">
        <v>131</v>
      </c>
      <c r="H351" s="71" t="s">
        <v>118</v>
      </c>
    </row>
    <row r="352" spans="4:8" ht="18" customHeight="1">
      <c r="D352" s="79">
        <v>140692</v>
      </c>
      <c r="E352" s="70" t="s">
        <v>502</v>
      </c>
      <c r="F352" s="80" t="s">
        <v>5</v>
      </c>
      <c r="G352" s="70" t="s">
        <v>131</v>
      </c>
      <c r="H352" s="71" t="s">
        <v>118</v>
      </c>
    </row>
    <row r="353" spans="4:8" ht="18" customHeight="1">
      <c r="D353" s="79">
        <v>147356</v>
      </c>
      <c r="E353" s="70" t="s">
        <v>503</v>
      </c>
      <c r="F353" s="80" t="s">
        <v>5</v>
      </c>
      <c r="G353" s="70" t="s">
        <v>131</v>
      </c>
      <c r="H353" s="71" t="s">
        <v>118</v>
      </c>
    </row>
    <row r="354" spans="4:8" ht="18" customHeight="1">
      <c r="D354" s="79">
        <v>221922</v>
      </c>
      <c r="E354" s="69" t="s">
        <v>504</v>
      </c>
      <c r="F354" s="80" t="s">
        <v>5</v>
      </c>
      <c r="G354" s="70" t="s">
        <v>131</v>
      </c>
      <c r="H354" s="71" t="s">
        <v>118</v>
      </c>
    </row>
    <row r="355" spans="4:8" ht="18" customHeight="1">
      <c r="D355" s="79">
        <v>83105221</v>
      </c>
      <c r="E355" s="70" t="s">
        <v>505</v>
      </c>
      <c r="F355" s="80" t="s">
        <v>5</v>
      </c>
      <c r="G355" s="70" t="s">
        <v>131</v>
      </c>
      <c r="H355" s="71" t="s">
        <v>118</v>
      </c>
    </row>
    <row r="356" spans="4:8" ht="18" customHeight="1">
      <c r="D356" s="79">
        <v>143586</v>
      </c>
      <c r="E356" s="70" t="s">
        <v>506</v>
      </c>
      <c r="F356" s="80" t="s">
        <v>5</v>
      </c>
      <c r="G356" s="70" t="s">
        <v>131</v>
      </c>
      <c r="H356" s="71" t="s">
        <v>118</v>
      </c>
    </row>
    <row r="357" spans="4:8" ht="18" customHeight="1">
      <c r="D357" s="79">
        <v>221918</v>
      </c>
      <c r="E357" s="69" t="s">
        <v>507</v>
      </c>
      <c r="F357" s="80" t="s">
        <v>5</v>
      </c>
      <c r="G357" s="70" t="s">
        <v>131</v>
      </c>
      <c r="H357" s="71" t="s">
        <v>118</v>
      </c>
    </row>
    <row r="358" spans="4:8" ht="18" customHeight="1">
      <c r="D358" s="79">
        <v>134550</v>
      </c>
      <c r="E358" s="70" t="s">
        <v>508</v>
      </c>
      <c r="F358" s="80" t="s">
        <v>5</v>
      </c>
      <c r="G358" s="70" t="s">
        <v>131</v>
      </c>
      <c r="H358" s="71" t="s">
        <v>118</v>
      </c>
    </row>
    <row r="359" spans="4:8" ht="18" customHeight="1">
      <c r="D359" s="79">
        <v>83116127</v>
      </c>
      <c r="E359" s="70" t="s">
        <v>509</v>
      </c>
      <c r="F359" s="80" t="s">
        <v>5</v>
      </c>
      <c r="G359" s="70" t="s">
        <v>131</v>
      </c>
      <c r="H359" s="71" t="s">
        <v>118</v>
      </c>
    </row>
    <row r="360" spans="4:8" ht="18" customHeight="1">
      <c r="D360" s="70">
        <v>241131</v>
      </c>
      <c r="E360" s="70" t="s">
        <v>510</v>
      </c>
      <c r="F360" s="70" t="s">
        <v>5</v>
      </c>
      <c r="G360" s="70" t="s">
        <v>131</v>
      </c>
      <c r="H360" s="71" t="s">
        <v>118</v>
      </c>
    </row>
    <row r="361" spans="4:8" ht="18" customHeight="1">
      <c r="D361" s="70">
        <v>241132</v>
      </c>
      <c r="E361" s="70" t="s">
        <v>511</v>
      </c>
      <c r="F361" s="70" t="s">
        <v>5</v>
      </c>
      <c r="G361" s="70" t="s">
        <v>131</v>
      </c>
      <c r="H361" s="71" t="s">
        <v>118</v>
      </c>
    </row>
    <row r="362" spans="4:8" ht="18" customHeight="1">
      <c r="D362" s="70">
        <v>241137</v>
      </c>
      <c r="E362" s="70" t="s">
        <v>512</v>
      </c>
      <c r="F362" s="70" t="s">
        <v>5</v>
      </c>
      <c r="G362" s="70" t="s">
        <v>131</v>
      </c>
      <c r="H362" s="71" t="s">
        <v>118</v>
      </c>
    </row>
    <row r="363" spans="4:8" ht="18" customHeight="1">
      <c r="D363" s="70">
        <v>241135</v>
      </c>
      <c r="E363" s="70" t="s">
        <v>513</v>
      </c>
      <c r="F363" s="70" t="s">
        <v>5</v>
      </c>
      <c r="G363" s="70" t="s">
        <v>131</v>
      </c>
      <c r="H363" s="71" t="s">
        <v>118</v>
      </c>
    </row>
    <row r="364" spans="4:8" ht="18" customHeight="1">
      <c r="D364" s="70">
        <v>241133</v>
      </c>
      <c r="E364" s="70" t="s">
        <v>514</v>
      </c>
      <c r="F364" s="70" t="s">
        <v>5</v>
      </c>
      <c r="G364" s="70" t="s">
        <v>131</v>
      </c>
      <c r="H364" s="71" t="s">
        <v>118</v>
      </c>
    </row>
    <row r="365" spans="4:8" ht="18" customHeight="1">
      <c r="D365" s="70">
        <v>241136</v>
      </c>
      <c r="E365" s="70" t="s">
        <v>515</v>
      </c>
      <c r="F365" s="70" t="s">
        <v>5</v>
      </c>
      <c r="G365" s="70" t="s">
        <v>131</v>
      </c>
      <c r="H365" s="71" t="s">
        <v>118</v>
      </c>
    </row>
    <row r="366" spans="4:8" ht="18" customHeight="1">
      <c r="D366" s="70">
        <v>241138</v>
      </c>
      <c r="E366" s="70" t="s">
        <v>516</v>
      </c>
      <c r="F366" s="70" t="s">
        <v>5</v>
      </c>
      <c r="G366" s="70" t="s">
        <v>131</v>
      </c>
      <c r="H366" s="71" t="s">
        <v>118</v>
      </c>
    </row>
    <row r="367" spans="4:8" ht="18" customHeight="1">
      <c r="D367" s="70">
        <v>241134</v>
      </c>
      <c r="E367" s="70" t="s">
        <v>517</v>
      </c>
      <c r="F367" s="70" t="s">
        <v>5</v>
      </c>
      <c r="G367" s="70" t="s">
        <v>131</v>
      </c>
      <c r="H367" s="71" t="s">
        <v>118</v>
      </c>
    </row>
    <row r="368" spans="4:8" ht="18" customHeight="1">
      <c r="D368" s="70">
        <v>241551</v>
      </c>
      <c r="E368" s="70" t="s">
        <v>518</v>
      </c>
      <c r="F368" s="70" t="s">
        <v>5</v>
      </c>
      <c r="G368" s="70" t="s">
        <v>154</v>
      </c>
      <c r="H368" s="71" t="s">
        <v>117</v>
      </c>
    </row>
    <row r="369" spans="4:8" ht="18" customHeight="1">
      <c r="D369" s="70">
        <v>241552</v>
      </c>
      <c r="E369" s="70" t="s">
        <v>519</v>
      </c>
      <c r="F369" s="70" t="s">
        <v>5</v>
      </c>
      <c r="G369" s="70" t="s">
        <v>131</v>
      </c>
      <c r="H369" s="71" t="s">
        <v>118</v>
      </c>
    </row>
    <row r="370" spans="4:8" ht="18" customHeight="1">
      <c r="D370" s="70">
        <v>241553</v>
      </c>
      <c r="E370" s="70" t="s">
        <v>520</v>
      </c>
      <c r="F370" s="70" t="s">
        <v>5</v>
      </c>
      <c r="G370" s="70" t="s">
        <v>131</v>
      </c>
      <c r="H370" s="71" t="s">
        <v>118</v>
      </c>
    </row>
    <row r="371" spans="4:8" ht="18" customHeight="1">
      <c r="D371" s="70">
        <v>241554</v>
      </c>
      <c r="E371" s="70" t="s">
        <v>521</v>
      </c>
      <c r="F371" s="70" t="s">
        <v>5</v>
      </c>
      <c r="G371" s="70" t="s">
        <v>131</v>
      </c>
      <c r="H371" s="71" t="s">
        <v>118</v>
      </c>
    </row>
    <row r="372" spans="4:8" ht="18" customHeight="1">
      <c r="D372" s="70">
        <v>241555</v>
      </c>
      <c r="E372" s="70" t="s">
        <v>522</v>
      </c>
      <c r="F372" s="70" t="s">
        <v>5</v>
      </c>
      <c r="G372" s="70" t="s">
        <v>131</v>
      </c>
      <c r="H372" s="71" t="s">
        <v>118</v>
      </c>
    </row>
    <row r="373" spans="4:8" ht="18" customHeight="1">
      <c r="D373" s="70">
        <v>241556</v>
      </c>
      <c r="E373" s="70" t="s">
        <v>523</v>
      </c>
      <c r="F373" s="70" t="s">
        <v>5</v>
      </c>
      <c r="G373" s="70" t="s">
        <v>131</v>
      </c>
      <c r="H373" s="71" t="s">
        <v>118</v>
      </c>
    </row>
    <row r="374" spans="4:8" ht="18" customHeight="1">
      <c r="D374" s="70">
        <v>241557</v>
      </c>
      <c r="E374" s="70" t="s">
        <v>524</v>
      </c>
      <c r="F374" s="70" t="s">
        <v>5</v>
      </c>
      <c r="G374" s="70" t="s">
        <v>131</v>
      </c>
      <c r="H374" s="71" t="s">
        <v>118</v>
      </c>
    </row>
    <row r="375" spans="4:8" ht="18" customHeight="1">
      <c r="D375" s="70">
        <v>241559</v>
      </c>
      <c r="E375" s="70" t="s">
        <v>525</v>
      </c>
      <c r="F375" s="70" t="s">
        <v>5</v>
      </c>
      <c r="G375" s="70" t="s">
        <v>131</v>
      </c>
      <c r="H375" s="71" t="s">
        <v>118</v>
      </c>
    </row>
    <row r="376" spans="4:8" ht="18" customHeight="1">
      <c r="D376" s="70">
        <v>241560</v>
      </c>
      <c r="E376" s="70" t="s">
        <v>526</v>
      </c>
      <c r="F376" s="70" t="s">
        <v>5</v>
      </c>
      <c r="G376" s="70" t="s">
        <v>131</v>
      </c>
      <c r="H376" s="71" t="s">
        <v>118</v>
      </c>
    </row>
    <row r="377" spans="4:8" ht="18" customHeight="1">
      <c r="D377" s="70">
        <v>241561</v>
      </c>
      <c r="E377" s="70" t="s">
        <v>527</v>
      </c>
      <c r="F377" s="70" t="s">
        <v>5</v>
      </c>
      <c r="G377" s="70" t="s">
        <v>131</v>
      </c>
      <c r="H377" s="71" t="s">
        <v>118</v>
      </c>
    </row>
    <row r="378" spans="4:8" ht="18" customHeight="1">
      <c r="D378" s="70">
        <v>241562</v>
      </c>
      <c r="E378" s="70" t="s">
        <v>528</v>
      </c>
      <c r="F378" s="70" t="s">
        <v>5</v>
      </c>
      <c r="G378" s="70" t="s">
        <v>131</v>
      </c>
      <c r="H378" s="71" t="s">
        <v>118</v>
      </c>
    </row>
    <row r="379" spans="4:8" ht="18" customHeight="1">
      <c r="D379" s="70">
        <v>242165</v>
      </c>
      <c r="E379" s="70" t="s">
        <v>529</v>
      </c>
      <c r="F379" s="70" t="s">
        <v>5</v>
      </c>
      <c r="G379" s="70" t="s">
        <v>131</v>
      </c>
      <c r="H379" s="71" t="s">
        <v>118</v>
      </c>
    </row>
    <row r="380" spans="4:8" ht="18" customHeight="1">
      <c r="D380" s="70">
        <v>242159</v>
      </c>
      <c r="E380" s="70" t="s">
        <v>530</v>
      </c>
      <c r="F380" s="70" t="s">
        <v>5</v>
      </c>
      <c r="G380" s="70" t="s">
        <v>131</v>
      </c>
      <c r="H380" s="71" t="s">
        <v>118</v>
      </c>
    </row>
    <row r="381" spans="4:8" ht="18" customHeight="1">
      <c r="D381" s="70">
        <v>242184</v>
      </c>
      <c r="E381" s="70" t="s">
        <v>531</v>
      </c>
      <c r="F381" s="70" t="s">
        <v>5</v>
      </c>
      <c r="G381" s="70" t="s">
        <v>131</v>
      </c>
      <c r="H381" s="71" t="s">
        <v>118</v>
      </c>
    </row>
    <row r="382" spans="4:8" ht="18" customHeight="1">
      <c r="D382" s="70">
        <v>242185</v>
      </c>
      <c r="E382" s="70" t="s">
        <v>532</v>
      </c>
      <c r="F382" s="70" t="s">
        <v>5</v>
      </c>
      <c r="G382" s="70" t="s">
        <v>131</v>
      </c>
      <c r="H382" s="71" t="s">
        <v>118</v>
      </c>
    </row>
    <row r="383" spans="4:8" ht="18" customHeight="1">
      <c r="D383" s="70">
        <v>242186</v>
      </c>
      <c r="E383" s="70" t="s">
        <v>533</v>
      </c>
      <c r="F383" s="70" t="s">
        <v>5</v>
      </c>
      <c r="G383" s="70" t="s">
        <v>131</v>
      </c>
      <c r="H383" s="71" t="s">
        <v>118</v>
      </c>
    </row>
    <row r="384" spans="4:8" ht="18" customHeight="1">
      <c r="D384" s="70">
        <v>242209</v>
      </c>
      <c r="E384" s="70" t="s">
        <v>534</v>
      </c>
      <c r="F384" s="70" t="s">
        <v>5</v>
      </c>
      <c r="G384" s="70" t="s">
        <v>131</v>
      </c>
      <c r="H384" s="71" t="s">
        <v>118</v>
      </c>
    </row>
    <row r="385" spans="4:8" ht="18" customHeight="1">
      <c r="D385" s="70">
        <v>242407</v>
      </c>
      <c r="E385" s="70" t="s">
        <v>535</v>
      </c>
      <c r="F385" s="70" t="s">
        <v>5</v>
      </c>
      <c r="G385" s="70" t="s">
        <v>131</v>
      </c>
      <c r="H385" s="71" t="s">
        <v>118</v>
      </c>
    </row>
    <row r="386" spans="4:8" ht="18" customHeight="1">
      <c r="D386" s="70">
        <v>242408</v>
      </c>
      <c r="E386" s="70" t="s">
        <v>536</v>
      </c>
      <c r="F386" s="70" t="s">
        <v>5</v>
      </c>
      <c r="G386" s="70" t="s">
        <v>131</v>
      </c>
      <c r="H386" s="71" t="s">
        <v>118</v>
      </c>
    </row>
    <row r="387" spans="4:8" ht="18" customHeight="1">
      <c r="D387" s="70">
        <v>242409</v>
      </c>
      <c r="E387" s="70" t="s">
        <v>537</v>
      </c>
      <c r="F387" s="70" t="s">
        <v>5</v>
      </c>
      <c r="G387" s="70" t="s">
        <v>131</v>
      </c>
      <c r="H387" s="71" t="s">
        <v>118</v>
      </c>
    </row>
    <row r="388" spans="4:8" ht="18" customHeight="1">
      <c r="D388" s="70">
        <v>242410</v>
      </c>
      <c r="E388" s="70" t="s">
        <v>538</v>
      </c>
      <c r="F388" s="70" t="s">
        <v>5</v>
      </c>
      <c r="G388" s="70" t="s">
        <v>131</v>
      </c>
      <c r="H388" s="71" t="s">
        <v>118</v>
      </c>
    </row>
    <row r="389" spans="4:8" ht="18" customHeight="1">
      <c r="D389" s="70">
        <v>242411</v>
      </c>
      <c r="E389" s="70" t="s">
        <v>539</v>
      </c>
      <c r="F389" s="70" t="s">
        <v>5</v>
      </c>
      <c r="G389" s="70" t="s">
        <v>131</v>
      </c>
      <c r="H389" s="71" t="s">
        <v>118</v>
      </c>
    </row>
    <row r="390" spans="4:8" ht="18" customHeight="1">
      <c r="D390" s="70">
        <v>242412</v>
      </c>
      <c r="E390" s="70" t="s">
        <v>540</v>
      </c>
      <c r="F390" s="70" t="s">
        <v>5</v>
      </c>
      <c r="G390" s="70" t="s">
        <v>131</v>
      </c>
      <c r="H390" s="71" t="s">
        <v>118</v>
      </c>
    </row>
    <row r="391" spans="4:8" ht="18" customHeight="1">
      <c r="D391" s="70">
        <v>242413</v>
      </c>
      <c r="E391" s="70" t="s">
        <v>541</v>
      </c>
      <c r="F391" s="70" t="s">
        <v>5</v>
      </c>
      <c r="G391" s="70" t="s">
        <v>131</v>
      </c>
      <c r="H391" s="71" t="s">
        <v>118</v>
      </c>
    </row>
    <row r="392" spans="4:8" ht="18" customHeight="1">
      <c r="D392" s="70">
        <v>242417</v>
      </c>
      <c r="E392" s="70" t="s">
        <v>542</v>
      </c>
      <c r="F392" s="70" t="s">
        <v>5</v>
      </c>
      <c r="G392" s="70" t="s">
        <v>131</v>
      </c>
      <c r="H392" s="71" t="s">
        <v>118</v>
      </c>
    </row>
    <row r="393" spans="4:8" ht="18" customHeight="1">
      <c r="D393" s="70">
        <v>250755</v>
      </c>
      <c r="E393" s="70" t="s">
        <v>543</v>
      </c>
      <c r="F393" s="70" t="s">
        <v>5</v>
      </c>
      <c r="G393" s="70" t="s">
        <v>131</v>
      </c>
      <c r="H393" s="71" t="s">
        <v>118</v>
      </c>
    </row>
    <row r="394" spans="4:8" ht="18" customHeight="1">
      <c r="D394" s="70">
        <v>83123708</v>
      </c>
      <c r="E394" s="70" t="s">
        <v>544</v>
      </c>
      <c r="F394" s="70" t="s">
        <v>6</v>
      </c>
      <c r="G394" s="70" t="s">
        <v>545</v>
      </c>
      <c r="H394" s="71" t="s">
        <v>182</v>
      </c>
    </row>
    <row r="395" spans="4:8" ht="18" customHeight="1">
      <c r="D395" s="70">
        <v>83123707</v>
      </c>
      <c r="E395" s="70" t="s">
        <v>546</v>
      </c>
      <c r="F395" s="70" t="s">
        <v>6</v>
      </c>
      <c r="G395" s="70" t="s">
        <v>84</v>
      </c>
      <c r="H395" s="71" t="s">
        <v>182</v>
      </c>
    </row>
    <row r="396" spans="4:8" ht="18" customHeight="1">
      <c r="D396" s="70">
        <v>145074</v>
      </c>
      <c r="E396" s="70" t="s">
        <v>547</v>
      </c>
      <c r="F396" s="70" t="s">
        <v>6</v>
      </c>
      <c r="G396" s="70" t="s">
        <v>84</v>
      </c>
      <c r="H396" s="71" t="s">
        <v>182</v>
      </c>
    </row>
    <row r="397" spans="4:8" ht="18" customHeight="1">
      <c r="D397" s="70">
        <v>145341</v>
      </c>
      <c r="E397" s="70" t="s">
        <v>548</v>
      </c>
      <c r="F397" s="70" t="s">
        <v>7</v>
      </c>
      <c r="G397" s="70" t="s">
        <v>84</v>
      </c>
      <c r="H397" s="71" t="s">
        <v>145</v>
      </c>
    </row>
    <row r="398" spans="4:8" ht="18" customHeight="1">
      <c r="D398" s="70">
        <v>83102211</v>
      </c>
      <c r="E398" s="70" t="s">
        <v>549</v>
      </c>
      <c r="F398" s="70" t="s">
        <v>7</v>
      </c>
      <c r="G398" s="70" t="s">
        <v>550</v>
      </c>
      <c r="H398" s="71" t="s">
        <v>145</v>
      </c>
    </row>
    <row r="399" spans="4:8" ht="18" customHeight="1">
      <c r="D399" s="70">
        <v>142244</v>
      </c>
      <c r="E399" s="70" t="s">
        <v>551</v>
      </c>
      <c r="F399" s="70" t="s">
        <v>7</v>
      </c>
      <c r="G399" s="70" t="s">
        <v>84</v>
      </c>
      <c r="H399" s="71" t="s">
        <v>145</v>
      </c>
    </row>
    <row r="400" spans="4:8" ht="18" customHeight="1">
      <c r="D400" s="70">
        <v>145315</v>
      </c>
      <c r="E400" s="70" t="s">
        <v>552</v>
      </c>
      <c r="F400" s="70" t="s">
        <v>7</v>
      </c>
      <c r="G400" s="70" t="s">
        <v>84</v>
      </c>
      <c r="H400" s="71" t="s">
        <v>145</v>
      </c>
    </row>
    <row r="401" spans="4:8" ht="18" customHeight="1">
      <c r="D401" s="70">
        <v>145347</v>
      </c>
      <c r="E401" s="70" t="s">
        <v>553</v>
      </c>
      <c r="F401" s="70" t="s">
        <v>7</v>
      </c>
      <c r="G401" s="70" t="s">
        <v>54</v>
      </c>
      <c r="H401" s="71" t="s">
        <v>145</v>
      </c>
    </row>
    <row r="402" spans="4:8" ht="18" customHeight="1">
      <c r="D402" s="70">
        <v>83124750</v>
      </c>
      <c r="E402" s="70" t="s">
        <v>554</v>
      </c>
      <c r="F402" s="70" t="s">
        <v>7</v>
      </c>
      <c r="G402" s="70" t="s">
        <v>555</v>
      </c>
      <c r="H402" s="71" t="s">
        <v>145</v>
      </c>
    </row>
    <row r="403" spans="4:8" ht="18" customHeight="1">
      <c r="D403" s="70">
        <v>135037</v>
      </c>
      <c r="E403" s="70" t="s">
        <v>556</v>
      </c>
      <c r="F403" s="70" t="s">
        <v>7</v>
      </c>
      <c r="G403" s="70" t="s">
        <v>84</v>
      </c>
      <c r="H403" s="71" t="s">
        <v>145</v>
      </c>
    </row>
    <row r="404" spans="4:8" ht="18" customHeight="1">
      <c r="D404" s="70">
        <v>83086689</v>
      </c>
      <c r="E404" s="70" t="s">
        <v>557</v>
      </c>
      <c r="F404" s="70" t="s">
        <v>7</v>
      </c>
      <c r="G404" s="70" t="s">
        <v>84</v>
      </c>
      <c r="H404" s="71" t="s">
        <v>145</v>
      </c>
    </row>
    <row r="405" spans="4:8" ht="18" customHeight="1">
      <c r="D405" s="70">
        <v>83124751</v>
      </c>
      <c r="E405" s="70" t="s">
        <v>558</v>
      </c>
      <c r="F405" s="70" t="s">
        <v>7</v>
      </c>
      <c r="G405" s="70" t="s">
        <v>559</v>
      </c>
      <c r="H405" s="71" t="s">
        <v>145</v>
      </c>
    </row>
    <row r="406" spans="4:8" ht="18" customHeight="1">
      <c r="D406" s="70">
        <v>83086304</v>
      </c>
      <c r="E406" s="70" t="s">
        <v>560</v>
      </c>
      <c r="F406" s="70" t="s">
        <v>7</v>
      </c>
      <c r="G406" s="70" t="s">
        <v>84</v>
      </c>
      <c r="H406" s="71" t="s">
        <v>145</v>
      </c>
    </row>
    <row r="407" spans="4:8" ht="18" customHeight="1">
      <c r="D407" s="73">
        <v>154599</v>
      </c>
      <c r="E407" s="69" t="s">
        <v>561</v>
      </c>
      <c r="F407" s="73" t="s">
        <v>7</v>
      </c>
      <c r="G407" s="70" t="s">
        <v>562</v>
      </c>
      <c r="H407" s="71" t="s">
        <v>145</v>
      </c>
    </row>
    <row r="408" spans="4:8" ht="18" customHeight="1">
      <c r="D408" s="73">
        <v>147326</v>
      </c>
      <c r="E408" s="69" t="s">
        <v>563</v>
      </c>
      <c r="F408" s="73" t="s">
        <v>7</v>
      </c>
      <c r="G408" s="70" t="s">
        <v>131</v>
      </c>
      <c r="H408" s="71" t="s">
        <v>118</v>
      </c>
    </row>
    <row r="409" spans="4:8" ht="18" customHeight="1">
      <c r="D409" s="73">
        <v>83040081</v>
      </c>
      <c r="E409" s="69" t="s">
        <v>564</v>
      </c>
      <c r="F409" s="73" t="s">
        <v>7</v>
      </c>
      <c r="G409" s="70" t="s">
        <v>562</v>
      </c>
      <c r="H409" s="71" t="s">
        <v>118</v>
      </c>
    </row>
    <row r="410" spans="4:8" ht="18" customHeight="1">
      <c r="D410" s="73">
        <v>162697</v>
      </c>
      <c r="E410" s="69" t="s">
        <v>565</v>
      </c>
      <c r="F410" s="73" t="s">
        <v>7</v>
      </c>
      <c r="G410" s="70" t="s">
        <v>131</v>
      </c>
      <c r="H410" s="71" t="s">
        <v>118</v>
      </c>
    </row>
    <row r="411" spans="4:8" ht="18" customHeight="1">
      <c r="D411" s="73">
        <v>162705</v>
      </c>
      <c r="E411" s="69" t="s">
        <v>566</v>
      </c>
      <c r="F411" s="73" t="s">
        <v>7</v>
      </c>
      <c r="G411" s="70" t="s">
        <v>131</v>
      </c>
      <c r="H411" s="71" t="s">
        <v>118</v>
      </c>
    </row>
    <row r="412" spans="4:8" ht="18" customHeight="1">
      <c r="D412" s="73">
        <v>154185</v>
      </c>
      <c r="E412" s="69" t="s">
        <v>567</v>
      </c>
      <c r="F412" s="73" t="s">
        <v>7</v>
      </c>
      <c r="G412" s="70" t="s">
        <v>131</v>
      </c>
      <c r="H412" s="71" t="s">
        <v>118</v>
      </c>
    </row>
    <row r="413" spans="4:8" ht="18" customHeight="1">
      <c r="D413" s="73">
        <v>140707</v>
      </c>
      <c r="E413" s="69" t="s">
        <v>568</v>
      </c>
      <c r="F413" s="73" t="s">
        <v>7</v>
      </c>
      <c r="G413" s="70" t="s">
        <v>131</v>
      </c>
      <c r="H413" s="71" t="s">
        <v>118</v>
      </c>
    </row>
    <row r="414" spans="4:8" ht="18" customHeight="1">
      <c r="D414" s="73">
        <v>242691</v>
      </c>
      <c r="E414" s="69" t="s">
        <v>569</v>
      </c>
      <c r="F414" s="73" t="s">
        <v>7</v>
      </c>
      <c r="G414" s="70" t="s">
        <v>131</v>
      </c>
      <c r="H414" s="71" t="s">
        <v>118</v>
      </c>
    </row>
    <row r="415" spans="4:8" ht="18" customHeight="1">
      <c r="D415" s="73">
        <v>251126</v>
      </c>
      <c r="E415" s="69" t="s">
        <v>570</v>
      </c>
      <c r="F415" s="73" t="s">
        <v>7</v>
      </c>
      <c r="G415" s="70" t="s">
        <v>131</v>
      </c>
      <c r="H415" s="71" t="s">
        <v>118</v>
      </c>
    </row>
    <row r="416" spans="4:8" ht="18" customHeight="1">
      <c r="D416" s="87">
        <v>83102208</v>
      </c>
      <c r="E416" s="70" t="s">
        <v>112</v>
      </c>
      <c r="F416" s="70" t="s">
        <v>8</v>
      </c>
      <c r="G416" s="70" t="s">
        <v>93</v>
      </c>
      <c r="H416" s="71" t="s">
        <v>182</v>
      </c>
    </row>
    <row r="417" spans="4:8" ht="18" customHeight="1">
      <c r="D417" s="81">
        <v>83123690</v>
      </c>
      <c r="E417" s="70" t="s">
        <v>571</v>
      </c>
      <c r="F417" s="70" t="s">
        <v>8</v>
      </c>
      <c r="G417" s="70" t="s">
        <v>572</v>
      </c>
      <c r="H417" s="71" t="s">
        <v>182</v>
      </c>
    </row>
    <row r="418" spans="4:8" ht="18" customHeight="1">
      <c r="D418" s="81">
        <v>141439</v>
      </c>
      <c r="E418" s="70" t="s">
        <v>573</v>
      </c>
      <c r="F418" s="70" t="s">
        <v>8</v>
      </c>
      <c r="G418" s="70" t="s">
        <v>84</v>
      </c>
      <c r="H418" s="71" t="s">
        <v>182</v>
      </c>
    </row>
    <row r="419" spans="4:8" ht="18" customHeight="1">
      <c r="D419" s="81">
        <v>141440</v>
      </c>
      <c r="E419" s="70" t="s">
        <v>574</v>
      </c>
      <c r="F419" s="70" t="s">
        <v>8</v>
      </c>
      <c r="G419" s="70" t="s">
        <v>84</v>
      </c>
      <c r="H419" s="71" t="s">
        <v>182</v>
      </c>
    </row>
    <row r="420" spans="4:8" ht="18" customHeight="1">
      <c r="D420" s="81">
        <v>83123687</v>
      </c>
      <c r="E420" s="70" t="s">
        <v>575</v>
      </c>
      <c r="F420" s="70" t="s">
        <v>8</v>
      </c>
      <c r="G420" s="70" t="s">
        <v>59</v>
      </c>
      <c r="H420" s="71" t="s">
        <v>182</v>
      </c>
    </row>
    <row r="421" spans="4:8" ht="18" customHeight="1">
      <c r="D421" s="81">
        <v>141441</v>
      </c>
      <c r="E421" s="70" t="s">
        <v>576</v>
      </c>
      <c r="F421" s="70" t="s">
        <v>8</v>
      </c>
      <c r="G421" s="70" t="s">
        <v>84</v>
      </c>
      <c r="H421" s="71" t="s">
        <v>182</v>
      </c>
    </row>
    <row r="422" spans="4:8" ht="18" customHeight="1">
      <c r="D422" s="89" t="s">
        <v>577</v>
      </c>
      <c r="E422" s="70" t="s">
        <v>578</v>
      </c>
      <c r="F422" s="70" t="s">
        <v>8</v>
      </c>
      <c r="G422" s="70" t="s">
        <v>84</v>
      </c>
      <c r="H422" s="71" t="s">
        <v>182</v>
      </c>
    </row>
    <row r="423" spans="4:8" ht="18" customHeight="1">
      <c r="D423" s="81">
        <v>145565</v>
      </c>
      <c r="E423" s="70" t="s">
        <v>579</v>
      </c>
      <c r="F423" s="70" t="s">
        <v>8</v>
      </c>
      <c r="G423" s="70" t="s">
        <v>580</v>
      </c>
      <c r="H423" s="71" t="s">
        <v>182</v>
      </c>
    </row>
    <row r="424" spans="4:8" ht="18" customHeight="1">
      <c r="D424" s="81">
        <v>152455</v>
      </c>
      <c r="E424" s="70" t="s">
        <v>581</v>
      </c>
      <c r="F424" s="70" t="s">
        <v>8</v>
      </c>
      <c r="G424" s="70" t="s">
        <v>84</v>
      </c>
      <c r="H424" s="71" t="s">
        <v>182</v>
      </c>
    </row>
    <row r="425" spans="4:8" ht="18" customHeight="1">
      <c r="D425" s="81">
        <v>142875</v>
      </c>
      <c r="E425" s="70" t="s">
        <v>582</v>
      </c>
      <c r="F425" s="70" t="s">
        <v>8</v>
      </c>
      <c r="G425" s="70" t="s">
        <v>84</v>
      </c>
      <c r="H425" s="71" t="s">
        <v>182</v>
      </c>
    </row>
    <row r="426" spans="4:8" ht="18" customHeight="1">
      <c r="D426" s="89">
        <v>183497</v>
      </c>
      <c r="E426" s="70" t="s">
        <v>583</v>
      </c>
      <c r="F426" s="70" t="s">
        <v>8</v>
      </c>
      <c r="G426" s="70" t="s">
        <v>84</v>
      </c>
      <c r="H426" s="71" t="s">
        <v>182</v>
      </c>
    </row>
    <row r="427" spans="4:8" ht="18" customHeight="1">
      <c r="D427" s="81">
        <v>83123685</v>
      </c>
      <c r="E427" s="70" t="s">
        <v>584</v>
      </c>
      <c r="F427" s="70" t="s">
        <v>8</v>
      </c>
      <c r="G427" s="70" t="s">
        <v>585</v>
      </c>
      <c r="H427" s="71" t="s">
        <v>182</v>
      </c>
    </row>
    <row r="428" spans="4:8" ht="18" customHeight="1">
      <c r="D428" s="81">
        <v>83123688</v>
      </c>
      <c r="E428" s="70" t="s">
        <v>586</v>
      </c>
      <c r="F428" s="70" t="s">
        <v>8</v>
      </c>
      <c r="G428" s="70" t="s">
        <v>84</v>
      </c>
      <c r="H428" s="71" t="s">
        <v>182</v>
      </c>
    </row>
    <row r="429" spans="4:8" ht="18" customHeight="1">
      <c r="D429" s="81">
        <v>83123686</v>
      </c>
      <c r="E429" s="70" t="s">
        <v>587</v>
      </c>
      <c r="F429" s="70" t="s">
        <v>8</v>
      </c>
      <c r="G429" s="70" t="s">
        <v>84</v>
      </c>
      <c r="H429" s="71" t="s">
        <v>182</v>
      </c>
    </row>
    <row r="430" spans="4:8" ht="18" customHeight="1">
      <c r="D430" s="81">
        <v>83123689</v>
      </c>
      <c r="E430" s="70" t="s">
        <v>588</v>
      </c>
      <c r="F430" s="70" t="s">
        <v>8</v>
      </c>
      <c r="G430" s="70" t="s">
        <v>84</v>
      </c>
      <c r="H430" s="71" t="s">
        <v>182</v>
      </c>
    </row>
    <row r="431" spans="4:8" ht="18" customHeight="1">
      <c r="D431" s="81">
        <v>183506</v>
      </c>
      <c r="E431" s="70" t="s">
        <v>589</v>
      </c>
      <c r="F431" s="70" t="s">
        <v>8</v>
      </c>
      <c r="G431" s="70" t="s">
        <v>84</v>
      </c>
      <c r="H431" s="71" t="s">
        <v>182</v>
      </c>
    </row>
    <row r="432" spans="4:8" ht="18" customHeight="1">
      <c r="D432" s="79">
        <v>84088199</v>
      </c>
      <c r="E432" s="70" t="s">
        <v>590</v>
      </c>
      <c r="F432" s="70" t="s">
        <v>8</v>
      </c>
      <c r="G432" s="70" t="s">
        <v>131</v>
      </c>
      <c r="H432" s="71" t="s">
        <v>132</v>
      </c>
    </row>
    <row r="433" spans="4:8" ht="18" customHeight="1">
      <c r="D433" s="70">
        <v>83103566</v>
      </c>
      <c r="E433" s="70" t="s">
        <v>591</v>
      </c>
      <c r="F433" s="70" t="s">
        <v>8</v>
      </c>
      <c r="G433" s="70" t="s">
        <v>131</v>
      </c>
      <c r="H433" s="71" t="s">
        <v>132</v>
      </c>
    </row>
    <row r="434" spans="4:8" ht="18" customHeight="1">
      <c r="D434" s="70">
        <v>84088209</v>
      </c>
      <c r="E434" s="70" t="s">
        <v>592</v>
      </c>
      <c r="F434" s="70" t="s">
        <v>8</v>
      </c>
      <c r="G434" s="70" t="s">
        <v>593</v>
      </c>
      <c r="H434" s="71" t="s">
        <v>132</v>
      </c>
    </row>
    <row r="435" spans="4:8" ht="18" customHeight="1">
      <c r="D435" s="70">
        <v>83117001</v>
      </c>
      <c r="E435" s="70" t="s">
        <v>594</v>
      </c>
      <c r="F435" s="70" t="s">
        <v>8</v>
      </c>
      <c r="G435" s="70" t="s">
        <v>131</v>
      </c>
      <c r="H435" s="71" t="s">
        <v>132</v>
      </c>
    </row>
    <row r="436" spans="4:8" ht="18" customHeight="1">
      <c r="D436" s="70">
        <v>83103403</v>
      </c>
      <c r="E436" s="70" t="s">
        <v>595</v>
      </c>
      <c r="F436" s="70" t="s">
        <v>8</v>
      </c>
      <c r="G436" s="70" t="s">
        <v>131</v>
      </c>
      <c r="H436" s="71" t="s">
        <v>132</v>
      </c>
    </row>
    <row r="437" spans="4:8" ht="18" customHeight="1">
      <c r="D437" s="87">
        <v>84088210</v>
      </c>
      <c r="E437" s="70" t="s">
        <v>596</v>
      </c>
      <c r="F437" s="70" t="s">
        <v>8</v>
      </c>
      <c r="G437" s="70" t="s">
        <v>597</v>
      </c>
      <c r="H437" s="71" t="s">
        <v>132</v>
      </c>
    </row>
    <row r="438" spans="4:8" ht="18" customHeight="1">
      <c r="D438" s="70">
        <v>133792</v>
      </c>
      <c r="E438" s="70" t="s">
        <v>598</v>
      </c>
      <c r="F438" s="70" t="s">
        <v>8</v>
      </c>
      <c r="G438" s="70" t="s">
        <v>131</v>
      </c>
      <c r="H438" s="71" t="s">
        <v>132</v>
      </c>
    </row>
    <row r="439" spans="4:8" ht="18" customHeight="1">
      <c r="D439" s="70">
        <v>183516</v>
      </c>
      <c r="E439" s="70" t="s">
        <v>599</v>
      </c>
      <c r="F439" s="70" t="s">
        <v>8</v>
      </c>
      <c r="G439" s="70" t="s">
        <v>131</v>
      </c>
      <c r="H439" s="71" t="s">
        <v>132</v>
      </c>
    </row>
    <row r="440" spans="4:8" ht="18" customHeight="1">
      <c r="D440" s="70">
        <v>83103111</v>
      </c>
      <c r="E440" s="70" t="s">
        <v>600</v>
      </c>
      <c r="F440" s="70" t="s">
        <v>8</v>
      </c>
      <c r="G440" s="70" t="s">
        <v>131</v>
      </c>
      <c r="H440" s="71" t="s">
        <v>132</v>
      </c>
    </row>
    <row r="441" spans="4:8" ht="18" customHeight="1">
      <c r="D441" s="89">
        <v>183517</v>
      </c>
      <c r="E441" s="70" t="s">
        <v>601</v>
      </c>
      <c r="F441" s="70" t="s">
        <v>8</v>
      </c>
      <c r="G441" s="70" t="s">
        <v>131</v>
      </c>
      <c r="H441" s="71" t="s">
        <v>132</v>
      </c>
    </row>
    <row r="442" spans="4:8" ht="18" customHeight="1">
      <c r="D442" s="89" t="s">
        <v>602</v>
      </c>
      <c r="E442" s="70" t="s">
        <v>603</v>
      </c>
      <c r="F442" s="70" t="s">
        <v>8</v>
      </c>
      <c r="G442" s="70" t="s">
        <v>131</v>
      </c>
      <c r="H442" s="71" t="s">
        <v>132</v>
      </c>
    </row>
    <row r="443" spans="4:8" ht="18" customHeight="1">
      <c r="D443" s="70">
        <v>133799</v>
      </c>
      <c r="E443" s="70" t="s">
        <v>604</v>
      </c>
      <c r="F443" s="70" t="s">
        <v>8</v>
      </c>
      <c r="G443" s="70" t="s">
        <v>131</v>
      </c>
      <c r="H443" s="71" t="s">
        <v>132</v>
      </c>
    </row>
    <row r="444" spans="4:8" ht="18" customHeight="1">
      <c r="D444" s="89">
        <v>183523</v>
      </c>
      <c r="E444" s="70" t="s">
        <v>605</v>
      </c>
      <c r="F444" s="70" t="s">
        <v>8</v>
      </c>
      <c r="G444" s="70" t="s">
        <v>131</v>
      </c>
      <c r="H444" s="71" t="s">
        <v>132</v>
      </c>
    </row>
    <row r="445" spans="4:8" ht="18" customHeight="1">
      <c r="D445" s="70">
        <v>83102441</v>
      </c>
      <c r="E445" s="70" t="s">
        <v>606</v>
      </c>
      <c r="F445" s="70" t="s">
        <v>8</v>
      </c>
      <c r="G445" s="70" t="s">
        <v>131</v>
      </c>
      <c r="H445" s="71" t="s">
        <v>132</v>
      </c>
    </row>
    <row r="446" spans="4:8" ht="18" customHeight="1">
      <c r="D446" s="70">
        <v>84124047</v>
      </c>
      <c r="E446" s="70" t="s">
        <v>607</v>
      </c>
      <c r="F446" s="70" t="s">
        <v>8</v>
      </c>
      <c r="G446" s="70" t="s">
        <v>131</v>
      </c>
      <c r="H446" s="71" t="s">
        <v>132</v>
      </c>
    </row>
    <row r="447" spans="4:8" ht="18" customHeight="1">
      <c r="D447" s="70">
        <v>183490</v>
      </c>
      <c r="E447" s="70" t="s">
        <v>608</v>
      </c>
      <c r="F447" s="70" t="s">
        <v>8</v>
      </c>
      <c r="G447" s="70" t="s">
        <v>131</v>
      </c>
      <c r="H447" s="71" t="s">
        <v>132</v>
      </c>
    </row>
    <row r="448" spans="4:8" ht="18" customHeight="1">
      <c r="D448" s="70">
        <v>83088944</v>
      </c>
      <c r="E448" s="70" t="s">
        <v>609</v>
      </c>
      <c r="F448" s="70" t="s">
        <v>8</v>
      </c>
      <c r="G448" s="70" t="s">
        <v>131</v>
      </c>
      <c r="H448" s="71" t="s">
        <v>132</v>
      </c>
    </row>
    <row r="449" spans="4:8" ht="18" customHeight="1">
      <c r="D449" s="70">
        <v>84088184</v>
      </c>
      <c r="E449" s="70" t="s">
        <v>610</v>
      </c>
      <c r="F449" s="70" t="s">
        <v>8</v>
      </c>
      <c r="G449" s="70" t="s">
        <v>131</v>
      </c>
      <c r="H449" s="71" t="s">
        <v>132</v>
      </c>
    </row>
    <row r="450" spans="4:8" ht="18" customHeight="1">
      <c r="D450" s="70">
        <v>84124054</v>
      </c>
      <c r="E450" s="70" t="s">
        <v>611</v>
      </c>
      <c r="F450" s="70" t="s">
        <v>8</v>
      </c>
      <c r="G450" s="70" t="s">
        <v>131</v>
      </c>
      <c r="H450" s="71" t="s">
        <v>132</v>
      </c>
    </row>
    <row r="451" spans="4:8" ht="18" customHeight="1">
      <c r="D451" s="70">
        <v>84088198</v>
      </c>
      <c r="E451" s="70" t="s">
        <v>612</v>
      </c>
      <c r="F451" s="70" t="s">
        <v>8</v>
      </c>
      <c r="G451" s="70" t="s">
        <v>36</v>
      </c>
      <c r="H451" s="71" t="s">
        <v>132</v>
      </c>
    </row>
    <row r="452" spans="4:8" ht="18" customHeight="1">
      <c r="D452" s="70">
        <v>146657</v>
      </c>
      <c r="E452" s="70" t="s">
        <v>613</v>
      </c>
      <c r="F452" s="70" t="s">
        <v>8</v>
      </c>
      <c r="G452" s="70" t="s">
        <v>131</v>
      </c>
      <c r="H452" s="71" t="s">
        <v>132</v>
      </c>
    </row>
    <row r="453" spans="4:8" ht="18" customHeight="1">
      <c r="D453" s="70">
        <v>142426</v>
      </c>
      <c r="E453" s="70" t="s">
        <v>614</v>
      </c>
      <c r="F453" s="70" t="s">
        <v>8</v>
      </c>
      <c r="G453" s="70" t="s">
        <v>131</v>
      </c>
      <c r="H453" s="71" t="s">
        <v>132</v>
      </c>
    </row>
    <row r="454" spans="4:8" ht="18" customHeight="1">
      <c r="D454" s="70">
        <v>84122168</v>
      </c>
      <c r="E454" s="70" t="s">
        <v>615</v>
      </c>
      <c r="F454" s="70" t="s">
        <v>8</v>
      </c>
      <c r="G454" s="70" t="s">
        <v>131</v>
      </c>
      <c r="H454" s="71" t="s">
        <v>132</v>
      </c>
    </row>
    <row r="455" spans="4:8" ht="18" customHeight="1">
      <c r="D455" s="70">
        <v>84120249</v>
      </c>
      <c r="E455" s="70" t="s">
        <v>616</v>
      </c>
      <c r="F455" s="70" t="s">
        <v>8</v>
      </c>
      <c r="G455" s="70" t="s">
        <v>131</v>
      </c>
      <c r="H455" s="71" t="s">
        <v>132</v>
      </c>
    </row>
    <row r="456" spans="4:8" ht="18" customHeight="1">
      <c r="D456" s="79">
        <v>183510</v>
      </c>
      <c r="E456" s="70" t="s">
        <v>617</v>
      </c>
      <c r="F456" s="73" t="s">
        <v>8</v>
      </c>
      <c r="G456" s="70" t="s">
        <v>131</v>
      </c>
      <c r="H456" s="71" t="s">
        <v>132</v>
      </c>
    </row>
    <row r="457" spans="4:8" ht="18" customHeight="1">
      <c r="D457" s="73">
        <v>84088200</v>
      </c>
      <c r="E457" s="69" t="s">
        <v>618</v>
      </c>
      <c r="F457" s="73" t="s">
        <v>8</v>
      </c>
      <c r="G457" s="70" t="s">
        <v>131</v>
      </c>
      <c r="H457" s="71" t="s">
        <v>132</v>
      </c>
    </row>
    <row r="458" spans="4:8" ht="18" customHeight="1">
      <c r="D458" s="73">
        <v>83119865</v>
      </c>
      <c r="E458" s="69" t="s">
        <v>619</v>
      </c>
      <c r="F458" s="73" t="s">
        <v>8</v>
      </c>
      <c r="G458" s="70" t="s">
        <v>131</v>
      </c>
      <c r="H458" s="71" t="s">
        <v>132</v>
      </c>
    </row>
    <row r="459" spans="4:8" ht="18" customHeight="1">
      <c r="D459" s="73">
        <v>84124049</v>
      </c>
      <c r="E459" s="69" t="s">
        <v>620</v>
      </c>
      <c r="F459" s="73" t="s">
        <v>8</v>
      </c>
      <c r="G459" s="70" t="s">
        <v>131</v>
      </c>
      <c r="H459" s="71" t="s">
        <v>132</v>
      </c>
    </row>
    <row r="460" spans="4:8" ht="18" customHeight="1">
      <c r="D460" s="79">
        <v>183521</v>
      </c>
      <c r="E460" s="70" t="s">
        <v>621</v>
      </c>
      <c r="F460" s="73" t="s">
        <v>8</v>
      </c>
      <c r="G460" s="70" t="s">
        <v>131</v>
      </c>
      <c r="H460" s="71" t="s">
        <v>132</v>
      </c>
    </row>
    <row r="461" spans="4:8" ht="18" customHeight="1">
      <c r="D461" s="73">
        <v>146656</v>
      </c>
      <c r="E461" s="69" t="s">
        <v>622</v>
      </c>
      <c r="F461" s="73" t="s">
        <v>8</v>
      </c>
      <c r="G461" s="70" t="s">
        <v>131</v>
      </c>
      <c r="H461" s="71" t="s">
        <v>132</v>
      </c>
    </row>
    <row r="462" spans="4:8" ht="18" customHeight="1">
      <c r="D462" s="73">
        <v>133821</v>
      </c>
      <c r="E462" s="69" t="s">
        <v>623</v>
      </c>
      <c r="F462" s="73" t="s">
        <v>8</v>
      </c>
      <c r="G462" s="70" t="s">
        <v>131</v>
      </c>
      <c r="H462" s="71" t="s">
        <v>132</v>
      </c>
    </row>
    <row r="463" spans="4:8" ht="18" customHeight="1">
      <c r="D463" s="73">
        <v>83120875</v>
      </c>
      <c r="E463" s="69" t="s">
        <v>624</v>
      </c>
      <c r="F463" s="73" t="s">
        <v>8</v>
      </c>
      <c r="G463" s="70" t="s">
        <v>131</v>
      </c>
      <c r="H463" s="71" t="s">
        <v>132</v>
      </c>
    </row>
    <row r="464" spans="4:8" ht="18" customHeight="1">
      <c r="D464" s="73">
        <v>84088206</v>
      </c>
      <c r="E464" s="69" t="s">
        <v>625</v>
      </c>
      <c r="F464" s="73" t="s">
        <v>8</v>
      </c>
      <c r="G464" s="70" t="s">
        <v>131</v>
      </c>
      <c r="H464" s="71" t="s">
        <v>132</v>
      </c>
    </row>
    <row r="465" spans="4:8" ht="18" customHeight="1">
      <c r="D465" s="73">
        <v>83104215</v>
      </c>
      <c r="E465" s="69" t="s">
        <v>626</v>
      </c>
      <c r="F465" s="73" t="s">
        <v>8</v>
      </c>
      <c r="G465" s="70" t="s">
        <v>131</v>
      </c>
      <c r="H465" s="71" t="s">
        <v>132</v>
      </c>
    </row>
    <row r="466" spans="4:8" ht="18" customHeight="1">
      <c r="D466" s="79">
        <v>84099267</v>
      </c>
      <c r="E466" s="70" t="s">
        <v>627</v>
      </c>
      <c r="F466" s="73" t="s">
        <v>8</v>
      </c>
      <c r="G466" s="70" t="s">
        <v>131</v>
      </c>
      <c r="H466" s="71" t="s">
        <v>132</v>
      </c>
    </row>
    <row r="467" spans="4:8" ht="18" customHeight="1">
      <c r="D467" s="79">
        <v>150161</v>
      </c>
      <c r="E467" s="70" t="s">
        <v>628</v>
      </c>
      <c r="F467" s="73" t="s">
        <v>8</v>
      </c>
      <c r="G467" s="70" t="s">
        <v>131</v>
      </c>
      <c r="H467" s="71" t="s">
        <v>132</v>
      </c>
    </row>
    <row r="468" spans="4:8" ht="18" customHeight="1">
      <c r="D468" s="70">
        <v>183487</v>
      </c>
      <c r="E468" s="70" t="s">
        <v>629</v>
      </c>
      <c r="F468" s="70" t="s">
        <v>8</v>
      </c>
      <c r="G468" s="70" t="s">
        <v>131</v>
      </c>
      <c r="H468" s="71" t="s">
        <v>132</v>
      </c>
    </row>
    <row r="469" spans="4:8" ht="18" customHeight="1">
      <c r="D469" s="70">
        <v>131759</v>
      </c>
      <c r="E469" s="70" t="s">
        <v>630</v>
      </c>
      <c r="F469" s="73" t="s">
        <v>8</v>
      </c>
      <c r="G469" s="70" t="s">
        <v>631</v>
      </c>
      <c r="H469" s="71" t="s">
        <v>132</v>
      </c>
    </row>
    <row r="470" spans="4:8" ht="18" customHeight="1">
      <c r="D470" s="70">
        <v>250050</v>
      </c>
      <c r="E470" s="70" t="s">
        <v>632</v>
      </c>
      <c r="F470" s="73" t="s">
        <v>8</v>
      </c>
      <c r="G470" s="70" t="s">
        <v>131</v>
      </c>
      <c r="H470" s="71" t="s">
        <v>132</v>
      </c>
    </row>
    <row r="471" spans="4:8" ht="18" customHeight="1">
      <c r="D471" s="70">
        <v>251413</v>
      </c>
      <c r="E471" s="70" t="s">
        <v>633</v>
      </c>
      <c r="F471" s="73" t="s">
        <v>8</v>
      </c>
      <c r="G471" s="70" t="s">
        <v>131</v>
      </c>
      <c r="H471" s="71" t="s">
        <v>132</v>
      </c>
    </row>
    <row r="472" spans="4:8" ht="18" customHeight="1">
      <c r="D472" s="69">
        <v>192507</v>
      </c>
      <c r="E472" s="69" t="s">
        <v>634</v>
      </c>
      <c r="F472" s="70" t="s">
        <v>9</v>
      </c>
      <c r="G472" s="70" t="s">
        <v>635</v>
      </c>
      <c r="H472" s="71" t="s">
        <v>182</v>
      </c>
    </row>
    <row r="473" spans="4:8" ht="18" customHeight="1">
      <c r="D473" s="69">
        <v>142959</v>
      </c>
      <c r="E473" s="69" t="s">
        <v>636</v>
      </c>
      <c r="F473" s="70" t="s">
        <v>9</v>
      </c>
      <c r="G473" s="70" t="s">
        <v>84</v>
      </c>
      <c r="H473" s="71" t="s">
        <v>182</v>
      </c>
    </row>
    <row r="474" spans="4:8" ht="18" customHeight="1">
      <c r="D474" s="69">
        <v>83119342</v>
      </c>
      <c r="E474" s="69" t="s">
        <v>637</v>
      </c>
      <c r="F474" s="70" t="s">
        <v>9</v>
      </c>
      <c r="G474" s="70" t="s">
        <v>84</v>
      </c>
      <c r="H474" s="71" t="s">
        <v>132</v>
      </c>
    </row>
    <row r="475" spans="4:8" ht="18" customHeight="1">
      <c r="D475" s="69">
        <v>83119340</v>
      </c>
      <c r="E475" s="69" t="s">
        <v>638</v>
      </c>
      <c r="F475" s="70" t="s">
        <v>9</v>
      </c>
      <c r="G475" s="70" t="s">
        <v>639</v>
      </c>
      <c r="H475" s="71" t="s">
        <v>132</v>
      </c>
    </row>
    <row r="476" spans="4:8" ht="18" customHeight="1">
      <c r="D476" s="69">
        <v>142961</v>
      </c>
      <c r="E476" s="69" t="s">
        <v>640</v>
      </c>
      <c r="F476" s="70" t="s">
        <v>9</v>
      </c>
      <c r="G476" s="70" t="s">
        <v>131</v>
      </c>
      <c r="H476" s="71" t="s">
        <v>132</v>
      </c>
    </row>
    <row r="477" spans="4:8" ht="18" customHeight="1">
      <c r="D477" s="69">
        <v>140533</v>
      </c>
      <c r="E477" s="69" t="s">
        <v>641</v>
      </c>
      <c r="F477" s="70" t="s">
        <v>9</v>
      </c>
      <c r="G477" s="70" t="s">
        <v>131</v>
      </c>
      <c r="H477" s="71" t="s">
        <v>132</v>
      </c>
    </row>
    <row r="478" spans="4:8" ht="18" customHeight="1">
      <c r="D478" s="69">
        <v>83119337</v>
      </c>
      <c r="E478" s="69" t="s">
        <v>642</v>
      </c>
      <c r="F478" s="70" t="s">
        <v>9</v>
      </c>
      <c r="G478" s="70" t="s">
        <v>131</v>
      </c>
      <c r="H478" s="71" t="s">
        <v>132</v>
      </c>
    </row>
    <row r="479" spans="4:8" ht="18" customHeight="1">
      <c r="D479" s="69">
        <v>83119336</v>
      </c>
      <c r="E479" s="69" t="s">
        <v>643</v>
      </c>
      <c r="F479" s="70" t="s">
        <v>9</v>
      </c>
      <c r="G479" s="70" t="s">
        <v>131</v>
      </c>
      <c r="H479" s="71" t="s">
        <v>132</v>
      </c>
    </row>
    <row r="480" spans="4:8" ht="18" customHeight="1">
      <c r="D480" s="69">
        <v>83119339</v>
      </c>
      <c r="E480" s="69" t="s">
        <v>644</v>
      </c>
      <c r="F480" s="70" t="s">
        <v>9</v>
      </c>
      <c r="G480" s="70" t="s">
        <v>131</v>
      </c>
      <c r="H480" s="71" t="s">
        <v>132</v>
      </c>
    </row>
    <row r="481" spans="4:8" ht="18" customHeight="1">
      <c r="D481" s="69">
        <v>135668</v>
      </c>
      <c r="E481" s="69" t="s">
        <v>645</v>
      </c>
      <c r="F481" s="70" t="s">
        <v>9</v>
      </c>
      <c r="G481" s="70" t="s">
        <v>131</v>
      </c>
      <c r="H481" s="71" t="s">
        <v>132</v>
      </c>
    </row>
    <row r="482" spans="4:8" ht="18" customHeight="1">
      <c r="D482" s="69">
        <v>131864</v>
      </c>
      <c r="E482" s="75" t="s">
        <v>646</v>
      </c>
      <c r="F482" s="70" t="s">
        <v>12</v>
      </c>
      <c r="G482" s="70" t="s">
        <v>647</v>
      </c>
      <c r="H482" s="71" t="s">
        <v>135</v>
      </c>
    </row>
    <row r="483" spans="4:8" ht="18" customHeight="1">
      <c r="D483" s="69">
        <v>143744</v>
      </c>
      <c r="E483" s="69" t="s">
        <v>648</v>
      </c>
      <c r="F483" s="70" t="s">
        <v>12</v>
      </c>
      <c r="G483" s="70" t="s">
        <v>84</v>
      </c>
      <c r="H483" s="71" t="s">
        <v>135</v>
      </c>
    </row>
    <row r="484" spans="4:8" ht="18" customHeight="1">
      <c r="D484" s="69">
        <v>143748</v>
      </c>
      <c r="E484" s="69" t="s">
        <v>649</v>
      </c>
      <c r="F484" s="70" t="s">
        <v>12</v>
      </c>
      <c r="G484" s="70" t="s">
        <v>84</v>
      </c>
      <c r="H484" s="71" t="s">
        <v>135</v>
      </c>
    </row>
    <row r="485" spans="4:8" ht="18" customHeight="1">
      <c r="D485" s="69">
        <v>143745</v>
      </c>
      <c r="E485" s="69" t="s">
        <v>650</v>
      </c>
      <c r="F485" s="70" t="s">
        <v>12</v>
      </c>
      <c r="G485" s="70" t="s">
        <v>84</v>
      </c>
      <c r="H485" s="71" t="s">
        <v>135</v>
      </c>
    </row>
    <row r="486" spans="4:8" ht="18" customHeight="1">
      <c r="D486" s="69">
        <v>143743</v>
      </c>
      <c r="E486" s="69" t="s">
        <v>651</v>
      </c>
      <c r="F486" s="70" t="s">
        <v>12</v>
      </c>
      <c r="G486" s="70" t="s">
        <v>84</v>
      </c>
      <c r="H486" s="71" t="s">
        <v>135</v>
      </c>
    </row>
    <row r="487" spans="4:8" ht="18" customHeight="1">
      <c r="D487" s="69">
        <v>145725</v>
      </c>
      <c r="E487" s="69" t="s">
        <v>652</v>
      </c>
      <c r="F487" s="70" t="s">
        <v>12</v>
      </c>
      <c r="G487" s="70" t="s">
        <v>84</v>
      </c>
      <c r="H487" s="71" t="s">
        <v>135</v>
      </c>
    </row>
    <row r="488" spans="4:8" ht="18" customHeight="1">
      <c r="D488" s="70">
        <v>83117673</v>
      </c>
      <c r="E488" s="70" t="s">
        <v>653</v>
      </c>
      <c r="F488" s="70" t="s">
        <v>12</v>
      </c>
      <c r="G488" s="70" t="s">
        <v>131</v>
      </c>
      <c r="H488" s="71" t="s">
        <v>132</v>
      </c>
    </row>
    <row r="489" spans="4:8" ht="18" customHeight="1">
      <c r="D489" s="70">
        <v>147850</v>
      </c>
      <c r="E489" s="70" t="s">
        <v>654</v>
      </c>
      <c r="F489" s="70" t="s">
        <v>12</v>
      </c>
      <c r="G489" s="70" t="s">
        <v>131</v>
      </c>
      <c r="H489" s="71" t="s">
        <v>132</v>
      </c>
    </row>
    <row r="490" spans="4:8" ht="18" customHeight="1">
      <c r="D490" s="70">
        <v>146328</v>
      </c>
      <c r="E490" s="70" t="s">
        <v>655</v>
      </c>
      <c r="F490" s="70" t="s">
        <v>12</v>
      </c>
      <c r="G490" s="70" t="s">
        <v>131</v>
      </c>
      <c r="H490" s="71" t="s">
        <v>132</v>
      </c>
    </row>
    <row r="491" spans="4:8" ht="18" customHeight="1">
      <c r="D491" s="70">
        <v>83117649</v>
      </c>
      <c r="E491" s="70" t="s">
        <v>656</v>
      </c>
      <c r="F491" s="70" t="s">
        <v>12</v>
      </c>
      <c r="G491" s="70" t="s">
        <v>131</v>
      </c>
      <c r="H491" s="71" t="s">
        <v>132</v>
      </c>
    </row>
    <row r="492" spans="4:8" ht="18" customHeight="1">
      <c r="D492" s="73">
        <v>83117667</v>
      </c>
      <c r="E492" s="69" t="s">
        <v>657</v>
      </c>
      <c r="F492" s="70" t="s">
        <v>12</v>
      </c>
      <c r="G492" s="70" t="s">
        <v>131</v>
      </c>
      <c r="H492" s="71" t="s">
        <v>132</v>
      </c>
    </row>
    <row r="493" spans="4:8" ht="18" customHeight="1">
      <c r="D493" s="73">
        <v>84130089</v>
      </c>
      <c r="E493" s="69" t="s">
        <v>658</v>
      </c>
      <c r="F493" s="70" t="s">
        <v>12</v>
      </c>
      <c r="G493" s="70" t="s">
        <v>131</v>
      </c>
      <c r="H493" s="71" t="s">
        <v>132</v>
      </c>
    </row>
    <row r="494" spans="4:8" ht="18" customHeight="1">
      <c r="D494" s="73">
        <v>145063</v>
      </c>
      <c r="E494" s="69" t="s">
        <v>659</v>
      </c>
      <c r="F494" s="70" t="s">
        <v>12</v>
      </c>
      <c r="G494" s="70" t="s">
        <v>131</v>
      </c>
      <c r="H494" s="71" t="s">
        <v>132</v>
      </c>
    </row>
    <row r="495" spans="4:8" ht="18" customHeight="1">
      <c r="D495" s="73">
        <v>240881</v>
      </c>
      <c r="E495" s="69" t="s">
        <v>660</v>
      </c>
      <c r="F495" s="70" t="s">
        <v>12</v>
      </c>
      <c r="G495" s="70" t="s">
        <v>661</v>
      </c>
      <c r="H495" s="71" t="s">
        <v>132</v>
      </c>
    </row>
    <row r="496" spans="4:8" ht="18" customHeight="1">
      <c r="D496" s="73">
        <v>242414</v>
      </c>
      <c r="E496" s="69" t="s">
        <v>662</v>
      </c>
      <c r="F496" s="70" t="s">
        <v>12</v>
      </c>
      <c r="G496" s="70" t="s">
        <v>131</v>
      </c>
      <c r="H496" s="71" t="s">
        <v>132</v>
      </c>
    </row>
    <row r="497" spans="4:8" ht="18" customHeight="1">
      <c r="D497" s="73">
        <v>250409</v>
      </c>
      <c r="E497" s="69" t="s">
        <v>663</v>
      </c>
      <c r="F497" s="70" t="s">
        <v>12</v>
      </c>
      <c r="G497" s="70" t="s">
        <v>131</v>
      </c>
      <c r="H497" s="71" t="s">
        <v>132</v>
      </c>
    </row>
    <row r="498" spans="4:8" ht="18" customHeight="1">
      <c r="D498" s="95" t="s">
        <v>664</v>
      </c>
      <c r="E498" s="69" t="s">
        <v>665</v>
      </c>
      <c r="F498" s="70" t="s">
        <v>12</v>
      </c>
      <c r="G498" s="70" t="s">
        <v>131</v>
      </c>
      <c r="H498" s="71" t="s">
        <v>132</v>
      </c>
    </row>
    <row r="499" spans="4:8" ht="18" customHeight="1">
      <c r="D499" s="69">
        <v>143965</v>
      </c>
      <c r="E499" s="70" t="s">
        <v>666</v>
      </c>
      <c r="F499" s="70" t="s">
        <v>15</v>
      </c>
      <c r="G499" s="70" t="s">
        <v>84</v>
      </c>
      <c r="H499" s="71" t="s">
        <v>135</v>
      </c>
    </row>
    <row r="500" spans="4:8" ht="18" customHeight="1">
      <c r="D500" s="69">
        <v>83123157</v>
      </c>
      <c r="E500" s="70" t="s">
        <v>667</v>
      </c>
      <c r="F500" s="70" t="s">
        <v>15</v>
      </c>
      <c r="G500" s="70" t="s">
        <v>104</v>
      </c>
      <c r="H500" s="71" t="s">
        <v>135</v>
      </c>
    </row>
    <row r="501" spans="4:8" ht="18" customHeight="1">
      <c r="D501" s="82">
        <v>83123141</v>
      </c>
      <c r="E501" s="70" t="s">
        <v>668</v>
      </c>
      <c r="F501" s="70" t="s">
        <v>16</v>
      </c>
      <c r="G501" s="70" t="s">
        <v>669</v>
      </c>
      <c r="H501" s="71" t="s">
        <v>135</v>
      </c>
    </row>
    <row r="502" spans="4:8" ht="18" customHeight="1">
      <c r="D502" s="82">
        <v>83123151</v>
      </c>
      <c r="E502" s="70" t="s">
        <v>670</v>
      </c>
      <c r="F502" s="70" t="s">
        <v>16</v>
      </c>
      <c r="G502" s="70" t="s">
        <v>84</v>
      </c>
      <c r="H502" s="71" t="s">
        <v>135</v>
      </c>
    </row>
    <row r="503" spans="4:8" ht="18" customHeight="1">
      <c r="D503" s="82">
        <v>143960</v>
      </c>
      <c r="E503" s="70" t="s">
        <v>671</v>
      </c>
      <c r="F503" s="70" t="s">
        <v>16</v>
      </c>
      <c r="G503" s="70" t="s">
        <v>84</v>
      </c>
      <c r="H503" s="71" t="s">
        <v>135</v>
      </c>
    </row>
    <row r="504" spans="4:8" ht="18" customHeight="1">
      <c r="D504" s="82">
        <v>83123152</v>
      </c>
      <c r="E504" s="70" t="s">
        <v>672</v>
      </c>
      <c r="F504" s="70" t="s">
        <v>16</v>
      </c>
      <c r="G504" s="70" t="s">
        <v>84</v>
      </c>
      <c r="H504" s="71" t="s">
        <v>135</v>
      </c>
    </row>
    <row r="505" spans="4:8" ht="18" customHeight="1">
      <c r="D505" s="82">
        <v>83123159</v>
      </c>
      <c r="E505" s="70" t="s">
        <v>673</v>
      </c>
      <c r="F505" s="70" t="s">
        <v>16</v>
      </c>
      <c r="G505" s="70" t="s">
        <v>84</v>
      </c>
      <c r="H505" s="71" t="s">
        <v>135</v>
      </c>
    </row>
    <row r="506" spans="4:8" ht="18" customHeight="1">
      <c r="D506" s="84">
        <v>143968</v>
      </c>
      <c r="E506" s="70" t="s">
        <v>674</v>
      </c>
      <c r="F506" s="70" t="s">
        <v>16</v>
      </c>
      <c r="G506" s="70" t="s">
        <v>72</v>
      </c>
      <c r="H506" s="71" t="s">
        <v>135</v>
      </c>
    </row>
    <row r="507" spans="4:8" ht="18" customHeight="1">
      <c r="D507" s="82">
        <v>143957</v>
      </c>
      <c r="E507" s="70" t="s">
        <v>675</v>
      </c>
      <c r="F507" s="70" t="s">
        <v>16</v>
      </c>
      <c r="G507" s="70" t="s">
        <v>84</v>
      </c>
      <c r="H507" s="71" t="s">
        <v>135</v>
      </c>
    </row>
    <row r="508" spans="4:8" ht="18" customHeight="1">
      <c r="D508" s="83">
        <v>83123160</v>
      </c>
      <c r="E508" s="70" t="s">
        <v>676</v>
      </c>
      <c r="F508" s="70" t="s">
        <v>16</v>
      </c>
      <c r="G508" s="70" t="s">
        <v>73</v>
      </c>
      <c r="H508" s="71" t="s">
        <v>135</v>
      </c>
    </row>
    <row r="509" spans="4:8" ht="18" customHeight="1">
      <c r="D509" s="83">
        <v>83123148</v>
      </c>
      <c r="E509" s="70" t="s">
        <v>677</v>
      </c>
      <c r="F509" s="70" t="s">
        <v>16</v>
      </c>
      <c r="G509" s="70" t="s">
        <v>84</v>
      </c>
      <c r="H509" s="71" t="s">
        <v>135</v>
      </c>
    </row>
    <row r="510" spans="4:8" ht="18" customHeight="1">
      <c r="D510" s="84">
        <v>143966</v>
      </c>
      <c r="E510" s="70" t="s">
        <v>678</v>
      </c>
      <c r="F510" s="70" t="s">
        <v>16</v>
      </c>
      <c r="G510" s="70" t="s">
        <v>84</v>
      </c>
      <c r="H510" s="71" t="s">
        <v>135</v>
      </c>
    </row>
    <row r="511" spans="4:8" ht="18" customHeight="1">
      <c r="D511" s="83">
        <v>83123144</v>
      </c>
      <c r="E511" s="70" t="s">
        <v>679</v>
      </c>
      <c r="F511" s="70" t="s">
        <v>16</v>
      </c>
      <c r="G511" s="70" t="s">
        <v>84</v>
      </c>
      <c r="H511" s="71" t="s">
        <v>135</v>
      </c>
    </row>
    <row r="512" spans="4:8" ht="18" customHeight="1">
      <c r="D512" s="83">
        <v>222340</v>
      </c>
      <c r="E512" s="70" t="s">
        <v>680</v>
      </c>
      <c r="F512" s="70" t="s">
        <v>16</v>
      </c>
      <c r="G512" s="70" t="s">
        <v>84</v>
      </c>
      <c r="H512" s="71" t="s">
        <v>135</v>
      </c>
    </row>
    <row r="513" spans="4:8" ht="18" customHeight="1">
      <c r="D513" s="82">
        <v>143961</v>
      </c>
      <c r="E513" s="70" t="s">
        <v>681</v>
      </c>
      <c r="F513" s="70" t="s">
        <v>16</v>
      </c>
      <c r="G513" s="70" t="s">
        <v>84</v>
      </c>
      <c r="H513" s="71" t="s">
        <v>135</v>
      </c>
    </row>
    <row r="514" spans="4:8" ht="18" customHeight="1">
      <c r="D514" s="90">
        <v>83104426</v>
      </c>
      <c r="E514" s="70" t="s">
        <v>682</v>
      </c>
      <c r="F514" s="70" t="s">
        <v>16</v>
      </c>
      <c r="G514" s="70" t="s">
        <v>41</v>
      </c>
      <c r="H514" s="71" t="s">
        <v>132</v>
      </c>
    </row>
    <row r="515" spans="4:8" ht="18" customHeight="1">
      <c r="D515" s="85">
        <v>83117269</v>
      </c>
      <c r="E515" s="70" t="s">
        <v>683</v>
      </c>
      <c r="F515" s="70" t="s">
        <v>16</v>
      </c>
      <c r="G515" s="70" t="s">
        <v>684</v>
      </c>
      <c r="H515" s="71" t="s">
        <v>132</v>
      </c>
    </row>
    <row r="516" spans="4:8" ht="18" customHeight="1">
      <c r="D516" s="73">
        <v>83117279</v>
      </c>
      <c r="E516" s="69" t="s">
        <v>685</v>
      </c>
      <c r="F516" s="73" t="s">
        <v>16</v>
      </c>
      <c r="G516" s="70" t="s">
        <v>686</v>
      </c>
      <c r="H516" s="71" t="s">
        <v>132</v>
      </c>
    </row>
    <row r="517" spans="4:8" ht="18" customHeight="1">
      <c r="D517" s="85">
        <v>83099034</v>
      </c>
      <c r="E517" s="70" t="s">
        <v>687</v>
      </c>
      <c r="F517" s="70" t="s">
        <v>16</v>
      </c>
      <c r="G517" s="70" t="s">
        <v>131</v>
      </c>
      <c r="H517" s="71" t="s">
        <v>132</v>
      </c>
    </row>
    <row r="518" spans="4:8" ht="18" customHeight="1">
      <c r="D518" s="85">
        <v>83117506</v>
      </c>
      <c r="E518" s="70" t="s">
        <v>688</v>
      </c>
      <c r="F518" s="70" t="s">
        <v>16</v>
      </c>
      <c r="G518" s="70" t="s">
        <v>131</v>
      </c>
      <c r="H518" s="71" t="s">
        <v>132</v>
      </c>
    </row>
    <row r="519" spans="4:8" ht="18" customHeight="1">
      <c r="D519" s="85">
        <v>83117264</v>
      </c>
      <c r="E519" s="70" t="s">
        <v>689</v>
      </c>
      <c r="F519" s="70" t="s">
        <v>16</v>
      </c>
      <c r="G519" s="70" t="s">
        <v>131</v>
      </c>
      <c r="H519" s="71" t="s">
        <v>132</v>
      </c>
    </row>
    <row r="520" spans="4:8" ht="18" customHeight="1">
      <c r="D520" s="85">
        <v>83117266</v>
      </c>
      <c r="E520" s="70" t="s">
        <v>690</v>
      </c>
      <c r="F520" s="70" t="s">
        <v>16</v>
      </c>
      <c r="G520" s="70" t="s">
        <v>131</v>
      </c>
      <c r="H520" s="71" t="s">
        <v>132</v>
      </c>
    </row>
    <row r="521" spans="4:8" ht="18" customHeight="1">
      <c r="D521" s="85">
        <v>136038</v>
      </c>
      <c r="E521" s="70" t="s">
        <v>691</v>
      </c>
      <c r="F521" s="70" t="s">
        <v>16</v>
      </c>
      <c r="G521" s="70" t="s">
        <v>131</v>
      </c>
      <c r="H521" s="71" t="s">
        <v>132</v>
      </c>
    </row>
    <row r="522" spans="4:8" ht="18" customHeight="1">
      <c r="D522" s="85">
        <v>148188</v>
      </c>
      <c r="E522" s="70" t="s">
        <v>692</v>
      </c>
      <c r="F522" s="70" t="s">
        <v>16</v>
      </c>
      <c r="G522" s="70" t="s">
        <v>131</v>
      </c>
      <c r="H522" s="71" t="s">
        <v>132</v>
      </c>
    </row>
    <row r="523" spans="4:8" ht="18" customHeight="1">
      <c r="D523" s="85">
        <v>148190</v>
      </c>
      <c r="E523" s="70" t="s">
        <v>693</v>
      </c>
      <c r="F523" s="70" t="s">
        <v>16</v>
      </c>
      <c r="G523" s="70" t="s">
        <v>131</v>
      </c>
      <c r="H523" s="71" t="s">
        <v>132</v>
      </c>
    </row>
    <row r="524" spans="4:8" ht="18" customHeight="1">
      <c r="D524" s="85">
        <v>148192</v>
      </c>
      <c r="E524" s="70" t="s">
        <v>694</v>
      </c>
      <c r="F524" s="70" t="s">
        <v>16</v>
      </c>
      <c r="G524" s="70" t="s">
        <v>131</v>
      </c>
      <c r="H524" s="71" t="s">
        <v>132</v>
      </c>
    </row>
    <row r="525" spans="4:8" ht="18" customHeight="1">
      <c r="D525" s="85">
        <v>148194</v>
      </c>
      <c r="E525" s="70" t="s">
        <v>695</v>
      </c>
      <c r="F525" s="70" t="s">
        <v>16</v>
      </c>
      <c r="G525" s="70" t="s">
        <v>131</v>
      </c>
      <c r="H525" s="71" t="s">
        <v>132</v>
      </c>
    </row>
    <row r="526" spans="4:8" ht="18" customHeight="1">
      <c r="D526" s="85">
        <v>148195</v>
      </c>
      <c r="E526" s="70" t="s">
        <v>696</v>
      </c>
      <c r="F526" s="70" t="s">
        <v>16</v>
      </c>
      <c r="G526" s="70" t="s">
        <v>131</v>
      </c>
      <c r="H526" s="71" t="s">
        <v>132</v>
      </c>
    </row>
    <row r="527" spans="4:8" ht="18" customHeight="1">
      <c r="D527" s="85">
        <v>148200</v>
      </c>
      <c r="E527" s="70" t="s">
        <v>697</v>
      </c>
      <c r="F527" s="70" t="s">
        <v>16</v>
      </c>
      <c r="G527" s="70" t="s">
        <v>131</v>
      </c>
      <c r="H527" s="71" t="s">
        <v>132</v>
      </c>
    </row>
    <row r="528" spans="4:8" ht="18" customHeight="1">
      <c r="D528" s="85">
        <v>148201</v>
      </c>
      <c r="E528" s="70" t="s">
        <v>698</v>
      </c>
      <c r="F528" s="70" t="s">
        <v>16</v>
      </c>
      <c r="G528" s="70" t="s">
        <v>131</v>
      </c>
      <c r="H528" s="71" t="s">
        <v>132</v>
      </c>
    </row>
    <row r="529" spans="4:8" ht="18" customHeight="1">
      <c r="D529" s="85">
        <v>148208</v>
      </c>
      <c r="E529" s="70" t="s">
        <v>699</v>
      </c>
      <c r="F529" s="70" t="s">
        <v>16</v>
      </c>
      <c r="G529" s="70" t="s">
        <v>131</v>
      </c>
      <c r="H529" s="71" t="s">
        <v>132</v>
      </c>
    </row>
    <row r="530" spans="4:8" ht="18" customHeight="1">
      <c r="D530" s="91">
        <v>162487</v>
      </c>
      <c r="E530" s="70" t="s">
        <v>700</v>
      </c>
      <c r="F530" s="70" t="s">
        <v>16</v>
      </c>
      <c r="G530" s="70" t="s">
        <v>131</v>
      </c>
      <c r="H530" s="71" t="s">
        <v>132</v>
      </c>
    </row>
    <row r="531" spans="4:8" ht="18" customHeight="1">
      <c r="D531" s="85">
        <v>162490</v>
      </c>
      <c r="E531" s="70" t="s">
        <v>701</v>
      </c>
      <c r="F531" s="70" t="s">
        <v>16</v>
      </c>
      <c r="G531" s="70" t="s">
        <v>131</v>
      </c>
      <c r="H531" s="71" t="s">
        <v>132</v>
      </c>
    </row>
    <row r="532" spans="4:8" ht="18" customHeight="1">
      <c r="D532" s="85">
        <v>162491</v>
      </c>
      <c r="E532" s="70" t="s">
        <v>702</v>
      </c>
      <c r="F532" s="70" t="s">
        <v>16</v>
      </c>
      <c r="G532" s="70" t="s">
        <v>131</v>
      </c>
      <c r="H532" s="71" t="s">
        <v>132</v>
      </c>
    </row>
    <row r="533" spans="4:8" ht="18" customHeight="1">
      <c r="D533" s="85">
        <v>162493</v>
      </c>
      <c r="E533" s="70" t="s">
        <v>703</v>
      </c>
      <c r="F533" s="70" t="s">
        <v>16</v>
      </c>
      <c r="G533" s="70" t="s">
        <v>131</v>
      </c>
      <c r="H533" s="71" t="s">
        <v>132</v>
      </c>
    </row>
    <row r="534" spans="4:8" ht="18" customHeight="1">
      <c r="D534" s="85">
        <v>162494</v>
      </c>
      <c r="E534" s="70" t="s">
        <v>704</v>
      </c>
      <c r="F534" s="70" t="s">
        <v>16</v>
      </c>
      <c r="G534" s="70" t="s">
        <v>131</v>
      </c>
      <c r="H534" s="71" t="s">
        <v>132</v>
      </c>
    </row>
    <row r="535" spans="4:8" ht="18" customHeight="1">
      <c r="D535" s="85">
        <v>162495</v>
      </c>
      <c r="E535" s="70" t="s">
        <v>705</v>
      </c>
      <c r="F535" s="70" t="s">
        <v>16</v>
      </c>
      <c r="G535" s="70" t="s">
        <v>131</v>
      </c>
      <c r="H535" s="71" t="s">
        <v>132</v>
      </c>
    </row>
    <row r="536" spans="4:8" ht="18" customHeight="1">
      <c r="D536" s="85">
        <v>162497</v>
      </c>
      <c r="E536" s="70" t="s">
        <v>706</v>
      </c>
      <c r="F536" s="70" t="s">
        <v>16</v>
      </c>
      <c r="G536" s="70" t="s">
        <v>131</v>
      </c>
      <c r="H536" s="71" t="s">
        <v>132</v>
      </c>
    </row>
    <row r="537" spans="4:8" ht="18" customHeight="1">
      <c r="D537" s="85">
        <v>162503</v>
      </c>
      <c r="E537" s="70" t="s">
        <v>707</v>
      </c>
      <c r="F537" s="70" t="s">
        <v>16</v>
      </c>
      <c r="G537" s="70" t="s">
        <v>131</v>
      </c>
      <c r="H537" s="71" t="s">
        <v>132</v>
      </c>
    </row>
    <row r="538" spans="4:8" ht="18" customHeight="1">
      <c r="D538" s="85">
        <v>162506</v>
      </c>
      <c r="E538" s="70" t="s">
        <v>708</v>
      </c>
      <c r="F538" s="70" t="s">
        <v>16</v>
      </c>
      <c r="G538" s="70" t="s">
        <v>131</v>
      </c>
      <c r="H538" s="71" t="s">
        <v>132</v>
      </c>
    </row>
    <row r="539" spans="4:8" ht="18" customHeight="1">
      <c r="D539" s="85">
        <v>162511</v>
      </c>
      <c r="E539" s="70" t="s">
        <v>709</v>
      </c>
      <c r="F539" s="70" t="s">
        <v>16</v>
      </c>
      <c r="G539" s="70" t="s">
        <v>131</v>
      </c>
      <c r="H539" s="71" t="s">
        <v>132</v>
      </c>
    </row>
    <row r="540" spans="4:8" ht="18" customHeight="1">
      <c r="D540" s="85">
        <v>162512</v>
      </c>
      <c r="E540" s="70" t="s">
        <v>710</v>
      </c>
      <c r="F540" s="70" t="s">
        <v>16</v>
      </c>
      <c r="G540" s="70" t="s">
        <v>131</v>
      </c>
      <c r="H540" s="71" t="s">
        <v>132</v>
      </c>
    </row>
    <row r="541" spans="4:8" ht="18" customHeight="1">
      <c r="D541" s="85">
        <v>162515</v>
      </c>
      <c r="E541" s="70" t="s">
        <v>711</v>
      </c>
      <c r="F541" s="70" t="s">
        <v>16</v>
      </c>
      <c r="G541" s="70" t="s">
        <v>131</v>
      </c>
      <c r="H541" s="71" t="s">
        <v>132</v>
      </c>
    </row>
    <row r="542" spans="4:8" ht="18" customHeight="1">
      <c r="D542" s="85">
        <v>162516</v>
      </c>
      <c r="E542" s="70" t="s">
        <v>712</v>
      </c>
      <c r="F542" s="70" t="s">
        <v>16</v>
      </c>
      <c r="G542" s="70" t="s">
        <v>131</v>
      </c>
      <c r="H542" s="71" t="s">
        <v>132</v>
      </c>
    </row>
    <row r="543" spans="4:8" ht="18" customHeight="1">
      <c r="D543" s="73">
        <v>83117277</v>
      </c>
      <c r="E543" s="69" t="s">
        <v>713</v>
      </c>
      <c r="F543" s="73" t="s">
        <v>16</v>
      </c>
      <c r="G543" s="70" t="s">
        <v>714</v>
      </c>
      <c r="H543" s="71" t="s">
        <v>132</v>
      </c>
    </row>
    <row r="544" spans="4:8" ht="18" customHeight="1">
      <c r="D544" s="73">
        <v>83117271</v>
      </c>
      <c r="E544" s="69" t="s">
        <v>715</v>
      </c>
      <c r="F544" s="73" t="s">
        <v>16</v>
      </c>
      <c r="G544" s="70" t="s">
        <v>131</v>
      </c>
      <c r="H544" s="71" t="s">
        <v>132</v>
      </c>
    </row>
    <row r="545" spans="4:8" ht="18" customHeight="1">
      <c r="D545" s="73">
        <v>83117268</v>
      </c>
      <c r="E545" s="69" t="s">
        <v>716</v>
      </c>
      <c r="F545" s="73" t="s">
        <v>16</v>
      </c>
      <c r="G545" s="70" t="s">
        <v>131</v>
      </c>
      <c r="H545" s="71" t="s">
        <v>132</v>
      </c>
    </row>
    <row r="546" spans="4:8" ht="18" customHeight="1">
      <c r="D546" s="73">
        <v>83117505</v>
      </c>
      <c r="E546" s="69" t="s">
        <v>717</v>
      </c>
      <c r="F546" s="73" t="s">
        <v>16</v>
      </c>
      <c r="G546" s="70" t="s">
        <v>131</v>
      </c>
      <c r="H546" s="71" t="s">
        <v>132</v>
      </c>
    </row>
    <row r="547" spans="4:8" ht="18" customHeight="1">
      <c r="D547" s="73">
        <v>148204</v>
      </c>
      <c r="E547" s="69" t="s">
        <v>718</v>
      </c>
      <c r="F547" s="73" t="s">
        <v>16</v>
      </c>
      <c r="G547" s="70" t="s">
        <v>131</v>
      </c>
      <c r="H547" s="71" t="s">
        <v>132</v>
      </c>
    </row>
    <row r="548" spans="4:8" ht="18" customHeight="1">
      <c r="D548" s="73">
        <v>83121091</v>
      </c>
      <c r="E548" s="69" t="s">
        <v>719</v>
      </c>
      <c r="F548" s="73" t="s">
        <v>16</v>
      </c>
      <c r="G548" s="70" t="s">
        <v>131</v>
      </c>
      <c r="H548" s="71" t="s">
        <v>132</v>
      </c>
    </row>
    <row r="549" spans="4:8" ht="18" customHeight="1">
      <c r="D549" s="73">
        <v>83117504</v>
      </c>
      <c r="E549" s="69" t="s">
        <v>720</v>
      </c>
      <c r="F549" s="73" t="s">
        <v>16</v>
      </c>
      <c r="G549" s="70" t="s">
        <v>131</v>
      </c>
      <c r="H549" s="71" t="s">
        <v>132</v>
      </c>
    </row>
    <row r="550" spans="4:8" ht="18" customHeight="1">
      <c r="D550" s="73">
        <v>83117808</v>
      </c>
      <c r="E550" s="69" t="s">
        <v>721</v>
      </c>
      <c r="F550" s="73" t="s">
        <v>16</v>
      </c>
      <c r="G550" s="70" t="s">
        <v>131</v>
      </c>
      <c r="H550" s="71" t="s">
        <v>132</v>
      </c>
    </row>
    <row r="551" spans="4:8" ht="18" customHeight="1">
      <c r="D551" s="73">
        <v>162505</v>
      </c>
      <c r="E551" s="69" t="s">
        <v>722</v>
      </c>
      <c r="F551" s="73" t="s">
        <v>16</v>
      </c>
      <c r="G551" s="70" t="s">
        <v>131</v>
      </c>
      <c r="H551" s="71" t="s">
        <v>132</v>
      </c>
    </row>
    <row r="552" spans="4:8" ht="18" customHeight="1">
      <c r="D552" s="73">
        <v>162499</v>
      </c>
      <c r="E552" s="69" t="s">
        <v>723</v>
      </c>
      <c r="F552" s="73" t="s">
        <v>16</v>
      </c>
      <c r="G552" s="70" t="s">
        <v>131</v>
      </c>
      <c r="H552" s="71" t="s">
        <v>132</v>
      </c>
    </row>
    <row r="553" spans="4:8" ht="18" customHeight="1">
      <c r="D553" s="73">
        <v>83117278</v>
      </c>
      <c r="E553" s="69" t="s">
        <v>724</v>
      </c>
      <c r="F553" s="73" t="s">
        <v>16</v>
      </c>
      <c r="G553" s="70" t="s">
        <v>131</v>
      </c>
      <c r="H553" s="71" t="s">
        <v>132</v>
      </c>
    </row>
    <row r="554" spans="4:8" ht="18" customHeight="1">
      <c r="D554" s="73">
        <v>162496</v>
      </c>
      <c r="E554" s="69" t="s">
        <v>725</v>
      </c>
      <c r="F554" s="73" t="s">
        <v>16</v>
      </c>
      <c r="G554" s="70" t="s">
        <v>131</v>
      </c>
      <c r="H554" s="71" t="s">
        <v>132</v>
      </c>
    </row>
    <row r="555" spans="4:8" ht="18" customHeight="1">
      <c r="D555" s="73">
        <v>148212</v>
      </c>
      <c r="E555" s="69" t="s">
        <v>726</v>
      </c>
      <c r="F555" s="73" t="s">
        <v>16</v>
      </c>
      <c r="G555" s="70" t="s">
        <v>131</v>
      </c>
      <c r="H555" s="71" t="s">
        <v>132</v>
      </c>
    </row>
    <row r="556" spans="4:8" ht="18" customHeight="1">
      <c r="D556" s="73">
        <v>148205</v>
      </c>
      <c r="E556" s="69" t="s">
        <v>727</v>
      </c>
      <c r="F556" s="73" t="s">
        <v>16</v>
      </c>
      <c r="G556" s="70" t="s">
        <v>131</v>
      </c>
      <c r="H556" s="71" t="s">
        <v>132</v>
      </c>
    </row>
    <row r="557" spans="4:8" ht="18" customHeight="1">
      <c r="D557" s="73">
        <v>148207</v>
      </c>
      <c r="E557" s="69" t="s">
        <v>728</v>
      </c>
      <c r="F557" s="73" t="s">
        <v>16</v>
      </c>
      <c r="G557" s="70" t="s">
        <v>131</v>
      </c>
      <c r="H557" s="71" t="s">
        <v>132</v>
      </c>
    </row>
    <row r="558" spans="4:8" ht="18" customHeight="1">
      <c r="D558" s="73">
        <v>162508</v>
      </c>
      <c r="E558" s="69" t="s">
        <v>729</v>
      </c>
      <c r="F558" s="73" t="s">
        <v>16</v>
      </c>
      <c r="G558" s="70" t="s">
        <v>131</v>
      </c>
      <c r="H558" s="71" t="s">
        <v>132</v>
      </c>
    </row>
    <row r="559" spans="4:8" ht="18" customHeight="1">
      <c r="D559" s="73">
        <v>162500</v>
      </c>
      <c r="E559" s="69" t="s">
        <v>730</v>
      </c>
      <c r="F559" s="73" t="s">
        <v>16</v>
      </c>
      <c r="G559" s="70" t="s">
        <v>131</v>
      </c>
      <c r="H559" s="71" t="s">
        <v>132</v>
      </c>
    </row>
    <row r="560" spans="4:8" ht="18" customHeight="1">
      <c r="D560" s="73">
        <v>148198</v>
      </c>
      <c r="E560" s="69" t="s">
        <v>731</v>
      </c>
      <c r="F560" s="73" t="s">
        <v>16</v>
      </c>
      <c r="G560" s="70" t="s">
        <v>131</v>
      </c>
      <c r="H560" s="71" t="s">
        <v>132</v>
      </c>
    </row>
    <row r="561" spans="4:8" ht="18" customHeight="1">
      <c r="D561" s="73">
        <v>148196</v>
      </c>
      <c r="E561" s="69" t="s">
        <v>732</v>
      </c>
      <c r="F561" s="73" t="s">
        <v>16</v>
      </c>
      <c r="G561" s="70" t="s">
        <v>131</v>
      </c>
      <c r="H561" s="71" t="s">
        <v>132</v>
      </c>
    </row>
    <row r="562" spans="4:8" ht="18" customHeight="1">
      <c r="D562" s="73">
        <v>162507</v>
      </c>
      <c r="E562" s="69" t="s">
        <v>733</v>
      </c>
      <c r="F562" s="73" t="s">
        <v>16</v>
      </c>
      <c r="G562" s="70" t="s">
        <v>131</v>
      </c>
      <c r="H562" s="71" t="s">
        <v>132</v>
      </c>
    </row>
    <row r="563" spans="4:8" ht="18" customHeight="1">
      <c r="D563" s="73">
        <v>162513</v>
      </c>
      <c r="E563" s="69" t="s">
        <v>734</v>
      </c>
      <c r="F563" s="73" t="s">
        <v>16</v>
      </c>
      <c r="G563" s="70" t="s">
        <v>131</v>
      </c>
      <c r="H563" s="71" t="s">
        <v>132</v>
      </c>
    </row>
    <row r="564" spans="4:8" ht="18" customHeight="1">
      <c r="D564" s="73">
        <v>83121092</v>
      </c>
      <c r="E564" s="69" t="s">
        <v>735</v>
      </c>
      <c r="F564" s="73" t="s">
        <v>16</v>
      </c>
      <c r="G564" s="70" t="s">
        <v>131</v>
      </c>
      <c r="H564" s="71" t="s">
        <v>132</v>
      </c>
    </row>
    <row r="565" spans="4:8" ht="18" customHeight="1">
      <c r="D565" s="73">
        <v>162501</v>
      </c>
      <c r="E565" s="69" t="s">
        <v>736</v>
      </c>
      <c r="F565" s="73" t="s">
        <v>16</v>
      </c>
      <c r="G565" s="70" t="s">
        <v>131</v>
      </c>
      <c r="H565" s="71" t="s">
        <v>132</v>
      </c>
    </row>
    <row r="566" spans="4:8" ht="18" customHeight="1">
      <c r="D566" s="73">
        <v>162509</v>
      </c>
      <c r="E566" s="69" t="s">
        <v>737</v>
      </c>
      <c r="F566" s="73" t="s">
        <v>16</v>
      </c>
      <c r="G566" s="70" t="s">
        <v>131</v>
      </c>
      <c r="H566" s="71" t="s">
        <v>132</v>
      </c>
    </row>
    <row r="567" spans="4:8" ht="18" customHeight="1">
      <c r="D567" s="73">
        <v>148193</v>
      </c>
      <c r="E567" s="69" t="s">
        <v>738</v>
      </c>
      <c r="F567" s="73" t="s">
        <v>16</v>
      </c>
      <c r="G567" s="70" t="s">
        <v>131</v>
      </c>
      <c r="H567" s="71" t="s">
        <v>132</v>
      </c>
    </row>
    <row r="568" spans="4:8" ht="18" customHeight="1">
      <c r="D568" s="73">
        <v>162498</v>
      </c>
      <c r="E568" s="69" t="s">
        <v>739</v>
      </c>
      <c r="F568" s="73" t="s">
        <v>16</v>
      </c>
      <c r="G568" s="70" t="s">
        <v>131</v>
      </c>
      <c r="H568" s="71" t="s">
        <v>132</v>
      </c>
    </row>
    <row r="569" spans="4:8" ht="18" customHeight="1">
      <c r="D569" s="73">
        <v>148191</v>
      </c>
      <c r="E569" s="69" t="s">
        <v>740</v>
      </c>
      <c r="F569" s="73" t="s">
        <v>16</v>
      </c>
      <c r="G569" s="70" t="s">
        <v>131</v>
      </c>
      <c r="H569" s="71" t="s">
        <v>132</v>
      </c>
    </row>
    <row r="570" spans="4:8" ht="18" customHeight="1">
      <c r="D570" s="73">
        <v>148199</v>
      </c>
      <c r="E570" s="69" t="s">
        <v>741</v>
      </c>
      <c r="F570" s="73" t="s">
        <v>16</v>
      </c>
      <c r="G570" s="70" t="s">
        <v>131</v>
      </c>
      <c r="H570" s="71" t="s">
        <v>132</v>
      </c>
    </row>
    <row r="571" spans="4:8" ht="18" customHeight="1">
      <c r="D571" s="73">
        <v>162504</v>
      </c>
      <c r="E571" s="69" t="s">
        <v>742</v>
      </c>
      <c r="F571" s="73" t="s">
        <v>16</v>
      </c>
      <c r="G571" s="70" t="s">
        <v>131</v>
      </c>
      <c r="H571" s="71" t="s">
        <v>132</v>
      </c>
    </row>
    <row r="572" spans="4:8" ht="18" customHeight="1">
      <c r="D572" s="70">
        <v>84087806</v>
      </c>
      <c r="E572" s="72" t="s">
        <v>743</v>
      </c>
      <c r="F572" s="70" t="s">
        <v>17</v>
      </c>
      <c r="G572" s="70" t="s">
        <v>76</v>
      </c>
      <c r="H572" s="71" t="s">
        <v>135</v>
      </c>
    </row>
    <row r="573" spans="4:8" ht="18" customHeight="1">
      <c r="D573" s="70">
        <v>83123693</v>
      </c>
      <c r="E573" s="70" t="s">
        <v>744</v>
      </c>
      <c r="F573" s="70" t="s">
        <v>17</v>
      </c>
      <c r="G573" s="70" t="s">
        <v>745</v>
      </c>
      <c r="H573" s="71" t="s">
        <v>132</v>
      </c>
    </row>
    <row r="574" spans="4:8" ht="18" customHeight="1">
      <c r="D574" s="70">
        <v>83123695</v>
      </c>
      <c r="E574" s="70" t="s">
        <v>746</v>
      </c>
      <c r="F574" s="70" t="s">
        <v>17</v>
      </c>
      <c r="G574" s="70" t="s">
        <v>747</v>
      </c>
      <c r="H574" s="71" t="s">
        <v>132</v>
      </c>
    </row>
    <row r="575" spans="4:8" ht="18" customHeight="1">
      <c r="D575" s="70">
        <v>84087817</v>
      </c>
      <c r="E575" s="70" t="s">
        <v>748</v>
      </c>
      <c r="F575" s="70" t="s">
        <v>17</v>
      </c>
      <c r="G575" s="70" t="s">
        <v>77</v>
      </c>
      <c r="H575" s="71" t="s">
        <v>132</v>
      </c>
    </row>
    <row r="576" spans="4:8" ht="18" customHeight="1">
      <c r="D576" s="70">
        <v>83123706</v>
      </c>
      <c r="E576" s="70" t="s">
        <v>749</v>
      </c>
      <c r="F576" s="70" t="s">
        <v>17</v>
      </c>
      <c r="G576" s="70" t="s">
        <v>84</v>
      </c>
      <c r="H576" s="71" t="s">
        <v>135</v>
      </c>
    </row>
    <row r="577" spans="4:8" ht="18" customHeight="1">
      <c r="D577" s="70">
        <v>83123694</v>
      </c>
      <c r="E577" s="70" t="s">
        <v>750</v>
      </c>
      <c r="F577" s="70" t="s">
        <v>17</v>
      </c>
      <c r="G577" s="70" t="s">
        <v>84</v>
      </c>
      <c r="H577" s="71" t="s">
        <v>135</v>
      </c>
    </row>
    <row r="578" spans="4:8" ht="18" customHeight="1">
      <c r="D578" s="70">
        <v>83123701</v>
      </c>
      <c r="E578" s="70" t="s">
        <v>751</v>
      </c>
      <c r="F578" s="70" t="s">
        <v>17</v>
      </c>
      <c r="G578" s="70" t="s">
        <v>84</v>
      </c>
      <c r="H578" s="71" t="s">
        <v>135</v>
      </c>
    </row>
    <row r="579" spans="4:8" ht="18" customHeight="1">
      <c r="D579" s="70">
        <v>143402</v>
      </c>
      <c r="E579" s="70" t="s">
        <v>752</v>
      </c>
      <c r="F579" s="70" t="s">
        <v>17</v>
      </c>
      <c r="G579" s="70" t="s">
        <v>84</v>
      </c>
      <c r="H579" s="71" t="s">
        <v>135</v>
      </c>
    </row>
    <row r="580" spans="4:8" ht="18" customHeight="1">
      <c r="D580" s="70">
        <v>135869</v>
      </c>
      <c r="E580" s="70" t="s">
        <v>753</v>
      </c>
      <c r="F580" s="70" t="s">
        <v>17</v>
      </c>
      <c r="G580" s="70" t="s">
        <v>84</v>
      </c>
      <c r="H580" s="71" t="s">
        <v>135</v>
      </c>
    </row>
    <row r="581" spans="4:8" ht="18" customHeight="1">
      <c r="D581" s="70">
        <v>83123700</v>
      </c>
      <c r="E581" s="70" t="s">
        <v>754</v>
      </c>
      <c r="F581" s="70" t="s">
        <v>17</v>
      </c>
      <c r="G581" s="70" t="s">
        <v>84</v>
      </c>
      <c r="H581" s="71" t="s">
        <v>135</v>
      </c>
    </row>
    <row r="582" spans="4:8" ht="18" customHeight="1">
      <c r="D582" s="70">
        <v>83123697</v>
      </c>
      <c r="E582" s="70" t="s">
        <v>755</v>
      </c>
      <c r="F582" s="70" t="s">
        <v>17</v>
      </c>
      <c r="G582" s="70" t="s">
        <v>84</v>
      </c>
      <c r="H582" s="71" t="s">
        <v>135</v>
      </c>
    </row>
    <row r="583" spans="4:8" ht="18" customHeight="1">
      <c r="D583" s="70">
        <v>143398</v>
      </c>
      <c r="E583" s="70" t="s">
        <v>756</v>
      </c>
      <c r="F583" s="70" t="s">
        <v>17</v>
      </c>
      <c r="G583" s="70" t="s">
        <v>84</v>
      </c>
      <c r="H583" s="71" t="s">
        <v>135</v>
      </c>
    </row>
    <row r="584" spans="4:8" ht="18" customHeight="1">
      <c r="D584" s="70">
        <v>143409</v>
      </c>
      <c r="E584" s="70" t="s">
        <v>757</v>
      </c>
      <c r="F584" s="70" t="s">
        <v>17</v>
      </c>
      <c r="G584" s="70" t="s">
        <v>84</v>
      </c>
      <c r="H584" s="71" t="s">
        <v>135</v>
      </c>
    </row>
    <row r="585" spans="4:8" ht="18" customHeight="1">
      <c r="D585" s="70">
        <v>83123699</v>
      </c>
      <c r="E585" s="70" t="s">
        <v>758</v>
      </c>
      <c r="F585" s="70" t="s">
        <v>17</v>
      </c>
      <c r="G585" s="70" t="s">
        <v>84</v>
      </c>
      <c r="H585" s="71" t="s">
        <v>135</v>
      </c>
    </row>
    <row r="586" spans="4:8" ht="18" customHeight="1">
      <c r="D586" s="92">
        <v>83123703</v>
      </c>
      <c r="E586" s="70" t="s">
        <v>759</v>
      </c>
      <c r="F586" s="70" t="s">
        <v>17</v>
      </c>
      <c r="G586" s="70" t="s">
        <v>84</v>
      </c>
      <c r="H586" s="71" t="s">
        <v>135</v>
      </c>
    </row>
    <row r="587" spans="4:8" ht="18" customHeight="1">
      <c r="D587" s="70">
        <v>83123698</v>
      </c>
      <c r="E587" s="70" t="s">
        <v>760</v>
      </c>
      <c r="F587" s="70" t="s">
        <v>17</v>
      </c>
      <c r="G587" s="70" t="s">
        <v>84</v>
      </c>
      <c r="H587" s="71" t="s">
        <v>135</v>
      </c>
    </row>
    <row r="588" spans="4:8" ht="18" customHeight="1">
      <c r="D588" s="70">
        <v>84087843</v>
      </c>
      <c r="E588" s="70" t="s">
        <v>761</v>
      </c>
      <c r="F588" s="70" t="s">
        <v>17</v>
      </c>
      <c r="G588" s="70" t="s">
        <v>84</v>
      </c>
      <c r="H588" s="71" t="s">
        <v>135</v>
      </c>
    </row>
    <row r="589" spans="4:8" ht="18" customHeight="1">
      <c r="D589" s="93">
        <v>83117892</v>
      </c>
      <c r="E589" s="70" t="s">
        <v>762</v>
      </c>
      <c r="F589" s="70" t="s">
        <v>17</v>
      </c>
      <c r="G589" s="70" t="s">
        <v>46</v>
      </c>
      <c r="H589" s="71" t="s">
        <v>132</v>
      </c>
    </row>
    <row r="590" spans="4:8" ht="18" customHeight="1">
      <c r="D590" s="73">
        <v>83117886</v>
      </c>
      <c r="E590" s="70" t="s">
        <v>763</v>
      </c>
      <c r="F590" s="73" t="s">
        <v>17</v>
      </c>
      <c r="G590" s="70" t="s">
        <v>764</v>
      </c>
      <c r="H590" s="71" t="s">
        <v>132</v>
      </c>
    </row>
    <row r="591" spans="4:8" ht="18" customHeight="1">
      <c r="D591" s="73">
        <v>83117915</v>
      </c>
      <c r="E591" s="70" t="s">
        <v>765</v>
      </c>
      <c r="F591" s="73" t="s">
        <v>17</v>
      </c>
      <c r="G591" s="70" t="s">
        <v>47</v>
      </c>
      <c r="H591" s="71" t="s">
        <v>132</v>
      </c>
    </row>
    <row r="592" spans="4:8" ht="18" customHeight="1">
      <c r="D592" s="82">
        <v>83103335</v>
      </c>
      <c r="E592" s="70" t="s">
        <v>766</v>
      </c>
      <c r="F592" s="70" t="s">
        <v>17</v>
      </c>
      <c r="G592" s="70" t="s">
        <v>131</v>
      </c>
      <c r="H592" s="71" t="s">
        <v>132</v>
      </c>
    </row>
    <row r="593" spans="4:8" ht="18" customHeight="1">
      <c r="D593" s="94">
        <v>141588</v>
      </c>
      <c r="E593" s="70" t="s">
        <v>767</v>
      </c>
      <c r="F593" s="70" t="s">
        <v>17</v>
      </c>
      <c r="G593" s="70" t="s">
        <v>131</v>
      </c>
      <c r="H593" s="71" t="s">
        <v>132</v>
      </c>
    </row>
    <row r="594" spans="4:8" ht="18" customHeight="1">
      <c r="D594" s="82">
        <v>83117938</v>
      </c>
      <c r="E594" s="70" t="s">
        <v>768</v>
      </c>
      <c r="F594" s="70" t="s">
        <v>17</v>
      </c>
      <c r="G594" s="70" t="s">
        <v>131</v>
      </c>
      <c r="H594" s="71" t="s">
        <v>132</v>
      </c>
    </row>
    <row r="595" spans="4:8" ht="18" customHeight="1">
      <c r="D595" s="70">
        <v>145752</v>
      </c>
      <c r="E595" s="70" t="s">
        <v>769</v>
      </c>
      <c r="F595" s="70" t="s">
        <v>17</v>
      </c>
      <c r="G595" s="70" t="s">
        <v>131</v>
      </c>
      <c r="H595" s="71" t="s">
        <v>132</v>
      </c>
    </row>
    <row r="596" spans="4:8" ht="18" customHeight="1">
      <c r="D596" s="70">
        <v>141589</v>
      </c>
      <c r="E596" s="70" t="s">
        <v>770</v>
      </c>
      <c r="F596" s="70" t="s">
        <v>17</v>
      </c>
      <c r="G596" s="70" t="s">
        <v>131</v>
      </c>
      <c r="H596" s="71" t="s">
        <v>132</v>
      </c>
    </row>
    <row r="597" spans="4:8" ht="18" customHeight="1">
      <c r="D597" s="93">
        <v>83103336</v>
      </c>
      <c r="E597" s="70" t="s">
        <v>751</v>
      </c>
      <c r="F597" s="70" t="s">
        <v>17</v>
      </c>
      <c r="G597" s="70" t="s">
        <v>131</v>
      </c>
      <c r="H597" s="71" t="s">
        <v>132</v>
      </c>
    </row>
    <row r="598" spans="4:8" ht="18" customHeight="1">
      <c r="D598" s="93">
        <v>141587</v>
      </c>
      <c r="E598" s="70" t="s">
        <v>771</v>
      </c>
      <c r="F598" s="70" t="s">
        <v>17</v>
      </c>
      <c r="G598" s="70" t="s">
        <v>131</v>
      </c>
      <c r="H598" s="71" t="s">
        <v>132</v>
      </c>
    </row>
    <row r="599" spans="4:8" ht="18" customHeight="1">
      <c r="D599" s="94">
        <v>132387</v>
      </c>
      <c r="E599" s="70" t="s">
        <v>772</v>
      </c>
      <c r="F599" s="70" t="s">
        <v>17</v>
      </c>
      <c r="G599" s="70" t="s">
        <v>131</v>
      </c>
      <c r="H599" s="71" t="s">
        <v>132</v>
      </c>
    </row>
    <row r="600" spans="4:8" ht="18" customHeight="1">
      <c r="D600" s="93">
        <v>141580</v>
      </c>
      <c r="E600" s="70" t="s">
        <v>773</v>
      </c>
      <c r="F600" s="70" t="s">
        <v>17</v>
      </c>
      <c r="G600" s="70" t="s">
        <v>131</v>
      </c>
      <c r="H600" s="71" t="s">
        <v>132</v>
      </c>
    </row>
    <row r="601" spans="4:8" ht="18" customHeight="1">
      <c r="D601" s="82">
        <v>84123768</v>
      </c>
      <c r="E601" s="70" t="s">
        <v>774</v>
      </c>
      <c r="F601" s="70" t="s">
        <v>17</v>
      </c>
      <c r="G601" s="70" t="s">
        <v>131</v>
      </c>
      <c r="H601" s="71" t="s">
        <v>132</v>
      </c>
    </row>
    <row r="602" spans="4:8" ht="18" customHeight="1">
      <c r="D602" s="93">
        <v>141583</v>
      </c>
      <c r="E602" s="70" t="s">
        <v>775</v>
      </c>
      <c r="F602" s="70" t="s">
        <v>17</v>
      </c>
      <c r="G602" s="70" t="s">
        <v>131</v>
      </c>
      <c r="H602" s="71" t="s">
        <v>132</v>
      </c>
    </row>
    <row r="603" spans="4:8" ht="18" customHeight="1">
      <c r="D603" s="93">
        <v>141579</v>
      </c>
      <c r="E603" s="70" t="s">
        <v>776</v>
      </c>
      <c r="F603" s="70" t="s">
        <v>17</v>
      </c>
      <c r="G603" s="70" t="s">
        <v>131</v>
      </c>
      <c r="H603" s="71" t="s">
        <v>132</v>
      </c>
    </row>
    <row r="604" spans="4:8" ht="18" customHeight="1">
      <c r="D604" s="82">
        <v>83101972</v>
      </c>
      <c r="E604" s="70" t="s">
        <v>777</v>
      </c>
      <c r="F604" s="70" t="s">
        <v>17</v>
      </c>
      <c r="G604" s="70" t="s">
        <v>131</v>
      </c>
      <c r="H604" s="71" t="s">
        <v>132</v>
      </c>
    </row>
    <row r="605" spans="4:8" ht="18" customHeight="1">
      <c r="D605" s="92">
        <v>83117885</v>
      </c>
      <c r="E605" s="70" t="s">
        <v>778</v>
      </c>
      <c r="F605" s="70" t="s">
        <v>17</v>
      </c>
      <c r="G605" s="70" t="s">
        <v>131</v>
      </c>
      <c r="H605" s="71" t="s">
        <v>132</v>
      </c>
    </row>
    <row r="606" spans="4:8" ht="18" customHeight="1">
      <c r="D606" s="70">
        <v>83119567</v>
      </c>
      <c r="E606" s="70" t="s">
        <v>779</v>
      </c>
      <c r="F606" s="70" t="s">
        <v>17</v>
      </c>
      <c r="G606" s="70" t="s">
        <v>131</v>
      </c>
      <c r="H606" s="71" t="s">
        <v>132</v>
      </c>
    </row>
    <row r="607" spans="4:8" ht="18" customHeight="1">
      <c r="D607" s="73">
        <v>83117914</v>
      </c>
      <c r="E607" s="70" t="s">
        <v>780</v>
      </c>
      <c r="F607" s="73" t="s">
        <v>17</v>
      </c>
      <c r="G607" s="70" t="s">
        <v>131</v>
      </c>
      <c r="H607" s="71" t="s">
        <v>132</v>
      </c>
    </row>
    <row r="608" spans="4:8" ht="18" customHeight="1">
      <c r="D608" s="73">
        <v>83101970</v>
      </c>
      <c r="E608" s="70" t="s">
        <v>781</v>
      </c>
      <c r="F608" s="73" t="s">
        <v>17</v>
      </c>
      <c r="G608" s="70" t="s">
        <v>131</v>
      </c>
      <c r="H608" s="71" t="s">
        <v>132</v>
      </c>
    </row>
    <row r="609" spans="4:8" ht="18" customHeight="1">
      <c r="D609" s="73">
        <v>84123769</v>
      </c>
      <c r="E609" s="70" t="s">
        <v>782</v>
      </c>
      <c r="F609" s="73" t="s">
        <v>17</v>
      </c>
      <c r="G609" s="70" t="s">
        <v>131</v>
      </c>
      <c r="H609" s="71" t="s">
        <v>132</v>
      </c>
    </row>
    <row r="610" spans="4:8" ht="18" customHeight="1">
      <c r="D610" s="73">
        <v>84123770</v>
      </c>
      <c r="E610" s="70" t="s">
        <v>783</v>
      </c>
      <c r="F610" s="73" t="s">
        <v>17</v>
      </c>
      <c r="G610" s="70" t="s">
        <v>131</v>
      </c>
      <c r="H610" s="71" t="s">
        <v>132</v>
      </c>
    </row>
    <row r="611" spans="4:8" ht="18" customHeight="1">
      <c r="D611" s="73">
        <v>141581</v>
      </c>
      <c r="E611" s="70" t="s">
        <v>784</v>
      </c>
      <c r="F611" s="73" t="s">
        <v>17</v>
      </c>
      <c r="G611" s="70" t="s">
        <v>131</v>
      </c>
      <c r="H611" s="71" t="s">
        <v>132</v>
      </c>
    </row>
    <row r="612" spans="4:8" ht="18" customHeight="1">
      <c r="D612" s="73">
        <v>83103330</v>
      </c>
      <c r="E612" s="70" t="s">
        <v>785</v>
      </c>
      <c r="F612" s="73" t="s">
        <v>17</v>
      </c>
      <c r="G612" s="70" t="s">
        <v>131</v>
      </c>
      <c r="H612" s="71" t="s">
        <v>132</v>
      </c>
    </row>
    <row r="613" spans="4:8" ht="18" customHeight="1">
      <c r="D613" s="73">
        <v>141590</v>
      </c>
      <c r="E613" s="70" t="s">
        <v>786</v>
      </c>
      <c r="F613" s="73" t="s">
        <v>17</v>
      </c>
      <c r="G613" s="70" t="s">
        <v>131</v>
      </c>
      <c r="H613" s="71" t="s">
        <v>132</v>
      </c>
    </row>
    <row r="614" spans="4:8" ht="18" customHeight="1">
      <c r="D614" s="73">
        <v>83117899</v>
      </c>
      <c r="E614" s="70" t="s">
        <v>787</v>
      </c>
      <c r="F614" s="73" t="s">
        <v>17</v>
      </c>
      <c r="G614" s="70" t="s">
        <v>131</v>
      </c>
      <c r="H614" s="71" t="s">
        <v>132</v>
      </c>
    </row>
    <row r="615" spans="4:8" ht="18" customHeight="1">
      <c r="D615" s="73">
        <v>84130582</v>
      </c>
      <c r="E615" s="70" t="s">
        <v>788</v>
      </c>
      <c r="F615" s="73" t="s">
        <v>17</v>
      </c>
      <c r="G615" s="70" t="s">
        <v>131</v>
      </c>
      <c r="H615" s="71" t="s">
        <v>132</v>
      </c>
    </row>
    <row r="616" spans="4:8" ht="18" customHeight="1">
      <c r="D616" s="73">
        <v>83118004</v>
      </c>
      <c r="E616" s="70" t="s">
        <v>789</v>
      </c>
      <c r="F616" s="73" t="s">
        <v>17</v>
      </c>
      <c r="G616" s="70" t="s">
        <v>131</v>
      </c>
      <c r="H616" s="71" t="s">
        <v>132</v>
      </c>
    </row>
    <row r="617" spans="4:8" ht="18" customHeight="1">
      <c r="D617" s="73">
        <v>83103340</v>
      </c>
      <c r="E617" s="70" t="s">
        <v>790</v>
      </c>
      <c r="F617" s="73" t="s">
        <v>17</v>
      </c>
      <c r="G617" s="70" t="s">
        <v>131</v>
      </c>
      <c r="H617" s="71" t="s">
        <v>132</v>
      </c>
    </row>
    <row r="618" spans="4:8" ht="18" customHeight="1">
      <c r="D618" s="73">
        <v>83117910</v>
      </c>
      <c r="E618" s="70" t="s">
        <v>791</v>
      </c>
      <c r="F618" s="73" t="s">
        <v>17</v>
      </c>
      <c r="G618" s="70" t="s">
        <v>131</v>
      </c>
      <c r="H618" s="71" t="s">
        <v>132</v>
      </c>
    </row>
    <row r="619" spans="4:8" ht="18" customHeight="1">
      <c r="D619" s="73">
        <v>84124082</v>
      </c>
      <c r="E619" s="70" t="s">
        <v>792</v>
      </c>
      <c r="F619" s="73" t="s">
        <v>17</v>
      </c>
      <c r="G619" s="70" t="s">
        <v>131</v>
      </c>
      <c r="H619" s="71" t="s">
        <v>132</v>
      </c>
    </row>
    <row r="620" spans="4:8" ht="18" customHeight="1">
      <c r="D620" s="73">
        <v>84117918</v>
      </c>
      <c r="E620" s="70" t="s">
        <v>793</v>
      </c>
      <c r="F620" s="73" t="s">
        <v>17</v>
      </c>
      <c r="G620" s="70" t="s">
        <v>131</v>
      </c>
      <c r="H620" s="71" t="s">
        <v>132</v>
      </c>
    </row>
    <row r="621" spans="4:8" ht="18" customHeight="1">
      <c r="D621" s="73">
        <v>84123771</v>
      </c>
      <c r="E621" s="70" t="s">
        <v>794</v>
      </c>
      <c r="F621" s="73" t="s">
        <v>17</v>
      </c>
      <c r="G621" s="70" t="s">
        <v>131</v>
      </c>
      <c r="H621" s="71" t="s">
        <v>132</v>
      </c>
    </row>
    <row r="622" spans="4:8" ht="18" customHeight="1">
      <c r="D622" s="73">
        <v>84123766</v>
      </c>
      <c r="E622" s="70" t="s">
        <v>795</v>
      </c>
      <c r="F622" s="73" t="s">
        <v>17</v>
      </c>
      <c r="G622" s="70" t="s">
        <v>131</v>
      </c>
      <c r="H622" s="71" t="s">
        <v>132</v>
      </c>
    </row>
    <row r="623" spans="4:8" ht="18" customHeight="1">
      <c r="D623" s="73">
        <v>132386</v>
      </c>
      <c r="E623" s="70" t="s">
        <v>796</v>
      </c>
      <c r="F623" s="73" t="s">
        <v>17</v>
      </c>
      <c r="G623" s="70" t="s">
        <v>131</v>
      </c>
      <c r="H623" s="71" t="s">
        <v>132</v>
      </c>
    </row>
    <row r="624" spans="4:8" ht="18" customHeight="1">
      <c r="D624" s="73">
        <v>141585</v>
      </c>
      <c r="E624" s="70" t="s">
        <v>797</v>
      </c>
      <c r="F624" s="73" t="s">
        <v>17</v>
      </c>
      <c r="G624" s="70" t="s">
        <v>131</v>
      </c>
      <c r="H624" s="71" t="s">
        <v>132</v>
      </c>
    </row>
    <row r="625" spans="4:8" ht="18" customHeight="1">
      <c r="D625" s="73">
        <v>251635</v>
      </c>
      <c r="E625" s="70" t="s">
        <v>798</v>
      </c>
      <c r="F625" s="73" t="s">
        <v>17</v>
      </c>
      <c r="G625" s="70" t="s">
        <v>131</v>
      </c>
      <c r="H625" s="71" t="s">
        <v>132</v>
      </c>
    </row>
    <row r="629" spans="4:8" ht="18" customHeight="1">
      <c r="D629">
        <v>148188</v>
      </c>
      <c r="E629" t="s">
        <v>799</v>
      </c>
    </row>
    <row r="630" spans="4:8" ht="18" customHeight="1">
      <c r="D630">
        <v>83117278</v>
      </c>
      <c r="E630" t="s">
        <v>724</v>
      </c>
    </row>
    <row r="631" spans="4:8" ht="18" customHeight="1">
      <c r="D631">
        <v>132514</v>
      </c>
      <c r="E631" t="s">
        <v>481</v>
      </c>
    </row>
    <row r="632" spans="4:8" ht="18" customHeight="1">
      <c r="D632">
        <v>145973</v>
      </c>
      <c r="E632" t="s">
        <v>233</v>
      </c>
    </row>
    <row r="633" spans="4:8" ht="18" customHeight="1">
      <c r="D633">
        <v>83117808</v>
      </c>
      <c r="E633" t="s">
        <v>800</v>
      </c>
    </row>
    <row r="634" spans="4:8" ht="18" customHeight="1">
      <c r="D634">
        <v>147850</v>
      </c>
      <c r="E634" t="s">
        <v>801</v>
      </c>
    </row>
    <row r="635" spans="4:8" ht="18" customHeight="1">
      <c r="D635">
        <v>147326</v>
      </c>
      <c r="E635" t="s">
        <v>802</v>
      </c>
    </row>
    <row r="636" spans="4:8" ht="18" customHeight="1">
      <c r="D636">
        <v>148190</v>
      </c>
      <c r="E636" t="s">
        <v>693</v>
      </c>
    </row>
    <row r="637" spans="4:8" ht="18" customHeight="1">
      <c r="D637">
        <v>241562</v>
      </c>
      <c r="E637" t="s">
        <v>803</v>
      </c>
    </row>
    <row r="638" spans="4:8" ht="18" customHeight="1">
      <c r="D638">
        <v>241138</v>
      </c>
      <c r="E638" t="s">
        <v>804</v>
      </c>
    </row>
    <row r="639" spans="4:8" ht="18" customHeight="1">
      <c r="D639">
        <v>84122965</v>
      </c>
      <c r="E639" t="s">
        <v>367</v>
      </c>
    </row>
    <row r="640" spans="4:8" ht="18" customHeight="1">
      <c r="D640">
        <v>83119865</v>
      </c>
      <c r="E640" t="s">
        <v>805</v>
      </c>
    </row>
    <row r="641" spans="4:5" ht="18" customHeight="1">
      <c r="D641">
        <v>145555</v>
      </c>
      <c r="E641" t="s">
        <v>806</v>
      </c>
    </row>
    <row r="642" spans="4:5" ht="18" customHeight="1">
      <c r="D642">
        <v>84123766</v>
      </c>
      <c r="E642" t="s">
        <v>795</v>
      </c>
    </row>
    <row r="643" spans="4:5" ht="18" customHeight="1">
      <c r="D643">
        <v>150161</v>
      </c>
      <c r="E643" t="s">
        <v>807</v>
      </c>
    </row>
    <row r="644" spans="4:5" ht="18" customHeight="1">
      <c r="D644">
        <v>251044</v>
      </c>
      <c r="E644" t="s">
        <v>665</v>
      </c>
    </row>
    <row r="645" spans="4:5" ht="18" customHeight="1">
      <c r="D645">
        <v>140219</v>
      </c>
      <c r="E645" t="s">
        <v>376</v>
      </c>
    </row>
    <row r="646" spans="4:5" ht="18" customHeight="1">
      <c r="D646">
        <v>83116130</v>
      </c>
      <c r="E646" t="s">
        <v>808</v>
      </c>
    </row>
    <row r="647" spans="4:5" ht="18" customHeight="1">
      <c r="D647">
        <v>84117918</v>
      </c>
      <c r="E647" t="s">
        <v>809</v>
      </c>
    </row>
    <row r="648" spans="4:5" ht="18" customHeight="1">
      <c r="D648">
        <v>83102211</v>
      </c>
      <c r="E648" t="s">
        <v>810</v>
      </c>
    </row>
    <row r="649" spans="4:5" ht="18" customHeight="1">
      <c r="D649">
        <v>141878</v>
      </c>
      <c r="E649" t="s">
        <v>380</v>
      </c>
    </row>
    <row r="650" spans="4:5" ht="18" customHeight="1">
      <c r="D650">
        <v>84099267</v>
      </c>
      <c r="E650" t="s">
        <v>811</v>
      </c>
    </row>
    <row r="651" spans="4:5" ht="18" customHeight="1">
      <c r="D651">
        <v>83074917</v>
      </c>
      <c r="E651" t="s">
        <v>812</v>
      </c>
    </row>
    <row r="652" spans="4:5" ht="18" customHeight="1">
      <c r="D652">
        <v>83117959</v>
      </c>
      <c r="E652" t="s">
        <v>389</v>
      </c>
    </row>
    <row r="653" spans="4:5" ht="18" customHeight="1">
      <c r="D653">
        <v>140685</v>
      </c>
      <c r="E653" t="s">
        <v>813</v>
      </c>
    </row>
    <row r="654" spans="4:5" ht="18" customHeight="1">
      <c r="D654">
        <v>143577</v>
      </c>
      <c r="E654" t="s">
        <v>472</v>
      </c>
    </row>
    <row r="655" spans="4:5" ht="18" customHeight="1">
      <c r="D655">
        <v>140692</v>
      </c>
      <c r="E655" t="s">
        <v>502</v>
      </c>
    </row>
    <row r="656" spans="4:5" ht="18" customHeight="1">
      <c r="D656">
        <v>147356</v>
      </c>
      <c r="E656" t="s">
        <v>814</v>
      </c>
    </row>
    <row r="657" spans="4:5" ht="18" customHeight="1">
      <c r="D657">
        <v>84124758</v>
      </c>
      <c r="E657" t="s">
        <v>409</v>
      </c>
    </row>
    <row r="658" spans="4:5" ht="18" customHeight="1">
      <c r="D658">
        <v>53031290</v>
      </c>
      <c r="E658" t="s">
        <v>343</v>
      </c>
    </row>
    <row r="659" spans="4:5" ht="18" customHeight="1">
      <c r="D659">
        <v>145060</v>
      </c>
      <c r="E659" t="s">
        <v>211</v>
      </c>
    </row>
    <row r="660" spans="4:5" ht="18" customHeight="1">
      <c r="D660">
        <v>83124750</v>
      </c>
      <c r="E660" t="s">
        <v>554</v>
      </c>
    </row>
    <row r="661" spans="4:5" ht="18" customHeight="1">
      <c r="D661">
        <v>84122949</v>
      </c>
      <c r="E661" t="s">
        <v>403</v>
      </c>
    </row>
    <row r="662" spans="4:5" ht="18" customHeight="1">
      <c r="D662">
        <v>140244</v>
      </c>
      <c r="E662" t="s">
        <v>356</v>
      </c>
    </row>
    <row r="663" spans="4:5" ht="18" customHeight="1">
      <c r="D663">
        <v>133572</v>
      </c>
      <c r="E663" t="s">
        <v>216</v>
      </c>
    </row>
    <row r="664" spans="4:5" ht="18" customHeight="1">
      <c r="D664">
        <v>241132</v>
      </c>
      <c r="E664" t="s">
        <v>815</v>
      </c>
    </row>
    <row r="665" spans="4:5" ht="18" customHeight="1">
      <c r="D665">
        <v>83103415</v>
      </c>
      <c r="E665" t="s">
        <v>404</v>
      </c>
    </row>
    <row r="666" spans="4:5" ht="18" customHeight="1">
      <c r="D666">
        <v>83040096</v>
      </c>
      <c r="E666" t="s">
        <v>289</v>
      </c>
    </row>
    <row r="667" spans="4:5" ht="18" customHeight="1">
      <c r="D667">
        <v>242407</v>
      </c>
      <c r="E667" t="s">
        <v>816</v>
      </c>
    </row>
    <row r="668" spans="4:5" ht="18" customHeight="1">
      <c r="D668">
        <v>155002</v>
      </c>
      <c r="E668" t="s">
        <v>235</v>
      </c>
    </row>
    <row r="669" spans="4:5" ht="18" customHeight="1">
      <c r="D669">
        <v>241136</v>
      </c>
      <c r="E669" t="s">
        <v>817</v>
      </c>
    </row>
    <row r="670" spans="4:5" ht="18" customHeight="1">
      <c r="D670">
        <v>135040</v>
      </c>
      <c r="E670" t="s">
        <v>818</v>
      </c>
    </row>
    <row r="671" spans="4:5" ht="18" customHeight="1">
      <c r="D671">
        <v>83099396</v>
      </c>
      <c r="E671" t="s">
        <v>418</v>
      </c>
    </row>
    <row r="672" spans="4:5" ht="18" customHeight="1">
      <c r="D672">
        <v>162501</v>
      </c>
      <c r="E672" t="s">
        <v>819</v>
      </c>
    </row>
    <row r="673" spans="4:5" ht="18" customHeight="1">
      <c r="D673">
        <v>135047</v>
      </c>
      <c r="E673" t="s">
        <v>820</v>
      </c>
    </row>
    <row r="674" spans="4:5" ht="18" customHeight="1">
      <c r="D674">
        <v>200371</v>
      </c>
      <c r="E674" t="s">
        <v>277</v>
      </c>
    </row>
    <row r="675" spans="4:5" ht="18" customHeight="1">
      <c r="D675">
        <v>134550</v>
      </c>
      <c r="E675" t="s">
        <v>508</v>
      </c>
    </row>
    <row r="676" spans="4:5" ht="18" customHeight="1">
      <c r="D676">
        <v>162490</v>
      </c>
      <c r="E676" t="s">
        <v>821</v>
      </c>
    </row>
    <row r="677" spans="4:5" ht="18" customHeight="1">
      <c r="D677">
        <v>83086689</v>
      </c>
      <c r="E677" t="s">
        <v>557</v>
      </c>
    </row>
    <row r="678" spans="4:5" ht="18" customHeight="1">
      <c r="D678">
        <v>241554</v>
      </c>
      <c r="E678" t="s">
        <v>822</v>
      </c>
    </row>
    <row r="679" spans="4:5" ht="18" customHeight="1">
      <c r="D679">
        <v>162515</v>
      </c>
      <c r="E679" t="s">
        <v>823</v>
      </c>
    </row>
    <row r="680" spans="4:5" ht="18" customHeight="1">
      <c r="D680">
        <v>84122951</v>
      </c>
      <c r="E680" t="s">
        <v>824</v>
      </c>
    </row>
    <row r="681" spans="4:5" ht="18" customHeight="1">
      <c r="D681">
        <v>251126</v>
      </c>
      <c r="E681" t="s">
        <v>825</v>
      </c>
    </row>
    <row r="682" spans="4:5" ht="18" customHeight="1">
      <c r="D682">
        <v>84130564</v>
      </c>
      <c r="E682" t="s">
        <v>826</v>
      </c>
    </row>
    <row r="683" spans="4:5" ht="18" customHeight="1">
      <c r="D683">
        <v>83102429</v>
      </c>
      <c r="E683" t="s">
        <v>496</v>
      </c>
    </row>
    <row r="684" spans="4:5" ht="18" customHeight="1">
      <c r="D684">
        <v>83088475</v>
      </c>
      <c r="E684" t="s">
        <v>827</v>
      </c>
    </row>
    <row r="685" spans="4:5" ht="18" customHeight="1">
      <c r="D685">
        <v>83117268</v>
      </c>
      <c r="E685" t="s">
        <v>716</v>
      </c>
    </row>
    <row r="686" spans="4:5" ht="18" customHeight="1">
      <c r="D686">
        <v>83117269</v>
      </c>
      <c r="E686" t="s">
        <v>683</v>
      </c>
    </row>
    <row r="687" spans="4:5" ht="18" customHeight="1">
      <c r="D687">
        <v>152455</v>
      </c>
      <c r="E687" t="s">
        <v>828</v>
      </c>
    </row>
    <row r="688" spans="4:5" ht="18" customHeight="1">
      <c r="D688">
        <v>162512</v>
      </c>
      <c r="E688" t="s">
        <v>710</v>
      </c>
    </row>
    <row r="689" spans="4:5" ht="18" customHeight="1">
      <c r="D689">
        <v>146453</v>
      </c>
      <c r="E689" t="s">
        <v>227</v>
      </c>
    </row>
    <row r="690" spans="4:5" ht="18" customHeight="1">
      <c r="D690">
        <v>83122944</v>
      </c>
      <c r="E690" t="s">
        <v>829</v>
      </c>
    </row>
    <row r="691" spans="4:5" ht="18" customHeight="1">
      <c r="D691">
        <v>83119340</v>
      </c>
      <c r="E691" t="s">
        <v>638</v>
      </c>
    </row>
    <row r="692" spans="4:5" ht="18" customHeight="1">
      <c r="D692">
        <v>143586</v>
      </c>
      <c r="E692" t="s">
        <v>830</v>
      </c>
    </row>
    <row r="693" spans="4:5" ht="18" customHeight="1">
      <c r="D693">
        <v>162508</v>
      </c>
      <c r="E693" t="s">
        <v>729</v>
      </c>
    </row>
    <row r="694" spans="4:5" ht="18" customHeight="1">
      <c r="D694">
        <v>140594</v>
      </c>
      <c r="E694" t="s">
        <v>498</v>
      </c>
    </row>
    <row r="695" spans="4:5" ht="18" customHeight="1">
      <c r="D695">
        <v>162496</v>
      </c>
      <c r="E695" t="s">
        <v>725</v>
      </c>
    </row>
    <row r="696" spans="4:5" ht="18" customHeight="1">
      <c r="D696">
        <v>145330</v>
      </c>
      <c r="E696" t="s">
        <v>831</v>
      </c>
    </row>
    <row r="697" spans="4:5" ht="18" customHeight="1">
      <c r="D697">
        <v>241553</v>
      </c>
      <c r="E697" t="s">
        <v>832</v>
      </c>
    </row>
    <row r="698" spans="4:5" ht="18" customHeight="1">
      <c r="D698">
        <v>83075877</v>
      </c>
      <c r="E698" t="s">
        <v>393</v>
      </c>
    </row>
    <row r="699" spans="4:5" ht="18" customHeight="1">
      <c r="D699">
        <v>83123141</v>
      </c>
      <c r="E699" t="s">
        <v>668</v>
      </c>
    </row>
    <row r="700" spans="4:5" ht="18" customHeight="1">
      <c r="D700">
        <v>148193</v>
      </c>
      <c r="E700" t="s">
        <v>833</v>
      </c>
    </row>
    <row r="701" spans="4:5" ht="18" customHeight="1">
      <c r="D701">
        <v>148191</v>
      </c>
      <c r="E701" t="s">
        <v>834</v>
      </c>
    </row>
    <row r="702" spans="4:5" ht="18" customHeight="1">
      <c r="D702">
        <v>83117277</v>
      </c>
      <c r="E702" t="s">
        <v>713</v>
      </c>
    </row>
    <row r="703" spans="4:5" ht="18" customHeight="1">
      <c r="D703">
        <v>83119918</v>
      </c>
      <c r="E703" t="s">
        <v>835</v>
      </c>
    </row>
    <row r="704" spans="4:5" ht="18" customHeight="1">
      <c r="D704">
        <v>250409</v>
      </c>
      <c r="E704" t="s">
        <v>836</v>
      </c>
    </row>
    <row r="705" spans="4:5" ht="18" customHeight="1">
      <c r="D705">
        <v>83104215</v>
      </c>
      <c r="E705" t="s">
        <v>837</v>
      </c>
    </row>
    <row r="706" spans="4:5" ht="18" customHeight="1">
      <c r="D706">
        <v>83120900</v>
      </c>
      <c r="E706" t="s">
        <v>432</v>
      </c>
    </row>
    <row r="707" spans="4:5" ht="18" customHeight="1">
      <c r="D707">
        <v>83123157</v>
      </c>
      <c r="E707" t="s">
        <v>838</v>
      </c>
    </row>
    <row r="708" spans="4:5" ht="18" customHeight="1">
      <c r="D708">
        <v>83103445</v>
      </c>
      <c r="E708" t="s">
        <v>423</v>
      </c>
    </row>
    <row r="709" spans="4:5" ht="18" customHeight="1">
      <c r="D709">
        <v>241135</v>
      </c>
      <c r="E709" t="s">
        <v>513</v>
      </c>
    </row>
    <row r="710" spans="4:5" ht="18" customHeight="1">
      <c r="D710">
        <v>152476</v>
      </c>
      <c r="E710" t="s">
        <v>839</v>
      </c>
    </row>
    <row r="711" spans="4:5" ht="18" customHeight="1">
      <c r="D711">
        <v>83040026</v>
      </c>
      <c r="E711" t="s">
        <v>250</v>
      </c>
    </row>
    <row r="712" spans="4:5" ht="18" customHeight="1">
      <c r="D712">
        <v>83104434</v>
      </c>
      <c r="E712" t="s">
        <v>369</v>
      </c>
    </row>
    <row r="713" spans="4:5" ht="18" customHeight="1">
      <c r="D713">
        <v>171982</v>
      </c>
      <c r="E713" t="s">
        <v>840</v>
      </c>
    </row>
    <row r="714" spans="4:5" ht="18" customHeight="1">
      <c r="D714">
        <v>83102190</v>
      </c>
      <c r="E714" t="s">
        <v>841</v>
      </c>
    </row>
    <row r="715" spans="4:5" ht="18" customHeight="1">
      <c r="D715">
        <v>241131</v>
      </c>
      <c r="E715" t="s">
        <v>842</v>
      </c>
    </row>
    <row r="716" spans="4:5" ht="18" customHeight="1">
      <c r="D716">
        <v>83117505</v>
      </c>
      <c r="E716" t="s">
        <v>717</v>
      </c>
    </row>
    <row r="717" spans="4:5" ht="18" customHeight="1">
      <c r="D717">
        <v>132522</v>
      </c>
      <c r="E717" t="s">
        <v>447</v>
      </c>
    </row>
    <row r="718" spans="4:5" ht="18" customHeight="1">
      <c r="D718">
        <v>162513</v>
      </c>
      <c r="E718" t="s">
        <v>843</v>
      </c>
    </row>
    <row r="719" spans="4:5" ht="18" customHeight="1">
      <c r="D719">
        <v>240881</v>
      </c>
      <c r="E719" t="s">
        <v>660</v>
      </c>
    </row>
    <row r="720" spans="4:5" ht="18" customHeight="1">
      <c r="D720">
        <v>83099034</v>
      </c>
      <c r="E720" t="s">
        <v>687</v>
      </c>
    </row>
    <row r="721" spans="4:5" ht="18" customHeight="1">
      <c r="D721">
        <v>160810</v>
      </c>
      <c r="E721" t="s">
        <v>226</v>
      </c>
    </row>
    <row r="722" spans="4:5" ht="18" customHeight="1">
      <c r="D722">
        <v>242159</v>
      </c>
      <c r="E722" t="s">
        <v>844</v>
      </c>
    </row>
    <row r="723" spans="4:5" ht="18" customHeight="1">
      <c r="D723">
        <v>83120957</v>
      </c>
      <c r="E723" t="s">
        <v>845</v>
      </c>
    </row>
    <row r="724" spans="4:5" ht="18" customHeight="1">
      <c r="D724">
        <v>242417</v>
      </c>
      <c r="E724" t="s">
        <v>542</v>
      </c>
    </row>
    <row r="725" spans="4:5" ht="18" customHeight="1">
      <c r="D725">
        <v>162499</v>
      </c>
      <c r="E725" t="s">
        <v>846</v>
      </c>
    </row>
    <row r="726" spans="4:5" ht="18" customHeight="1">
      <c r="D726">
        <v>83103429</v>
      </c>
      <c r="E726" t="s">
        <v>500</v>
      </c>
    </row>
    <row r="727" spans="4:5" ht="18" customHeight="1">
      <c r="D727">
        <v>83119911</v>
      </c>
      <c r="E727" t="s">
        <v>497</v>
      </c>
    </row>
    <row r="728" spans="4:5" ht="18" customHeight="1">
      <c r="D728">
        <v>241133</v>
      </c>
      <c r="E728" t="s">
        <v>847</v>
      </c>
    </row>
    <row r="729" spans="4:5" ht="18" customHeight="1">
      <c r="D729">
        <v>132711</v>
      </c>
      <c r="E729" t="s">
        <v>449</v>
      </c>
    </row>
    <row r="730" spans="4:5" ht="18" customHeight="1">
      <c r="D730">
        <v>145542</v>
      </c>
      <c r="E730" t="s">
        <v>309</v>
      </c>
    </row>
    <row r="731" spans="4:5" ht="18" customHeight="1">
      <c r="D731">
        <v>250755</v>
      </c>
      <c r="E731" t="s">
        <v>848</v>
      </c>
    </row>
    <row r="732" spans="4:5" ht="18" customHeight="1">
      <c r="D732">
        <v>136038</v>
      </c>
      <c r="E732" t="s">
        <v>691</v>
      </c>
    </row>
    <row r="733" spans="4:5" ht="18" customHeight="1">
      <c r="D733">
        <v>84122840</v>
      </c>
      <c r="E733" t="s">
        <v>501</v>
      </c>
    </row>
    <row r="734" spans="4:5" ht="18" customHeight="1">
      <c r="D734">
        <v>183497</v>
      </c>
      <c r="E734" t="s">
        <v>849</v>
      </c>
    </row>
    <row r="735" spans="4:5" ht="18" customHeight="1">
      <c r="D735">
        <v>83075242</v>
      </c>
      <c r="E735" t="s">
        <v>850</v>
      </c>
    </row>
    <row r="736" spans="4:5" ht="18" customHeight="1">
      <c r="D736">
        <v>83105169</v>
      </c>
      <c r="E736" t="s">
        <v>480</v>
      </c>
    </row>
    <row r="737" spans="4:5" ht="18" customHeight="1">
      <c r="D737">
        <v>183490</v>
      </c>
      <c r="E737" t="s">
        <v>608</v>
      </c>
    </row>
    <row r="738" spans="4:5" ht="18" customHeight="1">
      <c r="D738">
        <v>134354</v>
      </c>
      <c r="E738" t="s">
        <v>851</v>
      </c>
    </row>
    <row r="739" spans="4:5" ht="18" customHeight="1">
      <c r="D739">
        <v>242412</v>
      </c>
      <c r="E739" t="s">
        <v>852</v>
      </c>
    </row>
    <row r="740" spans="4:5" ht="18" customHeight="1">
      <c r="D740">
        <v>83075871</v>
      </c>
      <c r="E740" t="s">
        <v>361</v>
      </c>
    </row>
    <row r="741" spans="4:5" ht="18" customHeight="1">
      <c r="D741">
        <v>83119337</v>
      </c>
      <c r="E741" t="s">
        <v>853</v>
      </c>
    </row>
    <row r="742" spans="4:5" ht="18" customHeight="1">
      <c r="D742">
        <v>148207</v>
      </c>
      <c r="E742" t="s">
        <v>854</v>
      </c>
    </row>
    <row r="743" spans="4:5" ht="18" customHeight="1">
      <c r="D743">
        <v>200377</v>
      </c>
      <c r="E743" t="s">
        <v>324</v>
      </c>
    </row>
    <row r="744" spans="4:5" ht="18" customHeight="1">
      <c r="D744">
        <v>148192</v>
      </c>
      <c r="E744" t="s">
        <v>694</v>
      </c>
    </row>
    <row r="745" spans="4:5" ht="18" customHeight="1">
      <c r="D745">
        <v>140585</v>
      </c>
      <c r="E745" t="s">
        <v>855</v>
      </c>
    </row>
    <row r="746" spans="4:5" ht="18" customHeight="1">
      <c r="D746">
        <v>148204</v>
      </c>
      <c r="E746" t="s">
        <v>856</v>
      </c>
    </row>
    <row r="747" spans="4:5" ht="18" customHeight="1">
      <c r="D747">
        <v>83075874</v>
      </c>
      <c r="E747" t="s">
        <v>857</v>
      </c>
    </row>
    <row r="748" spans="4:5" ht="18" customHeight="1">
      <c r="D748">
        <v>83123687</v>
      </c>
      <c r="E748" t="s">
        <v>575</v>
      </c>
    </row>
    <row r="749" spans="4:5" ht="18" customHeight="1">
      <c r="D749">
        <v>83123151</v>
      </c>
      <c r="E749" t="s">
        <v>670</v>
      </c>
    </row>
    <row r="750" spans="4:5" ht="18" customHeight="1">
      <c r="D750">
        <v>83086305</v>
      </c>
      <c r="E750" t="s">
        <v>254</v>
      </c>
    </row>
    <row r="751" spans="4:5" ht="18" customHeight="1">
      <c r="D751">
        <v>142961</v>
      </c>
      <c r="E751" t="s">
        <v>640</v>
      </c>
    </row>
    <row r="752" spans="4:5" ht="18" customHeight="1">
      <c r="D752">
        <v>148205</v>
      </c>
      <c r="E752" t="s">
        <v>858</v>
      </c>
    </row>
    <row r="753" spans="4:5" ht="18" customHeight="1">
      <c r="D753">
        <v>131240</v>
      </c>
      <c r="E753" t="s">
        <v>859</v>
      </c>
    </row>
    <row r="754" spans="4:5" ht="18" customHeight="1">
      <c r="D754">
        <v>142253</v>
      </c>
      <c r="E754" t="s">
        <v>860</v>
      </c>
    </row>
    <row r="755" spans="4:5" ht="18" customHeight="1">
      <c r="D755">
        <v>83040239</v>
      </c>
      <c r="E755" t="s">
        <v>391</v>
      </c>
    </row>
    <row r="756" spans="4:5" ht="18" customHeight="1">
      <c r="D756">
        <v>145572</v>
      </c>
      <c r="E756" t="s">
        <v>330</v>
      </c>
    </row>
    <row r="757" spans="4:5" ht="18" customHeight="1">
      <c r="D757">
        <v>162511</v>
      </c>
      <c r="E757" t="s">
        <v>709</v>
      </c>
    </row>
    <row r="758" spans="4:5" ht="18" customHeight="1">
      <c r="D758">
        <v>146328</v>
      </c>
      <c r="E758" t="s">
        <v>861</v>
      </c>
    </row>
    <row r="759" spans="4:5" ht="18" customHeight="1">
      <c r="D759">
        <v>84123770</v>
      </c>
      <c r="E759" t="s">
        <v>783</v>
      </c>
    </row>
    <row r="760" spans="4:5" ht="18" customHeight="1">
      <c r="D760">
        <v>142244</v>
      </c>
      <c r="E760" t="s">
        <v>551</v>
      </c>
    </row>
    <row r="761" spans="4:5" ht="18" customHeight="1">
      <c r="D761">
        <v>83122118</v>
      </c>
      <c r="E761" t="s">
        <v>862</v>
      </c>
    </row>
    <row r="762" spans="4:5" ht="18" customHeight="1">
      <c r="D762">
        <v>162697</v>
      </c>
      <c r="E762" t="s">
        <v>863</v>
      </c>
    </row>
    <row r="763" spans="4:5" ht="18" customHeight="1">
      <c r="D763">
        <v>140533</v>
      </c>
      <c r="E763" t="s">
        <v>641</v>
      </c>
    </row>
    <row r="764" spans="4:5" ht="18" customHeight="1">
      <c r="D764">
        <v>162507</v>
      </c>
      <c r="E764" t="s">
        <v>864</v>
      </c>
    </row>
    <row r="765" spans="4:5" ht="18" customHeight="1">
      <c r="D765">
        <v>141777</v>
      </c>
      <c r="E765" t="s">
        <v>444</v>
      </c>
    </row>
    <row r="766" spans="4:5" ht="18" customHeight="1">
      <c r="D766">
        <v>135668</v>
      </c>
      <c r="E766" t="s">
        <v>865</v>
      </c>
    </row>
    <row r="767" spans="4:5" ht="18" customHeight="1">
      <c r="D767">
        <v>83124751</v>
      </c>
      <c r="E767" t="s">
        <v>558</v>
      </c>
    </row>
    <row r="768" spans="4:5" ht="18" customHeight="1">
      <c r="D768">
        <v>83123690</v>
      </c>
      <c r="E768" t="s">
        <v>866</v>
      </c>
    </row>
    <row r="769" spans="4:5" ht="18" customHeight="1">
      <c r="D769">
        <v>160797</v>
      </c>
      <c r="E769" t="s">
        <v>229</v>
      </c>
    </row>
    <row r="770" spans="4:5" ht="18" customHeight="1">
      <c r="D770">
        <v>162493</v>
      </c>
      <c r="E770" t="s">
        <v>867</v>
      </c>
    </row>
    <row r="771" spans="4:5" ht="18" customHeight="1">
      <c r="D771">
        <v>152483</v>
      </c>
      <c r="E771" t="s">
        <v>320</v>
      </c>
    </row>
    <row r="772" spans="4:5" ht="18" customHeight="1">
      <c r="D772">
        <v>148199</v>
      </c>
      <c r="E772" t="s">
        <v>741</v>
      </c>
    </row>
    <row r="773" spans="4:5" ht="18" customHeight="1">
      <c r="D773">
        <v>135030</v>
      </c>
      <c r="E773" t="s">
        <v>868</v>
      </c>
    </row>
    <row r="774" spans="4:5" ht="18" customHeight="1">
      <c r="D774">
        <v>146656</v>
      </c>
      <c r="E774" t="s">
        <v>622</v>
      </c>
    </row>
    <row r="775" spans="4:5" ht="18" customHeight="1">
      <c r="D775">
        <v>132533</v>
      </c>
      <c r="E775" t="s">
        <v>462</v>
      </c>
    </row>
    <row r="776" spans="4:5" ht="18" customHeight="1">
      <c r="D776">
        <v>148195</v>
      </c>
      <c r="E776" t="s">
        <v>869</v>
      </c>
    </row>
    <row r="777" spans="4:5" ht="18" customHeight="1">
      <c r="D777">
        <v>242409</v>
      </c>
      <c r="E777" t="s">
        <v>537</v>
      </c>
    </row>
    <row r="778" spans="4:5" ht="18" customHeight="1">
      <c r="D778">
        <v>83101970</v>
      </c>
      <c r="E778" t="s">
        <v>870</v>
      </c>
    </row>
    <row r="779" spans="4:5" ht="18" customHeight="1">
      <c r="D779">
        <v>83075884</v>
      </c>
      <c r="E779" t="s">
        <v>871</v>
      </c>
    </row>
    <row r="780" spans="4:5" ht="18" customHeight="1">
      <c r="D780">
        <v>83117667</v>
      </c>
      <c r="E780" t="s">
        <v>872</v>
      </c>
    </row>
    <row r="781" spans="4:5" ht="18" customHeight="1">
      <c r="D781">
        <v>221918</v>
      </c>
      <c r="E781" t="s">
        <v>873</v>
      </c>
    </row>
    <row r="782" spans="4:5" ht="18" customHeight="1">
      <c r="D782">
        <v>83103420</v>
      </c>
      <c r="E782" t="s">
        <v>358</v>
      </c>
    </row>
    <row r="783" spans="4:5" ht="18" customHeight="1">
      <c r="D783">
        <v>221928</v>
      </c>
      <c r="E783" t="s">
        <v>874</v>
      </c>
    </row>
    <row r="784" spans="4:5" ht="18" customHeight="1">
      <c r="D784">
        <v>83086318</v>
      </c>
      <c r="E784" t="s">
        <v>420</v>
      </c>
    </row>
    <row r="785" spans="4:5" ht="18" customHeight="1">
      <c r="D785">
        <v>83086324</v>
      </c>
      <c r="E785" t="s">
        <v>875</v>
      </c>
    </row>
    <row r="786" spans="4:5" ht="18" customHeight="1">
      <c r="D786">
        <v>145334</v>
      </c>
      <c r="E786" t="s">
        <v>876</v>
      </c>
    </row>
    <row r="787" spans="4:5" ht="18" customHeight="1">
      <c r="D787">
        <v>154599</v>
      </c>
      <c r="E787" t="s">
        <v>877</v>
      </c>
    </row>
    <row r="788" spans="4:5" ht="18" customHeight="1">
      <c r="D788">
        <v>142393</v>
      </c>
      <c r="E788" t="s">
        <v>878</v>
      </c>
    </row>
    <row r="789" spans="4:5" ht="18" customHeight="1">
      <c r="D789">
        <v>143965</v>
      </c>
      <c r="E789" t="s">
        <v>879</v>
      </c>
    </row>
    <row r="790" spans="4:5" ht="18" customHeight="1">
      <c r="D790">
        <v>84087034</v>
      </c>
      <c r="E790" t="s">
        <v>242</v>
      </c>
    </row>
    <row r="791" spans="4:5" ht="18" customHeight="1">
      <c r="D791">
        <v>221923</v>
      </c>
      <c r="E791" t="s">
        <v>880</v>
      </c>
    </row>
    <row r="792" spans="4:5" ht="18" customHeight="1">
      <c r="D792">
        <v>160829</v>
      </c>
      <c r="E792" t="s">
        <v>881</v>
      </c>
    </row>
    <row r="793" spans="4:5" ht="18" customHeight="1">
      <c r="D793">
        <v>83102749</v>
      </c>
      <c r="E793" t="s">
        <v>492</v>
      </c>
    </row>
    <row r="794" spans="4:5" ht="18" customHeight="1">
      <c r="D794">
        <v>152597</v>
      </c>
      <c r="E794" t="s">
        <v>882</v>
      </c>
    </row>
    <row r="795" spans="4:5" ht="18" customHeight="1">
      <c r="D795">
        <v>83103340</v>
      </c>
      <c r="E795" t="s">
        <v>883</v>
      </c>
    </row>
    <row r="796" spans="4:5" ht="18" customHeight="1">
      <c r="D796">
        <v>83117649</v>
      </c>
      <c r="E796" t="s">
        <v>656</v>
      </c>
    </row>
    <row r="797" spans="4:5" ht="18" customHeight="1">
      <c r="D797">
        <v>83088479</v>
      </c>
      <c r="E797" t="s">
        <v>884</v>
      </c>
    </row>
    <row r="798" spans="4:5" ht="18" customHeight="1">
      <c r="D798">
        <v>145976</v>
      </c>
      <c r="E798" t="s">
        <v>225</v>
      </c>
    </row>
    <row r="799" spans="4:5" ht="18" customHeight="1">
      <c r="D799">
        <v>183517</v>
      </c>
      <c r="E799" t="s">
        <v>601</v>
      </c>
    </row>
    <row r="800" spans="4:5" ht="18" customHeight="1">
      <c r="D800">
        <v>146112</v>
      </c>
      <c r="E800" t="s">
        <v>885</v>
      </c>
    </row>
    <row r="801" spans="4:5" ht="18" customHeight="1">
      <c r="D801">
        <v>83117504</v>
      </c>
      <c r="E801" t="s">
        <v>886</v>
      </c>
    </row>
    <row r="802" spans="4:5" ht="18" customHeight="1">
      <c r="D802">
        <v>84123769</v>
      </c>
      <c r="E802" t="s">
        <v>782</v>
      </c>
    </row>
    <row r="803" spans="4:5" ht="18" customHeight="1">
      <c r="D803">
        <v>143572</v>
      </c>
      <c r="E803" t="s">
        <v>466</v>
      </c>
    </row>
    <row r="804" spans="4:5" ht="18" customHeight="1">
      <c r="D804">
        <v>83090015</v>
      </c>
      <c r="E804" t="s">
        <v>494</v>
      </c>
    </row>
    <row r="805" spans="4:5" ht="18" customHeight="1">
      <c r="D805">
        <v>145315</v>
      </c>
      <c r="E805" t="s">
        <v>887</v>
      </c>
    </row>
    <row r="806" spans="4:5" ht="18" customHeight="1">
      <c r="D806">
        <v>83103335</v>
      </c>
      <c r="E806" t="s">
        <v>888</v>
      </c>
    </row>
    <row r="807" spans="4:5" ht="18" customHeight="1">
      <c r="D807">
        <v>135048</v>
      </c>
      <c r="E807" t="s">
        <v>310</v>
      </c>
    </row>
    <row r="808" spans="4:5" ht="18" customHeight="1">
      <c r="D808">
        <v>83102183</v>
      </c>
      <c r="E808" t="s">
        <v>290</v>
      </c>
    </row>
    <row r="809" spans="4:5" ht="18" customHeight="1">
      <c r="D809">
        <v>142243</v>
      </c>
      <c r="E809" t="s">
        <v>267</v>
      </c>
    </row>
    <row r="810" spans="4:5" ht="18" customHeight="1">
      <c r="D810">
        <v>142264</v>
      </c>
      <c r="E810" t="s">
        <v>263</v>
      </c>
    </row>
    <row r="811" spans="4:5" ht="18" customHeight="1">
      <c r="D811">
        <v>84088200</v>
      </c>
      <c r="E811" t="s">
        <v>889</v>
      </c>
    </row>
    <row r="812" spans="4:5" ht="18" customHeight="1">
      <c r="D812">
        <v>143585</v>
      </c>
      <c r="E812" t="s">
        <v>890</v>
      </c>
    </row>
    <row r="813" spans="4:5" ht="18" customHeight="1">
      <c r="D813">
        <v>145318</v>
      </c>
      <c r="E813" t="s">
        <v>265</v>
      </c>
    </row>
    <row r="814" spans="4:5" ht="18" customHeight="1">
      <c r="D814">
        <v>140703</v>
      </c>
      <c r="E814" t="s">
        <v>448</v>
      </c>
    </row>
    <row r="815" spans="4:5" ht="18" customHeight="1">
      <c r="D815">
        <v>251635</v>
      </c>
      <c r="E815" t="s">
        <v>891</v>
      </c>
    </row>
    <row r="816" spans="4:5" ht="18" customHeight="1">
      <c r="D816">
        <v>145328</v>
      </c>
      <c r="E816" t="s">
        <v>892</v>
      </c>
    </row>
    <row r="817" spans="4:5" ht="18" customHeight="1">
      <c r="D817">
        <v>141580</v>
      </c>
      <c r="E817" t="s">
        <v>893</v>
      </c>
    </row>
    <row r="818" spans="4:5" ht="18" customHeight="1">
      <c r="D818">
        <v>83123685</v>
      </c>
      <c r="E818" t="s">
        <v>584</v>
      </c>
    </row>
    <row r="819" spans="4:5" ht="18" customHeight="1">
      <c r="D819">
        <v>132386</v>
      </c>
      <c r="E819" t="s">
        <v>894</v>
      </c>
    </row>
    <row r="820" spans="4:5" ht="18" customHeight="1">
      <c r="D820">
        <v>145074</v>
      </c>
      <c r="E820" t="s">
        <v>895</v>
      </c>
    </row>
    <row r="821" spans="4:5" ht="18" customHeight="1">
      <c r="D821">
        <v>132387</v>
      </c>
      <c r="E821" t="s">
        <v>772</v>
      </c>
    </row>
    <row r="822" spans="4:5" ht="18" customHeight="1">
      <c r="D822">
        <v>152579</v>
      </c>
      <c r="E822" t="s">
        <v>429</v>
      </c>
    </row>
    <row r="823" spans="4:5" ht="18" customHeight="1">
      <c r="D823">
        <v>83123707</v>
      </c>
      <c r="E823" t="s">
        <v>896</v>
      </c>
    </row>
    <row r="824" spans="4:5" ht="18" customHeight="1">
      <c r="D824">
        <v>84122948</v>
      </c>
      <c r="E824" t="s">
        <v>897</v>
      </c>
    </row>
    <row r="825" spans="4:5" ht="18" customHeight="1">
      <c r="D825">
        <v>145359</v>
      </c>
      <c r="E825" t="s">
        <v>898</v>
      </c>
    </row>
    <row r="826" spans="4:5" ht="18" customHeight="1">
      <c r="D826">
        <v>183487</v>
      </c>
      <c r="E826" t="s">
        <v>899</v>
      </c>
    </row>
    <row r="827" spans="4:5" ht="18" customHeight="1">
      <c r="D827">
        <v>140296</v>
      </c>
      <c r="E827" t="s">
        <v>285</v>
      </c>
    </row>
    <row r="828" spans="4:5" ht="18" customHeight="1">
      <c r="D828">
        <v>141583</v>
      </c>
      <c r="E828" t="s">
        <v>775</v>
      </c>
    </row>
    <row r="829" spans="4:5" ht="18" customHeight="1">
      <c r="D829">
        <v>83099400</v>
      </c>
      <c r="E829" t="s">
        <v>392</v>
      </c>
    </row>
    <row r="830" spans="4:5" ht="18" customHeight="1">
      <c r="D830">
        <v>83123688</v>
      </c>
      <c r="E830" t="s">
        <v>586</v>
      </c>
    </row>
    <row r="831" spans="4:5" ht="18" customHeight="1">
      <c r="D831">
        <v>141439</v>
      </c>
      <c r="E831" t="s">
        <v>573</v>
      </c>
    </row>
    <row r="832" spans="4:5" ht="18" customHeight="1">
      <c r="D832">
        <v>141579</v>
      </c>
      <c r="E832" t="s">
        <v>900</v>
      </c>
    </row>
    <row r="833" spans="4:5" ht="18" customHeight="1">
      <c r="D833">
        <v>83119339</v>
      </c>
      <c r="E833" t="s">
        <v>901</v>
      </c>
    </row>
    <row r="834" spans="4:5" ht="18" customHeight="1">
      <c r="D834">
        <v>83063945</v>
      </c>
      <c r="E834" t="s">
        <v>371</v>
      </c>
    </row>
    <row r="835" spans="4:5" ht="18" customHeight="1">
      <c r="D835">
        <v>83118004</v>
      </c>
      <c r="E835" t="s">
        <v>902</v>
      </c>
    </row>
    <row r="836" spans="4:5" ht="18" customHeight="1">
      <c r="D836">
        <v>83117910</v>
      </c>
      <c r="E836" t="s">
        <v>903</v>
      </c>
    </row>
    <row r="837" spans="4:5" ht="18" customHeight="1">
      <c r="D837">
        <v>83103330</v>
      </c>
      <c r="E837" t="s">
        <v>904</v>
      </c>
    </row>
    <row r="838" spans="4:5" ht="18" customHeight="1">
      <c r="D838">
        <v>242414</v>
      </c>
      <c r="E838" t="s">
        <v>905</v>
      </c>
    </row>
    <row r="839" spans="4:5" ht="18" customHeight="1">
      <c r="D839">
        <v>83119567</v>
      </c>
      <c r="E839" t="s">
        <v>906</v>
      </c>
    </row>
    <row r="840" spans="4:5" ht="18" customHeight="1">
      <c r="D840">
        <v>83123708</v>
      </c>
      <c r="E840" t="s">
        <v>907</v>
      </c>
    </row>
    <row r="841" spans="4:5" ht="18" customHeight="1">
      <c r="D841">
        <v>83117271</v>
      </c>
      <c r="E841" t="s">
        <v>715</v>
      </c>
    </row>
    <row r="842" spans="4:5" ht="18" customHeight="1">
      <c r="D842">
        <v>162498</v>
      </c>
      <c r="E842" t="s">
        <v>739</v>
      </c>
    </row>
    <row r="843" spans="4:5" ht="18" customHeight="1">
      <c r="D843">
        <v>162503</v>
      </c>
      <c r="E843" t="s">
        <v>707</v>
      </c>
    </row>
    <row r="844" spans="4:5" ht="18" customHeight="1">
      <c r="D844">
        <v>142426</v>
      </c>
      <c r="E844" t="s">
        <v>908</v>
      </c>
    </row>
    <row r="845" spans="4:5" ht="18" customHeight="1">
      <c r="D845">
        <v>133799</v>
      </c>
      <c r="E845" t="s">
        <v>909</v>
      </c>
    </row>
    <row r="846" spans="4:5" ht="18" customHeight="1">
      <c r="D846">
        <v>142954</v>
      </c>
      <c r="E846" t="s">
        <v>910</v>
      </c>
    </row>
    <row r="847" spans="4:5" ht="18" customHeight="1">
      <c r="D847">
        <v>131864</v>
      </c>
      <c r="E847" t="s">
        <v>911</v>
      </c>
    </row>
    <row r="848" spans="4:5" ht="18" customHeight="1">
      <c r="D848">
        <v>83102208</v>
      </c>
      <c r="E848" t="s">
        <v>112</v>
      </c>
    </row>
    <row r="849" spans="4:5" ht="18" customHeight="1">
      <c r="D849">
        <v>84122947</v>
      </c>
      <c r="E849" t="s">
        <v>912</v>
      </c>
    </row>
    <row r="850" spans="4:5" ht="18" customHeight="1">
      <c r="D850">
        <v>173162</v>
      </c>
      <c r="E850" t="s">
        <v>232</v>
      </c>
    </row>
    <row r="851" spans="4:5" ht="18" customHeight="1">
      <c r="D851">
        <v>145341</v>
      </c>
      <c r="E851" t="s">
        <v>548</v>
      </c>
    </row>
    <row r="852" spans="4:5" ht="18" customHeight="1">
      <c r="D852">
        <v>183523</v>
      </c>
      <c r="E852" t="s">
        <v>605</v>
      </c>
    </row>
    <row r="853" spans="4:5" ht="18" customHeight="1">
      <c r="D853">
        <v>83117954</v>
      </c>
      <c r="E853" t="s">
        <v>461</v>
      </c>
    </row>
    <row r="854" spans="4:5" ht="18" customHeight="1">
      <c r="D854">
        <v>84130582</v>
      </c>
      <c r="E854" t="s">
        <v>788</v>
      </c>
    </row>
    <row r="855" spans="4:5" ht="18" customHeight="1">
      <c r="D855">
        <v>83040194</v>
      </c>
      <c r="E855" t="s">
        <v>355</v>
      </c>
    </row>
    <row r="856" spans="4:5" ht="18" customHeight="1">
      <c r="D856">
        <v>183521</v>
      </c>
      <c r="E856" t="s">
        <v>913</v>
      </c>
    </row>
    <row r="857" spans="4:5" ht="18" customHeight="1">
      <c r="D857">
        <v>84088184</v>
      </c>
      <c r="E857" t="s">
        <v>610</v>
      </c>
    </row>
    <row r="858" spans="4:5" ht="18" customHeight="1">
      <c r="D858">
        <v>83086304</v>
      </c>
      <c r="E858" t="s">
        <v>914</v>
      </c>
    </row>
    <row r="859" spans="4:5" ht="18" customHeight="1">
      <c r="D859">
        <v>135733</v>
      </c>
      <c r="E859" t="s">
        <v>218</v>
      </c>
    </row>
    <row r="860" spans="4:5" ht="18" customHeight="1">
      <c r="D860">
        <v>152450</v>
      </c>
      <c r="E860" t="s">
        <v>317</v>
      </c>
    </row>
    <row r="861" spans="4:5" ht="18" customHeight="1">
      <c r="D861">
        <v>84088209</v>
      </c>
      <c r="E861" t="s">
        <v>915</v>
      </c>
    </row>
    <row r="862" spans="4:5" ht="18" customHeight="1">
      <c r="D862">
        <v>83102553</v>
      </c>
      <c r="E862" t="s">
        <v>401</v>
      </c>
    </row>
    <row r="863" spans="4:5" ht="18" customHeight="1">
      <c r="D863">
        <v>83122893</v>
      </c>
      <c r="E863" t="s">
        <v>916</v>
      </c>
    </row>
    <row r="864" spans="4:5" ht="18" customHeight="1">
      <c r="D864">
        <v>84124049</v>
      </c>
      <c r="E864" t="s">
        <v>917</v>
      </c>
    </row>
    <row r="865" spans="4:5" ht="18" customHeight="1">
      <c r="D865">
        <v>83124744</v>
      </c>
      <c r="E865" t="s">
        <v>918</v>
      </c>
    </row>
    <row r="866" spans="4:5" ht="18" customHeight="1">
      <c r="D866">
        <v>145964</v>
      </c>
      <c r="E866" t="s">
        <v>224</v>
      </c>
    </row>
    <row r="867" spans="4:5" ht="18" customHeight="1">
      <c r="D867">
        <v>83123697</v>
      </c>
      <c r="E867" t="s">
        <v>755</v>
      </c>
    </row>
    <row r="868" spans="4:5" ht="18" customHeight="1">
      <c r="D868">
        <v>84122962</v>
      </c>
      <c r="E868" t="s">
        <v>450</v>
      </c>
    </row>
    <row r="869" spans="4:5" ht="18" customHeight="1">
      <c r="D869">
        <v>84087806</v>
      </c>
      <c r="E869" t="s">
        <v>743</v>
      </c>
    </row>
    <row r="870" spans="4:5" ht="18" customHeight="1">
      <c r="D870">
        <v>221925</v>
      </c>
      <c r="E870" t="s">
        <v>919</v>
      </c>
    </row>
    <row r="871" spans="4:5" ht="18" customHeight="1">
      <c r="D871">
        <v>183507</v>
      </c>
      <c r="E871" t="s">
        <v>920</v>
      </c>
    </row>
    <row r="872" spans="4:5" ht="18" customHeight="1">
      <c r="D872">
        <v>83122892</v>
      </c>
      <c r="E872" t="s">
        <v>307</v>
      </c>
    </row>
    <row r="873" spans="4:5" ht="18" customHeight="1">
      <c r="D873">
        <v>83123160</v>
      </c>
      <c r="E873" t="s">
        <v>921</v>
      </c>
    </row>
    <row r="874" spans="4:5" ht="18" customHeight="1">
      <c r="D874">
        <v>142875</v>
      </c>
      <c r="E874" t="s">
        <v>922</v>
      </c>
    </row>
    <row r="875" spans="4:5" ht="18" customHeight="1">
      <c r="D875">
        <v>83104426</v>
      </c>
      <c r="E875" t="s">
        <v>682</v>
      </c>
    </row>
    <row r="876" spans="4:5" ht="18" customHeight="1">
      <c r="D876">
        <v>83101972</v>
      </c>
      <c r="E876" t="s">
        <v>777</v>
      </c>
    </row>
    <row r="877" spans="4:5" ht="18" customHeight="1">
      <c r="D877">
        <v>140707</v>
      </c>
      <c r="E877" t="s">
        <v>568</v>
      </c>
    </row>
    <row r="878" spans="4:5" ht="18" customHeight="1">
      <c r="D878">
        <v>84122168</v>
      </c>
      <c r="E878" t="s">
        <v>615</v>
      </c>
    </row>
    <row r="879" spans="4:5" ht="18" customHeight="1">
      <c r="D879">
        <v>141585</v>
      </c>
      <c r="E879" t="s">
        <v>797</v>
      </c>
    </row>
    <row r="880" spans="4:5" ht="18" customHeight="1">
      <c r="D880">
        <v>83123686</v>
      </c>
      <c r="E880" t="s">
        <v>587</v>
      </c>
    </row>
    <row r="881" spans="4:5" ht="18" customHeight="1">
      <c r="D881">
        <v>143402</v>
      </c>
      <c r="E881" t="s">
        <v>752</v>
      </c>
    </row>
    <row r="882" spans="4:5" ht="18" customHeight="1">
      <c r="D882">
        <v>83088944</v>
      </c>
      <c r="E882" t="s">
        <v>923</v>
      </c>
    </row>
    <row r="883" spans="4:5" ht="18" customHeight="1">
      <c r="D883">
        <v>242691</v>
      </c>
      <c r="E883" t="s">
        <v>569</v>
      </c>
    </row>
    <row r="884" spans="4:5" ht="18" customHeight="1">
      <c r="D884">
        <v>162509</v>
      </c>
      <c r="E884" t="s">
        <v>924</v>
      </c>
    </row>
    <row r="885" spans="4:5" ht="18" customHeight="1">
      <c r="D885">
        <v>162497</v>
      </c>
      <c r="E885" t="s">
        <v>706</v>
      </c>
    </row>
    <row r="886" spans="4:5" ht="18" customHeight="1">
      <c r="D886">
        <v>145752</v>
      </c>
      <c r="E886" t="s">
        <v>769</v>
      </c>
    </row>
    <row r="887" spans="4:5" ht="18" customHeight="1">
      <c r="D887">
        <v>83123693</v>
      </c>
      <c r="E887" t="s">
        <v>744</v>
      </c>
    </row>
    <row r="888" spans="4:5" ht="18" customHeight="1">
      <c r="D888">
        <v>131759</v>
      </c>
      <c r="E888" t="s">
        <v>630</v>
      </c>
    </row>
    <row r="889" spans="4:5" ht="18" customHeight="1">
      <c r="D889">
        <v>183510</v>
      </c>
      <c r="E889" t="s">
        <v>617</v>
      </c>
    </row>
    <row r="890" spans="4:5" ht="18" customHeight="1">
      <c r="D890">
        <v>83123703</v>
      </c>
      <c r="E890" t="s">
        <v>759</v>
      </c>
    </row>
    <row r="891" spans="4:5" ht="18" customHeight="1">
      <c r="D891">
        <v>83123699</v>
      </c>
      <c r="E891" t="s">
        <v>758</v>
      </c>
    </row>
    <row r="892" spans="4:5" ht="18" customHeight="1">
      <c r="D892">
        <v>141440</v>
      </c>
      <c r="E892" t="s">
        <v>574</v>
      </c>
    </row>
    <row r="893" spans="4:5" ht="18" customHeight="1">
      <c r="D893">
        <v>83117001</v>
      </c>
      <c r="E893" t="s">
        <v>594</v>
      </c>
    </row>
    <row r="894" spans="4:5" ht="18" customHeight="1">
      <c r="D894">
        <v>83123694</v>
      </c>
      <c r="E894" t="s">
        <v>750</v>
      </c>
    </row>
    <row r="895" spans="4:5" ht="18" customHeight="1">
      <c r="D895">
        <v>84124047</v>
      </c>
      <c r="E895" t="s">
        <v>925</v>
      </c>
    </row>
    <row r="896" spans="4:5" ht="18" customHeight="1">
      <c r="D896">
        <v>83103111</v>
      </c>
      <c r="E896" t="s">
        <v>926</v>
      </c>
    </row>
    <row r="897" spans="4:5" ht="18" customHeight="1">
      <c r="D897">
        <v>83123144</v>
      </c>
      <c r="E897" t="s">
        <v>927</v>
      </c>
    </row>
    <row r="898" spans="4:5" ht="18" customHeight="1">
      <c r="D898">
        <v>83123148</v>
      </c>
      <c r="E898" t="s">
        <v>928</v>
      </c>
    </row>
    <row r="899" spans="4:5" ht="18" customHeight="1">
      <c r="D899">
        <v>143960</v>
      </c>
      <c r="E899" t="s">
        <v>929</v>
      </c>
    </row>
    <row r="900" spans="4:5" ht="18" customHeight="1">
      <c r="D900">
        <v>83122104</v>
      </c>
      <c r="E900" t="s">
        <v>930</v>
      </c>
    </row>
    <row r="901" spans="4:5" ht="18" customHeight="1">
      <c r="D901">
        <v>147332</v>
      </c>
      <c r="E901" t="s">
        <v>446</v>
      </c>
    </row>
    <row r="902" spans="4:5" ht="18" customHeight="1">
      <c r="D902">
        <v>143409</v>
      </c>
      <c r="E902" t="s">
        <v>757</v>
      </c>
    </row>
    <row r="903" spans="4:5" ht="18" customHeight="1">
      <c r="D903">
        <v>83117885</v>
      </c>
      <c r="E903" t="s">
        <v>931</v>
      </c>
    </row>
    <row r="904" spans="4:5" ht="18" customHeight="1">
      <c r="D904">
        <v>83103403</v>
      </c>
      <c r="E904" t="s">
        <v>595</v>
      </c>
    </row>
    <row r="905" spans="4:5" ht="18" customHeight="1">
      <c r="D905">
        <v>145331</v>
      </c>
      <c r="E905" t="s">
        <v>932</v>
      </c>
    </row>
    <row r="906" spans="4:5" ht="18" customHeight="1">
      <c r="D906">
        <v>143966</v>
      </c>
      <c r="E906" t="s">
        <v>933</v>
      </c>
    </row>
    <row r="907" spans="4:5" ht="18" customHeight="1">
      <c r="D907">
        <v>143957</v>
      </c>
      <c r="E907" t="s">
        <v>675</v>
      </c>
    </row>
    <row r="908" spans="4:5" ht="18" customHeight="1">
      <c r="D908">
        <v>147347</v>
      </c>
      <c r="E908" t="s">
        <v>454</v>
      </c>
    </row>
    <row r="909" spans="4:5" ht="18" customHeight="1">
      <c r="D909">
        <v>83123907</v>
      </c>
      <c r="E909" t="s">
        <v>331</v>
      </c>
    </row>
    <row r="910" spans="4:5" ht="18" customHeight="1">
      <c r="D910">
        <v>84120249</v>
      </c>
      <c r="E910" t="s">
        <v>616</v>
      </c>
    </row>
    <row r="911" spans="4:5" ht="18" customHeight="1">
      <c r="D911">
        <v>83123700</v>
      </c>
      <c r="E911" t="s">
        <v>754</v>
      </c>
    </row>
    <row r="912" spans="4:5" ht="18" customHeight="1">
      <c r="D912">
        <v>83117915</v>
      </c>
      <c r="E912" t="s">
        <v>765</v>
      </c>
    </row>
    <row r="913" spans="4:5" ht="18" customHeight="1">
      <c r="D913">
        <v>162491</v>
      </c>
      <c r="E913" t="s">
        <v>702</v>
      </c>
    </row>
    <row r="914" spans="4:5" ht="18" customHeight="1">
      <c r="D914">
        <v>84124054</v>
      </c>
      <c r="E914" t="s">
        <v>934</v>
      </c>
    </row>
    <row r="915" spans="4:5" ht="18" customHeight="1">
      <c r="D915">
        <v>146657</v>
      </c>
      <c r="E915" t="s">
        <v>935</v>
      </c>
    </row>
    <row r="916" spans="4:5" ht="18" customHeight="1">
      <c r="D916">
        <v>162516</v>
      </c>
      <c r="E916" t="s">
        <v>712</v>
      </c>
    </row>
    <row r="917" spans="4:5" ht="18" customHeight="1">
      <c r="D917">
        <v>83103414</v>
      </c>
      <c r="E917" t="s">
        <v>312</v>
      </c>
    </row>
    <row r="918" spans="4:5" ht="18" customHeight="1">
      <c r="D918">
        <v>83123701</v>
      </c>
      <c r="E918" t="s">
        <v>936</v>
      </c>
    </row>
    <row r="919" spans="4:5" ht="18" customHeight="1">
      <c r="D919">
        <v>135031</v>
      </c>
      <c r="E919" t="s">
        <v>937</v>
      </c>
    </row>
    <row r="920" spans="4:5" ht="18" customHeight="1">
      <c r="D920">
        <v>143968</v>
      </c>
      <c r="E920" t="s">
        <v>674</v>
      </c>
    </row>
    <row r="921" spans="4:5" ht="18" customHeight="1">
      <c r="D921">
        <v>145575</v>
      </c>
      <c r="E921" t="s">
        <v>291</v>
      </c>
    </row>
    <row r="922" spans="4:5" ht="18" customHeight="1">
      <c r="D922">
        <v>132513</v>
      </c>
      <c r="E922" t="s">
        <v>377</v>
      </c>
    </row>
    <row r="923" spans="4:5" ht="18" customHeight="1">
      <c r="D923">
        <v>83086322</v>
      </c>
      <c r="E923" t="s">
        <v>938</v>
      </c>
    </row>
    <row r="924" spans="4:5" ht="18" customHeight="1">
      <c r="D924">
        <v>145347</v>
      </c>
      <c r="E924" t="s">
        <v>939</v>
      </c>
    </row>
    <row r="925" spans="4:5" ht="18" customHeight="1">
      <c r="D925">
        <v>242411</v>
      </c>
      <c r="E925" t="s">
        <v>539</v>
      </c>
    </row>
    <row r="926" spans="4:5" ht="18" customHeight="1">
      <c r="D926">
        <v>83105165</v>
      </c>
      <c r="E926" t="s">
        <v>402</v>
      </c>
    </row>
    <row r="927" spans="4:5" ht="18" customHeight="1">
      <c r="D927">
        <v>83040032</v>
      </c>
      <c r="E927" t="s">
        <v>940</v>
      </c>
    </row>
    <row r="928" spans="4:5" ht="18" customHeight="1">
      <c r="D928">
        <v>141864</v>
      </c>
      <c r="E928" t="s">
        <v>941</v>
      </c>
    </row>
    <row r="929" spans="4:5" ht="18" customHeight="1">
      <c r="D929">
        <v>83105221</v>
      </c>
      <c r="E929" t="s">
        <v>505</v>
      </c>
    </row>
    <row r="930" spans="4:5" ht="18" customHeight="1">
      <c r="D930">
        <v>83119342</v>
      </c>
      <c r="E930" t="s">
        <v>942</v>
      </c>
    </row>
    <row r="931" spans="4:5" ht="18" customHeight="1">
      <c r="D931">
        <v>83103336</v>
      </c>
      <c r="E931" t="s">
        <v>943</v>
      </c>
    </row>
    <row r="932" spans="4:5" ht="18" customHeight="1">
      <c r="D932">
        <v>83086308</v>
      </c>
      <c r="E932" t="s">
        <v>944</v>
      </c>
    </row>
    <row r="933" spans="4:5" ht="18" customHeight="1">
      <c r="D933">
        <v>222340</v>
      </c>
      <c r="E933" t="s">
        <v>680</v>
      </c>
    </row>
    <row r="934" spans="4:5" ht="18" customHeight="1">
      <c r="D934">
        <v>83103566</v>
      </c>
      <c r="E934" t="s">
        <v>591</v>
      </c>
    </row>
    <row r="935" spans="4:5" ht="18" customHeight="1">
      <c r="D935">
        <v>162506</v>
      </c>
      <c r="E935" t="s">
        <v>708</v>
      </c>
    </row>
    <row r="936" spans="4:5" ht="18" customHeight="1">
      <c r="D936">
        <v>83121092</v>
      </c>
      <c r="E936" t="s">
        <v>735</v>
      </c>
    </row>
    <row r="937" spans="4:5" ht="18" customHeight="1">
      <c r="D937">
        <v>84088206</v>
      </c>
      <c r="E937" t="s">
        <v>945</v>
      </c>
    </row>
    <row r="938" spans="4:5" ht="18" customHeight="1">
      <c r="D938">
        <v>132166</v>
      </c>
      <c r="E938" t="s">
        <v>946</v>
      </c>
    </row>
    <row r="939" spans="4:5" ht="18" customHeight="1">
      <c r="D939">
        <v>83102758</v>
      </c>
      <c r="E939" t="s">
        <v>947</v>
      </c>
    </row>
    <row r="940" spans="4:5" ht="18" customHeight="1">
      <c r="D940">
        <v>242186</v>
      </c>
      <c r="E940" t="s">
        <v>948</v>
      </c>
    </row>
    <row r="941" spans="4:5" ht="18" customHeight="1">
      <c r="D941">
        <v>148201</v>
      </c>
      <c r="E941" t="s">
        <v>698</v>
      </c>
    </row>
    <row r="942" spans="4:5" ht="18" customHeight="1">
      <c r="D942">
        <v>143398</v>
      </c>
      <c r="E942" t="s">
        <v>949</v>
      </c>
    </row>
    <row r="943" spans="4:5" ht="18" customHeight="1">
      <c r="D943">
        <v>148208</v>
      </c>
      <c r="E943" t="s">
        <v>950</v>
      </c>
    </row>
    <row r="944" spans="4:5" ht="18" customHeight="1">
      <c r="D944">
        <v>83105168</v>
      </c>
      <c r="E944" t="s">
        <v>951</v>
      </c>
    </row>
    <row r="945" spans="4:5" ht="18" customHeight="1">
      <c r="D945">
        <v>83117886</v>
      </c>
      <c r="E945" t="s">
        <v>763</v>
      </c>
    </row>
    <row r="946" spans="4:5" ht="18" customHeight="1">
      <c r="D946">
        <v>135259</v>
      </c>
      <c r="E946" t="s">
        <v>952</v>
      </c>
    </row>
    <row r="947" spans="4:5" ht="18" customHeight="1">
      <c r="D947">
        <v>148212</v>
      </c>
      <c r="E947" t="s">
        <v>953</v>
      </c>
    </row>
    <row r="948" spans="4:5" ht="18" customHeight="1">
      <c r="D948">
        <v>83040124</v>
      </c>
      <c r="E948" t="s">
        <v>383</v>
      </c>
    </row>
    <row r="949" spans="4:5" ht="18" customHeight="1">
      <c r="D949">
        <v>142959</v>
      </c>
      <c r="E949" t="s">
        <v>636</v>
      </c>
    </row>
    <row r="950" spans="4:5" ht="18" customHeight="1">
      <c r="D950">
        <v>84088199</v>
      </c>
      <c r="E950" t="s">
        <v>954</v>
      </c>
    </row>
    <row r="951" spans="4:5" ht="18" customHeight="1">
      <c r="D951">
        <v>250050</v>
      </c>
      <c r="E951" t="s">
        <v>955</v>
      </c>
    </row>
    <row r="952" spans="4:5" ht="18" customHeight="1">
      <c r="D952">
        <v>162505</v>
      </c>
      <c r="E952" t="s">
        <v>722</v>
      </c>
    </row>
    <row r="953" spans="4:5" ht="18" customHeight="1">
      <c r="D953">
        <v>83075245</v>
      </c>
      <c r="E953" t="s">
        <v>374</v>
      </c>
    </row>
    <row r="954" spans="4:5" ht="18" customHeight="1">
      <c r="D954">
        <v>83120875</v>
      </c>
      <c r="E954" t="s">
        <v>624</v>
      </c>
    </row>
    <row r="955" spans="4:5" ht="18" customHeight="1">
      <c r="D955">
        <v>145059</v>
      </c>
      <c r="E955" t="s">
        <v>956</v>
      </c>
    </row>
    <row r="956" spans="4:5" ht="18" customHeight="1">
      <c r="D956">
        <v>133821</v>
      </c>
      <c r="E956" t="s">
        <v>957</v>
      </c>
    </row>
    <row r="957" spans="4:5" ht="18" customHeight="1">
      <c r="D957">
        <v>141590</v>
      </c>
      <c r="E957" t="s">
        <v>958</v>
      </c>
    </row>
    <row r="958" spans="4:5" ht="18" customHeight="1">
      <c r="D958">
        <v>142274</v>
      </c>
      <c r="E958" t="s">
        <v>959</v>
      </c>
    </row>
    <row r="959" spans="4:5" ht="18" customHeight="1">
      <c r="D959">
        <v>83122888</v>
      </c>
      <c r="E959" t="s">
        <v>960</v>
      </c>
    </row>
    <row r="960" spans="4:5" ht="18" customHeight="1">
      <c r="D960">
        <v>152477</v>
      </c>
      <c r="E960" t="s">
        <v>961</v>
      </c>
    </row>
    <row r="961" spans="4:5" ht="18" customHeight="1">
      <c r="D961">
        <v>131642</v>
      </c>
      <c r="E961" t="s">
        <v>962</v>
      </c>
    </row>
    <row r="962" spans="4:5" ht="18" customHeight="1">
      <c r="D962">
        <v>141441</v>
      </c>
      <c r="E962" t="s">
        <v>963</v>
      </c>
    </row>
    <row r="963" spans="4:5" ht="18" customHeight="1">
      <c r="D963">
        <v>83117266</v>
      </c>
      <c r="E963" t="s">
        <v>964</v>
      </c>
    </row>
    <row r="964" spans="4:5" ht="18" customHeight="1">
      <c r="D964">
        <v>221927</v>
      </c>
      <c r="E964" t="s">
        <v>965</v>
      </c>
    </row>
    <row r="965" spans="4:5" ht="18" customHeight="1">
      <c r="D965">
        <v>84122960</v>
      </c>
      <c r="E965" t="s">
        <v>966</v>
      </c>
    </row>
    <row r="966" spans="4:5" ht="18" customHeight="1">
      <c r="D966">
        <v>84088198</v>
      </c>
      <c r="E966" t="s">
        <v>612</v>
      </c>
    </row>
    <row r="967" spans="4:5" ht="18" customHeight="1">
      <c r="D967">
        <v>145560</v>
      </c>
      <c r="E967" t="s">
        <v>281</v>
      </c>
    </row>
    <row r="968" spans="4:5" ht="18" customHeight="1">
      <c r="D968">
        <v>84087817</v>
      </c>
      <c r="E968" t="s">
        <v>967</v>
      </c>
    </row>
    <row r="969" spans="4:5" ht="18" customHeight="1">
      <c r="D969">
        <v>162487</v>
      </c>
      <c r="E969" t="s">
        <v>968</v>
      </c>
    </row>
    <row r="970" spans="4:5" ht="18" customHeight="1">
      <c r="D970">
        <v>242185</v>
      </c>
      <c r="E970" t="s">
        <v>969</v>
      </c>
    </row>
    <row r="971" spans="4:5" ht="18" customHeight="1">
      <c r="D971">
        <v>251413</v>
      </c>
      <c r="E971" t="s">
        <v>970</v>
      </c>
    </row>
    <row r="972" spans="4:5" ht="18" customHeight="1">
      <c r="D972">
        <v>162494</v>
      </c>
      <c r="E972" t="s">
        <v>704</v>
      </c>
    </row>
    <row r="973" spans="4:5" ht="18" customHeight="1">
      <c r="D973">
        <v>183506</v>
      </c>
      <c r="E973" t="s">
        <v>589</v>
      </c>
    </row>
    <row r="974" spans="4:5" ht="18" customHeight="1">
      <c r="D974">
        <v>162495</v>
      </c>
      <c r="E974" t="s">
        <v>705</v>
      </c>
    </row>
    <row r="975" spans="4:5" ht="18" customHeight="1">
      <c r="D975">
        <v>83103440</v>
      </c>
      <c r="E975" t="s">
        <v>971</v>
      </c>
    </row>
    <row r="976" spans="4:5" ht="18" customHeight="1">
      <c r="D976">
        <v>83121091</v>
      </c>
      <c r="E976" t="s">
        <v>972</v>
      </c>
    </row>
    <row r="977" spans="4:5" ht="18" customHeight="1">
      <c r="D977">
        <v>242165</v>
      </c>
      <c r="E977" t="s">
        <v>973</v>
      </c>
    </row>
    <row r="978" spans="4:5" ht="18" customHeight="1">
      <c r="D978">
        <v>83117673</v>
      </c>
      <c r="E978" t="s">
        <v>653</v>
      </c>
    </row>
    <row r="979" spans="4:5" ht="18" customHeight="1">
      <c r="D979">
        <v>83119926</v>
      </c>
      <c r="E979" t="s">
        <v>408</v>
      </c>
    </row>
    <row r="980" spans="4:5" ht="18" customHeight="1">
      <c r="D980">
        <v>141589</v>
      </c>
      <c r="E980" t="s">
        <v>770</v>
      </c>
    </row>
    <row r="981" spans="4:5" ht="18" customHeight="1">
      <c r="D981">
        <v>162500</v>
      </c>
      <c r="E981" t="s">
        <v>730</v>
      </c>
    </row>
    <row r="982" spans="4:5" ht="18" customHeight="1">
      <c r="D982">
        <v>131847</v>
      </c>
      <c r="E982" t="s">
        <v>974</v>
      </c>
    </row>
    <row r="983" spans="4:5" ht="18" customHeight="1">
      <c r="D983">
        <v>242209</v>
      </c>
      <c r="E983" t="s">
        <v>975</v>
      </c>
    </row>
    <row r="984" spans="4:5" ht="18" customHeight="1">
      <c r="D984">
        <v>84124082</v>
      </c>
      <c r="E984" t="s">
        <v>792</v>
      </c>
    </row>
    <row r="985" spans="4:5" ht="18" customHeight="1">
      <c r="D985">
        <v>83117892</v>
      </c>
      <c r="E985" t="s">
        <v>762</v>
      </c>
    </row>
    <row r="986" spans="4:5" ht="18" customHeight="1">
      <c r="D986">
        <v>145568</v>
      </c>
      <c r="E986" t="s">
        <v>262</v>
      </c>
    </row>
    <row r="987" spans="4:5" ht="18" customHeight="1">
      <c r="D987">
        <v>83117968</v>
      </c>
      <c r="E987" t="s">
        <v>362</v>
      </c>
    </row>
    <row r="988" spans="4:5" ht="18" customHeight="1">
      <c r="D988">
        <v>83102200</v>
      </c>
      <c r="E988" t="s">
        <v>405</v>
      </c>
    </row>
    <row r="989" spans="4:5" ht="18" customHeight="1">
      <c r="D989">
        <v>83040046</v>
      </c>
      <c r="E989" t="s">
        <v>976</v>
      </c>
    </row>
    <row r="990" spans="4:5" ht="18" customHeight="1">
      <c r="D990">
        <v>145063</v>
      </c>
      <c r="E990" t="s">
        <v>977</v>
      </c>
    </row>
    <row r="991" spans="4:5" ht="18" customHeight="1">
      <c r="D991">
        <v>145346</v>
      </c>
      <c r="E991" t="s">
        <v>978</v>
      </c>
    </row>
    <row r="992" spans="4:5" ht="18" customHeight="1">
      <c r="D992">
        <v>83120032</v>
      </c>
      <c r="E992" t="s">
        <v>441</v>
      </c>
    </row>
    <row r="993" spans="4:5" ht="18" customHeight="1">
      <c r="D993">
        <v>145540</v>
      </c>
      <c r="E993" t="s">
        <v>979</v>
      </c>
    </row>
    <row r="994" spans="4:5" ht="18" customHeight="1">
      <c r="D994">
        <v>152596</v>
      </c>
      <c r="E994" t="s">
        <v>980</v>
      </c>
    </row>
    <row r="995" spans="4:5" ht="18" customHeight="1">
      <c r="D995">
        <v>83102177</v>
      </c>
      <c r="E995" t="s">
        <v>354</v>
      </c>
    </row>
    <row r="996" spans="4:5" ht="18" customHeight="1">
      <c r="D996">
        <v>83117914</v>
      </c>
      <c r="E996" t="s">
        <v>780</v>
      </c>
    </row>
    <row r="997" spans="4:5" ht="18" customHeight="1">
      <c r="D997">
        <v>84087843</v>
      </c>
      <c r="E997" t="s">
        <v>981</v>
      </c>
    </row>
    <row r="998" spans="4:5" ht="18" customHeight="1">
      <c r="D998">
        <v>154179</v>
      </c>
      <c r="E998" t="s">
        <v>491</v>
      </c>
    </row>
    <row r="999" spans="4:5" ht="18" customHeight="1">
      <c r="D999">
        <v>131849</v>
      </c>
      <c r="E999" t="s">
        <v>306</v>
      </c>
    </row>
    <row r="1000" spans="4:5" ht="18" customHeight="1">
      <c r="D1000">
        <v>200378</v>
      </c>
      <c r="E1000" t="s">
        <v>982</v>
      </c>
    </row>
    <row r="1001" spans="4:5" ht="18" customHeight="1">
      <c r="D1001">
        <v>83117938</v>
      </c>
      <c r="E1001" t="s">
        <v>768</v>
      </c>
    </row>
    <row r="1002" spans="4:5" ht="18" customHeight="1">
      <c r="D1002">
        <v>83040029</v>
      </c>
      <c r="E1002" t="s">
        <v>252</v>
      </c>
    </row>
    <row r="1003" spans="4:5" ht="18" customHeight="1">
      <c r="D1003">
        <v>145354</v>
      </c>
      <c r="E1003" t="s">
        <v>303</v>
      </c>
    </row>
    <row r="1004" spans="4:5" ht="18" customHeight="1">
      <c r="D1004">
        <v>83117279</v>
      </c>
      <c r="E1004" t="s">
        <v>685</v>
      </c>
    </row>
    <row r="1005" spans="4:5" ht="18" customHeight="1">
      <c r="D1005">
        <v>83123695</v>
      </c>
      <c r="E1005" t="s">
        <v>983</v>
      </c>
    </row>
    <row r="1006" spans="4:5" ht="18" customHeight="1">
      <c r="D1006">
        <v>83102181</v>
      </c>
      <c r="E1006" t="s">
        <v>365</v>
      </c>
    </row>
    <row r="1007" spans="4:5" ht="18" customHeight="1">
      <c r="D1007">
        <v>135869</v>
      </c>
      <c r="E1007" t="s">
        <v>984</v>
      </c>
    </row>
    <row r="1008" spans="4:5" ht="18" customHeight="1">
      <c r="D1008">
        <v>135044</v>
      </c>
      <c r="E1008" t="s">
        <v>985</v>
      </c>
    </row>
    <row r="1009" spans="4:5" ht="18" customHeight="1">
      <c r="D1009">
        <v>83117955</v>
      </c>
      <c r="E1009" t="s">
        <v>986</v>
      </c>
    </row>
    <row r="1010" spans="4:5" ht="18" customHeight="1">
      <c r="D1010">
        <v>241556</v>
      </c>
      <c r="E1010" t="s">
        <v>523</v>
      </c>
    </row>
    <row r="1011" spans="4:5" ht="18" customHeight="1">
      <c r="D1011">
        <v>83123908</v>
      </c>
      <c r="E1011" t="s">
        <v>987</v>
      </c>
    </row>
    <row r="1012" spans="4:5" ht="18" customHeight="1">
      <c r="D1012">
        <v>84122956</v>
      </c>
      <c r="E1012" t="s">
        <v>385</v>
      </c>
    </row>
    <row r="1013" spans="4:5" ht="18" customHeight="1">
      <c r="D1013">
        <v>83040133</v>
      </c>
      <c r="E1013" t="s">
        <v>988</v>
      </c>
    </row>
    <row r="1014" spans="4:5" ht="18" customHeight="1">
      <c r="D1014">
        <v>83086316</v>
      </c>
      <c r="E1014" t="s">
        <v>989</v>
      </c>
    </row>
    <row r="1015" spans="4:5" ht="18" customHeight="1">
      <c r="D1015">
        <v>241555</v>
      </c>
      <c r="E1015" t="s">
        <v>522</v>
      </c>
    </row>
    <row r="1016" spans="4:5" ht="18" customHeight="1">
      <c r="D1016">
        <v>83040085</v>
      </c>
      <c r="E1016" t="s">
        <v>990</v>
      </c>
    </row>
    <row r="1017" spans="4:5" ht="18" customHeight="1">
      <c r="D1017">
        <v>141588</v>
      </c>
      <c r="E1017" t="s">
        <v>991</v>
      </c>
    </row>
    <row r="1018" spans="4:5" ht="18" customHeight="1">
      <c r="D1018">
        <v>183399</v>
      </c>
      <c r="E1018" t="s">
        <v>992</v>
      </c>
    </row>
    <row r="1019" spans="4:5" ht="18" customHeight="1">
      <c r="D1019">
        <v>162705</v>
      </c>
      <c r="E1019" t="s">
        <v>993</v>
      </c>
    </row>
    <row r="1020" spans="4:5" ht="18" customHeight="1">
      <c r="D1020">
        <v>135045</v>
      </c>
      <c r="E1020" t="s">
        <v>994</v>
      </c>
    </row>
    <row r="1021" spans="4:5" ht="18" customHeight="1">
      <c r="D1021">
        <v>221924</v>
      </c>
      <c r="E1021" t="s">
        <v>995</v>
      </c>
    </row>
    <row r="1022" spans="4:5" ht="18" customHeight="1">
      <c r="D1022">
        <v>152600</v>
      </c>
      <c r="E1022" t="s">
        <v>996</v>
      </c>
    </row>
    <row r="1023" spans="4:5" ht="18" customHeight="1">
      <c r="D1023">
        <v>83074622</v>
      </c>
      <c r="E1023" t="s">
        <v>391</v>
      </c>
    </row>
    <row r="1024" spans="4:5" ht="18" customHeight="1">
      <c r="D1024">
        <v>83122885</v>
      </c>
      <c r="E1024" t="s">
        <v>296</v>
      </c>
    </row>
    <row r="1025" spans="4:5" ht="18" customHeight="1">
      <c r="D1025">
        <v>134566</v>
      </c>
      <c r="E1025" t="s">
        <v>997</v>
      </c>
    </row>
    <row r="1026" spans="4:5" ht="18" customHeight="1">
      <c r="D1026">
        <v>83086810</v>
      </c>
      <c r="E1026" t="s">
        <v>998</v>
      </c>
    </row>
    <row r="1027" spans="4:5" ht="18" customHeight="1">
      <c r="D1027">
        <v>145569</v>
      </c>
      <c r="E1027" t="s">
        <v>266</v>
      </c>
    </row>
    <row r="1028" spans="4:5" ht="18" customHeight="1">
      <c r="D1028">
        <v>84122957</v>
      </c>
      <c r="E1028" t="s">
        <v>363</v>
      </c>
    </row>
    <row r="1029" spans="4:5" ht="18" customHeight="1">
      <c r="D1029">
        <v>135015</v>
      </c>
      <c r="E1029" t="s">
        <v>999</v>
      </c>
    </row>
    <row r="1030" spans="4:5" ht="18" customHeight="1">
      <c r="D1030">
        <v>83123698</v>
      </c>
      <c r="E1030" t="s">
        <v>760</v>
      </c>
    </row>
    <row r="1031" spans="4:5" ht="18" customHeight="1">
      <c r="D1031">
        <v>241137</v>
      </c>
      <c r="E1031" t="s">
        <v>1000</v>
      </c>
    </row>
    <row r="1032" spans="4:5" ht="18" customHeight="1">
      <c r="D1032">
        <v>83086320</v>
      </c>
      <c r="E1032" t="s">
        <v>1001</v>
      </c>
    </row>
    <row r="1033" spans="4:5" ht="18" customHeight="1">
      <c r="D1033">
        <v>242184</v>
      </c>
      <c r="E1033" t="s">
        <v>1002</v>
      </c>
    </row>
    <row r="1034" spans="4:5" ht="18" customHeight="1">
      <c r="D1034">
        <v>83104431</v>
      </c>
      <c r="E1034" t="s">
        <v>398</v>
      </c>
    </row>
    <row r="1035" spans="4:5" ht="18" customHeight="1">
      <c r="D1035">
        <v>83075250</v>
      </c>
      <c r="E1035" t="s">
        <v>1003</v>
      </c>
    </row>
    <row r="1036" spans="4:5" ht="18" customHeight="1">
      <c r="D1036">
        <v>147324</v>
      </c>
      <c r="E1036" t="s">
        <v>1004</v>
      </c>
    </row>
    <row r="1037" spans="4:5" ht="18" customHeight="1">
      <c r="D1037">
        <v>191558</v>
      </c>
      <c r="E1037" t="s">
        <v>1005</v>
      </c>
    </row>
    <row r="1038" spans="4:5" ht="18" customHeight="1">
      <c r="D1038">
        <v>83074618</v>
      </c>
      <c r="E1038" t="s">
        <v>489</v>
      </c>
    </row>
    <row r="1039" spans="4:5" ht="18" customHeight="1">
      <c r="D1039">
        <v>83116127</v>
      </c>
      <c r="E1039" t="s">
        <v>1006</v>
      </c>
    </row>
    <row r="1040" spans="4:5" ht="18" customHeight="1">
      <c r="D1040">
        <v>221922</v>
      </c>
      <c r="E1040" t="s">
        <v>504</v>
      </c>
    </row>
    <row r="1041" spans="4:5" ht="18" customHeight="1">
      <c r="D1041">
        <v>152582</v>
      </c>
      <c r="E1041" t="s">
        <v>1007</v>
      </c>
    </row>
    <row r="1042" spans="4:5" ht="18" customHeight="1">
      <c r="D1042">
        <v>83123152</v>
      </c>
      <c r="E1042" t="s">
        <v>672</v>
      </c>
    </row>
    <row r="1043" spans="4:5" ht="18" customHeight="1">
      <c r="D1043">
        <v>242408</v>
      </c>
      <c r="E1043" t="s">
        <v>1008</v>
      </c>
    </row>
    <row r="1044" spans="4:5" ht="18" customHeight="1">
      <c r="D1044">
        <v>84122966</v>
      </c>
      <c r="E1044" t="s">
        <v>479</v>
      </c>
    </row>
    <row r="1045" spans="4:5" ht="18" customHeight="1">
      <c r="D1045">
        <v>132527</v>
      </c>
      <c r="E1045" t="s">
        <v>435</v>
      </c>
    </row>
    <row r="1046" spans="4:5" ht="18" customHeight="1">
      <c r="D1046">
        <v>134355</v>
      </c>
      <c r="E1046" t="s">
        <v>438</v>
      </c>
    </row>
    <row r="1047" spans="4:5" ht="18" customHeight="1">
      <c r="D1047">
        <v>83105157</v>
      </c>
      <c r="E1047" t="s">
        <v>387</v>
      </c>
    </row>
    <row r="1048" spans="4:5" ht="18" customHeight="1">
      <c r="D1048">
        <v>83105164</v>
      </c>
      <c r="E1048" t="s">
        <v>434</v>
      </c>
    </row>
    <row r="1049" spans="4:5" ht="18" customHeight="1">
      <c r="D1049">
        <v>147371</v>
      </c>
      <c r="E1049" t="s">
        <v>490</v>
      </c>
    </row>
    <row r="1050" spans="4:5" ht="18" customHeight="1">
      <c r="D1050">
        <v>221926</v>
      </c>
      <c r="E1050" t="s">
        <v>1009</v>
      </c>
    </row>
    <row r="1051" spans="4:5" ht="18" customHeight="1">
      <c r="D1051">
        <v>83040047</v>
      </c>
      <c r="E1051" t="s">
        <v>1010</v>
      </c>
    </row>
    <row r="1052" spans="4:5" ht="18" customHeight="1">
      <c r="D1052">
        <v>162709</v>
      </c>
      <c r="E1052" t="s">
        <v>1011</v>
      </c>
    </row>
    <row r="1053" spans="4:5" ht="18" customHeight="1">
      <c r="D1053">
        <v>83102441</v>
      </c>
      <c r="E1053" t="s">
        <v>606</v>
      </c>
    </row>
    <row r="1054" spans="4:5" ht="18" customHeight="1">
      <c r="D1054">
        <v>83040045</v>
      </c>
      <c r="E1054" t="s">
        <v>474</v>
      </c>
    </row>
    <row r="1055" spans="4:5" ht="18" customHeight="1">
      <c r="D1055">
        <v>144643</v>
      </c>
      <c r="E1055" t="s">
        <v>1012</v>
      </c>
    </row>
    <row r="1056" spans="4:5" ht="18" customHeight="1">
      <c r="D1056">
        <v>140689</v>
      </c>
      <c r="E1056" t="s">
        <v>488</v>
      </c>
    </row>
    <row r="1057" spans="4:5" ht="18" customHeight="1">
      <c r="D1057">
        <v>183516</v>
      </c>
      <c r="E1057" t="s">
        <v>599</v>
      </c>
    </row>
    <row r="1058" spans="4:5" ht="18" customHeight="1">
      <c r="D1058">
        <v>84088210</v>
      </c>
      <c r="E1058" t="s">
        <v>596</v>
      </c>
    </row>
    <row r="1059" spans="4:5" ht="18" customHeight="1">
      <c r="D1059">
        <v>241557</v>
      </c>
      <c r="E1059" t="s">
        <v>1013</v>
      </c>
    </row>
    <row r="1060" spans="4:5" ht="18" customHeight="1">
      <c r="D1060">
        <v>135037</v>
      </c>
      <c r="E1060" t="s">
        <v>1014</v>
      </c>
    </row>
    <row r="1061" spans="4:5" ht="18" customHeight="1">
      <c r="D1061">
        <v>221929</v>
      </c>
      <c r="E1061" t="s">
        <v>1015</v>
      </c>
    </row>
    <row r="1062" spans="4:5" ht="18" customHeight="1">
      <c r="D1062">
        <v>133792</v>
      </c>
      <c r="E1062" t="s">
        <v>1016</v>
      </c>
    </row>
    <row r="1063" spans="4:5" ht="18" customHeight="1">
      <c r="D1063">
        <v>83040095</v>
      </c>
      <c r="E1063" t="s">
        <v>410</v>
      </c>
    </row>
    <row r="1064" spans="4:5" ht="18" customHeight="1">
      <c r="D1064">
        <v>221920</v>
      </c>
      <c r="E1064" t="s">
        <v>436</v>
      </c>
    </row>
    <row r="1065" spans="4:5" ht="18" customHeight="1">
      <c r="D1065">
        <v>83119336</v>
      </c>
      <c r="E1065" t="s">
        <v>1017</v>
      </c>
    </row>
    <row r="1066" spans="4:5" ht="18" customHeight="1">
      <c r="D1066">
        <v>145565</v>
      </c>
      <c r="E1066" t="s">
        <v>1018</v>
      </c>
    </row>
    <row r="1067" spans="4:5" ht="18" customHeight="1">
      <c r="D1067">
        <v>83103441</v>
      </c>
      <c r="E1067" t="s">
        <v>378</v>
      </c>
    </row>
    <row r="1068" spans="4:5" ht="18" customHeight="1">
      <c r="D1068">
        <v>83119823</v>
      </c>
      <c r="E1068" t="s">
        <v>1019</v>
      </c>
    </row>
    <row r="1069" spans="4:5" ht="18" customHeight="1">
      <c r="D1069">
        <v>241560</v>
      </c>
      <c r="E1069" t="s">
        <v>1020</v>
      </c>
    </row>
    <row r="1070" spans="4:5" ht="18" customHeight="1">
      <c r="D1070">
        <v>147322</v>
      </c>
      <c r="E1070" t="s">
        <v>399</v>
      </c>
    </row>
    <row r="1071" spans="4:5" ht="18" customHeight="1">
      <c r="D1071">
        <v>152561</v>
      </c>
      <c r="E1071" t="s">
        <v>411</v>
      </c>
    </row>
    <row r="1072" spans="4:5" ht="18" customHeight="1">
      <c r="D1072">
        <v>83117264</v>
      </c>
      <c r="E1072" t="s">
        <v>1021</v>
      </c>
    </row>
    <row r="1073" spans="4:5" ht="18" customHeight="1">
      <c r="D1073">
        <v>148194</v>
      </c>
      <c r="E1073" t="s">
        <v>695</v>
      </c>
    </row>
    <row r="1074" spans="4:5" ht="18" customHeight="1">
      <c r="D1074">
        <v>141587</v>
      </c>
      <c r="E1074" t="s">
        <v>771</v>
      </c>
    </row>
    <row r="1075" spans="4:5" ht="18" customHeight="1">
      <c r="D1075">
        <v>148198</v>
      </c>
      <c r="E1075" t="s">
        <v>731</v>
      </c>
    </row>
    <row r="1076" spans="4:5" ht="18" customHeight="1">
      <c r="D1076">
        <v>84123768</v>
      </c>
      <c r="E1076" t="s">
        <v>1022</v>
      </c>
    </row>
    <row r="1077" spans="4:5" ht="18" customHeight="1">
      <c r="D1077">
        <v>83122902</v>
      </c>
      <c r="E1077" t="s">
        <v>1023</v>
      </c>
    </row>
    <row r="1078" spans="4:5" ht="18" customHeight="1">
      <c r="D1078">
        <v>148196</v>
      </c>
      <c r="E1078" t="s">
        <v>1024</v>
      </c>
    </row>
    <row r="1079" spans="4:5" ht="18" customHeight="1">
      <c r="D1079">
        <v>84130089</v>
      </c>
      <c r="E1079" t="s">
        <v>658</v>
      </c>
    </row>
    <row r="1080" spans="4:5" ht="18" customHeight="1">
      <c r="D1080">
        <v>83117506</v>
      </c>
      <c r="E1080" t="s">
        <v>1025</v>
      </c>
    </row>
    <row r="1081" spans="4:5" ht="18" customHeight="1">
      <c r="D1081">
        <v>134362</v>
      </c>
      <c r="E1081" t="s">
        <v>463</v>
      </c>
    </row>
    <row r="1082" spans="4:5" ht="18" customHeight="1">
      <c r="D1082">
        <v>147334</v>
      </c>
      <c r="E1082" t="s">
        <v>1026</v>
      </c>
    </row>
    <row r="1083" spans="4:5" ht="18" customHeight="1">
      <c r="D1083">
        <v>134564</v>
      </c>
      <c r="E1083" t="s">
        <v>464</v>
      </c>
    </row>
    <row r="1084" spans="4:5" ht="18" customHeight="1">
      <c r="D1084">
        <v>147365</v>
      </c>
      <c r="E1084" t="s">
        <v>1027</v>
      </c>
    </row>
    <row r="1085" spans="4:5" ht="18" customHeight="1">
      <c r="D1085">
        <v>147328</v>
      </c>
      <c r="E1085" t="s">
        <v>440</v>
      </c>
    </row>
    <row r="1086" spans="4:5" ht="18" customHeight="1">
      <c r="D1086">
        <v>173528</v>
      </c>
      <c r="E1086" t="s">
        <v>1028</v>
      </c>
    </row>
    <row r="1087" spans="4:5" ht="18" customHeight="1">
      <c r="D1087">
        <v>83040208</v>
      </c>
      <c r="E1087" t="s">
        <v>1029</v>
      </c>
    </row>
    <row r="1088" spans="4:5" ht="18" customHeight="1">
      <c r="D1088">
        <v>83040130</v>
      </c>
      <c r="E1088" t="s">
        <v>1030</v>
      </c>
    </row>
    <row r="1089" spans="4:5" ht="18" customHeight="1">
      <c r="D1089">
        <v>242413</v>
      </c>
      <c r="E1089" t="s">
        <v>1031</v>
      </c>
    </row>
    <row r="1090" spans="4:5" ht="18" customHeight="1">
      <c r="D1090">
        <v>83102201</v>
      </c>
      <c r="E1090" t="s">
        <v>478</v>
      </c>
    </row>
    <row r="1091" spans="4:5" ht="18" customHeight="1">
      <c r="D1091">
        <v>143961</v>
      </c>
      <c r="E1091" t="s">
        <v>681</v>
      </c>
    </row>
    <row r="1092" spans="4:5" ht="18" customHeight="1">
      <c r="D1092">
        <v>162504</v>
      </c>
      <c r="E1092" t="s">
        <v>742</v>
      </c>
    </row>
    <row r="1093" spans="4:5" ht="18" customHeight="1">
      <c r="D1093">
        <v>148200</v>
      </c>
      <c r="E1093" t="s">
        <v>697</v>
      </c>
    </row>
    <row r="1094" spans="4:5" ht="18" customHeight="1">
      <c r="D1094">
        <v>192507</v>
      </c>
      <c r="E1094" t="s">
        <v>634</v>
      </c>
    </row>
    <row r="1095" spans="4:5" ht="18" customHeight="1">
      <c r="D1095">
        <v>83130108</v>
      </c>
      <c r="E1095" t="s">
        <v>243</v>
      </c>
    </row>
    <row r="1096" spans="4:5" ht="18" customHeight="1">
      <c r="D1096">
        <v>141581</v>
      </c>
      <c r="E1096" t="s">
        <v>784</v>
      </c>
    </row>
    <row r="1097" spans="4:5" ht="18" customHeight="1">
      <c r="D1097">
        <v>154185</v>
      </c>
      <c r="E1097" t="s">
        <v>1032</v>
      </c>
    </row>
    <row r="1098" spans="4:5" ht="18" customHeight="1">
      <c r="D1098">
        <v>83040081</v>
      </c>
      <c r="E1098" t="s">
        <v>1033</v>
      </c>
    </row>
    <row r="1099" spans="4:5" ht="18" customHeight="1">
      <c r="D1099">
        <v>241551</v>
      </c>
      <c r="E1099" t="s">
        <v>1034</v>
      </c>
    </row>
    <row r="1100" spans="4:5" ht="18" customHeight="1">
      <c r="D1100">
        <v>83123159</v>
      </c>
      <c r="E1100" t="s">
        <v>1035</v>
      </c>
    </row>
    <row r="1101" spans="4:5" ht="18" customHeight="1">
      <c r="D1101">
        <v>241134</v>
      </c>
      <c r="E1101" t="s">
        <v>1036</v>
      </c>
    </row>
    <row r="1102" spans="4:5" ht="18" customHeight="1">
      <c r="D1102">
        <v>153242</v>
      </c>
      <c r="E1102" t="s">
        <v>1037</v>
      </c>
    </row>
    <row r="1103" spans="4:5" ht="18" customHeight="1">
      <c r="D1103">
        <v>143748</v>
      </c>
      <c r="E1103" t="s">
        <v>1038</v>
      </c>
    </row>
    <row r="1104" spans="4:5" ht="18" customHeight="1">
      <c r="D1104">
        <v>143745</v>
      </c>
      <c r="E1104" t="s">
        <v>1039</v>
      </c>
    </row>
    <row r="1105" spans="4:5" ht="18" customHeight="1">
      <c r="D1105">
        <v>83075885</v>
      </c>
      <c r="E1105" t="s">
        <v>483</v>
      </c>
    </row>
    <row r="1106" spans="4:5" ht="18" customHeight="1">
      <c r="D1106">
        <v>152475</v>
      </c>
      <c r="E1106" t="s">
        <v>1040</v>
      </c>
    </row>
    <row r="1107" spans="4:5" ht="18" customHeight="1">
      <c r="D1107">
        <v>145313</v>
      </c>
      <c r="E1107" t="s">
        <v>1041</v>
      </c>
    </row>
    <row r="1108" spans="4:5" ht="18" customHeight="1">
      <c r="D1108">
        <v>83075406</v>
      </c>
      <c r="E1108" t="s">
        <v>115</v>
      </c>
    </row>
    <row r="1109" spans="4:5" ht="18" customHeight="1">
      <c r="D1109">
        <v>83102185</v>
      </c>
      <c r="E1109" t="s">
        <v>1042</v>
      </c>
    </row>
    <row r="1110" spans="4:5" ht="18" customHeight="1">
      <c r="D1110">
        <v>143744</v>
      </c>
      <c r="E1110" t="s">
        <v>648</v>
      </c>
    </row>
    <row r="1111" spans="4:5" ht="18" customHeight="1">
      <c r="D1111">
        <v>145725</v>
      </c>
      <c r="E1111" t="s">
        <v>652</v>
      </c>
    </row>
    <row r="1112" spans="4:5" ht="18" customHeight="1">
      <c r="D1112">
        <v>83087494</v>
      </c>
      <c r="E1112" t="s">
        <v>382</v>
      </c>
    </row>
    <row r="1113" spans="4:5" ht="18" customHeight="1">
      <c r="D1113">
        <v>83119917</v>
      </c>
      <c r="E1113" t="s">
        <v>1043</v>
      </c>
    </row>
    <row r="1114" spans="4:5" ht="18" customHeight="1">
      <c r="D1114">
        <v>84124763</v>
      </c>
      <c r="E1114" t="s">
        <v>456</v>
      </c>
    </row>
    <row r="1115" spans="4:5" ht="18" customHeight="1">
      <c r="D1115">
        <v>240862</v>
      </c>
      <c r="E1115" t="s">
        <v>1044</v>
      </c>
    </row>
    <row r="1116" spans="4:5" ht="18" customHeight="1">
      <c r="D1116">
        <v>241924</v>
      </c>
      <c r="E1116" t="s">
        <v>210</v>
      </c>
    </row>
    <row r="1117" spans="4:5" ht="18" customHeight="1">
      <c r="D1117">
        <v>84050998</v>
      </c>
      <c r="E1117" t="s">
        <v>424</v>
      </c>
    </row>
    <row r="1118" spans="4:5" ht="18" customHeight="1">
      <c r="D1118">
        <v>143743</v>
      </c>
      <c r="E1118" t="s">
        <v>651</v>
      </c>
    </row>
    <row r="1119" spans="4:5" ht="18" customHeight="1">
      <c r="D1119">
        <v>143583</v>
      </c>
      <c r="E1119" t="s">
        <v>471</v>
      </c>
    </row>
    <row r="1120" spans="4:5" ht="18" customHeight="1">
      <c r="D1120">
        <v>242410</v>
      </c>
      <c r="E1120" t="s">
        <v>1045</v>
      </c>
    </row>
    <row r="1121" spans="4:5" ht="18" customHeight="1">
      <c r="D1121">
        <v>140292</v>
      </c>
      <c r="E1121" t="s">
        <v>452</v>
      </c>
    </row>
    <row r="1122" spans="4:5" ht="18" customHeight="1">
      <c r="D1122">
        <v>241552</v>
      </c>
      <c r="E1122" t="s">
        <v>1046</v>
      </c>
    </row>
    <row r="1123" spans="4:5" ht="18" customHeight="1">
      <c r="D1123">
        <v>241559</v>
      </c>
      <c r="E1123" t="s">
        <v>1047</v>
      </c>
    </row>
    <row r="1124" spans="4:5" ht="18" customHeight="1">
      <c r="D1124">
        <v>140274</v>
      </c>
      <c r="E1124" t="s">
        <v>1048</v>
      </c>
    </row>
    <row r="1125" spans="4:5" ht="18" customHeight="1">
      <c r="D1125">
        <v>83075251</v>
      </c>
      <c r="E1125" t="s">
        <v>425</v>
      </c>
    </row>
    <row r="1126" spans="4:5" ht="18" customHeight="1">
      <c r="D1126">
        <v>83120037</v>
      </c>
      <c r="E1126" t="s">
        <v>373</v>
      </c>
    </row>
    <row r="1127" spans="4:5" ht="18" customHeight="1">
      <c r="D1127">
        <v>83123706</v>
      </c>
      <c r="E1127" t="s">
        <v>1049</v>
      </c>
    </row>
    <row r="1128" spans="4:5" ht="18" customHeight="1">
      <c r="D1128">
        <v>83040090</v>
      </c>
      <c r="E1128" t="s">
        <v>1050</v>
      </c>
    </row>
    <row r="1129" spans="4:5" ht="18" customHeight="1">
      <c r="D1129">
        <v>162692</v>
      </c>
      <c r="E1129" t="s">
        <v>476</v>
      </c>
    </row>
    <row r="1130" spans="4:5" ht="18" customHeight="1">
      <c r="D1130">
        <v>241561</v>
      </c>
      <c r="E1130" t="s">
        <v>1051</v>
      </c>
    </row>
    <row r="1131" spans="4:5" ht="18" customHeight="1">
      <c r="D1131">
        <v>143582</v>
      </c>
      <c r="E1131" t="s">
        <v>469</v>
      </c>
    </row>
    <row r="1132" spans="4:5" ht="18" customHeight="1">
      <c r="D1132">
        <v>147361</v>
      </c>
      <c r="E1132" t="s">
        <v>412</v>
      </c>
    </row>
    <row r="1133" spans="4:5" ht="18" customHeight="1">
      <c r="D1133">
        <v>221919</v>
      </c>
      <c r="E1133" t="s">
        <v>453</v>
      </c>
    </row>
    <row r="1134" spans="4:5" ht="18" customHeight="1">
      <c r="D1134">
        <v>135062</v>
      </c>
      <c r="E1134" t="s">
        <v>1052</v>
      </c>
    </row>
    <row r="1135" spans="4:5" ht="18" customHeight="1">
      <c r="D1135">
        <v>83040098</v>
      </c>
      <c r="E1135" t="s">
        <v>1053</v>
      </c>
    </row>
    <row r="1136" spans="4:5" ht="18" customHeight="1">
      <c r="D1136">
        <v>83075849</v>
      </c>
      <c r="E1136" t="s">
        <v>1054</v>
      </c>
    </row>
    <row r="1137" spans="4:8" ht="18" customHeight="1">
      <c r="D1137">
        <v>155000</v>
      </c>
      <c r="E1137" t="s">
        <v>234</v>
      </c>
    </row>
    <row r="1138" spans="4:8" ht="18" customHeight="1">
      <c r="D1138">
        <v>142271</v>
      </c>
      <c r="E1138" t="s">
        <v>1055</v>
      </c>
    </row>
    <row r="1139" spans="4:8" ht="18" customHeight="1">
      <c r="D1139">
        <v>241923</v>
      </c>
      <c r="E1139" t="s">
        <v>209</v>
      </c>
    </row>
    <row r="1140" spans="4:8" ht="18" customHeight="1">
      <c r="D1140">
        <v>83087497</v>
      </c>
      <c r="E1140" t="s">
        <v>414</v>
      </c>
    </row>
    <row r="1141" spans="4:8" ht="18" customHeight="1">
      <c r="D1141">
        <v>240739</v>
      </c>
      <c r="E1141" t="s">
        <v>1056</v>
      </c>
    </row>
    <row r="1142" spans="4:8" ht="18" customHeight="1">
      <c r="D1142">
        <v>152469</v>
      </c>
      <c r="E1142" t="s">
        <v>1057</v>
      </c>
    </row>
    <row r="1143" spans="4:8" ht="18" customHeight="1">
      <c r="D1143">
        <v>154176</v>
      </c>
      <c r="E1143" t="s">
        <v>396</v>
      </c>
    </row>
    <row r="1144" spans="4:8" ht="18" customHeight="1">
      <c r="D1144">
        <v>241915</v>
      </c>
      <c r="E1144" t="s">
        <v>127</v>
      </c>
      <c r="G1144">
        <v>241915</v>
      </c>
      <c r="H1144" t="s">
        <v>127</v>
      </c>
    </row>
    <row r="1145" spans="4:8" ht="18" customHeight="1">
      <c r="D1145">
        <v>134584</v>
      </c>
      <c r="E1145" t="s">
        <v>499</v>
      </c>
    </row>
    <row r="1146" spans="4:8" ht="18" customHeight="1">
      <c r="D1146">
        <v>173508</v>
      </c>
      <c r="E1146" t="s">
        <v>238</v>
      </c>
    </row>
    <row r="1147" spans="4:8" ht="18" customHeight="1">
      <c r="D1147">
        <v>200386</v>
      </c>
      <c r="E1147" t="s">
        <v>1058</v>
      </c>
    </row>
    <row r="1148" spans="4:8" ht="18" customHeight="1">
      <c r="D1148">
        <v>83116138</v>
      </c>
      <c r="E1148" t="s">
        <v>486</v>
      </c>
    </row>
    <row r="1149" spans="4:8" ht="18" customHeight="1">
      <c r="D1149">
        <v>140691</v>
      </c>
      <c r="E1149" t="s">
        <v>470</v>
      </c>
    </row>
    <row r="1150" spans="4:8" ht="18" customHeight="1">
      <c r="D1150">
        <v>141769</v>
      </c>
      <c r="E1150" t="s">
        <v>460</v>
      </c>
    </row>
    <row r="1151" spans="4:8" ht="18" customHeight="1">
      <c r="D1151">
        <v>83040048</v>
      </c>
      <c r="E1151" t="s">
        <v>395</v>
      </c>
    </row>
    <row r="1152" spans="4:8" ht="18" customHeight="1">
      <c r="D1152">
        <v>83122109</v>
      </c>
      <c r="E1152" t="s">
        <v>416</v>
      </c>
    </row>
    <row r="1153" spans="4:5" ht="18" customHeight="1">
      <c r="D1153">
        <v>240879</v>
      </c>
      <c r="E1153" t="s">
        <v>206</v>
      </c>
    </row>
    <row r="1154" spans="4:5" ht="18" customHeight="1">
      <c r="D1154">
        <v>152473</v>
      </c>
      <c r="E1154" t="s">
        <v>1059</v>
      </c>
    </row>
    <row r="1155" spans="4:5" ht="18" customHeight="1">
      <c r="D1155">
        <v>83117899</v>
      </c>
      <c r="E1155" t="s">
        <v>1060</v>
      </c>
    </row>
    <row r="1156" spans="4:5" ht="18" customHeight="1">
      <c r="D1156">
        <v>83123906</v>
      </c>
      <c r="E1156" t="s">
        <v>1061</v>
      </c>
    </row>
    <row r="1157" spans="4:5" ht="18" customHeight="1">
      <c r="D1157">
        <v>145556</v>
      </c>
      <c r="E1157" t="s">
        <v>259</v>
      </c>
    </row>
    <row r="1158" spans="4:5" ht="18" customHeight="1">
      <c r="D1158">
        <v>53041523</v>
      </c>
      <c r="E1158" t="s">
        <v>208</v>
      </c>
    </row>
    <row r="1159" spans="4:5" ht="18" customHeight="1">
      <c r="D1159">
        <v>173512</v>
      </c>
      <c r="E1159" t="s">
        <v>239</v>
      </c>
    </row>
    <row r="1160" spans="4:5" ht="18" customHeight="1">
      <c r="D1160">
        <v>83123689</v>
      </c>
      <c r="E1160" t="s">
        <v>588</v>
      </c>
    </row>
    <row r="1161" spans="4:5" ht="18" customHeight="1">
      <c r="D1161">
        <v>135046</v>
      </c>
      <c r="E1161" t="s">
        <v>1062</v>
      </c>
    </row>
    <row r="1162" spans="4:5" ht="18" customHeight="1">
      <c r="D1162">
        <v>83117969</v>
      </c>
      <c r="E1162" t="s">
        <v>366</v>
      </c>
    </row>
    <row r="1163" spans="4:5" ht="18" customHeight="1">
      <c r="D1163">
        <v>134551</v>
      </c>
      <c r="E1163" t="s">
        <v>421</v>
      </c>
    </row>
    <row r="1164" spans="4:5" ht="18" customHeight="1">
      <c r="D1164">
        <v>145526</v>
      </c>
      <c r="E1164" t="s">
        <v>1063</v>
      </c>
    </row>
    <row r="1165" spans="4:5" ht="18" customHeight="1">
      <c r="D1165">
        <v>131857</v>
      </c>
      <c r="E1165" t="s">
        <v>1064</v>
      </c>
    </row>
    <row r="1166" spans="4:5" ht="18" customHeight="1">
      <c r="D1166">
        <v>53041688</v>
      </c>
      <c r="E1166" t="s">
        <v>344</v>
      </c>
    </row>
    <row r="1167" spans="4:5" ht="18" customHeight="1">
      <c r="D1167">
        <v>83102209</v>
      </c>
      <c r="E1167" t="s">
        <v>1065</v>
      </c>
    </row>
    <row r="1168" spans="4:5" ht="18" customHeight="1">
      <c r="D1168">
        <v>53030972</v>
      </c>
      <c r="E1168" t="s">
        <v>332</v>
      </c>
    </row>
    <row r="1169" spans="4:5" ht="18" customHeight="1">
      <c r="D1169">
        <v>83123901</v>
      </c>
      <c r="E1169" t="s">
        <v>1066</v>
      </c>
    </row>
    <row r="1170" spans="4:5" ht="18" customHeight="1">
      <c r="D1170">
        <v>83123905</v>
      </c>
      <c r="E1170" t="s">
        <v>1067</v>
      </c>
    </row>
    <row r="1171" spans="4:5" ht="18" customHeight="1">
      <c r="D1171">
        <v>131844</v>
      </c>
      <c r="E1171" t="s">
        <v>1068</v>
      </c>
    </row>
    <row r="1172" spans="4:5" ht="18" customHeight="1">
      <c r="D1172">
        <v>83123903</v>
      </c>
      <c r="E1172" t="s">
        <v>1069</v>
      </c>
    </row>
    <row r="1173" spans="4:5" ht="18" customHeight="1">
      <c r="D1173">
        <v>145524</v>
      </c>
      <c r="E1173" t="s">
        <v>1070</v>
      </c>
    </row>
    <row r="1174" spans="4:5" ht="18" customHeight="1">
      <c r="D1174">
        <v>83040043</v>
      </c>
      <c r="E1174" t="s">
        <v>1071</v>
      </c>
    </row>
    <row r="1175" spans="4:5" ht="18" customHeight="1">
      <c r="D1175">
        <v>135028</v>
      </c>
      <c r="E1175" t="s">
        <v>1072</v>
      </c>
    </row>
    <row r="1176" spans="4:5" ht="18" customHeight="1">
      <c r="D1176">
        <v>145340</v>
      </c>
      <c r="E1176" t="s">
        <v>113</v>
      </c>
    </row>
    <row r="1177" spans="4:5" ht="18" customHeight="1">
      <c r="D1177">
        <v>135016</v>
      </c>
      <c r="E1177" t="s">
        <v>337</v>
      </c>
    </row>
    <row r="1178" spans="4:5" ht="18" customHeight="1">
      <c r="D1178">
        <v>53030976</v>
      </c>
      <c r="E1178" t="s">
        <v>258</v>
      </c>
    </row>
    <row r="1179" spans="4:5" ht="18" customHeight="1">
      <c r="D1179">
        <v>145550</v>
      </c>
      <c r="E1179" t="s">
        <v>245</v>
      </c>
    </row>
    <row r="1180" spans="4:5" ht="18" customHeight="1">
      <c r="D1180">
        <v>133429</v>
      </c>
      <c r="E1180" t="s">
        <v>286</v>
      </c>
    </row>
    <row r="1181" spans="4:5" ht="18" customHeight="1">
      <c r="D1181">
        <v>83040052</v>
      </c>
      <c r="E1181" t="s">
        <v>246</v>
      </c>
    </row>
    <row r="1182" spans="4:5" ht="18" customHeight="1">
      <c r="D1182">
        <v>83075489</v>
      </c>
      <c r="E1182" t="s">
        <v>244</v>
      </c>
    </row>
    <row r="1183" spans="4:5" ht="18" customHeight="1">
      <c r="D1183">
        <v>53030510</v>
      </c>
      <c r="E1183" t="s">
        <v>1073</v>
      </c>
    </row>
    <row r="1184" spans="4:5" ht="18" customHeight="1">
      <c r="D1184">
        <v>83075887</v>
      </c>
      <c r="E1184" t="s">
        <v>422</v>
      </c>
    </row>
    <row r="1185" spans="4:5" ht="18" customHeight="1">
      <c r="D1185">
        <v>84123771</v>
      </c>
      <c r="E1185" t="s">
        <v>794</v>
      </c>
    </row>
    <row r="1186" spans="4:5" ht="18" customHeight="1">
      <c r="D1186">
        <v>240740</v>
      </c>
      <c r="E1186" t="s">
        <v>1074</v>
      </c>
    </row>
    <row r="1187" spans="4:5" ht="18" customHeight="1">
      <c r="D1187">
        <v>83040044</v>
      </c>
      <c r="E1187" t="s">
        <v>348</v>
      </c>
    </row>
    <row r="1188" spans="4:5" ht="18" customHeight="1">
      <c r="D1188">
        <v>53031170</v>
      </c>
      <c r="E1188" t="s">
        <v>1075</v>
      </c>
    </row>
    <row r="1189" spans="4:5" ht="18" customHeight="1">
      <c r="D1189">
        <v>93123143</v>
      </c>
      <c r="E1189" t="s">
        <v>189</v>
      </c>
    </row>
  </sheetData>
  <autoFilter ref="D4:H625">
    <sortState ref="D4:H625">
      <sortCondition sortBy="cellColor" ref="D4" dxfId="113"/>
    </sortState>
  </autoFilter>
  <conditionalFormatting sqref="D51">
    <cfRule type="duplicateValues" dxfId="112" priority="27"/>
  </conditionalFormatting>
  <conditionalFormatting sqref="D66">
    <cfRule type="duplicateValues" dxfId="111" priority="26"/>
  </conditionalFormatting>
  <conditionalFormatting sqref="D68">
    <cfRule type="duplicateValues" dxfId="110" priority="25"/>
  </conditionalFormatting>
  <conditionalFormatting sqref="D71">
    <cfRule type="duplicateValues" dxfId="109" priority="24"/>
  </conditionalFormatting>
  <conditionalFormatting sqref="D75">
    <cfRule type="duplicateValues" dxfId="108" priority="23"/>
  </conditionalFormatting>
  <conditionalFormatting sqref="D77">
    <cfRule type="duplicateValues" dxfId="107" priority="22"/>
  </conditionalFormatting>
  <conditionalFormatting sqref="D78">
    <cfRule type="duplicateValues" dxfId="106" priority="21"/>
  </conditionalFormatting>
  <conditionalFormatting sqref="D79">
    <cfRule type="duplicateValues" dxfId="105" priority="20"/>
  </conditionalFormatting>
  <conditionalFormatting sqref="D82">
    <cfRule type="duplicateValues" dxfId="104" priority="19"/>
  </conditionalFormatting>
  <conditionalFormatting sqref="D83">
    <cfRule type="duplicateValues" dxfId="103" priority="18"/>
  </conditionalFormatting>
  <conditionalFormatting sqref="D84">
    <cfRule type="duplicateValues" dxfId="102" priority="17"/>
  </conditionalFormatting>
  <conditionalFormatting sqref="D89">
    <cfRule type="duplicateValues" dxfId="101" priority="16"/>
  </conditionalFormatting>
  <conditionalFormatting sqref="D94">
    <cfRule type="duplicateValues" dxfId="100" priority="15"/>
  </conditionalFormatting>
  <conditionalFormatting sqref="D97">
    <cfRule type="duplicateValues" dxfId="99" priority="14"/>
  </conditionalFormatting>
  <conditionalFormatting sqref="D98">
    <cfRule type="duplicateValues" dxfId="98" priority="13"/>
  </conditionalFormatting>
  <conditionalFormatting sqref="D99">
    <cfRule type="duplicateValues" dxfId="97" priority="12"/>
  </conditionalFormatting>
  <conditionalFormatting sqref="D101">
    <cfRule type="duplicateValues" dxfId="96" priority="11"/>
  </conditionalFormatting>
  <conditionalFormatting sqref="D114">
    <cfRule type="duplicateValues" dxfId="95" priority="10"/>
  </conditionalFormatting>
  <conditionalFormatting sqref="D115">
    <cfRule type="duplicateValues" dxfId="94" priority="9"/>
  </conditionalFormatting>
  <conditionalFormatting sqref="D116">
    <cfRule type="duplicateValues" dxfId="93" priority="8"/>
  </conditionalFormatting>
  <conditionalFormatting sqref="D117">
    <cfRule type="duplicateValues" dxfId="92" priority="7"/>
  </conditionalFormatting>
  <conditionalFormatting sqref="D124">
    <cfRule type="duplicateValues" dxfId="91" priority="6"/>
  </conditionalFormatting>
  <conditionalFormatting sqref="D126">
    <cfRule type="duplicateValues" dxfId="90" priority="5"/>
  </conditionalFormatting>
  <conditionalFormatting sqref="G1144">
    <cfRule type="duplicateValues" dxfId="89" priority="1"/>
    <cfRule type="duplicateValues" dxfId="88" priority="2"/>
  </conditionalFormatting>
  <conditionalFormatting sqref="D1:D1048576">
    <cfRule type="duplicateValues" dxfId="87" priority="3"/>
  </conditionalFormatting>
  <conditionalFormatting sqref="D629:D1189">
    <cfRule type="duplicateValues" dxfId="86" priority="4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6"/>
  <sheetViews>
    <sheetView workbookViewId="0">
      <selection activeCell="U11" sqref="U11"/>
    </sheetView>
  </sheetViews>
  <sheetFormatPr defaultRowHeight="15"/>
  <cols>
    <col min="1" max="1" width="56.85546875" customWidth="1"/>
    <col min="2" max="2" width="16.28515625" customWidth="1"/>
    <col min="3" max="3" width="4.7109375" customWidth="1"/>
    <col min="4" max="4" width="4.42578125" customWidth="1"/>
    <col min="5" max="6" width="4.7109375" customWidth="1"/>
    <col min="7" max="7" width="4.42578125" customWidth="1"/>
    <col min="8" max="8" width="4.28515625" customWidth="1"/>
    <col min="9" max="9" width="5" customWidth="1"/>
    <col min="10" max="10" width="4.5703125" customWidth="1"/>
    <col min="11" max="11" width="4.42578125" customWidth="1"/>
    <col min="12" max="12" width="5.28515625" customWidth="1"/>
    <col min="13" max="13" width="4.85546875" customWidth="1"/>
    <col min="14" max="14" width="5.140625" customWidth="1"/>
    <col min="15" max="15" width="5.28515625" customWidth="1"/>
    <col min="16" max="18" width="4.5703125" customWidth="1"/>
    <col min="19" max="19" width="5" customWidth="1"/>
    <col min="20" max="20" width="4.42578125" customWidth="1"/>
    <col min="21" max="21" width="11.28515625" customWidth="1"/>
    <col min="22" max="51" width="57.7109375" customWidth="1"/>
    <col min="52" max="52" width="57.7109375" bestFit="1" customWidth="1"/>
    <col min="53" max="85" width="57.7109375" customWidth="1"/>
    <col min="86" max="86" width="57.7109375" bestFit="1" customWidth="1"/>
    <col min="87" max="87" width="57.7109375" customWidth="1"/>
    <col min="88" max="88" width="57.7109375" bestFit="1" customWidth="1"/>
    <col min="89" max="89" width="57.7109375" customWidth="1"/>
    <col min="90" max="90" width="57.7109375" bestFit="1" customWidth="1"/>
    <col min="91" max="91" width="57.7109375" customWidth="1"/>
    <col min="92" max="92" width="57.7109375" bestFit="1" customWidth="1"/>
    <col min="93" max="95" width="57.7109375" customWidth="1"/>
    <col min="96" max="96" width="57.7109375" bestFit="1" customWidth="1"/>
    <col min="97" max="97" width="57.7109375" customWidth="1"/>
    <col min="98" max="98" width="57.7109375" bestFit="1" customWidth="1"/>
    <col min="99" max="99" width="57.7109375" customWidth="1"/>
    <col min="100" max="100" width="57.7109375" bestFit="1" customWidth="1"/>
    <col min="101" max="101" width="57.7109375" customWidth="1"/>
    <col min="102" max="102" width="57.7109375" bestFit="1" customWidth="1"/>
    <col min="103" max="103" width="57.7109375" customWidth="1"/>
    <col min="104" max="104" width="57.7109375" bestFit="1" customWidth="1"/>
    <col min="105" max="105" width="57.7109375" customWidth="1"/>
    <col min="106" max="106" width="57.7109375" bestFit="1" customWidth="1"/>
    <col min="107" max="107" width="57.7109375" customWidth="1"/>
    <col min="108" max="108" width="57.7109375" bestFit="1" customWidth="1"/>
    <col min="109" max="109" width="57.7109375" customWidth="1"/>
    <col min="110" max="110" width="57.7109375" bestFit="1" customWidth="1"/>
    <col min="111" max="111" width="57.7109375" customWidth="1"/>
    <col min="112" max="112" width="57.7109375" bestFit="1" customWidth="1"/>
    <col min="113" max="113" width="57.7109375" customWidth="1"/>
    <col min="114" max="114" width="57.7109375" bestFit="1" customWidth="1"/>
    <col min="115" max="115" width="57.7109375" customWidth="1"/>
    <col min="116" max="116" width="57.7109375" bestFit="1" customWidth="1"/>
    <col min="117" max="117" width="57.7109375" customWidth="1"/>
    <col min="118" max="118" width="57.7109375" bestFit="1" customWidth="1"/>
    <col min="119" max="119" width="57.7109375" customWidth="1"/>
    <col min="120" max="120" width="57.7109375" bestFit="1" customWidth="1"/>
    <col min="121" max="121" width="57.7109375" customWidth="1"/>
    <col min="122" max="122" width="57.7109375" bestFit="1" customWidth="1"/>
    <col min="123" max="123" width="57.7109375" customWidth="1"/>
    <col min="124" max="124" width="57.7109375" bestFit="1" customWidth="1"/>
    <col min="125" max="125" width="57.7109375" customWidth="1"/>
    <col min="126" max="126" width="57.7109375" bestFit="1" customWidth="1"/>
    <col min="127" max="127" width="57.7109375" customWidth="1"/>
    <col min="128" max="128" width="57.7109375" bestFit="1" customWidth="1"/>
    <col min="129" max="129" width="57.7109375" customWidth="1"/>
    <col min="130" max="130" width="57.7109375" bestFit="1" customWidth="1"/>
    <col min="131" max="131" width="57.7109375" customWidth="1"/>
    <col min="132" max="132" width="57.7109375" bestFit="1" customWidth="1"/>
    <col min="133" max="133" width="57.7109375" customWidth="1"/>
    <col min="134" max="134" width="57.7109375" bestFit="1" customWidth="1"/>
    <col min="135" max="135" width="57.7109375" customWidth="1"/>
    <col min="136" max="136" width="57.7109375" bestFit="1" customWidth="1"/>
    <col min="137" max="141" width="57.7109375" customWidth="1"/>
    <col min="142" max="142" width="57.7109375" bestFit="1" customWidth="1"/>
    <col min="143" max="143" width="57.7109375" customWidth="1"/>
    <col min="144" max="144" width="57.7109375" bestFit="1" customWidth="1"/>
    <col min="145" max="145" width="57.7109375" customWidth="1"/>
    <col min="146" max="146" width="57.7109375" bestFit="1" customWidth="1"/>
    <col min="147" max="147" width="57.7109375" customWidth="1"/>
    <col min="148" max="148" width="57.7109375" bestFit="1" customWidth="1"/>
    <col min="149" max="149" width="57.7109375" customWidth="1"/>
    <col min="150" max="150" width="57.7109375" bestFit="1" customWidth="1"/>
    <col min="151" max="151" width="57.7109375" customWidth="1"/>
    <col min="152" max="152" width="57.7109375" bestFit="1" customWidth="1"/>
    <col min="153" max="153" width="57.7109375" customWidth="1"/>
    <col min="154" max="154" width="57.7109375" bestFit="1" customWidth="1"/>
    <col min="155" max="155" width="57.7109375" customWidth="1"/>
    <col min="156" max="156" width="57.7109375" bestFit="1" customWidth="1"/>
    <col min="157" max="157" width="57.7109375" customWidth="1"/>
    <col min="158" max="158" width="57.7109375" bestFit="1" customWidth="1"/>
    <col min="159" max="159" width="57.7109375" customWidth="1"/>
    <col min="160" max="160" width="57.7109375" bestFit="1" customWidth="1"/>
    <col min="161" max="161" width="57.7109375" customWidth="1"/>
    <col min="162" max="162" width="57.7109375" bestFit="1" customWidth="1"/>
    <col min="163" max="163" width="57.7109375" customWidth="1"/>
    <col min="164" max="164" width="57.7109375" bestFit="1" customWidth="1"/>
    <col min="165" max="166" width="57.7109375" customWidth="1"/>
    <col min="167" max="167" width="50.42578125" customWidth="1"/>
    <col min="168" max="169" width="20.42578125" customWidth="1"/>
    <col min="170" max="170" width="14.140625" bestFit="1" customWidth="1"/>
    <col min="171" max="171" width="19" bestFit="1" customWidth="1"/>
    <col min="172" max="172" width="17.28515625" bestFit="1" customWidth="1"/>
    <col min="173" max="173" width="15" bestFit="1" customWidth="1"/>
    <col min="174" max="174" width="22.85546875" bestFit="1" customWidth="1"/>
    <col min="175" max="175" width="20.5703125" bestFit="1" customWidth="1"/>
    <col min="176" max="176" width="16.7109375" bestFit="1" customWidth="1"/>
    <col min="177" max="177" width="14.7109375" bestFit="1" customWidth="1"/>
    <col min="178" max="178" width="17.42578125" bestFit="1" customWidth="1"/>
    <col min="179" max="179" width="10.5703125" bestFit="1" customWidth="1"/>
    <col min="180" max="180" width="16.85546875" bestFit="1" customWidth="1"/>
    <col min="181" max="181" width="19.140625" bestFit="1" customWidth="1"/>
    <col min="182" max="182" width="16.5703125" bestFit="1" customWidth="1"/>
    <col min="183" max="183" width="28.5703125" bestFit="1" customWidth="1"/>
    <col min="184" max="184" width="15" bestFit="1" customWidth="1"/>
    <col min="185" max="185" width="23.5703125" bestFit="1" customWidth="1"/>
    <col min="186" max="186" width="19.140625" bestFit="1" customWidth="1"/>
    <col min="187" max="187" width="12.28515625" bestFit="1" customWidth="1"/>
    <col min="188" max="188" width="23" bestFit="1" customWidth="1"/>
    <col min="189" max="189" width="22" bestFit="1" customWidth="1"/>
    <col min="190" max="190" width="12.140625" bestFit="1" customWidth="1"/>
    <col min="191" max="191" width="22.42578125" bestFit="1" customWidth="1"/>
    <col min="192" max="192" width="12.7109375" bestFit="1" customWidth="1"/>
    <col min="193" max="193" width="14.7109375" bestFit="1" customWidth="1"/>
    <col min="194" max="194" width="13.28515625" bestFit="1" customWidth="1"/>
    <col min="195" max="195" width="18.85546875" bestFit="1" customWidth="1"/>
    <col min="196" max="196" width="12.140625" bestFit="1" customWidth="1"/>
    <col min="197" max="197" width="14.5703125" bestFit="1" customWidth="1"/>
    <col min="198" max="198" width="13.85546875" bestFit="1" customWidth="1"/>
    <col min="199" max="199" width="23.5703125" bestFit="1" customWidth="1"/>
    <col min="200" max="200" width="16.28515625" bestFit="1" customWidth="1"/>
    <col min="201" max="201" width="17" bestFit="1" customWidth="1"/>
    <col min="202" max="202" width="14.28515625" bestFit="1" customWidth="1"/>
    <col min="203" max="203" width="9.28515625" bestFit="1" customWidth="1"/>
    <col min="204" max="204" width="13.140625" bestFit="1" customWidth="1"/>
    <col min="205" max="205" width="20.5703125" bestFit="1" customWidth="1"/>
    <col min="206" max="206" width="22.7109375" bestFit="1" customWidth="1"/>
    <col min="207" max="207" width="13.42578125" bestFit="1" customWidth="1"/>
    <col min="208" max="208" width="7" bestFit="1" customWidth="1"/>
    <col min="209" max="209" width="19" bestFit="1" customWidth="1"/>
    <col min="210" max="210" width="19.140625" bestFit="1" customWidth="1"/>
    <col min="211" max="211" width="6.42578125" bestFit="1" customWidth="1"/>
    <col min="212" max="212" width="13.140625" bestFit="1" customWidth="1"/>
    <col min="213" max="213" width="16.140625" bestFit="1" customWidth="1"/>
    <col min="214" max="214" width="13.28515625" bestFit="1" customWidth="1"/>
    <col min="215" max="215" width="16.42578125" bestFit="1" customWidth="1"/>
    <col min="216" max="216" width="18.7109375" bestFit="1" customWidth="1"/>
    <col min="217" max="217" width="19.85546875" bestFit="1" customWidth="1"/>
    <col min="218" max="218" width="11.42578125" bestFit="1" customWidth="1"/>
    <col min="219" max="219" width="6.28515625" bestFit="1" customWidth="1"/>
    <col min="220" max="220" width="11.85546875" bestFit="1" customWidth="1"/>
    <col min="221" max="221" width="15.42578125" bestFit="1" customWidth="1"/>
    <col min="222" max="222" width="22.42578125" bestFit="1" customWidth="1"/>
    <col min="223" max="223" width="17.7109375" bestFit="1" customWidth="1"/>
    <col min="224" max="224" width="17.28515625" bestFit="1" customWidth="1"/>
    <col min="225" max="225" width="18.42578125" bestFit="1" customWidth="1"/>
    <col min="226" max="226" width="25.85546875" bestFit="1" customWidth="1"/>
    <col min="227" max="227" width="13.140625" bestFit="1" customWidth="1"/>
    <col min="228" max="228" width="28.5703125" bestFit="1" customWidth="1"/>
    <col min="229" max="229" width="11.7109375" bestFit="1" customWidth="1"/>
    <col min="230" max="230" width="21" bestFit="1" customWidth="1"/>
    <col min="231" max="231" width="15.7109375" bestFit="1" customWidth="1"/>
    <col min="232" max="232" width="18.7109375" bestFit="1" customWidth="1"/>
    <col min="233" max="233" width="19.42578125" bestFit="1" customWidth="1"/>
    <col min="234" max="234" width="16.85546875" bestFit="1" customWidth="1"/>
    <col min="235" max="235" width="27.5703125" bestFit="1" customWidth="1"/>
    <col min="236" max="236" width="8.42578125" bestFit="1" customWidth="1"/>
    <col min="237" max="237" width="11.28515625" bestFit="1" customWidth="1"/>
    <col min="238" max="238" width="7.140625" bestFit="1" customWidth="1"/>
    <col min="239" max="239" width="13.85546875" bestFit="1" customWidth="1"/>
    <col min="240" max="240" width="14.5703125" bestFit="1" customWidth="1"/>
    <col min="241" max="241" width="25.28515625" bestFit="1" customWidth="1"/>
    <col min="242" max="242" width="10.42578125" bestFit="1" customWidth="1"/>
    <col min="243" max="243" width="8" bestFit="1" customWidth="1"/>
    <col min="244" max="244" width="16" bestFit="1" customWidth="1"/>
    <col min="245" max="245" width="14.42578125" bestFit="1" customWidth="1"/>
    <col min="246" max="246" width="9" bestFit="1" customWidth="1"/>
    <col min="247" max="247" width="20.7109375" bestFit="1" customWidth="1"/>
    <col min="248" max="248" width="10.7109375" bestFit="1" customWidth="1"/>
    <col min="249" max="249" width="14.42578125" bestFit="1" customWidth="1"/>
    <col min="250" max="250" width="8.42578125" bestFit="1" customWidth="1"/>
    <col min="251" max="251" width="6.28515625" bestFit="1" customWidth="1"/>
    <col min="252" max="252" width="12" bestFit="1" customWidth="1"/>
    <col min="253" max="253" width="22.5703125" bestFit="1" customWidth="1"/>
    <col min="254" max="254" width="10.140625" bestFit="1" customWidth="1"/>
    <col min="255" max="255" width="15.5703125" bestFit="1" customWidth="1"/>
    <col min="256" max="256" width="23.28515625" bestFit="1" customWidth="1"/>
    <col min="257" max="257" width="19.140625" bestFit="1" customWidth="1"/>
    <col min="258" max="258" width="21.140625" bestFit="1" customWidth="1"/>
    <col min="259" max="259" width="16" bestFit="1" customWidth="1"/>
    <col min="260" max="260" width="16.5703125" bestFit="1" customWidth="1"/>
    <col min="261" max="261" width="14.28515625" bestFit="1" customWidth="1"/>
    <col min="262" max="262" width="39.5703125" bestFit="1" customWidth="1"/>
    <col min="263" max="263" width="13.85546875" bestFit="1" customWidth="1"/>
    <col min="264" max="264" width="9.85546875" bestFit="1" customWidth="1"/>
    <col min="265" max="265" width="16.140625" bestFit="1" customWidth="1"/>
    <col min="266" max="266" width="12.7109375" bestFit="1" customWidth="1"/>
    <col min="267" max="267" width="21.140625" bestFit="1" customWidth="1"/>
    <col min="268" max="268" width="16" bestFit="1" customWidth="1"/>
    <col min="269" max="269" width="15" bestFit="1" customWidth="1"/>
    <col min="270" max="270" width="14.7109375" bestFit="1" customWidth="1"/>
    <col min="271" max="271" width="19.28515625" bestFit="1" customWidth="1"/>
    <col min="272" max="272" width="14.85546875" bestFit="1" customWidth="1"/>
    <col min="273" max="273" width="19.7109375" bestFit="1" customWidth="1"/>
    <col min="274" max="274" width="21.140625" bestFit="1" customWidth="1"/>
    <col min="275" max="275" width="12.42578125" bestFit="1" customWidth="1"/>
    <col min="276" max="276" width="15" bestFit="1" customWidth="1"/>
    <col min="277" max="277" width="16.5703125" bestFit="1" customWidth="1"/>
    <col min="278" max="278" width="21.42578125" bestFit="1" customWidth="1"/>
    <col min="279" max="279" width="15.28515625" bestFit="1" customWidth="1"/>
    <col min="280" max="280" width="16" bestFit="1" customWidth="1"/>
    <col min="281" max="281" width="16.42578125" bestFit="1" customWidth="1"/>
    <col min="282" max="282" width="6.42578125" bestFit="1" customWidth="1"/>
    <col min="283" max="283" width="16.85546875" bestFit="1" customWidth="1"/>
    <col min="284" max="284" width="18" bestFit="1" customWidth="1"/>
    <col min="285" max="285" width="14.7109375" bestFit="1" customWidth="1"/>
    <col min="286" max="286" width="24.28515625" bestFit="1" customWidth="1"/>
    <col min="287" max="287" width="16" bestFit="1" customWidth="1"/>
    <col min="288" max="288" width="23" bestFit="1" customWidth="1"/>
    <col min="289" max="289" width="14.28515625" bestFit="1" customWidth="1"/>
    <col min="290" max="290" width="6.42578125" bestFit="1" customWidth="1"/>
    <col min="291" max="291" width="12.140625" bestFit="1" customWidth="1"/>
    <col min="292" max="292" width="16.85546875" bestFit="1" customWidth="1"/>
    <col min="293" max="293" width="6.42578125" bestFit="1" customWidth="1"/>
    <col min="294" max="294" width="16.85546875" bestFit="1" customWidth="1"/>
    <col min="295" max="295" width="15.140625" bestFit="1" customWidth="1"/>
    <col min="296" max="296" width="7.85546875" bestFit="1" customWidth="1"/>
    <col min="297" max="297" width="16.28515625" bestFit="1" customWidth="1"/>
    <col min="298" max="298" width="11.85546875" bestFit="1" customWidth="1"/>
    <col min="299" max="299" width="8.140625" bestFit="1" customWidth="1"/>
    <col min="300" max="300" width="10.140625" bestFit="1" customWidth="1"/>
    <col min="301" max="301" width="4.28515625" bestFit="1" customWidth="1"/>
    <col min="302" max="302" width="13.7109375" bestFit="1" customWidth="1"/>
    <col min="303" max="303" width="8.42578125" bestFit="1" customWidth="1"/>
    <col min="304" max="304" width="22.42578125" bestFit="1" customWidth="1"/>
    <col min="305" max="305" width="26.140625" bestFit="1" customWidth="1"/>
    <col min="306" max="306" width="16.140625" bestFit="1" customWidth="1"/>
    <col min="307" max="307" width="14.140625" bestFit="1" customWidth="1"/>
    <col min="308" max="308" width="11" bestFit="1" customWidth="1"/>
    <col min="309" max="309" width="19.5703125" bestFit="1" customWidth="1"/>
    <col min="310" max="310" width="26.85546875" bestFit="1" customWidth="1"/>
    <col min="311" max="311" width="18.42578125" bestFit="1" customWidth="1"/>
    <col min="312" max="312" width="18" bestFit="1" customWidth="1"/>
    <col min="313" max="313" width="29.85546875" bestFit="1" customWidth="1"/>
    <col min="314" max="314" width="27.85546875" bestFit="1" customWidth="1"/>
    <col min="315" max="315" width="19.7109375" bestFit="1" customWidth="1"/>
    <col min="316" max="316" width="10.28515625" bestFit="1" customWidth="1"/>
    <col min="317" max="317" width="7.7109375" bestFit="1" customWidth="1"/>
    <col min="318" max="318" width="23.7109375" bestFit="1" customWidth="1"/>
    <col min="319" max="319" width="15" bestFit="1" customWidth="1"/>
    <col min="320" max="320" width="11" bestFit="1" customWidth="1"/>
    <col min="321" max="321" width="8.85546875" bestFit="1" customWidth="1"/>
    <col min="322" max="322" width="20.5703125" bestFit="1" customWidth="1"/>
    <col min="323" max="323" width="8.85546875" bestFit="1" customWidth="1"/>
    <col min="324" max="324" width="7.42578125" bestFit="1" customWidth="1"/>
    <col min="325" max="325" width="23.5703125" bestFit="1" customWidth="1"/>
    <col min="326" max="326" width="16.5703125" bestFit="1" customWidth="1"/>
    <col min="327" max="327" width="11.85546875" bestFit="1" customWidth="1"/>
    <col min="328" max="328" width="18.28515625" bestFit="1" customWidth="1"/>
    <col min="329" max="329" width="20.5703125" bestFit="1" customWidth="1"/>
    <col min="330" max="330" width="20.140625" bestFit="1" customWidth="1"/>
    <col min="331" max="331" width="18.85546875" bestFit="1" customWidth="1"/>
    <col min="332" max="332" width="24.28515625" bestFit="1" customWidth="1"/>
    <col min="333" max="333" width="17.7109375" bestFit="1" customWidth="1"/>
    <col min="334" max="334" width="16.85546875" bestFit="1" customWidth="1"/>
    <col min="335" max="335" width="7.5703125" bestFit="1" customWidth="1"/>
    <col min="336" max="336" width="13.7109375" bestFit="1" customWidth="1"/>
    <col min="337" max="337" width="17.42578125" bestFit="1" customWidth="1"/>
    <col min="338" max="338" width="11.85546875" bestFit="1" customWidth="1"/>
    <col min="339" max="339" width="17.7109375" bestFit="1" customWidth="1"/>
    <col min="340" max="340" width="20.5703125" bestFit="1" customWidth="1"/>
    <col min="341" max="341" width="21.7109375" bestFit="1" customWidth="1"/>
    <col min="342" max="342" width="18.28515625" bestFit="1" customWidth="1"/>
    <col min="343" max="343" width="24" bestFit="1" customWidth="1"/>
    <col min="344" max="344" width="27.7109375" bestFit="1" customWidth="1"/>
    <col min="345" max="345" width="19.140625" bestFit="1" customWidth="1"/>
    <col min="346" max="346" width="28.42578125" bestFit="1" customWidth="1"/>
    <col min="347" max="347" width="32.42578125" bestFit="1" customWidth="1"/>
    <col min="348" max="348" width="11.5703125" bestFit="1" customWidth="1"/>
    <col min="349" max="349" width="17.42578125" bestFit="1" customWidth="1"/>
    <col min="350" max="350" width="27.140625" bestFit="1" customWidth="1"/>
    <col min="351" max="351" width="9" bestFit="1" customWidth="1"/>
    <col min="352" max="352" width="9.85546875" bestFit="1" customWidth="1"/>
    <col min="353" max="353" width="12.7109375" bestFit="1" customWidth="1"/>
    <col min="354" max="354" width="11.140625" bestFit="1" customWidth="1"/>
    <col min="355" max="355" width="16.140625" bestFit="1" customWidth="1"/>
    <col min="356" max="356" width="19.5703125" bestFit="1" customWidth="1"/>
    <col min="357" max="357" width="8.28515625" bestFit="1" customWidth="1"/>
    <col min="358" max="358" width="9" bestFit="1" customWidth="1"/>
    <col min="359" max="359" width="17.42578125" bestFit="1" customWidth="1"/>
    <col min="360" max="360" width="8.42578125" bestFit="1" customWidth="1"/>
    <col min="361" max="361" width="10.42578125" bestFit="1" customWidth="1"/>
    <col min="362" max="362" width="21.5703125" bestFit="1" customWidth="1"/>
    <col min="363" max="363" width="25.7109375" bestFit="1" customWidth="1"/>
    <col min="364" max="364" width="22.7109375" bestFit="1" customWidth="1"/>
    <col min="365" max="365" width="33.85546875" bestFit="1" customWidth="1"/>
    <col min="366" max="366" width="18.28515625" bestFit="1" customWidth="1"/>
    <col min="367" max="367" width="18.85546875" bestFit="1" customWidth="1"/>
    <col min="368" max="368" width="16.7109375" bestFit="1" customWidth="1"/>
    <col min="369" max="369" width="12.7109375" bestFit="1" customWidth="1"/>
    <col min="370" max="370" width="14.7109375" bestFit="1" customWidth="1"/>
    <col min="371" max="371" width="17" bestFit="1" customWidth="1"/>
    <col min="372" max="372" width="20" bestFit="1" customWidth="1"/>
    <col min="373" max="373" width="6.85546875" bestFit="1" customWidth="1"/>
    <col min="374" max="374" width="17.5703125" bestFit="1" customWidth="1"/>
    <col min="375" max="375" width="17.85546875" bestFit="1" customWidth="1"/>
    <col min="376" max="376" width="22.85546875" bestFit="1" customWidth="1"/>
    <col min="377" max="377" width="25.140625" bestFit="1" customWidth="1"/>
    <col min="378" max="378" width="27.85546875" bestFit="1" customWidth="1"/>
    <col min="379" max="379" width="23.28515625" bestFit="1" customWidth="1"/>
    <col min="380" max="380" width="28" bestFit="1" customWidth="1"/>
    <col min="381" max="381" width="27.7109375" bestFit="1" customWidth="1"/>
    <col min="382" max="382" width="30.42578125" bestFit="1" customWidth="1"/>
    <col min="383" max="383" width="12.28515625" bestFit="1" customWidth="1"/>
    <col min="384" max="384" width="18.42578125" bestFit="1" customWidth="1"/>
    <col min="385" max="385" width="13.28515625" bestFit="1" customWidth="1"/>
    <col min="386" max="386" width="23.28515625" bestFit="1" customWidth="1"/>
    <col min="387" max="387" width="26.5703125" bestFit="1" customWidth="1"/>
    <col min="388" max="388" width="25.85546875" bestFit="1" customWidth="1"/>
    <col min="389" max="389" width="26.42578125" bestFit="1" customWidth="1"/>
    <col min="390" max="390" width="31.140625" bestFit="1" customWidth="1"/>
    <col min="391" max="391" width="27.140625" bestFit="1" customWidth="1"/>
    <col min="392" max="392" width="21.140625" bestFit="1" customWidth="1"/>
    <col min="393" max="393" width="15.140625" bestFit="1" customWidth="1"/>
    <col min="394" max="394" width="10.42578125" bestFit="1" customWidth="1"/>
    <col min="395" max="395" width="20.140625" bestFit="1" customWidth="1"/>
    <col min="396" max="396" width="12" bestFit="1" customWidth="1"/>
    <col min="397" max="397" width="14.28515625" bestFit="1" customWidth="1"/>
    <col min="398" max="398" width="20.85546875" bestFit="1" customWidth="1"/>
    <col min="399" max="399" width="16.5703125" bestFit="1" customWidth="1"/>
    <col min="400" max="400" width="18.85546875" bestFit="1" customWidth="1"/>
    <col min="401" max="401" width="21.5703125" bestFit="1" customWidth="1"/>
    <col min="402" max="402" width="19.28515625" bestFit="1" customWidth="1"/>
    <col min="403" max="403" width="20.140625" bestFit="1" customWidth="1"/>
    <col min="404" max="404" width="25" bestFit="1" customWidth="1"/>
    <col min="405" max="405" width="18" bestFit="1" customWidth="1"/>
    <col min="406" max="406" width="21.140625" bestFit="1" customWidth="1"/>
    <col min="407" max="407" width="32.28515625" bestFit="1" customWidth="1"/>
    <col min="408" max="408" width="19.28515625" bestFit="1" customWidth="1"/>
    <col min="409" max="409" width="20.42578125" bestFit="1" customWidth="1"/>
    <col min="410" max="410" width="26.85546875" bestFit="1" customWidth="1"/>
    <col min="411" max="411" width="35.5703125" bestFit="1" customWidth="1"/>
    <col min="412" max="412" width="17.42578125" bestFit="1" customWidth="1"/>
    <col min="413" max="413" width="17.28515625" bestFit="1" customWidth="1"/>
    <col min="414" max="414" width="18.42578125" bestFit="1" customWidth="1"/>
    <col min="415" max="415" width="13.28515625" bestFit="1" customWidth="1"/>
    <col min="416" max="416" width="29.28515625" bestFit="1" customWidth="1"/>
    <col min="417" max="417" width="27.140625" bestFit="1" customWidth="1"/>
    <col min="418" max="418" width="28" bestFit="1" customWidth="1"/>
    <col min="419" max="419" width="19.42578125" bestFit="1" customWidth="1"/>
    <col min="420" max="420" width="18.85546875" bestFit="1" customWidth="1"/>
    <col min="421" max="421" width="32.140625" bestFit="1" customWidth="1"/>
    <col min="422" max="422" width="31.85546875" bestFit="1" customWidth="1"/>
    <col min="423" max="423" width="27.140625" bestFit="1" customWidth="1"/>
    <col min="424" max="424" width="30.28515625" bestFit="1" customWidth="1"/>
    <col min="425" max="425" width="26.42578125" bestFit="1" customWidth="1"/>
    <col min="426" max="426" width="21.7109375" bestFit="1" customWidth="1"/>
    <col min="427" max="427" width="18.7109375" bestFit="1" customWidth="1"/>
    <col min="428" max="428" width="32.7109375" bestFit="1" customWidth="1"/>
    <col min="429" max="429" width="20.85546875" bestFit="1" customWidth="1"/>
    <col min="430" max="430" width="28.42578125" bestFit="1" customWidth="1"/>
    <col min="431" max="431" width="28.140625" bestFit="1" customWidth="1"/>
    <col min="432" max="432" width="19.140625" bestFit="1" customWidth="1"/>
    <col min="433" max="433" width="9.42578125" bestFit="1" customWidth="1"/>
    <col min="434" max="434" width="29.28515625" bestFit="1" customWidth="1"/>
    <col min="435" max="435" width="23.42578125" bestFit="1" customWidth="1"/>
    <col min="436" max="436" width="22.85546875" bestFit="1" customWidth="1"/>
    <col min="437" max="437" width="21.5703125" bestFit="1" customWidth="1"/>
    <col min="438" max="438" width="17" bestFit="1" customWidth="1"/>
    <col min="439" max="439" width="15.7109375" bestFit="1" customWidth="1"/>
    <col min="440" max="440" width="8.85546875" bestFit="1" customWidth="1"/>
    <col min="441" max="441" width="22.7109375" bestFit="1" customWidth="1"/>
    <col min="442" max="442" width="11" bestFit="1" customWidth="1"/>
    <col min="443" max="443" width="9.140625" bestFit="1" customWidth="1"/>
    <col min="444" max="444" width="16.7109375" bestFit="1" customWidth="1"/>
    <col min="445" max="445" width="9.85546875" bestFit="1" customWidth="1"/>
    <col min="446" max="446" width="16.42578125" bestFit="1" customWidth="1"/>
    <col min="447" max="447" width="22.140625" bestFit="1" customWidth="1"/>
    <col min="448" max="448" width="11" bestFit="1" customWidth="1"/>
    <col min="449" max="449" width="15.85546875" bestFit="1" customWidth="1"/>
    <col min="450" max="450" width="20.85546875" bestFit="1" customWidth="1"/>
    <col min="451" max="451" width="7.7109375" bestFit="1" customWidth="1"/>
    <col min="452" max="452" width="7.85546875" bestFit="1" customWidth="1"/>
    <col min="453" max="453" width="8.140625" bestFit="1" customWidth="1"/>
    <col min="454" max="454" width="10.5703125" bestFit="1" customWidth="1"/>
    <col min="455" max="455" width="8.140625" bestFit="1" customWidth="1"/>
    <col min="456" max="456" width="9.5703125" bestFit="1" customWidth="1"/>
    <col min="457" max="457" width="7.42578125" bestFit="1" customWidth="1"/>
    <col min="458" max="458" width="15.7109375" bestFit="1" customWidth="1"/>
    <col min="459" max="459" width="13.5703125" bestFit="1" customWidth="1"/>
    <col min="460" max="460" width="16.28515625" bestFit="1" customWidth="1"/>
    <col min="461" max="461" width="13.42578125" bestFit="1" customWidth="1"/>
    <col min="462" max="462" width="17.7109375" bestFit="1" customWidth="1"/>
    <col min="463" max="463" width="18.7109375" bestFit="1" customWidth="1"/>
    <col min="464" max="464" width="8.28515625" bestFit="1" customWidth="1"/>
    <col min="465" max="465" width="9.42578125" bestFit="1" customWidth="1"/>
    <col min="466" max="466" width="10" bestFit="1" customWidth="1"/>
    <col min="467" max="467" width="8" bestFit="1" customWidth="1"/>
    <col min="468" max="468" width="14.28515625" bestFit="1" customWidth="1"/>
    <col min="469" max="469" width="5.7109375" bestFit="1" customWidth="1"/>
    <col min="470" max="470" width="21.140625" bestFit="1" customWidth="1"/>
    <col min="471" max="471" width="12.85546875" bestFit="1" customWidth="1"/>
    <col min="472" max="472" width="14.140625" bestFit="1" customWidth="1"/>
    <col min="473" max="473" width="15.7109375" bestFit="1" customWidth="1"/>
    <col min="474" max="474" width="8.140625" bestFit="1" customWidth="1"/>
    <col min="475" max="475" width="18.7109375" bestFit="1" customWidth="1"/>
    <col min="476" max="476" width="29.85546875" bestFit="1" customWidth="1"/>
    <col min="477" max="477" width="12.140625" bestFit="1" customWidth="1"/>
    <col min="478" max="478" width="14" bestFit="1" customWidth="1"/>
    <col min="479" max="479" width="25.5703125" bestFit="1" customWidth="1"/>
    <col min="480" max="480" width="12" bestFit="1" customWidth="1"/>
    <col min="481" max="481" width="20.42578125" bestFit="1" customWidth="1"/>
    <col min="482" max="482" width="10.28515625" bestFit="1" customWidth="1"/>
    <col min="483" max="483" width="28.85546875" bestFit="1" customWidth="1"/>
    <col min="484" max="484" width="15.140625" bestFit="1" customWidth="1"/>
    <col min="485" max="485" width="9.140625" bestFit="1" customWidth="1"/>
    <col min="486" max="486" width="23.140625" bestFit="1" customWidth="1"/>
    <col min="487" max="487" width="12.42578125" bestFit="1" customWidth="1"/>
    <col min="488" max="488" width="8.85546875" bestFit="1" customWidth="1"/>
    <col min="489" max="489" width="22.42578125" bestFit="1" customWidth="1"/>
    <col min="490" max="490" width="17.42578125" bestFit="1" customWidth="1"/>
    <col min="491" max="491" width="28.85546875" bestFit="1" customWidth="1"/>
    <col min="492" max="492" width="14.28515625" bestFit="1" customWidth="1"/>
    <col min="493" max="493" width="18.5703125" bestFit="1" customWidth="1"/>
    <col min="494" max="494" width="14.5703125" bestFit="1" customWidth="1"/>
    <col min="495" max="495" width="16.140625" bestFit="1" customWidth="1"/>
    <col min="496" max="496" width="9.7109375" bestFit="1" customWidth="1"/>
    <col min="497" max="497" width="14.85546875" bestFit="1" customWidth="1"/>
    <col min="498" max="498" width="22" bestFit="1" customWidth="1"/>
    <col min="499" max="499" width="17.7109375" bestFit="1" customWidth="1"/>
    <col min="500" max="500" width="8.7109375" bestFit="1" customWidth="1"/>
    <col min="501" max="501" width="4.42578125" bestFit="1" customWidth="1"/>
    <col min="502" max="502" width="6.28515625" bestFit="1" customWidth="1"/>
    <col min="503" max="503" width="15" bestFit="1" customWidth="1"/>
    <col min="504" max="504" width="24" bestFit="1" customWidth="1"/>
    <col min="505" max="505" width="20.5703125" bestFit="1" customWidth="1"/>
    <col min="506" max="506" width="6" bestFit="1" customWidth="1"/>
    <col min="507" max="507" width="26.28515625" bestFit="1" customWidth="1"/>
    <col min="508" max="508" width="16.42578125" bestFit="1" customWidth="1"/>
    <col min="509" max="509" width="10.140625" bestFit="1" customWidth="1"/>
    <col min="510" max="510" width="5.28515625" bestFit="1" customWidth="1"/>
    <col min="511" max="511" width="18.7109375" bestFit="1" customWidth="1"/>
    <col min="512" max="512" width="18.5703125" bestFit="1" customWidth="1"/>
    <col min="513" max="513" width="7" bestFit="1" customWidth="1"/>
    <col min="514" max="514" width="11.85546875" bestFit="1" customWidth="1"/>
    <col min="515" max="515" width="8.85546875" bestFit="1" customWidth="1"/>
    <col min="516" max="516" width="6.85546875" bestFit="1" customWidth="1"/>
    <col min="517" max="517" width="30.28515625" bestFit="1" customWidth="1"/>
    <col min="518" max="518" width="10" bestFit="1" customWidth="1"/>
    <col min="519" max="519" width="9.7109375" bestFit="1" customWidth="1"/>
    <col min="520" max="520" width="15" bestFit="1" customWidth="1"/>
    <col min="521" max="521" width="18.7109375" bestFit="1" customWidth="1"/>
    <col min="522" max="522" width="14.7109375" bestFit="1" customWidth="1"/>
    <col min="523" max="523" width="10.140625" bestFit="1" customWidth="1"/>
    <col min="524" max="524" width="19" bestFit="1" customWidth="1"/>
    <col min="525" max="525" width="7.7109375" bestFit="1" customWidth="1"/>
    <col min="526" max="526" width="7.42578125" bestFit="1" customWidth="1"/>
    <col min="527" max="527" width="18" bestFit="1" customWidth="1"/>
    <col min="528" max="528" width="13.140625" bestFit="1" customWidth="1"/>
    <col min="529" max="529" width="15.42578125" bestFit="1" customWidth="1"/>
    <col min="530" max="530" width="26.5703125" bestFit="1" customWidth="1"/>
    <col min="531" max="531" width="20.42578125" bestFit="1" customWidth="1"/>
    <col min="532" max="532" width="8.7109375" bestFit="1" customWidth="1"/>
    <col min="533" max="533" width="17.28515625" bestFit="1" customWidth="1"/>
    <col min="534" max="534" width="24.5703125" bestFit="1" customWidth="1"/>
    <col min="535" max="535" width="16.28515625" bestFit="1" customWidth="1"/>
    <col min="536" max="536" width="24.28515625" bestFit="1" customWidth="1"/>
    <col min="537" max="537" width="10" bestFit="1" customWidth="1"/>
    <col min="538" max="538" width="23.42578125" bestFit="1" customWidth="1"/>
    <col min="539" max="539" width="18.85546875" bestFit="1" customWidth="1"/>
    <col min="540" max="540" width="28.5703125" bestFit="1" customWidth="1"/>
    <col min="541" max="541" width="10" bestFit="1" customWidth="1"/>
    <col min="542" max="542" width="19.42578125" bestFit="1" customWidth="1"/>
    <col min="543" max="543" width="23.85546875" bestFit="1" customWidth="1"/>
    <col min="544" max="544" width="14.7109375" bestFit="1" customWidth="1"/>
    <col min="545" max="545" width="13.7109375" bestFit="1" customWidth="1"/>
    <col min="546" max="546" width="26.7109375" bestFit="1" customWidth="1"/>
    <col min="547" max="547" width="8.28515625" bestFit="1" customWidth="1"/>
    <col min="548" max="548" width="14.5703125" bestFit="1" customWidth="1"/>
    <col min="549" max="549" width="8.140625" bestFit="1" customWidth="1"/>
    <col min="550" max="550" width="27.42578125" bestFit="1" customWidth="1"/>
    <col min="551" max="551" width="12.7109375" bestFit="1" customWidth="1"/>
    <col min="552" max="552" width="19.42578125" bestFit="1" customWidth="1"/>
    <col min="553" max="553" width="7.7109375" bestFit="1" customWidth="1"/>
    <col min="554" max="554" width="11.7109375" bestFit="1" customWidth="1"/>
    <col min="555" max="555" width="11" bestFit="1" customWidth="1"/>
    <col min="556" max="556" width="18.85546875" bestFit="1" customWidth="1"/>
    <col min="557" max="557" width="9.42578125" bestFit="1" customWidth="1"/>
    <col min="558" max="558" width="16.140625" bestFit="1" customWidth="1"/>
    <col min="559" max="559" width="18.42578125" bestFit="1" customWidth="1"/>
    <col min="560" max="560" width="9.28515625" bestFit="1" customWidth="1"/>
    <col min="561" max="561" width="10.85546875" bestFit="1" customWidth="1"/>
    <col min="562" max="562" width="7.7109375" bestFit="1" customWidth="1"/>
    <col min="563" max="563" width="22.28515625" bestFit="1" customWidth="1"/>
    <col min="564" max="564" width="7.140625" bestFit="1" customWidth="1"/>
    <col min="565" max="565" width="9.140625" bestFit="1" customWidth="1"/>
    <col min="566" max="566" width="10.42578125" bestFit="1" customWidth="1"/>
    <col min="567" max="567" width="18" bestFit="1" customWidth="1"/>
    <col min="568" max="568" width="19.85546875" bestFit="1" customWidth="1"/>
    <col min="569" max="569" width="10.5703125" bestFit="1" customWidth="1"/>
    <col min="570" max="570" width="9.42578125" bestFit="1" customWidth="1"/>
    <col min="571" max="571" width="12.42578125" bestFit="1" customWidth="1"/>
    <col min="572" max="572" width="11.7109375" bestFit="1" customWidth="1"/>
    <col min="573" max="573" width="8.5703125" bestFit="1" customWidth="1"/>
    <col min="574" max="574" width="8.85546875" bestFit="1" customWidth="1"/>
    <col min="575" max="575" width="11" bestFit="1" customWidth="1"/>
    <col min="576" max="576" width="25.7109375" bestFit="1" customWidth="1"/>
    <col min="577" max="577" width="11.7109375" bestFit="1" customWidth="1"/>
    <col min="578" max="578" width="9.85546875" bestFit="1" customWidth="1"/>
    <col min="579" max="579" width="10.42578125" bestFit="1" customWidth="1"/>
    <col min="580" max="580" width="26.140625" bestFit="1" customWidth="1"/>
    <col min="581" max="581" width="17.28515625" bestFit="1" customWidth="1"/>
    <col min="582" max="582" width="11.42578125" bestFit="1" customWidth="1"/>
    <col min="583" max="583" width="11.28515625" bestFit="1" customWidth="1"/>
    <col min="584" max="584" width="22" bestFit="1" customWidth="1"/>
    <col min="585" max="585" width="10.28515625" bestFit="1" customWidth="1"/>
    <col min="586" max="586" width="15.5703125" bestFit="1" customWidth="1"/>
    <col min="587" max="587" width="18.42578125" bestFit="1" customWidth="1"/>
    <col min="588" max="588" width="16" bestFit="1" customWidth="1"/>
    <col min="589" max="589" width="13.42578125" bestFit="1" customWidth="1"/>
    <col min="590" max="590" width="15.42578125" bestFit="1" customWidth="1"/>
    <col min="591" max="591" width="15.5703125" bestFit="1" customWidth="1"/>
    <col min="592" max="592" width="31.28515625" bestFit="1" customWidth="1"/>
    <col min="593" max="593" width="16.28515625" bestFit="1" customWidth="1"/>
    <col min="594" max="594" width="15.85546875" bestFit="1" customWidth="1"/>
    <col min="595" max="595" width="20.42578125" bestFit="1" customWidth="1"/>
    <col min="596" max="596" width="22.140625" bestFit="1" customWidth="1"/>
    <col min="597" max="597" width="15.42578125" bestFit="1" customWidth="1"/>
    <col min="598" max="598" width="12" bestFit="1" customWidth="1"/>
    <col min="599" max="599" width="21.42578125" bestFit="1" customWidth="1"/>
    <col min="600" max="600" width="18.28515625" bestFit="1" customWidth="1"/>
    <col min="601" max="601" width="15.5703125" bestFit="1" customWidth="1"/>
    <col min="602" max="602" width="12.140625" bestFit="1" customWidth="1"/>
    <col min="603" max="603" width="30.85546875" bestFit="1" customWidth="1"/>
    <col min="604" max="604" width="13.140625" bestFit="1" customWidth="1"/>
    <col min="605" max="605" width="10.7109375" bestFit="1" customWidth="1"/>
    <col min="606" max="606" width="14" bestFit="1" customWidth="1"/>
    <col min="607" max="607" width="8.42578125" bestFit="1" customWidth="1"/>
    <col min="608" max="608" width="26.28515625" bestFit="1" customWidth="1"/>
    <col min="609" max="609" width="12.5703125" bestFit="1" customWidth="1"/>
    <col min="610" max="610" width="13.140625" bestFit="1" customWidth="1"/>
    <col min="611" max="611" width="22.28515625" bestFit="1" customWidth="1"/>
    <col min="612" max="612" width="14.140625" bestFit="1" customWidth="1"/>
    <col min="613" max="613" width="18.5703125" bestFit="1" customWidth="1"/>
    <col min="614" max="614" width="10.140625" bestFit="1" customWidth="1"/>
    <col min="615" max="615" width="8.28515625" bestFit="1" customWidth="1"/>
    <col min="616" max="616" width="10.85546875" bestFit="1" customWidth="1"/>
    <col min="617" max="617" width="18.7109375" bestFit="1" customWidth="1"/>
    <col min="618" max="618" width="28.5703125" bestFit="1" customWidth="1"/>
    <col min="619" max="619" width="18" bestFit="1" customWidth="1"/>
    <col min="620" max="620" width="19.5703125" bestFit="1" customWidth="1"/>
    <col min="621" max="621" width="17.28515625" bestFit="1" customWidth="1"/>
    <col min="622" max="622" width="16.7109375" bestFit="1" customWidth="1"/>
    <col min="623" max="623" width="19.28515625" bestFit="1" customWidth="1"/>
    <col min="624" max="624" width="17.7109375" bestFit="1" customWidth="1"/>
    <col min="625" max="625" width="15.140625" bestFit="1" customWidth="1"/>
    <col min="626" max="626" width="20.42578125" bestFit="1" customWidth="1"/>
    <col min="627" max="627" width="14.5703125" bestFit="1" customWidth="1"/>
    <col min="628" max="628" width="20.42578125" bestFit="1" customWidth="1"/>
    <col min="629" max="629" width="21" bestFit="1" customWidth="1"/>
    <col min="630" max="630" width="18.140625" bestFit="1" customWidth="1"/>
    <col min="631" max="631" width="16.42578125" bestFit="1" customWidth="1"/>
    <col min="632" max="632" width="19" bestFit="1" customWidth="1"/>
    <col min="633" max="633" width="12.28515625" bestFit="1" customWidth="1"/>
    <col min="634" max="634" width="21.42578125" bestFit="1" customWidth="1"/>
    <col min="635" max="635" width="29.85546875" bestFit="1" customWidth="1"/>
    <col min="636" max="636" width="12.140625" bestFit="1" customWidth="1"/>
    <col min="637" max="637" width="21" bestFit="1" customWidth="1"/>
    <col min="638" max="638" width="10.28515625" bestFit="1" customWidth="1"/>
    <col min="639" max="639" width="11.28515625" bestFit="1" customWidth="1"/>
  </cols>
  <sheetData>
    <row r="1" spans="1:21">
      <c r="A1" s="390" t="s">
        <v>0</v>
      </c>
      <c r="B1" s="390" t="s">
        <v>5319</v>
      </c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</row>
    <row r="2" spans="1:21">
      <c r="A2" s="390" t="s">
        <v>5320</v>
      </c>
      <c r="B2" s="391" t="s">
        <v>1</v>
      </c>
      <c r="C2" s="391" t="s">
        <v>2</v>
      </c>
      <c r="D2" s="391" t="s">
        <v>3</v>
      </c>
      <c r="E2" s="391" t="s">
        <v>4</v>
      </c>
      <c r="F2" s="391" t="s">
        <v>5</v>
      </c>
      <c r="G2" s="391" t="s">
        <v>6</v>
      </c>
      <c r="H2" s="391" t="s">
        <v>7</v>
      </c>
      <c r="I2" s="391" t="s">
        <v>8</v>
      </c>
      <c r="J2" s="391" t="s">
        <v>9</v>
      </c>
      <c r="K2" s="391" t="s">
        <v>11</v>
      </c>
      <c r="L2" s="391" t="s">
        <v>12</v>
      </c>
      <c r="M2" s="391" t="s">
        <v>18</v>
      </c>
      <c r="N2" s="391" t="s">
        <v>19</v>
      </c>
      <c r="O2" s="391" t="s">
        <v>13</v>
      </c>
      <c r="P2" s="391" t="s">
        <v>14</v>
      </c>
      <c r="Q2" s="391" t="s">
        <v>15</v>
      </c>
      <c r="R2" s="391" t="s">
        <v>16</v>
      </c>
      <c r="S2" s="391" t="s">
        <v>17</v>
      </c>
      <c r="T2" s="391" t="s">
        <v>1440</v>
      </c>
      <c r="U2" s="391" t="s">
        <v>5321</v>
      </c>
    </row>
    <row r="3" spans="1:21">
      <c r="A3" s="391" t="s">
        <v>20</v>
      </c>
      <c r="B3" s="392"/>
      <c r="C3" s="392"/>
      <c r="D3" s="392"/>
      <c r="E3" s="392"/>
      <c r="F3" s="392">
        <v>14</v>
      </c>
      <c r="G3" s="392"/>
      <c r="H3" s="392">
        <v>2</v>
      </c>
      <c r="I3" s="392"/>
      <c r="J3" s="392"/>
      <c r="K3" s="392"/>
      <c r="L3" s="392"/>
      <c r="M3" s="392"/>
      <c r="N3" s="392"/>
      <c r="O3" s="392"/>
      <c r="P3" s="392"/>
      <c r="Q3" s="392"/>
      <c r="R3" s="392">
        <v>3</v>
      </c>
      <c r="S3" s="392"/>
      <c r="T3" s="392"/>
      <c r="U3" s="392">
        <v>19</v>
      </c>
    </row>
    <row r="4" spans="1:21">
      <c r="A4" s="391" t="s">
        <v>21</v>
      </c>
      <c r="B4" s="392"/>
      <c r="C4" s="392"/>
      <c r="D4" s="392"/>
      <c r="E4" s="392"/>
      <c r="F4" s="392">
        <v>1</v>
      </c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>
        <v>1</v>
      </c>
    </row>
    <row r="5" spans="1:21">
      <c r="A5" s="391" t="s">
        <v>22</v>
      </c>
      <c r="B5" s="392"/>
      <c r="C5" s="392"/>
      <c r="D5" s="392"/>
      <c r="E5" s="392"/>
      <c r="F5" s="392">
        <v>1</v>
      </c>
      <c r="G5" s="392"/>
      <c r="H5" s="392"/>
      <c r="I5" s="392"/>
      <c r="J5" s="392"/>
      <c r="K5" s="392"/>
      <c r="L5" s="392"/>
      <c r="M5" s="392"/>
      <c r="N5" s="392"/>
      <c r="O5" s="392"/>
      <c r="P5" s="392"/>
      <c r="Q5" s="392"/>
      <c r="R5" s="392"/>
      <c r="S5" s="392"/>
      <c r="T5" s="392"/>
      <c r="U5" s="392">
        <v>1</v>
      </c>
    </row>
    <row r="6" spans="1:21">
      <c r="A6" s="391" t="s">
        <v>23</v>
      </c>
      <c r="B6" s="392"/>
      <c r="C6" s="392"/>
      <c r="D6" s="392"/>
      <c r="E6" s="392"/>
      <c r="F6" s="392">
        <v>1</v>
      </c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>
        <v>1</v>
      </c>
    </row>
    <row r="7" spans="1:21">
      <c r="A7" s="391" t="s">
        <v>24</v>
      </c>
      <c r="B7" s="392"/>
      <c r="C7" s="392"/>
      <c r="D7" s="392"/>
      <c r="E7" s="392"/>
      <c r="F7" s="392">
        <v>1</v>
      </c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>
        <v>1</v>
      </c>
    </row>
    <row r="8" spans="1:21">
      <c r="A8" s="391" t="s">
        <v>25</v>
      </c>
      <c r="B8" s="392"/>
      <c r="C8" s="392"/>
      <c r="D8" s="392"/>
      <c r="E8" s="392"/>
      <c r="F8" s="392">
        <v>1</v>
      </c>
      <c r="G8" s="392"/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>
        <v>1</v>
      </c>
    </row>
    <row r="9" spans="1:21">
      <c r="A9" s="391" t="s">
        <v>26</v>
      </c>
      <c r="B9" s="392"/>
      <c r="C9" s="392"/>
      <c r="D9" s="392"/>
      <c r="E9" s="392"/>
      <c r="F9" s="392">
        <v>1</v>
      </c>
      <c r="G9" s="392"/>
      <c r="H9" s="392"/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2"/>
      <c r="U9" s="392">
        <v>1</v>
      </c>
    </row>
    <row r="10" spans="1:21">
      <c r="A10" s="391" t="s">
        <v>27</v>
      </c>
      <c r="B10" s="392"/>
      <c r="C10" s="392"/>
      <c r="D10" s="392"/>
      <c r="E10" s="392"/>
      <c r="F10" s="392">
        <v>1</v>
      </c>
      <c r="G10" s="392"/>
      <c r="H10" s="392"/>
      <c r="I10" s="392"/>
      <c r="J10" s="392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>
        <v>1</v>
      </c>
    </row>
    <row r="11" spans="1:21">
      <c r="A11" s="391" t="s">
        <v>28</v>
      </c>
      <c r="B11" s="392"/>
      <c r="C11" s="392"/>
      <c r="D11" s="392"/>
      <c r="E11" s="392"/>
      <c r="F11" s="392">
        <v>1</v>
      </c>
      <c r="G11" s="392"/>
      <c r="H11" s="392"/>
      <c r="I11" s="392"/>
      <c r="J11" s="392"/>
      <c r="K11" s="392"/>
      <c r="L11" s="392"/>
      <c r="M11" s="392"/>
      <c r="N11" s="392"/>
      <c r="O11" s="392"/>
      <c r="P11" s="392"/>
      <c r="Q11" s="392"/>
      <c r="R11" s="392"/>
      <c r="S11" s="392"/>
      <c r="T11" s="392"/>
      <c r="U11" s="392">
        <v>1</v>
      </c>
    </row>
    <row r="12" spans="1:21">
      <c r="A12" s="391" t="s">
        <v>29</v>
      </c>
      <c r="B12" s="392"/>
      <c r="C12" s="392"/>
      <c r="D12" s="392"/>
      <c r="E12" s="392"/>
      <c r="F12" s="392">
        <v>1</v>
      </c>
      <c r="G12" s="392"/>
      <c r="H12" s="392"/>
      <c r="I12" s="392"/>
      <c r="J12" s="392"/>
      <c r="K12" s="392"/>
      <c r="L12" s="392"/>
      <c r="M12" s="392"/>
      <c r="N12" s="392"/>
      <c r="O12" s="392"/>
      <c r="P12" s="392"/>
      <c r="Q12" s="392"/>
      <c r="R12" s="392"/>
      <c r="S12" s="392"/>
      <c r="T12" s="392"/>
      <c r="U12" s="392">
        <v>1</v>
      </c>
    </row>
    <row r="13" spans="1:21">
      <c r="A13" s="391" t="s">
        <v>30</v>
      </c>
      <c r="B13" s="392"/>
      <c r="C13" s="392"/>
      <c r="D13" s="392"/>
      <c r="E13" s="392"/>
      <c r="F13" s="392">
        <v>1</v>
      </c>
      <c r="G13" s="392"/>
      <c r="H13" s="392"/>
      <c r="I13" s="392"/>
      <c r="J13" s="392"/>
      <c r="K13" s="392"/>
      <c r="L13" s="392"/>
      <c r="M13" s="392"/>
      <c r="N13" s="392"/>
      <c r="O13" s="392"/>
      <c r="P13" s="392"/>
      <c r="Q13" s="392"/>
      <c r="R13" s="392"/>
      <c r="S13" s="392"/>
      <c r="T13" s="392"/>
      <c r="U13" s="392">
        <v>1</v>
      </c>
    </row>
    <row r="14" spans="1:21">
      <c r="A14" s="391" t="s">
        <v>31</v>
      </c>
      <c r="B14" s="392"/>
      <c r="C14" s="392"/>
      <c r="D14" s="392"/>
      <c r="E14" s="392"/>
      <c r="F14" s="392">
        <v>1</v>
      </c>
      <c r="G14" s="392"/>
      <c r="H14" s="392"/>
      <c r="I14" s="392"/>
      <c r="J14" s="392"/>
      <c r="K14" s="392"/>
      <c r="L14" s="392"/>
      <c r="M14" s="392"/>
      <c r="N14" s="392"/>
      <c r="O14" s="392"/>
      <c r="P14" s="392"/>
      <c r="Q14" s="392"/>
      <c r="R14" s="392"/>
      <c r="S14" s="392"/>
      <c r="T14" s="392"/>
      <c r="U14" s="392">
        <v>1</v>
      </c>
    </row>
    <row r="15" spans="1:21">
      <c r="A15" s="391" t="s">
        <v>32</v>
      </c>
      <c r="B15" s="392"/>
      <c r="C15" s="392"/>
      <c r="D15" s="392"/>
      <c r="E15" s="392"/>
      <c r="F15" s="392">
        <v>1</v>
      </c>
      <c r="G15" s="392"/>
      <c r="H15" s="392"/>
      <c r="I15" s="392"/>
      <c r="J15" s="392"/>
      <c r="K15" s="392"/>
      <c r="L15" s="392"/>
      <c r="M15" s="392"/>
      <c r="N15" s="392"/>
      <c r="O15" s="392"/>
      <c r="P15" s="392"/>
      <c r="Q15" s="392"/>
      <c r="R15" s="392"/>
      <c r="S15" s="392"/>
      <c r="T15" s="392"/>
      <c r="U15" s="392">
        <v>1</v>
      </c>
    </row>
    <row r="16" spans="1:21">
      <c r="A16" s="391" t="s">
        <v>33</v>
      </c>
      <c r="B16" s="392"/>
      <c r="C16" s="392">
        <v>1</v>
      </c>
      <c r="D16" s="392"/>
      <c r="E16" s="392"/>
      <c r="F16" s="392"/>
      <c r="G16" s="392"/>
      <c r="H16" s="392"/>
      <c r="I16" s="392"/>
      <c r="J16" s="392"/>
      <c r="K16" s="392"/>
      <c r="L16" s="392"/>
      <c r="M16" s="392"/>
      <c r="N16" s="392"/>
      <c r="O16" s="392"/>
      <c r="P16" s="392"/>
      <c r="Q16" s="392"/>
      <c r="R16" s="392"/>
      <c r="S16" s="392"/>
      <c r="T16" s="392"/>
      <c r="U16" s="392">
        <v>1</v>
      </c>
    </row>
    <row r="17" spans="1:21">
      <c r="A17" s="391" t="s">
        <v>34</v>
      </c>
      <c r="B17" s="392"/>
      <c r="C17" s="392"/>
      <c r="D17" s="392">
        <v>1</v>
      </c>
      <c r="E17" s="392"/>
      <c r="F17" s="392"/>
      <c r="G17" s="392"/>
      <c r="H17" s="392"/>
      <c r="I17" s="392"/>
      <c r="J17" s="392"/>
      <c r="K17" s="392"/>
      <c r="L17" s="392"/>
      <c r="M17" s="392"/>
      <c r="N17" s="392"/>
      <c r="O17" s="392"/>
      <c r="P17" s="392"/>
      <c r="Q17" s="392"/>
      <c r="R17" s="392"/>
      <c r="S17" s="392"/>
      <c r="T17" s="392"/>
      <c r="U17" s="392">
        <v>1</v>
      </c>
    </row>
    <row r="18" spans="1:21">
      <c r="A18" s="391" t="s">
        <v>35</v>
      </c>
      <c r="B18" s="392"/>
      <c r="C18" s="392"/>
      <c r="D18" s="392"/>
      <c r="E18" s="392"/>
      <c r="F18" s="392"/>
      <c r="G18" s="392"/>
      <c r="H18" s="392">
        <v>2</v>
      </c>
      <c r="I18" s="392"/>
      <c r="J18" s="392"/>
      <c r="K18" s="392"/>
      <c r="L18" s="392"/>
      <c r="M18" s="392"/>
      <c r="N18" s="392"/>
      <c r="O18" s="392"/>
      <c r="P18" s="392"/>
      <c r="Q18" s="392"/>
      <c r="R18" s="392"/>
      <c r="S18" s="392"/>
      <c r="T18" s="392"/>
      <c r="U18" s="392">
        <v>2</v>
      </c>
    </row>
    <row r="19" spans="1:21">
      <c r="A19" s="391" t="s">
        <v>36</v>
      </c>
      <c r="B19" s="392"/>
      <c r="C19" s="392"/>
      <c r="D19" s="392"/>
      <c r="E19" s="392"/>
      <c r="F19" s="392"/>
      <c r="G19" s="392"/>
      <c r="H19" s="392"/>
      <c r="I19" s="392">
        <v>1</v>
      </c>
      <c r="J19" s="392"/>
      <c r="K19" s="392"/>
      <c r="L19" s="392"/>
      <c r="M19" s="392"/>
      <c r="N19" s="392"/>
      <c r="O19" s="392"/>
      <c r="P19" s="392"/>
      <c r="Q19" s="392"/>
      <c r="R19" s="392"/>
      <c r="S19" s="392"/>
      <c r="T19" s="392"/>
      <c r="U19" s="392">
        <v>1</v>
      </c>
    </row>
    <row r="20" spans="1:21">
      <c r="A20" s="391" t="s">
        <v>1534</v>
      </c>
      <c r="B20" s="392"/>
      <c r="C20" s="392"/>
      <c r="D20" s="392"/>
      <c r="E20" s="392"/>
      <c r="F20" s="392"/>
      <c r="G20" s="392"/>
      <c r="H20" s="392"/>
      <c r="I20" s="392">
        <v>1</v>
      </c>
      <c r="J20" s="392"/>
      <c r="K20" s="392"/>
      <c r="L20" s="392"/>
      <c r="M20" s="392"/>
      <c r="N20" s="392"/>
      <c r="O20" s="392"/>
      <c r="P20" s="392"/>
      <c r="Q20" s="392"/>
      <c r="R20" s="392"/>
      <c r="S20" s="392"/>
      <c r="T20" s="392"/>
      <c r="U20" s="392">
        <v>1</v>
      </c>
    </row>
    <row r="21" spans="1:21">
      <c r="A21" s="391" t="s">
        <v>37</v>
      </c>
      <c r="B21" s="392"/>
      <c r="C21" s="392"/>
      <c r="D21" s="392"/>
      <c r="E21" s="392"/>
      <c r="F21" s="392"/>
      <c r="G21" s="392"/>
      <c r="H21" s="392"/>
      <c r="I21" s="392">
        <v>1</v>
      </c>
      <c r="J21" s="392"/>
      <c r="K21" s="392"/>
      <c r="L21" s="392"/>
      <c r="M21" s="392"/>
      <c r="N21" s="392"/>
      <c r="O21" s="392"/>
      <c r="P21" s="392"/>
      <c r="Q21" s="392"/>
      <c r="R21" s="392"/>
      <c r="S21" s="392"/>
      <c r="T21" s="392"/>
      <c r="U21" s="392">
        <v>1</v>
      </c>
    </row>
    <row r="22" spans="1:21">
      <c r="A22" s="391" t="s">
        <v>38</v>
      </c>
      <c r="B22" s="392"/>
      <c r="C22" s="392"/>
      <c r="D22" s="392"/>
      <c r="E22" s="392"/>
      <c r="F22" s="392"/>
      <c r="G22" s="392"/>
      <c r="H22" s="392"/>
      <c r="I22" s="392">
        <v>1</v>
      </c>
      <c r="J22" s="392"/>
      <c r="K22" s="392"/>
      <c r="L22" s="392"/>
      <c r="M22" s="392"/>
      <c r="N22" s="392"/>
      <c r="O22" s="392"/>
      <c r="P22" s="392"/>
      <c r="Q22" s="392"/>
      <c r="R22" s="392"/>
      <c r="S22" s="392"/>
      <c r="T22" s="392"/>
      <c r="U22" s="392">
        <v>1</v>
      </c>
    </row>
    <row r="23" spans="1:21">
      <c r="A23" s="391" t="s">
        <v>39</v>
      </c>
      <c r="B23" s="392"/>
      <c r="C23" s="392"/>
      <c r="D23" s="392"/>
      <c r="E23" s="392"/>
      <c r="F23" s="392"/>
      <c r="G23" s="392"/>
      <c r="H23" s="392"/>
      <c r="I23" s="392"/>
      <c r="J23" s="392">
        <v>1</v>
      </c>
      <c r="K23" s="392"/>
      <c r="L23" s="392"/>
      <c r="M23" s="392"/>
      <c r="N23" s="392"/>
      <c r="O23" s="392"/>
      <c r="P23" s="392"/>
      <c r="Q23" s="392"/>
      <c r="R23" s="392"/>
      <c r="S23" s="392"/>
      <c r="T23" s="392"/>
      <c r="U23" s="392">
        <v>1</v>
      </c>
    </row>
    <row r="24" spans="1:21">
      <c r="A24" s="391" t="s">
        <v>40</v>
      </c>
      <c r="B24" s="392"/>
      <c r="C24" s="392"/>
      <c r="D24" s="392"/>
      <c r="E24" s="392"/>
      <c r="F24" s="392"/>
      <c r="G24" s="392"/>
      <c r="H24" s="392"/>
      <c r="I24" s="392"/>
      <c r="J24" s="392"/>
      <c r="K24" s="392"/>
      <c r="L24" s="392">
        <v>1</v>
      </c>
      <c r="M24" s="392"/>
      <c r="N24" s="392"/>
      <c r="O24" s="392"/>
      <c r="P24" s="392"/>
      <c r="Q24" s="392"/>
      <c r="R24" s="392"/>
      <c r="S24" s="392"/>
      <c r="T24" s="392"/>
      <c r="U24" s="392">
        <v>1</v>
      </c>
    </row>
    <row r="25" spans="1:21">
      <c r="A25" s="391" t="s">
        <v>41</v>
      </c>
      <c r="B25" s="392"/>
      <c r="C25" s="392"/>
      <c r="D25" s="392"/>
      <c r="E25" s="392"/>
      <c r="F25" s="392"/>
      <c r="G25" s="392"/>
      <c r="H25" s="392"/>
      <c r="I25" s="392"/>
      <c r="J25" s="392"/>
      <c r="K25" s="392"/>
      <c r="L25" s="392"/>
      <c r="M25" s="392"/>
      <c r="N25" s="392"/>
      <c r="O25" s="392"/>
      <c r="P25" s="392"/>
      <c r="Q25" s="392"/>
      <c r="R25" s="392">
        <v>1</v>
      </c>
      <c r="S25" s="392"/>
      <c r="T25" s="392"/>
      <c r="U25" s="392">
        <v>1</v>
      </c>
    </row>
    <row r="26" spans="1:21">
      <c r="A26" s="391" t="s">
        <v>42</v>
      </c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>
        <v>1</v>
      </c>
      <c r="S26" s="392"/>
      <c r="T26" s="392"/>
      <c r="U26" s="392">
        <v>1</v>
      </c>
    </row>
    <row r="27" spans="1:21">
      <c r="A27" s="391" t="s">
        <v>43</v>
      </c>
      <c r="B27" s="392"/>
      <c r="C27" s="392"/>
      <c r="D27" s="392"/>
      <c r="E27" s="392"/>
      <c r="F27" s="392"/>
      <c r="G27" s="392"/>
      <c r="H27" s="392"/>
      <c r="I27" s="392"/>
      <c r="J27" s="392"/>
      <c r="K27" s="392"/>
      <c r="L27" s="392"/>
      <c r="M27" s="392"/>
      <c r="N27" s="392"/>
      <c r="O27" s="392"/>
      <c r="P27" s="392"/>
      <c r="Q27" s="392"/>
      <c r="R27" s="392">
        <v>1</v>
      </c>
      <c r="S27" s="392"/>
      <c r="T27" s="392"/>
      <c r="U27" s="392">
        <v>1</v>
      </c>
    </row>
    <row r="28" spans="1:21">
      <c r="A28" s="391" t="s">
        <v>44</v>
      </c>
      <c r="B28" s="392"/>
      <c r="C28" s="392"/>
      <c r="D28" s="392"/>
      <c r="E28" s="392"/>
      <c r="F28" s="392"/>
      <c r="G28" s="392"/>
      <c r="H28" s="392"/>
      <c r="I28" s="392"/>
      <c r="J28" s="392"/>
      <c r="K28" s="392"/>
      <c r="L28" s="392"/>
      <c r="M28" s="392"/>
      <c r="N28" s="392"/>
      <c r="O28" s="392"/>
      <c r="P28" s="392"/>
      <c r="Q28" s="392"/>
      <c r="R28" s="392">
        <v>1</v>
      </c>
      <c r="S28" s="392"/>
      <c r="T28" s="392"/>
      <c r="U28" s="392">
        <v>1</v>
      </c>
    </row>
    <row r="29" spans="1:21">
      <c r="A29" s="391" t="s">
        <v>45</v>
      </c>
      <c r="B29" s="392"/>
      <c r="C29" s="392"/>
      <c r="D29" s="392"/>
      <c r="E29" s="392"/>
      <c r="F29" s="392"/>
      <c r="G29" s="392"/>
      <c r="H29" s="392"/>
      <c r="I29" s="392"/>
      <c r="J29" s="392"/>
      <c r="K29" s="392"/>
      <c r="L29" s="392"/>
      <c r="M29" s="392"/>
      <c r="N29" s="392"/>
      <c r="O29" s="392"/>
      <c r="P29" s="392"/>
      <c r="Q29" s="392"/>
      <c r="R29" s="392"/>
      <c r="S29" s="392">
        <v>1</v>
      </c>
      <c r="T29" s="392"/>
      <c r="U29" s="392">
        <v>1</v>
      </c>
    </row>
    <row r="30" spans="1:21">
      <c r="A30" s="391" t="s">
        <v>46</v>
      </c>
      <c r="B30" s="392"/>
      <c r="C30" s="392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  <c r="O30" s="392"/>
      <c r="P30" s="392"/>
      <c r="Q30" s="392"/>
      <c r="R30" s="392"/>
      <c r="S30" s="392">
        <v>1</v>
      </c>
      <c r="T30" s="392"/>
      <c r="U30" s="392">
        <v>1</v>
      </c>
    </row>
    <row r="31" spans="1:21">
      <c r="A31" s="391" t="s">
        <v>47</v>
      </c>
      <c r="B31" s="392"/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  <c r="O31" s="392"/>
      <c r="P31" s="392"/>
      <c r="Q31" s="392"/>
      <c r="R31" s="392"/>
      <c r="S31" s="392">
        <v>1</v>
      </c>
      <c r="T31" s="392"/>
      <c r="U31" s="392">
        <v>1</v>
      </c>
    </row>
    <row r="32" spans="1:21">
      <c r="A32" s="391" t="s">
        <v>48</v>
      </c>
      <c r="B32" s="392"/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2"/>
      <c r="Q32" s="392"/>
      <c r="R32" s="392"/>
      <c r="S32" s="392">
        <v>1</v>
      </c>
      <c r="T32" s="392"/>
      <c r="U32" s="392">
        <v>1</v>
      </c>
    </row>
    <row r="33" spans="1:21">
      <c r="A33" s="391" t="s">
        <v>105</v>
      </c>
      <c r="B33" s="392">
        <v>1</v>
      </c>
      <c r="C33" s="392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2"/>
      <c r="Q33" s="392"/>
      <c r="R33" s="392"/>
      <c r="S33" s="392"/>
      <c r="T33" s="392"/>
      <c r="U33" s="392">
        <v>1</v>
      </c>
    </row>
    <row r="34" spans="1:21">
      <c r="A34" s="391" t="s">
        <v>50</v>
      </c>
      <c r="B34" s="392"/>
      <c r="C34" s="392"/>
      <c r="D34" s="392"/>
      <c r="E34" s="392"/>
      <c r="F34" s="392"/>
      <c r="G34" s="392">
        <v>1</v>
      </c>
      <c r="H34" s="392"/>
      <c r="I34" s="392"/>
      <c r="J34" s="392"/>
      <c r="K34" s="392"/>
      <c r="L34" s="392"/>
      <c r="M34" s="392"/>
      <c r="N34" s="392"/>
      <c r="O34" s="392"/>
      <c r="P34" s="392"/>
      <c r="Q34" s="392"/>
      <c r="R34" s="392"/>
      <c r="S34" s="392"/>
      <c r="T34" s="392"/>
      <c r="U34" s="392">
        <v>1</v>
      </c>
    </row>
    <row r="35" spans="1:21">
      <c r="A35" s="391" t="s">
        <v>51</v>
      </c>
      <c r="B35" s="392"/>
      <c r="C35" s="392"/>
      <c r="D35" s="392"/>
      <c r="E35" s="392"/>
      <c r="F35" s="392"/>
      <c r="G35" s="392"/>
      <c r="H35" s="392">
        <v>1</v>
      </c>
      <c r="I35" s="392"/>
      <c r="J35" s="392"/>
      <c r="K35" s="392"/>
      <c r="L35" s="392"/>
      <c r="M35" s="392"/>
      <c r="N35" s="392"/>
      <c r="O35" s="392"/>
      <c r="P35" s="392"/>
      <c r="Q35" s="392"/>
      <c r="R35" s="392"/>
      <c r="S35" s="392"/>
      <c r="T35" s="392"/>
      <c r="U35" s="392">
        <v>1</v>
      </c>
    </row>
    <row r="36" spans="1:21">
      <c r="A36" s="391" t="s">
        <v>52</v>
      </c>
      <c r="B36" s="392"/>
      <c r="C36" s="392"/>
      <c r="D36" s="392"/>
      <c r="E36" s="392"/>
      <c r="F36" s="392"/>
      <c r="G36" s="392"/>
      <c r="H36" s="392">
        <v>1</v>
      </c>
      <c r="I36" s="392"/>
      <c r="J36" s="392"/>
      <c r="K36" s="392"/>
      <c r="L36" s="392"/>
      <c r="M36" s="392"/>
      <c r="N36" s="392"/>
      <c r="O36" s="392"/>
      <c r="P36" s="392"/>
      <c r="Q36" s="392"/>
      <c r="R36" s="392"/>
      <c r="S36" s="392"/>
      <c r="T36" s="392"/>
      <c r="U36" s="392">
        <v>1</v>
      </c>
    </row>
    <row r="37" spans="1:21">
      <c r="A37" s="391" t="s">
        <v>53</v>
      </c>
      <c r="B37" s="392"/>
      <c r="C37" s="392"/>
      <c r="D37" s="392"/>
      <c r="E37" s="392"/>
      <c r="F37" s="392"/>
      <c r="G37" s="392"/>
      <c r="H37" s="392">
        <v>1</v>
      </c>
      <c r="I37" s="392"/>
      <c r="J37" s="392"/>
      <c r="K37" s="392"/>
      <c r="L37" s="392"/>
      <c r="M37" s="392"/>
      <c r="N37" s="392"/>
      <c r="O37" s="392"/>
      <c r="P37" s="392"/>
      <c r="Q37" s="392"/>
      <c r="R37" s="392"/>
      <c r="S37" s="392"/>
      <c r="T37" s="392"/>
      <c r="U37" s="392">
        <v>1</v>
      </c>
    </row>
    <row r="38" spans="1:21">
      <c r="A38" s="391" t="s">
        <v>54</v>
      </c>
      <c r="B38" s="392"/>
      <c r="C38" s="392"/>
      <c r="D38" s="392"/>
      <c r="E38" s="392"/>
      <c r="F38" s="392"/>
      <c r="G38" s="392"/>
      <c r="H38" s="392">
        <v>1</v>
      </c>
      <c r="I38" s="392"/>
      <c r="J38" s="392"/>
      <c r="K38" s="392"/>
      <c r="L38" s="392"/>
      <c r="M38" s="392"/>
      <c r="N38" s="392"/>
      <c r="O38" s="392"/>
      <c r="P38" s="392"/>
      <c r="Q38" s="392"/>
      <c r="R38" s="392"/>
      <c r="S38" s="392"/>
      <c r="T38" s="392"/>
      <c r="U38" s="392">
        <v>1</v>
      </c>
    </row>
    <row r="39" spans="1:21">
      <c r="A39" s="391" t="s">
        <v>55</v>
      </c>
      <c r="B39" s="392"/>
      <c r="C39" s="392"/>
      <c r="D39" s="392"/>
      <c r="E39" s="392"/>
      <c r="F39" s="392">
        <v>1</v>
      </c>
      <c r="G39" s="392"/>
      <c r="H39" s="392"/>
      <c r="I39" s="392"/>
      <c r="J39" s="392"/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>
        <v>1</v>
      </c>
    </row>
    <row r="40" spans="1:21">
      <c r="A40" s="391" t="s">
        <v>56</v>
      </c>
      <c r="B40" s="392"/>
      <c r="C40" s="392"/>
      <c r="D40" s="392"/>
      <c r="E40" s="392"/>
      <c r="F40" s="392">
        <v>1</v>
      </c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>
        <v>1</v>
      </c>
    </row>
    <row r="41" spans="1:21">
      <c r="A41" s="391" t="s">
        <v>57</v>
      </c>
      <c r="B41" s="392"/>
      <c r="C41" s="392"/>
      <c r="D41" s="392"/>
      <c r="E41" s="392"/>
      <c r="F41" s="392">
        <v>1</v>
      </c>
      <c r="G41" s="392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>
        <v>1</v>
      </c>
    </row>
    <row r="42" spans="1:21">
      <c r="A42" s="391" t="s">
        <v>58</v>
      </c>
      <c r="B42" s="392"/>
      <c r="C42" s="392"/>
      <c r="D42" s="392"/>
      <c r="E42" s="392"/>
      <c r="F42" s="392"/>
      <c r="G42" s="392"/>
      <c r="H42" s="392"/>
      <c r="I42" s="392">
        <v>1</v>
      </c>
      <c r="J42" s="392"/>
      <c r="K42" s="392"/>
      <c r="L42" s="392"/>
      <c r="M42" s="392"/>
      <c r="N42" s="392"/>
      <c r="O42" s="392"/>
      <c r="P42" s="392"/>
      <c r="Q42" s="392"/>
      <c r="R42" s="392"/>
      <c r="S42" s="392"/>
      <c r="T42" s="392"/>
      <c r="U42" s="392">
        <v>1</v>
      </c>
    </row>
    <row r="43" spans="1:21">
      <c r="A43" s="391" t="s">
        <v>59</v>
      </c>
      <c r="B43" s="392"/>
      <c r="C43" s="392"/>
      <c r="D43" s="392"/>
      <c r="E43" s="392"/>
      <c r="F43" s="392"/>
      <c r="G43" s="392"/>
      <c r="H43" s="392"/>
      <c r="I43" s="392">
        <v>1</v>
      </c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>
        <v>1</v>
      </c>
    </row>
    <row r="44" spans="1:21">
      <c r="A44" s="391" t="s">
        <v>60</v>
      </c>
      <c r="B44" s="392"/>
      <c r="C44" s="392"/>
      <c r="D44" s="392"/>
      <c r="E44" s="392"/>
      <c r="F44" s="392"/>
      <c r="G44" s="392"/>
      <c r="H44" s="392"/>
      <c r="I44" s="392">
        <v>1</v>
      </c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>
        <v>1</v>
      </c>
    </row>
    <row r="45" spans="1:21">
      <c r="A45" s="391" t="s">
        <v>61</v>
      </c>
      <c r="B45" s="392"/>
      <c r="C45" s="392"/>
      <c r="D45" s="392"/>
      <c r="E45" s="392"/>
      <c r="F45" s="392"/>
      <c r="G45" s="392"/>
      <c r="H45" s="392"/>
      <c r="I45" s="392">
        <v>1</v>
      </c>
      <c r="J45" s="392"/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392">
        <v>1</v>
      </c>
    </row>
    <row r="46" spans="1:21">
      <c r="A46" s="391" t="s">
        <v>62</v>
      </c>
      <c r="B46" s="392"/>
      <c r="C46" s="392"/>
      <c r="D46" s="392"/>
      <c r="E46" s="392"/>
      <c r="F46" s="392"/>
      <c r="G46" s="392"/>
      <c r="H46" s="392"/>
      <c r="I46" s="392"/>
      <c r="J46" s="392">
        <v>1</v>
      </c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>
        <v>1</v>
      </c>
    </row>
    <row r="47" spans="1:21">
      <c r="A47" s="391" t="s">
        <v>63</v>
      </c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2">
        <v>1</v>
      </c>
      <c r="M47" s="392"/>
      <c r="N47" s="392"/>
      <c r="O47" s="392"/>
      <c r="P47" s="392"/>
      <c r="Q47" s="392"/>
      <c r="R47" s="392"/>
      <c r="S47" s="392"/>
      <c r="T47" s="392"/>
      <c r="U47" s="392">
        <v>1</v>
      </c>
    </row>
    <row r="48" spans="1:21">
      <c r="A48" s="391" t="s">
        <v>64</v>
      </c>
      <c r="B48" s="392"/>
      <c r="C48" s="392"/>
      <c r="D48" s="392"/>
      <c r="E48" s="392"/>
      <c r="F48" s="392">
        <v>1</v>
      </c>
      <c r="G48" s="392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>
        <v>1</v>
      </c>
    </row>
    <row r="49" spans="1:21">
      <c r="A49" s="391" t="s">
        <v>65</v>
      </c>
      <c r="B49" s="392"/>
      <c r="C49" s="392"/>
      <c r="D49" s="392"/>
      <c r="E49" s="392"/>
      <c r="F49" s="392">
        <v>1</v>
      </c>
      <c r="G49" s="392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392"/>
      <c r="T49" s="392"/>
      <c r="U49" s="392">
        <v>1</v>
      </c>
    </row>
    <row r="50" spans="1:21">
      <c r="A50" s="391" t="s">
        <v>66</v>
      </c>
      <c r="B50" s="392"/>
      <c r="C50" s="392"/>
      <c r="D50" s="392"/>
      <c r="E50" s="392"/>
      <c r="F50" s="392">
        <v>1</v>
      </c>
      <c r="G50" s="392"/>
      <c r="H50" s="392"/>
      <c r="I50" s="392"/>
      <c r="J50" s="392"/>
      <c r="K50" s="392"/>
      <c r="L50" s="392"/>
      <c r="M50" s="392"/>
      <c r="N50" s="392"/>
      <c r="O50" s="392"/>
      <c r="P50" s="392"/>
      <c r="Q50" s="392"/>
      <c r="R50" s="392"/>
      <c r="S50" s="392"/>
      <c r="T50" s="392"/>
      <c r="U50" s="392">
        <v>1</v>
      </c>
    </row>
    <row r="51" spans="1:21">
      <c r="A51" s="391" t="s">
        <v>67</v>
      </c>
      <c r="B51" s="392"/>
      <c r="C51" s="392"/>
      <c r="D51" s="392"/>
      <c r="E51" s="392"/>
      <c r="F51" s="392">
        <v>1</v>
      </c>
      <c r="G51" s="392"/>
      <c r="H51" s="392"/>
      <c r="I51" s="392"/>
      <c r="J51" s="392"/>
      <c r="K51" s="392"/>
      <c r="L51" s="392"/>
      <c r="M51" s="392"/>
      <c r="N51" s="392"/>
      <c r="O51" s="392"/>
      <c r="P51" s="392"/>
      <c r="Q51" s="392"/>
      <c r="R51" s="392"/>
      <c r="S51" s="392"/>
      <c r="T51" s="392"/>
      <c r="U51" s="392">
        <v>1</v>
      </c>
    </row>
    <row r="52" spans="1:21">
      <c r="A52" s="391" t="s">
        <v>68</v>
      </c>
      <c r="B52" s="392"/>
      <c r="C52" s="392"/>
      <c r="D52" s="392"/>
      <c r="E52" s="392"/>
      <c r="F52" s="392">
        <v>1</v>
      </c>
      <c r="G52" s="392"/>
      <c r="H52" s="392"/>
      <c r="I52" s="392"/>
      <c r="J52" s="392"/>
      <c r="K52" s="392"/>
      <c r="L52" s="392"/>
      <c r="M52" s="392"/>
      <c r="N52" s="392"/>
      <c r="O52" s="392"/>
      <c r="P52" s="392"/>
      <c r="Q52" s="392"/>
      <c r="R52" s="392"/>
      <c r="S52" s="392"/>
      <c r="T52" s="392"/>
      <c r="U52" s="392">
        <v>1</v>
      </c>
    </row>
    <row r="53" spans="1:21">
      <c r="A53" s="391" t="s">
        <v>69</v>
      </c>
      <c r="B53" s="392"/>
      <c r="C53" s="392"/>
      <c r="D53" s="392"/>
      <c r="E53" s="392"/>
      <c r="F53" s="392">
        <v>1</v>
      </c>
      <c r="G53" s="392"/>
      <c r="H53" s="392"/>
      <c r="I53" s="392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>
        <v>1</v>
      </c>
    </row>
    <row r="54" spans="1:21">
      <c r="A54" s="391" t="s">
        <v>103</v>
      </c>
      <c r="B54" s="392"/>
      <c r="C54" s="392"/>
      <c r="D54" s="392"/>
      <c r="E54" s="392"/>
      <c r="F54" s="392">
        <v>1</v>
      </c>
      <c r="G54" s="392"/>
      <c r="H54" s="392"/>
      <c r="I54" s="392"/>
      <c r="J54" s="392"/>
      <c r="K54" s="392"/>
      <c r="L54" s="392"/>
      <c r="M54" s="392"/>
      <c r="N54" s="392"/>
      <c r="O54" s="392"/>
      <c r="P54" s="392"/>
      <c r="Q54" s="392"/>
      <c r="R54" s="392"/>
      <c r="S54" s="392"/>
      <c r="T54" s="392"/>
      <c r="U54" s="392">
        <v>1</v>
      </c>
    </row>
    <row r="55" spans="1:21">
      <c r="A55" s="391" t="s">
        <v>106</v>
      </c>
      <c r="B55" s="392"/>
      <c r="C55" s="392"/>
      <c r="D55" s="392"/>
      <c r="E55" s="392"/>
      <c r="F55" s="392"/>
      <c r="G55" s="392"/>
      <c r="H55" s="392"/>
      <c r="I55" s="392"/>
      <c r="J55" s="392"/>
      <c r="K55" s="392"/>
      <c r="L55" s="392"/>
      <c r="M55" s="392"/>
      <c r="N55" s="392"/>
      <c r="O55" s="392">
        <v>1</v>
      </c>
      <c r="P55" s="392"/>
      <c r="Q55" s="392"/>
      <c r="R55" s="392"/>
      <c r="S55" s="392"/>
      <c r="T55" s="392"/>
      <c r="U55" s="392">
        <v>1</v>
      </c>
    </row>
    <row r="56" spans="1:21">
      <c r="A56" s="391" t="s">
        <v>70</v>
      </c>
      <c r="B56" s="392"/>
      <c r="C56" s="392"/>
      <c r="D56" s="392"/>
      <c r="E56" s="392"/>
      <c r="F56" s="392"/>
      <c r="G56" s="392"/>
      <c r="H56" s="392"/>
      <c r="I56" s="392"/>
      <c r="J56" s="392"/>
      <c r="K56" s="392"/>
      <c r="L56" s="392"/>
      <c r="M56" s="392"/>
      <c r="N56" s="392"/>
      <c r="O56" s="392"/>
      <c r="P56" s="392">
        <v>1</v>
      </c>
      <c r="Q56" s="392"/>
      <c r="R56" s="392"/>
      <c r="S56" s="392"/>
      <c r="T56" s="392"/>
      <c r="U56" s="392">
        <v>1</v>
      </c>
    </row>
    <row r="57" spans="1:21">
      <c r="A57" s="391" t="s">
        <v>104</v>
      </c>
      <c r="B57" s="392"/>
      <c r="C57" s="392"/>
      <c r="D57" s="392"/>
      <c r="E57" s="392"/>
      <c r="F57" s="392"/>
      <c r="G57" s="392"/>
      <c r="H57" s="392"/>
      <c r="I57" s="392"/>
      <c r="J57" s="392"/>
      <c r="K57" s="392"/>
      <c r="L57" s="392"/>
      <c r="M57" s="392"/>
      <c r="N57" s="392"/>
      <c r="O57" s="392"/>
      <c r="P57" s="392"/>
      <c r="Q57" s="392">
        <v>1</v>
      </c>
      <c r="R57" s="392"/>
      <c r="S57" s="392"/>
      <c r="T57" s="392"/>
      <c r="U57" s="392">
        <v>1</v>
      </c>
    </row>
    <row r="58" spans="1:21">
      <c r="A58" s="391" t="s">
        <v>71</v>
      </c>
      <c r="B58" s="392"/>
      <c r="C58" s="392"/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2"/>
      <c r="P58" s="392"/>
      <c r="Q58" s="392"/>
      <c r="R58" s="392">
        <v>1</v>
      </c>
      <c r="S58" s="392"/>
      <c r="T58" s="392"/>
      <c r="U58" s="392">
        <v>1</v>
      </c>
    </row>
    <row r="59" spans="1:21">
      <c r="A59" s="391" t="s">
        <v>72</v>
      </c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2"/>
      <c r="O59" s="392"/>
      <c r="P59" s="392"/>
      <c r="Q59" s="392"/>
      <c r="R59" s="392">
        <v>1</v>
      </c>
      <c r="S59" s="392"/>
      <c r="T59" s="392"/>
      <c r="U59" s="392">
        <v>1</v>
      </c>
    </row>
    <row r="60" spans="1:21">
      <c r="A60" s="391" t="s">
        <v>73</v>
      </c>
      <c r="B60" s="392"/>
      <c r="C60" s="392"/>
      <c r="D60" s="392"/>
      <c r="E60" s="392"/>
      <c r="F60" s="392"/>
      <c r="G60" s="392"/>
      <c r="H60" s="392"/>
      <c r="I60" s="392"/>
      <c r="J60" s="392"/>
      <c r="K60" s="392"/>
      <c r="L60" s="392"/>
      <c r="M60" s="392"/>
      <c r="N60" s="392"/>
      <c r="O60" s="392"/>
      <c r="P60" s="392"/>
      <c r="Q60" s="392"/>
      <c r="R60" s="392">
        <v>1</v>
      </c>
      <c r="S60" s="392"/>
      <c r="T60" s="392"/>
      <c r="U60" s="392">
        <v>1</v>
      </c>
    </row>
    <row r="61" spans="1:21">
      <c r="A61" s="391" t="s">
        <v>74</v>
      </c>
      <c r="B61" s="392"/>
      <c r="C61" s="392"/>
      <c r="D61" s="392"/>
      <c r="E61" s="392"/>
      <c r="F61" s="392"/>
      <c r="G61" s="392"/>
      <c r="H61" s="392"/>
      <c r="I61" s="392"/>
      <c r="J61" s="392"/>
      <c r="K61" s="392"/>
      <c r="L61" s="392"/>
      <c r="M61" s="392"/>
      <c r="N61" s="392"/>
      <c r="O61" s="392"/>
      <c r="P61" s="392"/>
      <c r="Q61" s="392"/>
      <c r="R61" s="392">
        <v>1</v>
      </c>
      <c r="S61" s="392"/>
      <c r="T61" s="392"/>
      <c r="U61" s="392">
        <v>1</v>
      </c>
    </row>
    <row r="62" spans="1:21">
      <c r="A62" s="391" t="s">
        <v>75</v>
      </c>
      <c r="B62" s="392"/>
      <c r="C62" s="392"/>
      <c r="D62" s="392"/>
      <c r="E62" s="392"/>
      <c r="F62" s="392">
        <v>1</v>
      </c>
      <c r="G62" s="392"/>
      <c r="H62" s="392"/>
      <c r="I62" s="392"/>
      <c r="J62" s="392"/>
      <c r="K62" s="392"/>
      <c r="L62" s="392"/>
      <c r="M62" s="392"/>
      <c r="N62" s="392"/>
      <c r="O62" s="392"/>
      <c r="P62" s="392"/>
      <c r="Q62" s="392"/>
      <c r="R62" s="392"/>
      <c r="S62" s="392"/>
      <c r="T62" s="392"/>
      <c r="U62" s="392">
        <v>1</v>
      </c>
    </row>
    <row r="63" spans="1:21">
      <c r="A63" s="391" t="s">
        <v>76</v>
      </c>
      <c r="B63" s="392"/>
      <c r="C63" s="392"/>
      <c r="D63" s="392"/>
      <c r="E63" s="392"/>
      <c r="F63" s="392"/>
      <c r="G63" s="392"/>
      <c r="H63" s="392"/>
      <c r="I63" s="392"/>
      <c r="J63" s="392"/>
      <c r="K63" s="392"/>
      <c r="L63" s="392"/>
      <c r="M63" s="392"/>
      <c r="N63" s="392"/>
      <c r="O63" s="392"/>
      <c r="P63" s="392"/>
      <c r="Q63" s="392"/>
      <c r="R63" s="392"/>
      <c r="S63" s="392">
        <v>1</v>
      </c>
      <c r="T63" s="392"/>
      <c r="U63" s="392">
        <v>1</v>
      </c>
    </row>
    <row r="64" spans="1:21">
      <c r="A64" s="391" t="s">
        <v>77</v>
      </c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92"/>
      <c r="S64" s="392">
        <v>1</v>
      </c>
      <c r="T64" s="392"/>
      <c r="U64" s="392">
        <v>1</v>
      </c>
    </row>
    <row r="65" spans="1:21">
      <c r="A65" s="391" t="s">
        <v>78</v>
      </c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2"/>
      <c r="S65" s="392">
        <v>1</v>
      </c>
      <c r="T65" s="392"/>
      <c r="U65" s="392">
        <v>1</v>
      </c>
    </row>
    <row r="66" spans="1:21">
      <c r="A66" s="391" t="s">
        <v>79</v>
      </c>
      <c r="B66" s="392"/>
      <c r="C66" s="392"/>
      <c r="D66" s="392"/>
      <c r="E66" s="392"/>
      <c r="F66" s="392"/>
      <c r="G66" s="392"/>
      <c r="H66" s="392"/>
      <c r="I66" s="392"/>
      <c r="J66" s="392"/>
      <c r="K66" s="392"/>
      <c r="L66" s="392"/>
      <c r="M66" s="392"/>
      <c r="N66" s="392"/>
      <c r="O66" s="392"/>
      <c r="P66" s="392"/>
      <c r="Q66" s="392"/>
      <c r="R66" s="392"/>
      <c r="S66" s="392">
        <v>1</v>
      </c>
      <c r="T66" s="392"/>
      <c r="U66" s="392">
        <v>1</v>
      </c>
    </row>
    <row r="67" spans="1:21">
      <c r="A67" s="391" t="s">
        <v>80</v>
      </c>
      <c r="B67" s="392"/>
      <c r="C67" s="392"/>
      <c r="D67" s="392"/>
      <c r="E67" s="392"/>
      <c r="F67" s="392">
        <v>1</v>
      </c>
      <c r="G67" s="392"/>
      <c r="H67" s="392"/>
      <c r="I67" s="392"/>
      <c r="J67" s="392"/>
      <c r="K67" s="392"/>
      <c r="L67" s="392"/>
      <c r="M67" s="392"/>
      <c r="N67" s="392"/>
      <c r="O67" s="392"/>
      <c r="P67" s="392"/>
      <c r="Q67" s="392"/>
      <c r="R67" s="392"/>
      <c r="S67" s="392"/>
      <c r="T67" s="392"/>
      <c r="U67" s="392">
        <v>1</v>
      </c>
    </row>
    <row r="68" spans="1:21">
      <c r="A68" s="391" t="s">
        <v>81</v>
      </c>
      <c r="B68" s="392"/>
      <c r="C68" s="392"/>
      <c r="D68" s="392"/>
      <c r="E68" s="392"/>
      <c r="F68" s="392">
        <v>1</v>
      </c>
      <c r="G68" s="392"/>
      <c r="H68" s="392"/>
      <c r="I68" s="392"/>
      <c r="J68" s="392"/>
      <c r="K68" s="392"/>
      <c r="L68" s="392"/>
      <c r="M68" s="392"/>
      <c r="N68" s="392"/>
      <c r="O68" s="392"/>
      <c r="P68" s="392"/>
      <c r="Q68" s="392"/>
      <c r="R68" s="392"/>
      <c r="S68" s="392"/>
      <c r="T68" s="392"/>
      <c r="U68" s="392">
        <v>1</v>
      </c>
    </row>
    <row r="69" spans="1:21">
      <c r="A69" s="391" t="s">
        <v>82</v>
      </c>
      <c r="B69" s="392"/>
      <c r="C69" s="392"/>
      <c r="D69" s="392"/>
      <c r="E69" s="392"/>
      <c r="F69" s="392">
        <v>1</v>
      </c>
      <c r="G69" s="392"/>
      <c r="H69" s="392"/>
      <c r="I69" s="392"/>
      <c r="J69" s="392"/>
      <c r="K69" s="392"/>
      <c r="L69" s="392"/>
      <c r="M69" s="392"/>
      <c r="N69" s="392"/>
      <c r="O69" s="392"/>
      <c r="P69" s="392"/>
      <c r="Q69" s="392"/>
      <c r="R69" s="392"/>
      <c r="S69" s="392"/>
      <c r="T69" s="392"/>
      <c r="U69" s="392">
        <v>1</v>
      </c>
    </row>
    <row r="70" spans="1:21">
      <c r="A70" s="391" t="s">
        <v>83</v>
      </c>
      <c r="B70" s="392"/>
      <c r="C70" s="392"/>
      <c r="D70" s="392"/>
      <c r="E70" s="392"/>
      <c r="F70" s="392">
        <v>1</v>
      </c>
      <c r="G70" s="392"/>
      <c r="H70" s="392"/>
      <c r="I70" s="392"/>
      <c r="J70" s="392"/>
      <c r="K70" s="392"/>
      <c r="L70" s="392"/>
      <c r="M70" s="392"/>
      <c r="N70" s="392"/>
      <c r="O70" s="392"/>
      <c r="P70" s="392"/>
      <c r="Q70" s="392"/>
      <c r="R70" s="392"/>
      <c r="S70" s="392"/>
      <c r="T70" s="392"/>
      <c r="U70" s="392">
        <v>1</v>
      </c>
    </row>
    <row r="71" spans="1:21">
      <c r="A71" s="391" t="s">
        <v>84</v>
      </c>
      <c r="B71" s="392">
        <v>3</v>
      </c>
      <c r="C71" s="392">
        <v>3</v>
      </c>
      <c r="D71" s="392">
        <v>2</v>
      </c>
      <c r="E71" s="392"/>
      <c r="F71" s="392">
        <v>86</v>
      </c>
      <c r="G71" s="392">
        <v>3</v>
      </c>
      <c r="H71" s="392">
        <v>8</v>
      </c>
      <c r="I71" s="392">
        <v>13</v>
      </c>
      <c r="J71" s="392">
        <v>3</v>
      </c>
      <c r="K71" s="392">
        <v>3</v>
      </c>
      <c r="L71" s="392">
        <v>6</v>
      </c>
      <c r="M71" s="392">
        <v>3</v>
      </c>
      <c r="N71" s="392">
        <v>2</v>
      </c>
      <c r="O71" s="392">
        <v>4</v>
      </c>
      <c r="P71" s="392">
        <v>4</v>
      </c>
      <c r="Q71" s="392">
        <v>4</v>
      </c>
      <c r="R71" s="392">
        <v>17</v>
      </c>
      <c r="S71" s="392">
        <v>15</v>
      </c>
      <c r="T71" s="392">
        <v>1</v>
      </c>
      <c r="U71" s="392">
        <v>180</v>
      </c>
    </row>
    <row r="72" spans="1:21">
      <c r="A72" s="391" t="s">
        <v>102</v>
      </c>
      <c r="B72" s="392"/>
      <c r="C72" s="392"/>
      <c r="D72" s="392"/>
      <c r="E72" s="392"/>
      <c r="F72" s="392"/>
      <c r="G72" s="392"/>
      <c r="H72" s="392"/>
      <c r="I72" s="392"/>
      <c r="J72" s="392">
        <v>1</v>
      </c>
      <c r="K72" s="392"/>
      <c r="L72" s="392"/>
      <c r="M72" s="392"/>
      <c r="N72" s="392"/>
      <c r="O72" s="392"/>
      <c r="P72" s="392"/>
      <c r="Q72" s="392"/>
      <c r="R72" s="392">
        <v>1</v>
      </c>
      <c r="S72" s="392"/>
      <c r="T72" s="392"/>
      <c r="U72" s="392">
        <v>2</v>
      </c>
    </row>
    <row r="73" spans="1:21">
      <c r="A73" s="391" t="s">
        <v>85</v>
      </c>
      <c r="B73" s="392"/>
      <c r="C73" s="392"/>
      <c r="D73" s="392"/>
      <c r="E73" s="392"/>
      <c r="F73" s="392">
        <v>1</v>
      </c>
      <c r="G73" s="392"/>
      <c r="H73" s="392"/>
      <c r="I73" s="392"/>
      <c r="J73" s="392"/>
      <c r="K73" s="392"/>
      <c r="L73" s="392"/>
      <c r="M73" s="392"/>
      <c r="N73" s="392"/>
      <c r="O73" s="392"/>
      <c r="P73" s="392"/>
      <c r="Q73" s="392"/>
      <c r="R73" s="392"/>
      <c r="S73" s="392"/>
      <c r="T73" s="392"/>
      <c r="U73" s="392">
        <v>1</v>
      </c>
    </row>
    <row r="74" spans="1:21">
      <c r="A74" s="391" t="s">
        <v>86</v>
      </c>
      <c r="B74" s="392"/>
      <c r="C74" s="392"/>
      <c r="D74" s="392"/>
      <c r="E74" s="392"/>
      <c r="F74" s="392">
        <v>1</v>
      </c>
      <c r="G74" s="392"/>
      <c r="H74" s="392"/>
      <c r="I74" s="392"/>
      <c r="J74" s="392"/>
      <c r="K74" s="392"/>
      <c r="L74" s="392"/>
      <c r="M74" s="392"/>
      <c r="N74" s="392"/>
      <c r="O74" s="392"/>
      <c r="P74" s="392"/>
      <c r="Q74" s="392"/>
      <c r="R74" s="392"/>
      <c r="S74" s="392"/>
      <c r="T74" s="392"/>
      <c r="U74" s="392">
        <v>1</v>
      </c>
    </row>
    <row r="75" spans="1:21">
      <c r="A75" s="391" t="s">
        <v>87</v>
      </c>
      <c r="B75" s="392"/>
      <c r="C75" s="392"/>
      <c r="D75" s="392"/>
      <c r="E75" s="392"/>
      <c r="F75" s="392">
        <v>1</v>
      </c>
      <c r="G75" s="392"/>
      <c r="H75" s="392"/>
      <c r="I75" s="392"/>
      <c r="J75" s="392"/>
      <c r="K75" s="392"/>
      <c r="L75" s="392"/>
      <c r="M75" s="392"/>
      <c r="N75" s="392"/>
      <c r="O75" s="392"/>
      <c r="P75" s="392"/>
      <c r="Q75" s="392"/>
      <c r="R75" s="392"/>
      <c r="S75" s="392"/>
      <c r="T75" s="392"/>
      <c r="U75" s="392">
        <v>1</v>
      </c>
    </row>
    <row r="76" spans="1:21">
      <c r="A76" s="391" t="s">
        <v>88</v>
      </c>
      <c r="B76" s="392"/>
      <c r="C76" s="392"/>
      <c r="D76" s="392"/>
      <c r="E76" s="392"/>
      <c r="F76" s="392">
        <v>1</v>
      </c>
      <c r="G76" s="392"/>
      <c r="H76" s="392"/>
      <c r="I76" s="392"/>
      <c r="J76" s="392"/>
      <c r="K76" s="392"/>
      <c r="L76" s="392"/>
      <c r="M76" s="392"/>
      <c r="N76" s="392"/>
      <c r="O76" s="392"/>
      <c r="P76" s="392"/>
      <c r="Q76" s="392"/>
      <c r="R76" s="392"/>
      <c r="S76" s="392"/>
      <c r="T76" s="392"/>
      <c r="U76" s="392">
        <v>1</v>
      </c>
    </row>
    <row r="77" spans="1:21">
      <c r="A77" s="391" t="s">
        <v>89</v>
      </c>
      <c r="B77" s="392"/>
      <c r="C77" s="392"/>
      <c r="D77" s="392"/>
      <c r="E77" s="392"/>
      <c r="F77" s="392">
        <v>1</v>
      </c>
      <c r="G77" s="392"/>
      <c r="H77" s="392"/>
      <c r="I77" s="392"/>
      <c r="J77" s="392"/>
      <c r="K77" s="392"/>
      <c r="L77" s="392"/>
      <c r="M77" s="392"/>
      <c r="N77" s="392"/>
      <c r="O77" s="392"/>
      <c r="P77" s="392"/>
      <c r="Q77" s="392"/>
      <c r="R77" s="392"/>
      <c r="S77" s="392"/>
      <c r="T77" s="392"/>
      <c r="U77" s="392">
        <v>1</v>
      </c>
    </row>
    <row r="78" spans="1:21">
      <c r="A78" s="391" t="s">
        <v>90</v>
      </c>
      <c r="B78" s="392"/>
      <c r="C78" s="392"/>
      <c r="D78" s="392"/>
      <c r="E78" s="392"/>
      <c r="F78" s="392">
        <v>1</v>
      </c>
      <c r="G78" s="392"/>
      <c r="H78" s="392"/>
      <c r="I78" s="392"/>
      <c r="J78" s="392"/>
      <c r="K78" s="392"/>
      <c r="L78" s="392"/>
      <c r="M78" s="392"/>
      <c r="N78" s="392"/>
      <c r="O78" s="392"/>
      <c r="P78" s="392"/>
      <c r="Q78" s="392"/>
      <c r="R78" s="392"/>
      <c r="S78" s="392"/>
      <c r="T78" s="392"/>
      <c r="U78" s="392">
        <v>1</v>
      </c>
    </row>
    <row r="79" spans="1:21">
      <c r="A79" s="391" t="s">
        <v>91</v>
      </c>
      <c r="B79" s="392"/>
      <c r="C79" s="392"/>
      <c r="D79" s="392"/>
      <c r="E79" s="392"/>
      <c r="F79" s="392">
        <v>1</v>
      </c>
      <c r="G79" s="392"/>
      <c r="H79" s="392"/>
      <c r="I79" s="392"/>
      <c r="J79" s="392"/>
      <c r="K79" s="392"/>
      <c r="L79" s="392"/>
      <c r="M79" s="392"/>
      <c r="N79" s="392"/>
      <c r="O79" s="392"/>
      <c r="P79" s="392"/>
      <c r="Q79" s="392"/>
      <c r="R79" s="392"/>
      <c r="S79" s="392"/>
      <c r="T79" s="392"/>
      <c r="U79" s="392">
        <v>1</v>
      </c>
    </row>
    <row r="80" spans="1:21">
      <c r="A80" s="391" t="s">
        <v>92</v>
      </c>
      <c r="B80" s="392"/>
      <c r="C80" s="392"/>
      <c r="D80" s="392"/>
      <c r="E80" s="392"/>
      <c r="F80" s="392"/>
      <c r="G80" s="392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392">
        <v>1</v>
      </c>
      <c r="S80" s="392"/>
      <c r="T80" s="392"/>
      <c r="U80" s="392">
        <v>1</v>
      </c>
    </row>
    <row r="81" spans="1:21">
      <c r="A81" s="391" t="s">
        <v>93</v>
      </c>
      <c r="B81" s="392"/>
      <c r="C81" s="392"/>
      <c r="D81" s="392"/>
      <c r="E81" s="392"/>
      <c r="F81" s="392"/>
      <c r="G81" s="392"/>
      <c r="H81" s="392"/>
      <c r="I81" s="392">
        <v>1</v>
      </c>
      <c r="J81" s="392"/>
      <c r="K81" s="392"/>
      <c r="L81" s="392"/>
      <c r="M81" s="392"/>
      <c r="N81" s="392"/>
      <c r="O81" s="392"/>
      <c r="P81" s="392"/>
      <c r="Q81" s="392"/>
      <c r="R81" s="392"/>
      <c r="S81" s="392"/>
      <c r="T81" s="392"/>
      <c r="U81" s="392">
        <v>1</v>
      </c>
    </row>
    <row r="82" spans="1:21">
      <c r="A82" s="391" t="s">
        <v>94</v>
      </c>
      <c r="B82" s="392"/>
      <c r="C82" s="392"/>
      <c r="D82" s="392"/>
      <c r="E82" s="392"/>
      <c r="F82" s="392">
        <v>1</v>
      </c>
      <c r="G82" s="392"/>
      <c r="H82" s="392"/>
      <c r="I82" s="392"/>
      <c r="J82" s="392"/>
      <c r="K82" s="392"/>
      <c r="L82" s="392"/>
      <c r="M82" s="392"/>
      <c r="N82" s="392"/>
      <c r="O82" s="392"/>
      <c r="P82" s="392"/>
      <c r="Q82" s="392"/>
      <c r="R82" s="392"/>
      <c r="S82" s="392"/>
      <c r="T82" s="392"/>
      <c r="U82" s="392">
        <v>1</v>
      </c>
    </row>
    <row r="83" spans="1:21">
      <c r="A83" s="391" t="s">
        <v>95</v>
      </c>
      <c r="B83" s="392">
        <v>3</v>
      </c>
      <c r="C83" s="392">
        <v>13</v>
      </c>
      <c r="D83" s="392">
        <v>5</v>
      </c>
      <c r="E83" s="392">
        <v>2</v>
      </c>
      <c r="F83" s="392">
        <v>173</v>
      </c>
      <c r="G83" s="392"/>
      <c r="H83" s="392">
        <v>8</v>
      </c>
      <c r="I83" s="392">
        <v>36</v>
      </c>
      <c r="J83" s="392">
        <v>6</v>
      </c>
      <c r="K83" s="392"/>
      <c r="L83" s="392">
        <v>9</v>
      </c>
      <c r="M83" s="392"/>
      <c r="N83" s="392"/>
      <c r="O83" s="392"/>
      <c r="P83" s="392"/>
      <c r="Q83" s="392"/>
      <c r="R83" s="392">
        <v>57</v>
      </c>
      <c r="S83" s="392">
        <v>33</v>
      </c>
      <c r="T83" s="392"/>
      <c r="U83" s="392">
        <v>345</v>
      </c>
    </row>
    <row r="84" spans="1:21">
      <c r="A84" s="391" t="s">
        <v>96</v>
      </c>
      <c r="B84" s="392"/>
      <c r="C84" s="392"/>
      <c r="D84" s="392"/>
      <c r="E84" s="392"/>
      <c r="F84" s="392">
        <v>9</v>
      </c>
      <c r="G84" s="392"/>
      <c r="H84" s="392"/>
      <c r="I84" s="392"/>
      <c r="J84" s="392"/>
      <c r="K84" s="392"/>
      <c r="L84" s="392"/>
      <c r="M84" s="392"/>
      <c r="N84" s="392"/>
      <c r="O84" s="392"/>
      <c r="P84" s="392"/>
      <c r="Q84" s="392"/>
      <c r="R84" s="392"/>
      <c r="S84" s="392"/>
      <c r="T84" s="392"/>
      <c r="U84" s="392">
        <v>9</v>
      </c>
    </row>
    <row r="85" spans="1:21">
      <c r="A85" s="391" t="s">
        <v>98</v>
      </c>
      <c r="B85" s="392"/>
      <c r="C85" s="392"/>
      <c r="D85" s="392"/>
      <c r="E85" s="392"/>
      <c r="F85" s="392">
        <v>8</v>
      </c>
      <c r="G85" s="392"/>
      <c r="H85" s="392"/>
      <c r="I85" s="392"/>
      <c r="J85" s="392"/>
      <c r="K85" s="392"/>
      <c r="L85" s="392"/>
      <c r="M85" s="392"/>
      <c r="N85" s="392"/>
      <c r="O85" s="392"/>
      <c r="P85" s="392"/>
      <c r="Q85" s="392"/>
      <c r="R85" s="392"/>
      <c r="S85" s="392"/>
      <c r="T85" s="392"/>
      <c r="U85" s="392">
        <v>8</v>
      </c>
    </row>
    <row r="86" spans="1:21">
      <c r="A86" s="391" t="s">
        <v>5321</v>
      </c>
      <c r="B86" s="392">
        <v>7</v>
      </c>
      <c r="C86" s="392">
        <v>17</v>
      </c>
      <c r="D86" s="392">
        <v>8</v>
      </c>
      <c r="E86" s="392">
        <v>2</v>
      </c>
      <c r="F86" s="392">
        <v>325</v>
      </c>
      <c r="G86" s="392">
        <v>4</v>
      </c>
      <c r="H86" s="392">
        <v>24</v>
      </c>
      <c r="I86" s="392">
        <v>58</v>
      </c>
      <c r="J86" s="392">
        <v>12</v>
      </c>
      <c r="K86" s="392">
        <v>3</v>
      </c>
      <c r="L86" s="392">
        <v>17</v>
      </c>
      <c r="M86" s="392">
        <v>3</v>
      </c>
      <c r="N86" s="392">
        <v>2</v>
      </c>
      <c r="O86" s="392">
        <v>5</v>
      </c>
      <c r="P86" s="392">
        <v>5</v>
      </c>
      <c r="Q86" s="392">
        <v>5</v>
      </c>
      <c r="R86" s="392">
        <v>87</v>
      </c>
      <c r="S86" s="392">
        <v>56</v>
      </c>
      <c r="T86" s="392">
        <v>1</v>
      </c>
      <c r="U86" s="392">
        <v>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showGridLines="0" zoomScaleNormal="100" workbookViewId="0">
      <selection activeCell="C21" sqref="C21"/>
    </sheetView>
  </sheetViews>
  <sheetFormatPr defaultRowHeight="15"/>
  <cols>
    <col min="1" max="1" width="29.42578125" bestFit="1" customWidth="1"/>
    <col min="2" max="2" width="16.28515625" customWidth="1"/>
    <col min="3" max="3" width="6.28515625" bestFit="1" customWidth="1"/>
    <col min="4" max="4" width="6.140625" bestFit="1" customWidth="1"/>
    <col min="5" max="6" width="6.42578125" bestFit="1" customWidth="1"/>
    <col min="7" max="7" width="6.140625" bestFit="1" customWidth="1"/>
    <col min="8" max="8" width="6" bestFit="1" customWidth="1"/>
    <col min="9" max="9" width="6.42578125" bestFit="1" customWidth="1"/>
    <col min="10" max="10" width="6.28515625" bestFit="1" customWidth="1"/>
    <col min="11" max="11" width="6" bestFit="1" customWidth="1"/>
    <col min="12" max="12" width="6.5703125" bestFit="1" customWidth="1"/>
    <col min="13" max="13" width="6.28515625" bestFit="1" customWidth="1"/>
    <col min="14" max="14" width="6.85546875" bestFit="1" customWidth="1"/>
    <col min="15" max="15" width="6.7109375" bestFit="1" customWidth="1"/>
    <col min="16" max="19" width="6.28515625" bestFit="1" customWidth="1"/>
    <col min="20" max="20" width="5.42578125" bestFit="1" customWidth="1"/>
    <col min="21" max="22" width="14.140625" bestFit="1" customWidth="1"/>
  </cols>
  <sheetData>
    <row r="1" spans="1:21">
      <c r="A1" s="375" t="s">
        <v>107</v>
      </c>
      <c r="B1" t="s">
        <v>5322</v>
      </c>
    </row>
    <row r="3" spans="1:21">
      <c r="A3" s="375" t="s">
        <v>0</v>
      </c>
      <c r="B3" s="375" t="s">
        <v>5319</v>
      </c>
    </row>
    <row r="4" spans="1:21">
      <c r="A4" s="388" t="s">
        <v>5320</v>
      </c>
      <c r="B4" s="385" t="s">
        <v>1</v>
      </c>
      <c r="C4" s="385" t="s">
        <v>2</v>
      </c>
      <c r="D4" s="385" t="s">
        <v>3</v>
      </c>
      <c r="E4" s="385" t="s">
        <v>4</v>
      </c>
      <c r="F4" s="385" t="s">
        <v>5</v>
      </c>
      <c r="G4" s="385" t="s">
        <v>6</v>
      </c>
      <c r="H4" s="385" t="s">
        <v>7</v>
      </c>
      <c r="I4" s="385" t="s">
        <v>8</v>
      </c>
      <c r="J4" s="385" t="s">
        <v>9</v>
      </c>
      <c r="K4" s="385" t="s">
        <v>11</v>
      </c>
      <c r="L4" s="385" t="s">
        <v>12</v>
      </c>
      <c r="M4" s="385" t="s">
        <v>18</v>
      </c>
      <c r="N4" s="385" t="s">
        <v>19</v>
      </c>
      <c r="O4" s="385" t="s">
        <v>13</v>
      </c>
      <c r="P4" s="385" t="s">
        <v>14</v>
      </c>
      <c r="Q4" s="385" t="s">
        <v>15</v>
      </c>
      <c r="R4" s="385" t="s">
        <v>16</v>
      </c>
      <c r="S4" s="385" t="s">
        <v>17</v>
      </c>
      <c r="T4" s="385" t="s">
        <v>1440</v>
      </c>
      <c r="U4" s="385" t="s">
        <v>5321</v>
      </c>
    </row>
    <row r="5" spans="1:21">
      <c r="A5" s="385" t="s">
        <v>108</v>
      </c>
      <c r="B5" s="389"/>
      <c r="C5" s="389"/>
      <c r="D5" s="389"/>
      <c r="E5" s="389"/>
      <c r="F5" s="389">
        <v>3</v>
      </c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>
        <v>3</v>
      </c>
    </row>
    <row r="6" spans="1:21">
      <c r="A6" s="385" t="s">
        <v>109</v>
      </c>
      <c r="B6" s="389"/>
      <c r="C6" s="389"/>
      <c r="D6" s="389"/>
      <c r="E6" s="389"/>
      <c r="F6" s="389">
        <v>8</v>
      </c>
      <c r="G6" s="389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>
        <v>8</v>
      </c>
    </row>
    <row r="7" spans="1:21">
      <c r="A7" s="385" t="s">
        <v>110</v>
      </c>
      <c r="B7" s="389"/>
      <c r="C7" s="389"/>
      <c r="D7" s="389"/>
      <c r="E7" s="389"/>
      <c r="F7" s="389">
        <v>1</v>
      </c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>
        <v>1</v>
      </c>
    </row>
    <row r="8" spans="1:21">
      <c r="A8" s="385" t="s">
        <v>117</v>
      </c>
      <c r="B8" s="389"/>
      <c r="C8" s="389"/>
      <c r="D8" s="389"/>
      <c r="E8" s="389"/>
      <c r="F8" s="389">
        <v>9</v>
      </c>
      <c r="G8" s="389"/>
      <c r="H8" s="389"/>
      <c r="I8" s="389"/>
      <c r="J8" s="389"/>
      <c r="K8" s="389"/>
      <c r="L8" s="389"/>
      <c r="M8" s="389"/>
      <c r="N8" s="389"/>
      <c r="O8" s="389"/>
      <c r="P8" s="389"/>
      <c r="Q8" s="389"/>
      <c r="R8" s="389"/>
      <c r="S8" s="389"/>
      <c r="T8" s="389"/>
      <c r="U8" s="389">
        <v>9</v>
      </c>
    </row>
    <row r="9" spans="1:21">
      <c r="A9" s="385" t="s">
        <v>118</v>
      </c>
      <c r="B9" s="389"/>
      <c r="C9" s="389"/>
      <c r="D9" s="389"/>
      <c r="E9" s="389">
        <v>2</v>
      </c>
      <c r="F9" s="389">
        <v>184</v>
      </c>
      <c r="G9" s="389"/>
      <c r="H9" s="389">
        <v>10</v>
      </c>
      <c r="I9" s="389"/>
      <c r="J9" s="389"/>
      <c r="K9" s="389"/>
      <c r="L9" s="389"/>
      <c r="M9" s="389"/>
      <c r="N9" s="389"/>
      <c r="O9" s="389"/>
      <c r="P9" s="389"/>
      <c r="Q9" s="389"/>
      <c r="R9" s="389"/>
      <c r="S9" s="389"/>
      <c r="T9" s="389"/>
      <c r="U9" s="389">
        <v>196</v>
      </c>
    </row>
    <row r="10" spans="1:21">
      <c r="A10" s="385" t="s">
        <v>111</v>
      </c>
      <c r="B10" s="389"/>
      <c r="C10" s="389"/>
      <c r="D10" s="389"/>
      <c r="E10" s="389"/>
      <c r="F10" s="389">
        <v>98</v>
      </c>
      <c r="G10" s="389"/>
      <c r="H10" s="389">
        <v>12</v>
      </c>
      <c r="I10" s="389"/>
      <c r="J10" s="389"/>
      <c r="K10" s="389"/>
      <c r="L10" s="389"/>
      <c r="M10" s="389"/>
      <c r="N10" s="389"/>
      <c r="O10" s="389"/>
      <c r="P10" s="389"/>
      <c r="Q10" s="389"/>
      <c r="R10" s="389"/>
      <c r="S10" s="389"/>
      <c r="T10" s="389"/>
      <c r="U10" s="389">
        <v>110</v>
      </c>
    </row>
    <row r="11" spans="1:21">
      <c r="A11" s="385" t="s">
        <v>112</v>
      </c>
      <c r="B11" s="389"/>
      <c r="C11" s="389"/>
      <c r="D11" s="389">
        <v>2</v>
      </c>
      <c r="E11" s="389"/>
      <c r="F11" s="389"/>
      <c r="G11" s="389">
        <v>4</v>
      </c>
      <c r="H11" s="389"/>
      <c r="I11" s="389">
        <v>17</v>
      </c>
      <c r="J11" s="389">
        <v>5</v>
      </c>
      <c r="K11" s="389"/>
      <c r="L11" s="389"/>
      <c r="M11" s="389">
        <v>3</v>
      </c>
      <c r="N11" s="389">
        <v>2</v>
      </c>
      <c r="O11" s="389">
        <v>5</v>
      </c>
      <c r="P11" s="389"/>
      <c r="Q11" s="389"/>
      <c r="R11" s="389"/>
      <c r="S11" s="389"/>
      <c r="T11" s="389"/>
      <c r="U11" s="389">
        <v>38</v>
      </c>
    </row>
    <row r="12" spans="1:21">
      <c r="A12" s="385" t="s">
        <v>113</v>
      </c>
      <c r="B12" s="389"/>
      <c r="C12" s="389"/>
      <c r="D12" s="389"/>
      <c r="E12" s="389"/>
      <c r="F12" s="389">
        <v>14</v>
      </c>
      <c r="G12" s="389"/>
      <c r="H12" s="389">
        <v>2</v>
      </c>
      <c r="I12" s="389"/>
      <c r="J12" s="389"/>
      <c r="K12" s="389"/>
      <c r="L12" s="389"/>
      <c r="M12" s="389"/>
      <c r="N12" s="389"/>
      <c r="O12" s="389"/>
      <c r="P12" s="389"/>
      <c r="Q12" s="389"/>
      <c r="R12" s="389">
        <v>3</v>
      </c>
      <c r="S12" s="389"/>
      <c r="T12" s="389"/>
      <c r="U12" s="389">
        <v>19</v>
      </c>
    </row>
    <row r="13" spans="1:21">
      <c r="A13" s="385" t="s">
        <v>114</v>
      </c>
      <c r="B13" s="389"/>
      <c r="C13" s="389"/>
      <c r="D13" s="389"/>
      <c r="E13" s="389"/>
      <c r="F13" s="389">
        <v>8</v>
      </c>
      <c r="G13" s="389"/>
      <c r="H13" s="389"/>
      <c r="I13" s="389">
        <v>1</v>
      </c>
      <c r="J13" s="389"/>
      <c r="K13" s="389"/>
      <c r="L13" s="389"/>
      <c r="M13" s="389"/>
      <c r="N13" s="389"/>
      <c r="O13" s="389"/>
      <c r="P13" s="389"/>
      <c r="Q13" s="389"/>
      <c r="R13" s="389">
        <v>1</v>
      </c>
      <c r="S13" s="389"/>
      <c r="T13" s="389"/>
      <c r="U13" s="389">
        <v>10</v>
      </c>
    </row>
    <row r="14" spans="1:21">
      <c r="A14" s="385" t="s">
        <v>115</v>
      </c>
      <c r="B14" s="389">
        <v>3</v>
      </c>
      <c r="C14" s="389">
        <v>14</v>
      </c>
      <c r="D14" s="389">
        <v>6</v>
      </c>
      <c r="E14" s="389"/>
      <c r="F14" s="389"/>
      <c r="G14" s="389"/>
      <c r="H14" s="389"/>
      <c r="I14" s="389">
        <v>40</v>
      </c>
      <c r="J14" s="389">
        <v>7</v>
      </c>
      <c r="K14" s="389"/>
      <c r="L14" s="389">
        <v>10</v>
      </c>
      <c r="M14" s="389"/>
      <c r="N14" s="389"/>
      <c r="O14" s="389"/>
      <c r="P14" s="389"/>
      <c r="Q14" s="389"/>
      <c r="R14" s="389">
        <v>61</v>
      </c>
      <c r="S14" s="389">
        <v>37</v>
      </c>
      <c r="T14" s="389"/>
      <c r="U14" s="389">
        <v>178</v>
      </c>
    </row>
    <row r="15" spans="1:21">
      <c r="A15" s="385" t="s">
        <v>116</v>
      </c>
      <c r="B15" s="389">
        <v>4</v>
      </c>
      <c r="C15" s="389">
        <v>3</v>
      </c>
      <c r="D15" s="389"/>
      <c r="E15" s="389"/>
      <c r="F15" s="389"/>
      <c r="G15" s="389"/>
      <c r="H15" s="389"/>
      <c r="I15" s="389"/>
      <c r="J15" s="389"/>
      <c r="K15" s="389">
        <v>3</v>
      </c>
      <c r="L15" s="389">
        <v>7</v>
      </c>
      <c r="M15" s="389"/>
      <c r="N15" s="389"/>
      <c r="O15" s="389"/>
      <c r="P15" s="389">
        <v>5</v>
      </c>
      <c r="Q15" s="389">
        <v>5</v>
      </c>
      <c r="R15" s="389">
        <v>22</v>
      </c>
      <c r="S15" s="389">
        <v>19</v>
      </c>
      <c r="T15" s="389">
        <v>1</v>
      </c>
      <c r="U15" s="389">
        <v>69</v>
      </c>
    </row>
    <row r="16" spans="1:21">
      <c r="A16" s="385" t="s">
        <v>5321</v>
      </c>
      <c r="B16" s="389">
        <v>7</v>
      </c>
      <c r="C16" s="389">
        <v>17</v>
      </c>
      <c r="D16" s="389">
        <v>8</v>
      </c>
      <c r="E16" s="389">
        <v>2</v>
      </c>
      <c r="F16" s="389">
        <v>325</v>
      </c>
      <c r="G16" s="389">
        <v>4</v>
      </c>
      <c r="H16" s="389">
        <v>24</v>
      </c>
      <c r="I16" s="389">
        <v>58</v>
      </c>
      <c r="J16" s="389">
        <v>12</v>
      </c>
      <c r="K16" s="389">
        <v>3</v>
      </c>
      <c r="L16" s="389">
        <v>17</v>
      </c>
      <c r="M16" s="389">
        <v>3</v>
      </c>
      <c r="N16" s="389">
        <v>2</v>
      </c>
      <c r="O16" s="389">
        <v>5</v>
      </c>
      <c r="P16" s="389">
        <v>5</v>
      </c>
      <c r="Q16" s="389">
        <v>5</v>
      </c>
      <c r="R16" s="389">
        <v>87</v>
      </c>
      <c r="S16" s="389">
        <v>56</v>
      </c>
      <c r="T16" s="389">
        <v>1</v>
      </c>
      <c r="U16" s="389">
        <v>641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J651"/>
  <sheetViews>
    <sheetView showGridLines="0" topLeftCell="A4" zoomScaleNormal="100" workbookViewId="0">
      <pane ySplit="1" topLeftCell="A5" activePane="bottomLeft" state="frozen"/>
      <selection pane="bottomLeft" activeCell="E18" sqref="E18"/>
    </sheetView>
  </sheetViews>
  <sheetFormatPr defaultColWidth="9.140625" defaultRowHeight="12.75"/>
  <cols>
    <col min="1" max="1" width="8.28515625" style="368" bestFit="1" customWidth="1"/>
    <col min="2" max="2" width="41.140625" style="368" bestFit="1" customWidth="1"/>
    <col min="3" max="3" width="11.140625" style="368" bestFit="1" customWidth="1"/>
    <col min="4" max="4" width="13.28515625" style="372" customWidth="1"/>
    <col min="5" max="5" width="62.28515625" style="368" bestFit="1" customWidth="1"/>
    <col min="6" max="6" width="17.140625" style="368" customWidth="1"/>
    <col min="7" max="7" width="19.5703125" style="368" customWidth="1"/>
    <col min="8" max="8" width="43.140625" style="368" customWidth="1"/>
    <col min="9" max="9" width="9.85546875" style="101" bestFit="1" customWidth="1"/>
    <col min="10" max="10" width="25" style="368" bestFit="1" customWidth="1"/>
    <col min="11" max="16384" width="9.140625" style="368"/>
  </cols>
  <sheetData>
    <row r="1" spans="1:10" ht="15" customHeight="1">
      <c r="A1" s="393" t="s">
        <v>1076</v>
      </c>
      <c r="B1" s="393"/>
      <c r="C1" s="393"/>
      <c r="D1" s="393"/>
      <c r="E1" s="393"/>
      <c r="F1" s="393"/>
      <c r="G1" s="393"/>
      <c r="H1" s="393"/>
    </row>
    <row r="2" spans="1:10">
      <c r="A2" s="393"/>
      <c r="B2" s="393"/>
      <c r="C2" s="393"/>
      <c r="D2" s="393"/>
      <c r="E2" s="393"/>
      <c r="F2" s="393"/>
      <c r="G2" s="393"/>
      <c r="H2" s="393"/>
    </row>
    <row r="4" spans="1:10">
      <c r="A4" s="102" t="s">
        <v>1077</v>
      </c>
      <c r="B4" s="102" t="s">
        <v>120</v>
      </c>
      <c r="C4" s="102" t="s">
        <v>119</v>
      </c>
      <c r="D4" s="102" t="s">
        <v>121</v>
      </c>
      <c r="E4" s="102" t="s">
        <v>107</v>
      </c>
      <c r="F4" s="102" t="s">
        <v>1078</v>
      </c>
      <c r="G4" s="102" t="s">
        <v>1079</v>
      </c>
      <c r="H4" s="103" t="s">
        <v>122</v>
      </c>
      <c r="I4" s="104" t="s">
        <v>1080</v>
      </c>
      <c r="J4" s="103" t="s">
        <v>1081</v>
      </c>
    </row>
    <row r="5" spans="1:10">
      <c r="A5" s="105">
        <f t="shared" ref="A5:A68" si="0">ROW(A1)</f>
        <v>1</v>
      </c>
      <c r="B5" s="130" t="s">
        <v>114</v>
      </c>
      <c r="C5" s="131">
        <v>53030503</v>
      </c>
      <c r="D5" s="132" t="s">
        <v>5</v>
      </c>
      <c r="E5" s="132" t="s">
        <v>85</v>
      </c>
      <c r="F5" s="132" t="s">
        <v>1082</v>
      </c>
      <c r="G5" s="132" t="s">
        <v>1083</v>
      </c>
      <c r="H5" s="129" t="s">
        <v>110</v>
      </c>
      <c r="I5" s="133">
        <v>37653</v>
      </c>
      <c r="J5" s="129" t="str">
        <f t="shared" ref="J5:J92" ca="1" si="1">IF(ISNUMBER(I5),DATEDIF(I5,TODAY(),"Y")&amp;" Tahun "&amp;DATEDIF(I5,TODAY(),"YM")&amp;" Bulan "&amp;DATEDIF(I5,TODAY(),"MD")&amp;" Hari","")</f>
        <v>23 Tahun 8 Bulan 12 Hari</v>
      </c>
    </row>
    <row r="6" spans="1:10">
      <c r="A6" s="105">
        <f t="shared" si="0"/>
        <v>2</v>
      </c>
      <c r="B6" s="130" t="s">
        <v>142</v>
      </c>
      <c r="C6" s="134">
        <v>83064072</v>
      </c>
      <c r="D6" s="132" t="s">
        <v>5</v>
      </c>
      <c r="E6" s="132" t="s">
        <v>21</v>
      </c>
      <c r="F6" s="132" t="s">
        <v>1082</v>
      </c>
      <c r="G6" s="132" t="s">
        <v>1083</v>
      </c>
      <c r="H6" s="129" t="s">
        <v>114</v>
      </c>
      <c r="I6" s="135">
        <v>39052</v>
      </c>
      <c r="J6" s="129" t="str">
        <f ca="1">IF(ISNUMBER(I6),DATEDIF(I6,TODAY(),"Y")&amp;" Tahun "&amp;DATEDIF(I6,TODAY(),"YM")&amp;" Bulan "&amp;DATEDIF(I6,TODAY(),"MD")&amp;" Hari","")</f>
        <v>19 Tahun 10 Bulan 12 Hari</v>
      </c>
    </row>
    <row r="7" spans="1:10">
      <c r="A7" s="105">
        <f t="shared" si="0"/>
        <v>3</v>
      </c>
      <c r="B7" s="130" t="s">
        <v>109</v>
      </c>
      <c r="C7" s="131">
        <v>53020311</v>
      </c>
      <c r="D7" s="132" t="s">
        <v>5</v>
      </c>
      <c r="E7" s="130" t="s">
        <v>94</v>
      </c>
      <c r="F7" s="132" t="s">
        <v>1082</v>
      </c>
      <c r="G7" s="132" t="s">
        <v>1083</v>
      </c>
      <c r="H7" s="129" t="s">
        <v>114</v>
      </c>
      <c r="I7" s="135">
        <v>40903</v>
      </c>
      <c r="J7" s="129" t="str">
        <f ca="1">IF(ISNUMBER(I7),DATEDIF(I7,TODAY(),"Y")&amp;" Tahun "&amp;DATEDIF(I7,TODAY(),"YM")&amp;" Bulan "&amp;DATEDIF(I7,TODAY(),"MD")&amp;" Hari","")</f>
        <v>14 Tahun 9 Bulan 17 Hari</v>
      </c>
    </row>
    <row r="8" spans="1:10">
      <c r="A8" s="105">
        <f t="shared" si="0"/>
        <v>4</v>
      </c>
      <c r="B8" s="108" t="s">
        <v>204</v>
      </c>
      <c r="C8" s="110">
        <v>240740</v>
      </c>
      <c r="D8" s="108" t="s">
        <v>5</v>
      </c>
      <c r="E8" s="108" t="s">
        <v>98</v>
      </c>
      <c r="F8" s="108" t="s">
        <v>1084</v>
      </c>
      <c r="G8" s="108" t="s">
        <v>1085</v>
      </c>
      <c r="H8" s="105" t="s">
        <v>109</v>
      </c>
      <c r="I8" s="127">
        <v>40343</v>
      </c>
      <c r="J8" s="105" t="str">
        <f t="shared" ca="1" si="1"/>
        <v>16 Tahun 3 Bulan 29 Hari</v>
      </c>
    </row>
    <row r="9" spans="1:10">
      <c r="A9" s="105">
        <f t="shared" si="0"/>
        <v>5</v>
      </c>
      <c r="B9" s="108" t="s">
        <v>1086</v>
      </c>
      <c r="C9" s="110">
        <v>240879</v>
      </c>
      <c r="D9" s="108" t="s">
        <v>5</v>
      </c>
      <c r="E9" s="108" t="s">
        <v>98</v>
      </c>
      <c r="F9" s="108" t="s">
        <v>1084</v>
      </c>
      <c r="G9" s="108" t="s">
        <v>1085</v>
      </c>
      <c r="H9" s="105" t="s">
        <v>109</v>
      </c>
      <c r="I9" s="127">
        <v>41617</v>
      </c>
      <c r="J9" s="105" t="str">
        <f t="shared" ca="1" si="1"/>
        <v>12 Tahun 10 Bulan 4 Hari</v>
      </c>
    </row>
    <row r="10" spans="1:10">
      <c r="A10" s="105">
        <f t="shared" si="0"/>
        <v>6</v>
      </c>
      <c r="B10" s="106" t="s">
        <v>208</v>
      </c>
      <c r="C10" s="107">
        <v>53041523</v>
      </c>
      <c r="D10" s="108" t="s">
        <v>5</v>
      </c>
      <c r="E10" s="108" t="s">
        <v>98</v>
      </c>
      <c r="F10" s="108" t="s">
        <v>1082</v>
      </c>
      <c r="G10" s="108" t="s">
        <v>1083</v>
      </c>
      <c r="H10" s="105" t="s">
        <v>109</v>
      </c>
      <c r="I10" s="127">
        <v>40673</v>
      </c>
      <c r="J10" s="105" t="str">
        <f t="shared" ca="1" si="1"/>
        <v>15 Tahun 5 Bulan 3 Hari</v>
      </c>
    </row>
    <row r="11" spans="1:10">
      <c r="A11" s="105">
        <f t="shared" si="0"/>
        <v>7</v>
      </c>
      <c r="B11" s="108" t="s">
        <v>209</v>
      </c>
      <c r="C11" s="110">
        <v>241923</v>
      </c>
      <c r="D11" s="108" t="s">
        <v>5</v>
      </c>
      <c r="E11" s="108" t="s">
        <v>98</v>
      </c>
      <c r="F11" s="108" t="s">
        <v>1084</v>
      </c>
      <c r="G11" s="108" t="s">
        <v>1083</v>
      </c>
      <c r="H11" s="105" t="s">
        <v>109</v>
      </c>
      <c r="I11" s="127">
        <v>40386</v>
      </c>
      <c r="J11" s="105" t="str">
        <f t="shared" ca="1" si="1"/>
        <v>16 Tahun 2 Bulan 16 Hari</v>
      </c>
    </row>
    <row r="12" spans="1:10">
      <c r="A12" s="105">
        <f t="shared" si="0"/>
        <v>8</v>
      </c>
      <c r="B12" s="108" t="s">
        <v>210</v>
      </c>
      <c r="C12" s="110">
        <v>241924</v>
      </c>
      <c r="D12" s="108" t="s">
        <v>5</v>
      </c>
      <c r="E12" s="108" t="s">
        <v>98</v>
      </c>
      <c r="F12" s="108" t="s">
        <v>1084</v>
      </c>
      <c r="G12" s="108" t="s">
        <v>1085</v>
      </c>
      <c r="H12" s="105" t="s">
        <v>109</v>
      </c>
      <c r="I12" s="127">
        <v>40889</v>
      </c>
      <c r="J12" s="105" t="str">
        <f t="shared" ca="1" si="1"/>
        <v>14 Tahun 10 Bulan 1 Hari</v>
      </c>
    </row>
    <row r="13" spans="1:10">
      <c r="A13" s="105">
        <f t="shared" si="0"/>
        <v>9</v>
      </c>
      <c r="B13" s="108" t="s">
        <v>127</v>
      </c>
      <c r="C13" s="110">
        <v>241925</v>
      </c>
      <c r="D13" s="108" t="s">
        <v>5</v>
      </c>
      <c r="E13" s="108" t="s">
        <v>98</v>
      </c>
      <c r="F13" s="108" t="s">
        <v>1084</v>
      </c>
      <c r="G13" s="108" t="s">
        <v>1083</v>
      </c>
      <c r="H13" s="105" t="s">
        <v>109</v>
      </c>
      <c r="I13" s="127">
        <v>42074</v>
      </c>
      <c r="J13" s="105" t="str">
        <f t="shared" ca="1" si="1"/>
        <v>11 Tahun 7 Bulan 2 Hari</v>
      </c>
    </row>
    <row r="14" spans="1:10">
      <c r="A14" s="105">
        <f t="shared" si="0"/>
        <v>10</v>
      </c>
      <c r="B14" s="108" t="s">
        <v>128</v>
      </c>
      <c r="C14" s="110">
        <v>241926</v>
      </c>
      <c r="D14" s="108" t="s">
        <v>5</v>
      </c>
      <c r="E14" s="108" t="s">
        <v>98</v>
      </c>
      <c r="F14" s="108" t="s">
        <v>1084</v>
      </c>
      <c r="G14" s="108" t="s">
        <v>1083</v>
      </c>
      <c r="H14" s="105" t="s">
        <v>109</v>
      </c>
      <c r="I14" s="127">
        <v>42219</v>
      </c>
      <c r="J14" s="105" t="str">
        <f t="shared" ca="1" si="1"/>
        <v>11 Tahun 2 Bulan 10 Hari</v>
      </c>
    </row>
    <row r="15" spans="1:10">
      <c r="A15" s="105">
        <f t="shared" si="0"/>
        <v>11</v>
      </c>
      <c r="B15" s="108" t="s">
        <v>1087</v>
      </c>
      <c r="C15" s="110">
        <v>83075849</v>
      </c>
      <c r="D15" s="108" t="s">
        <v>5</v>
      </c>
      <c r="E15" s="108" t="s">
        <v>98</v>
      </c>
      <c r="F15" s="108" t="s">
        <v>1082</v>
      </c>
      <c r="G15" s="108" t="s">
        <v>1083</v>
      </c>
      <c r="H15" s="105" t="s">
        <v>109</v>
      </c>
      <c r="I15" s="126">
        <v>39442</v>
      </c>
      <c r="J15" s="105" t="str">
        <f t="shared" ca="1" si="1"/>
        <v>18 Tahun 9 Bulan 17 Hari</v>
      </c>
    </row>
    <row r="16" spans="1:10">
      <c r="A16" s="105">
        <f t="shared" si="0"/>
        <v>12</v>
      </c>
      <c r="B16" s="130" t="s">
        <v>139</v>
      </c>
      <c r="C16" s="131">
        <v>83119910</v>
      </c>
      <c r="D16" s="132" t="s">
        <v>5</v>
      </c>
      <c r="E16" s="132" t="s">
        <v>89</v>
      </c>
      <c r="F16" s="132" t="s">
        <v>1082</v>
      </c>
      <c r="G16" s="132" t="s">
        <v>1083</v>
      </c>
      <c r="H16" s="129" t="s">
        <v>114</v>
      </c>
      <c r="I16" s="133">
        <v>40903</v>
      </c>
      <c r="J16" s="129" t="str">
        <f t="shared" ca="1" si="1"/>
        <v>14 Tahun 9 Bulan 17 Hari</v>
      </c>
    </row>
    <row r="17" spans="1:10" s="137" customFormat="1">
      <c r="A17" s="105">
        <f t="shared" si="0"/>
        <v>13</v>
      </c>
      <c r="B17" s="132" t="s">
        <v>371</v>
      </c>
      <c r="C17" s="136">
        <v>83063945</v>
      </c>
      <c r="D17" s="132" t="s">
        <v>5</v>
      </c>
      <c r="E17" s="132" t="s">
        <v>75</v>
      </c>
      <c r="F17" s="132" t="s">
        <v>1082</v>
      </c>
      <c r="G17" s="132" t="s">
        <v>1083</v>
      </c>
      <c r="H17" s="129" t="s">
        <v>117</v>
      </c>
      <c r="I17" s="135">
        <v>40406</v>
      </c>
      <c r="J17" s="129" t="str">
        <f ca="1">IF(ISNUMBER(I17),DATEDIF(I17,TODAY(),"Y")&amp;" Tahun "&amp;DATEDIF(I17,TODAY(),"YM")&amp;" Bulan "&amp;DATEDIF(I17,TODAY(),"MD")&amp;" Hari","")</f>
        <v>16 Tahun 1 Bulan 27 Hari</v>
      </c>
    </row>
    <row r="18" spans="1:10">
      <c r="A18" s="105">
        <f t="shared" si="0"/>
        <v>14</v>
      </c>
      <c r="B18" s="106" t="s">
        <v>1088</v>
      </c>
      <c r="C18" s="107">
        <v>83102747</v>
      </c>
      <c r="D18" s="108" t="s">
        <v>5</v>
      </c>
      <c r="E18" s="108" t="s">
        <v>96</v>
      </c>
      <c r="F18" s="108" t="s">
        <v>1082</v>
      </c>
      <c r="G18" s="108" t="s">
        <v>1085</v>
      </c>
      <c r="H18" s="105" t="s">
        <v>117</v>
      </c>
      <c r="I18" s="126">
        <v>40343</v>
      </c>
      <c r="J18" s="105" t="str">
        <f t="shared" ca="1" si="1"/>
        <v>16 Tahun 3 Bulan 29 Hari</v>
      </c>
    </row>
    <row r="19" spans="1:10">
      <c r="A19" s="105">
        <f t="shared" si="0"/>
        <v>15</v>
      </c>
      <c r="B19" s="106" t="s">
        <v>243</v>
      </c>
      <c r="C19" s="107">
        <v>83130108</v>
      </c>
      <c r="D19" s="108" t="s">
        <v>5</v>
      </c>
      <c r="E19" s="108" t="s">
        <v>96</v>
      </c>
      <c r="F19" s="108" t="s">
        <v>1082</v>
      </c>
      <c r="G19" s="108" t="s">
        <v>1085</v>
      </c>
      <c r="H19" s="105" t="s">
        <v>117</v>
      </c>
      <c r="I19" s="127">
        <v>41290</v>
      </c>
      <c r="J19" s="105" t="str">
        <f t="shared" ref="J19:J24" ca="1" si="2">IF(ISNUMBER(I19),DATEDIF(I19,TODAY(),"Y")&amp;" Tahun "&amp;DATEDIF(I19,TODAY(),"YM")&amp;" Bulan "&amp;DATEDIF(I19,TODAY(),"MD")&amp;" Hari","")</f>
        <v>13 Tahun 8 Bulan 27 Hari</v>
      </c>
    </row>
    <row r="20" spans="1:10">
      <c r="A20" s="105">
        <f t="shared" si="0"/>
        <v>16</v>
      </c>
      <c r="B20" s="108" t="s">
        <v>1044</v>
      </c>
      <c r="C20" s="110">
        <v>240862</v>
      </c>
      <c r="D20" s="108" t="s">
        <v>5</v>
      </c>
      <c r="E20" s="108" t="s">
        <v>96</v>
      </c>
      <c r="F20" s="108" t="s">
        <v>1084</v>
      </c>
      <c r="G20" s="108" t="s">
        <v>1083</v>
      </c>
      <c r="H20" s="105" t="s">
        <v>117</v>
      </c>
      <c r="I20" s="127">
        <v>42072</v>
      </c>
      <c r="J20" s="105" t="str">
        <f t="shared" ca="1" si="2"/>
        <v>11 Tahun 7 Bulan 4 Hari</v>
      </c>
    </row>
    <row r="21" spans="1:10">
      <c r="A21" s="105">
        <f t="shared" si="0"/>
        <v>17</v>
      </c>
      <c r="B21" s="108" t="s">
        <v>1089</v>
      </c>
      <c r="C21" s="110">
        <v>240863</v>
      </c>
      <c r="D21" s="108" t="s">
        <v>5</v>
      </c>
      <c r="E21" s="108" t="s">
        <v>96</v>
      </c>
      <c r="F21" s="108" t="s">
        <v>1084</v>
      </c>
      <c r="G21" s="108" t="s">
        <v>1083</v>
      </c>
      <c r="H21" s="105" t="s">
        <v>117</v>
      </c>
      <c r="I21" s="127">
        <v>42072</v>
      </c>
      <c r="J21" s="105" t="str">
        <f t="shared" ca="1" si="2"/>
        <v>11 Tahun 7 Bulan 4 Hari</v>
      </c>
    </row>
    <row r="22" spans="1:10">
      <c r="A22" s="105">
        <f t="shared" si="0"/>
        <v>18</v>
      </c>
      <c r="B22" s="108" t="s">
        <v>1034</v>
      </c>
      <c r="C22" s="110">
        <v>241551</v>
      </c>
      <c r="D22" s="108" t="s">
        <v>5</v>
      </c>
      <c r="E22" s="108" t="s">
        <v>96</v>
      </c>
      <c r="F22" s="108" t="s">
        <v>1084</v>
      </c>
      <c r="G22" s="108" t="s">
        <v>1085</v>
      </c>
      <c r="H22" s="105" t="s">
        <v>117</v>
      </c>
      <c r="I22" s="127">
        <v>40479</v>
      </c>
      <c r="J22" s="105" t="str">
        <f t="shared" ca="1" si="2"/>
        <v>15 Tahun 11 Bulan 15 Hari</v>
      </c>
    </row>
    <row r="23" spans="1:10">
      <c r="A23" s="105">
        <f t="shared" si="0"/>
        <v>19</v>
      </c>
      <c r="B23" s="106" t="s">
        <v>153</v>
      </c>
      <c r="C23" s="107">
        <v>142262</v>
      </c>
      <c r="D23" s="108" t="s">
        <v>5</v>
      </c>
      <c r="E23" s="108" t="s">
        <v>96</v>
      </c>
      <c r="F23" s="108" t="s">
        <v>1082</v>
      </c>
      <c r="G23" s="108" t="s">
        <v>1083</v>
      </c>
      <c r="H23" s="105" t="s">
        <v>117</v>
      </c>
      <c r="I23" s="127">
        <v>41925</v>
      </c>
      <c r="J23" s="105" t="str">
        <f t="shared" ca="1" si="2"/>
        <v>12 Tahun 0 Bulan 0 Hari</v>
      </c>
    </row>
    <row r="24" spans="1:10">
      <c r="A24" s="105">
        <f t="shared" si="0"/>
        <v>20</v>
      </c>
      <c r="B24" s="108" t="s">
        <v>1065</v>
      </c>
      <c r="C24" s="117">
        <v>83102209</v>
      </c>
      <c r="D24" s="108" t="s">
        <v>5</v>
      </c>
      <c r="E24" s="108" t="s">
        <v>96</v>
      </c>
      <c r="F24" s="108" t="s">
        <v>1082</v>
      </c>
      <c r="G24" s="108" t="s">
        <v>1083</v>
      </c>
      <c r="H24" s="105" t="s">
        <v>111</v>
      </c>
      <c r="I24" s="109">
        <v>40278</v>
      </c>
      <c r="J24" s="105" t="str">
        <f t="shared" ca="1" si="2"/>
        <v>16 Tahun 6 Bulan 3 Hari</v>
      </c>
    </row>
    <row r="25" spans="1:10">
      <c r="A25" s="105">
        <f t="shared" si="0"/>
        <v>21</v>
      </c>
      <c r="B25" s="106" t="s">
        <v>1090</v>
      </c>
      <c r="C25" s="107">
        <v>146480</v>
      </c>
      <c r="D25" s="108" t="s">
        <v>5</v>
      </c>
      <c r="E25" s="108" t="s">
        <v>96</v>
      </c>
      <c r="F25" s="108" t="s">
        <v>1082</v>
      </c>
      <c r="G25" s="108" t="s">
        <v>1083</v>
      </c>
      <c r="H25" s="105" t="s">
        <v>117</v>
      </c>
      <c r="I25" s="126">
        <v>41949</v>
      </c>
      <c r="J25" s="105" t="str">
        <f t="shared" ca="1" si="1"/>
        <v>11 Tahun 11 Bulan 7 Hari</v>
      </c>
    </row>
    <row r="26" spans="1:10">
      <c r="A26" s="105">
        <f t="shared" si="0"/>
        <v>22</v>
      </c>
      <c r="B26" s="108" t="s">
        <v>347</v>
      </c>
      <c r="C26" s="111">
        <v>84122960</v>
      </c>
      <c r="D26" s="108" t="s">
        <v>5</v>
      </c>
      <c r="E26" s="108" t="s">
        <v>96</v>
      </c>
      <c r="F26" s="108" t="s">
        <v>1082</v>
      </c>
      <c r="G26" s="108" t="s">
        <v>1083</v>
      </c>
      <c r="H26" s="105" t="s">
        <v>117</v>
      </c>
      <c r="I26" s="109">
        <v>41122</v>
      </c>
      <c r="J26" s="105" t="str">
        <f t="shared" ref="J26:J32" ca="1" si="3">IF(ISNUMBER(I26),DATEDIF(I26,TODAY(),"Y")&amp;" Tahun "&amp;DATEDIF(I26,TODAY(),"YM")&amp;" Bulan "&amp;DATEDIF(I26,TODAY(),"MD")&amp;" Hari","")</f>
        <v>14 Tahun 2 Bulan 12 Hari</v>
      </c>
    </row>
    <row r="27" spans="1:10" s="137" customFormat="1">
      <c r="A27" s="105">
        <f t="shared" si="0"/>
        <v>23</v>
      </c>
      <c r="B27" s="130" t="s">
        <v>108</v>
      </c>
      <c r="C27" s="138">
        <v>83099398</v>
      </c>
      <c r="D27" s="132" t="s">
        <v>5</v>
      </c>
      <c r="E27" s="132" t="s">
        <v>91</v>
      </c>
      <c r="F27" s="132" t="s">
        <v>1082</v>
      </c>
      <c r="G27" s="132" t="s">
        <v>1083</v>
      </c>
      <c r="H27" s="129" t="s">
        <v>114</v>
      </c>
      <c r="I27" s="139">
        <v>39859</v>
      </c>
      <c r="J27" s="129" t="str">
        <f t="shared" ca="1" si="3"/>
        <v>17 Tahun 7 Bulan 28 Hari</v>
      </c>
    </row>
    <row r="28" spans="1:10" s="137" customFormat="1">
      <c r="A28" s="105">
        <f t="shared" si="0"/>
        <v>24</v>
      </c>
      <c r="B28" s="130" t="s">
        <v>1040</v>
      </c>
      <c r="C28" s="131">
        <v>152475</v>
      </c>
      <c r="D28" s="132" t="s">
        <v>5</v>
      </c>
      <c r="E28" s="130" t="s">
        <v>64</v>
      </c>
      <c r="F28" s="132" t="s">
        <v>1082</v>
      </c>
      <c r="G28" s="132" t="s">
        <v>1083</v>
      </c>
      <c r="H28" s="129" t="s">
        <v>108</v>
      </c>
      <c r="I28" s="139">
        <v>42219</v>
      </c>
      <c r="J28" s="129" t="str">
        <f t="shared" ca="1" si="3"/>
        <v>11 Tahun 2 Bulan 10 Hari</v>
      </c>
    </row>
    <row r="29" spans="1:10" s="137" customFormat="1">
      <c r="A29" s="105">
        <f t="shared" si="0"/>
        <v>25</v>
      </c>
      <c r="B29" s="130" t="s">
        <v>1093</v>
      </c>
      <c r="C29" s="131">
        <v>145323</v>
      </c>
      <c r="D29" s="132" t="s">
        <v>5</v>
      </c>
      <c r="E29" s="132" t="s">
        <v>65</v>
      </c>
      <c r="F29" s="132" t="s">
        <v>1082</v>
      </c>
      <c r="G29" s="132" t="s">
        <v>1083</v>
      </c>
      <c r="H29" s="129" t="s">
        <v>108</v>
      </c>
      <c r="I29" s="139">
        <v>41926</v>
      </c>
      <c r="J29" s="129" t="str">
        <f t="shared" ca="1" si="3"/>
        <v>11 Tahun 11 Bulan 29 Hari</v>
      </c>
    </row>
    <row r="30" spans="1:10" s="137" customFormat="1">
      <c r="A30" s="105">
        <f t="shared" si="0"/>
        <v>26</v>
      </c>
      <c r="B30" s="130" t="s">
        <v>818</v>
      </c>
      <c r="C30" s="138">
        <v>135040</v>
      </c>
      <c r="D30" s="132" t="s">
        <v>5</v>
      </c>
      <c r="E30" s="132" t="s">
        <v>66</v>
      </c>
      <c r="F30" s="132" t="s">
        <v>1082</v>
      </c>
      <c r="G30" s="132" t="s">
        <v>1083</v>
      </c>
      <c r="H30" s="129" t="s">
        <v>108</v>
      </c>
      <c r="I30" s="139">
        <v>41575</v>
      </c>
      <c r="J30" s="129" t="str">
        <f t="shared" ca="1" si="3"/>
        <v>12 Tahun 11 Bulan 15 Hari</v>
      </c>
    </row>
    <row r="31" spans="1:10" s="137" customFormat="1">
      <c r="A31" s="105">
        <f t="shared" si="0"/>
        <v>27</v>
      </c>
      <c r="B31" s="130" t="s">
        <v>113</v>
      </c>
      <c r="C31" s="131">
        <v>145340</v>
      </c>
      <c r="D31" s="132" t="s">
        <v>5</v>
      </c>
      <c r="E31" s="130" t="s">
        <v>88</v>
      </c>
      <c r="F31" s="132" t="s">
        <v>1082</v>
      </c>
      <c r="G31" s="132" t="s">
        <v>1083</v>
      </c>
      <c r="H31" s="129" t="s">
        <v>114</v>
      </c>
      <c r="I31" s="139">
        <v>41925</v>
      </c>
      <c r="J31" s="129" t="str">
        <f t="shared" ca="1" si="3"/>
        <v>12 Tahun 0 Bulan 0 Hari</v>
      </c>
    </row>
    <row r="32" spans="1:10">
      <c r="A32" s="105">
        <f t="shared" si="0"/>
        <v>28</v>
      </c>
      <c r="B32" s="106" t="s">
        <v>332</v>
      </c>
      <c r="C32" s="107">
        <v>53030972</v>
      </c>
      <c r="D32" s="108" t="s">
        <v>5</v>
      </c>
      <c r="E32" s="106" t="s">
        <v>20</v>
      </c>
      <c r="F32" s="108" t="s">
        <v>1082</v>
      </c>
      <c r="G32" s="108" t="s">
        <v>1083</v>
      </c>
      <c r="H32" s="105" t="s">
        <v>113</v>
      </c>
      <c r="I32" s="109">
        <v>37834</v>
      </c>
      <c r="J32" s="105" t="str">
        <f t="shared" ca="1" si="3"/>
        <v>23 Tahun 2 Bulan 12 Hari</v>
      </c>
    </row>
    <row r="33" spans="1:10">
      <c r="A33" s="105">
        <f t="shared" si="0"/>
        <v>29</v>
      </c>
      <c r="B33" s="106" t="s">
        <v>1096</v>
      </c>
      <c r="C33" s="107">
        <v>150978</v>
      </c>
      <c r="D33" s="108" t="s">
        <v>5</v>
      </c>
      <c r="E33" s="106" t="s">
        <v>20</v>
      </c>
      <c r="F33" s="108" t="s">
        <v>1082</v>
      </c>
      <c r="G33" s="108" t="s">
        <v>1083</v>
      </c>
      <c r="H33" s="105" t="s">
        <v>113</v>
      </c>
      <c r="I33" s="126">
        <v>42074</v>
      </c>
      <c r="J33" s="105" t="str">
        <f t="shared" ca="1" si="1"/>
        <v>11 Tahun 7 Bulan 2 Hari</v>
      </c>
    </row>
    <row r="34" spans="1:10">
      <c r="A34" s="105">
        <f t="shared" si="0"/>
        <v>30</v>
      </c>
      <c r="B34" s="106" t="s">
        <v>1097</v>
      </c>
      <c r="C34" s="107">
        <v>152472</v>
      </c>
      <c r="D34" s="108" t="s">
        <v>5</v>
      </c>
      <c r="E34" s="106" t="s">
        <v>20</v>
      </c>
      <c r="F34" s="108" t="s">
        <v>1082</v>
      </c>
      <c r="G34" s="108" t="s">
        <v>1083</v>
      </c>
      <c r="H34" s="105" t="s">
        <v>113</v>
      </c>
      <c r="I34" s="126">
        <v>42219</v>
      </c>
      <c r="J34" s="105" t="str">
        <f t="shared" ca="1" si="1"/>
        <v>11 Tahun 2 Bulan 10 Hari</v>
      </c>
    </row>
    <row r="35" spans="1:10">
      <c r="A35" s="105">
        <f t="shared" si="0"/>
        <v>31</v>
      </c>
      <c r="B35" s="108" t="s">
        <v>337</v>
      </c>
      <c r="C35" s="111">
        <v>135016</v>
      </c>
      <c r="D35" s="108" t="s">
        <v>5</v>
      </c>
      <c r="E35" s="106" t="s">
        <v>20</v>
      </c>
      <c r="F35" s="108" t="s">
        <v>1082</v>
      </c>
      <c r="G35" s="108" t="s">
        <v>1083</v>
      </c>
      <c r="H35" s="105" t="s">
        <v>113</v>
      </c>
      <c r="I35" s="109">
        <v>45854</v>
      </c>
      <c r="J35" s="105" t="str">
        <f t="shared" ref="J35:J44" ca="1" si="4">IF(ISNUMBER(I35),DATEDIF(I35,TODAY(),"Y")&amp;" Tahun "&amp;DATEDIF(I35,TODAY(),"YM")&amp;" Bulan "&amp;DATEDIF(I35,TODAY(),"MD")&amp;" Hari","")</f>
        <v>1 Tahun 2 Bulan 27 Hari</v>
      </c>
    </row>
    <row r="36" spans="1:10">
      <c r="A36" s="105">
        <f t="shared" si="0"/>
        <v>32</v>
      </c>
      <c r="B36" s="108" t="s">
        <v>338</v>
      </c>
      <c r="C36" s="111">
        <v>131844</v>
      </c>
      <c r="D36" s="108" t="s">
        <v>5</v>
      </c>
      <c r="E36" s="106" t="s">
        <v>20</v>
      </c>
      <c r="F36" s="108" t="s">
        <v>1082</v>
      </c>
      <c r="G36" s="108" t="s">
        <v>1083</v>
      </c>
      <c r="H36" s="105" t="s">
        <v>113</v>
      </c>
      <c r="I36" s="109">
        <v>41410</v>
      </c>
      <c r="J36" s="105" t="str">
        <f t="shared" ca="1" si="4"/>
        <v>13 Tahun 4 Bulan 27 Hari</v>
      </c>
    </row>
    <row r="37" spans="1:10">
      <c r="A37" s="105">
        <f t="shared" si="0"/>
        <v>33</v>
      </c>
      <c r="B37" s="108" t="s">
        <v>339</v>
      </c>
      <c r="C37" s="111">
        <v>83123903</v>
      </c>
      <c r="D37" s="108" t="s">
        <v>5</v>
      </c>
      <c r="E37" s="106" t="s">
        <v>20</v>
      </c>
      <c r="F37" s="108" t="s">
        <v>1082</v>
      </c>
      <c r="G37" s="108" t="s">
        <v>1083</v>
      </c>
      <c r="H37" s="105" t="s">
        <v>113</v>
      </c>
      <c r="I37" s="109">
        <v>41197</v>
      </c>
      <c r="J37" s="105" t="str">
        <f t="shared" ca="1" si="4"/>
        <v>13 Tahun 11 Bulan 28 Hari</v>
      </c>
    </row>
    <row r="38" spans="1:10">
      <c r="A38" s="105">
        <f t="shared" si="0"/>
        <v>34</v>
      </c>
      <c r="B38" s="108" t="s">
        <v>1070</v>
      </c>
      <c r="C38" s="111">
        <v>145524</v>
      </c>
      <c r="D38" s="108" t="s">
        <v>5</v>
      </c>
      <c r="E38" s="106" t="s">
        <v>20</v>
      </c>
      <c r="F38" s="108" t="s">
        <v>1082</v>
      </c>
      <c r="G38" s="108" t="s">
        <v>1083</v>
      </c>
      <c r="H38" s="105" t="s">
        <v>113</v>
      </c>
      <c r="I38" s="109">
        <v>41925</v>
      </c>
      <c r="J38" s="105" t="str">
        <f t="shared" ca="1" si="4"/>
        <v>12 Tahun 0 Bulan 0 Hari</v>
      </c>
    </row>
    <row r="39" spans="1:10">
      <c r="A39" s="105">
        <f t="shared" si="0"/>
        <v>35</v>
      </c>
      <c r="B39" s="108" t="s">
        <v>341</v>
      </c>
      <c r="C39" s="111">
        <v>83123901</v>
      </c>
      <c r="D39" s="108" t="s">
        <v>5</v>
      </c>
      <c r="E39" s="106" t="s">
        <v>20</v>
      </c>
      <c r="F39" s="108" t="s">
        <v>1082</v>
      </c>
      <c r="G39" s="108" t="s">
        <v>1083</v>
      </c>
      <c r="H39" s="105" t="s">
        <v>113</v>
      </c>
      <c r="I39" s="109">
        <v>41197</v>
      </c>
      <c r="J39" s="105" t="str">
        <f t="shared" ca="1" si="4"/>
        <v>13 Tahun 11 Bulan 28 Hari</v>
      </c>
    </row>
    <row r="40" spans="1:10">
      <c r="A40" s="105">
        <f t="shared" si="0"/>
        <v>36</v>
      </c>
      <c r="B40" s="108" t="s">
        <v>342</v>
      </c>
      <c r="C40" s="111">
        <v>145526</v>
      </c>
      <c r="D40" s="108" t="s">
        <v>5</v>
      </c>
      <c r="E40" s="106" t="s">
        <v>20</v>
      </c>
      <c r="F40" s="108" t="s">
        <v>1082</v>
      </c>
      <c r="G40" s="108" t="s">
        <v>1083</v>
      </c>
      <c r="H40" s="105" t="s">
        <v>113</v>
      </c>
      <c r="I40" s="109">
        <v>41925</v>
      </c>
      <c r="J40" s="105" t="str">
        <f t="shared" ca="1" si="4"/>
        <v>12 Tahun 0 Bulan 0 Hari</v>
      </c>
    </row>
    <row r="41" spans="1:10">
      <c r="A41" s="105">
        <f t="shared" si="0"/>
        <v>37</v>
      </c>
      <c r="B41" s="108" t="s">
        <v>343</v>
      </c>
      <c r="C41" s="111">
        <v>53031290</v>
      </c>
      <c r="D41" s="108" t="s">
        <v>5</v>
      </c>
      <c r="E41" s="106" t="s">
        <v>20</v>
      </c>
      <c r="F41" s="108" t="s">
        <v>1082</v>
      </c>
      <c r="G41" s="108" t="s">
        <v>1083</v>
      </c>
      <c r="H41" s="105" t="s">
        <v>113</v>
      </c>
      <c r="I41" s="109">
        <v>37895</v>
      </c>
      <c r="J41" s="105" t="str">
        <f t="shared" ca="1" si="4"/>
        <v>23 Tahun 0 Bulan 12 Hari</v>
      </c>
    </row>
    <row r="42" spans="1:10">
      <c r="A42" s="105">
        <f t="shared" si="0"/>
        <v>38</v>
      </c>
      <c r="B42" s="108" t="s">
        <v>344</v>
      </c>
      <c r="C42" s="111">
        <v>53041688</v>
      </c>
      <c r="D42" s="108" t="s">
        <v>5</v>
      </c>
      <c r="E42" s="106" t="s">
        <v>20</v>
      </c>
      <c r="F42" s="108" t="s">
        <v>1082</v>
      </c>
      <c r="G42" s="108" t="s">
        <v>1083</v>
      </c>
      <c r="H42" s="105" t="s">
        <v>113</v>
      </c>
      <c r="I42" s="109">
        <v>38108</v>
      </c>
      <c r="J42" s="105" t="str">
        <f t="shared" ca="1" si="4"/>
        <v>22 Tahun 5 Bulan 12 Hari</v>
      </c>
    </row>
    <row r="43" spans="1:10">
      <c r="A43" s="105">
        <f t="shared" si="0"/>
        <v>39</v>
      </c>
      <c r="B43" s="108" t="s">
        <v>345</v>
      </c>
      <c r="C43" s="111">
        <v>135028</v>
      </c>
      <c r="D43" s="108" t="s">
        <v>5</v>
      </c>
      <c r="E43" s="106" t="s">
        <v>20</v>
      </c>
      <c r="F43" s="108" t="s">
        <v>1082</v>
      </c>
      <c r="G43" s="108" t="s">
        <v>1083</v>
      </c>
      <c r="H43" s="105" t="s">
        <v>113</v>
      </c>
      <c r="I43" s="109">
        <v>41575</v>
      </c>
      <c r="J43" s="105" t="str">
        <f t="shared" ca="1" si="4"/>
        <v>12 Tahun 11 Bulan 15 Hari</v>
      </c>
    </row>
    <row r="44" spans="1:10">
      <c r="A44" s="105">
        <f t="shared" si="0"/>
        <v>40</v>
      </c>
      <c r="B44" s="108" t="s">
        <v>346</v>
      </c>
      <c r="C44" s="111">
        <v>131857</v>
      </c>
      <c r="D44" s="108" t="s">
        <v>5</v>
      </c>
      <c r="E44" s="106" t="s">
        <v>20</v>
      </c>
      <c r="F44" s="108" t="s">
        <v>1082</v>
      </c>
      <c r="G44" s="108" t="s">
        <v>1083</v>
      </c>
      <c r="H44" s="105" t="s">
        <v>113</v>
      </c>
      <c r="I44" s="109">
        <v>41410</v>
      </c>
      <c r="J44" s="105" t="str">
        <f t="shared" ca="1" si="4"/>
        <v>13 Tahun 4 Bulan 27 Hari</v>
      </c>
    </row>
    <row r="45" spans="1:10">
      <c r="A45" s="105">
        <f t="shared" si="0"/>
        <v>41</v>
      </c>
      <c r="B45" s="108" t="s">
        <v>1098</v>
      </c>
      <c r="C45" s="111">
        <v>146479</v>
      </c>
      <c r="D45" s="108" t="s">
        <v>5</v>
      </c>
      <c r="E45" s="106" t="s">
        <v>20</v>
      </c>
      <c r="F45" s="108" t="s">
        <v>1082</v>
      </c>
      <c r="G45" s="108" t="s">
        <v>1083</v>
      </c>
      <c r="H45" s="105" t="s">
        <v>113</v>
      </c>
      <c r="I45" s="126">
        <v>41949</v>
      </c>
      <c r="J45" s="105" t="str">
        <f t="shared" ca="1" si="1"/>
        <v>11 Tahun 11 Bulan 7 Hari</v>
      </c>
    </row>
    <row r="46" spans="1:10" s="137" customFormat="1">
      <c r="A46" s="105">
        <f t="shared" si="0"/>
        <v>42</v>
      </c>
      <c r="B46" s="132" t="s">
        <v>214</v>
      </c>
      <c r="C46" s="140">
        <v>145059</v>
      </c>
      <c r="D46" s="132" t="s">
        <v>1</v>
      </c>
      <c r="E46" s="132" t="s">
        <v>105</v>
      </c>
      <c r="F46" s="132" t="s">
        <v>1082</v>
      </c>
      <c r="G46" s="132" t="s">
        <v>1083</v>
      </c>
      <c r="H46" s="129" t="s">
        <v>116</v>
      </c>
      <c r="I46" s="139">
        <v>41862</v>
      </c>
      <c r="J46" s="129" t="str">
        <f ca="1">IF(ISNUMBER(I46),DATEDIF(I46,TODAY(),"Y")&amp;" Tahun "&amp;DATEDIF(I46,TODAY(),"YM")&amp;" Bulan "&amp;DATEDIF(I46,TODAY(),"MD")&amp;" Hari","")</f>
        <v>12 Tahun 2 Bulan 2 Hari</v>
      </c>
    </row>
    <row r="47" spans="1:10">
      <c r="A47" s="105">
        <f t="shared" si="0"/>
        <v>43</v>
      </c>
      <c r="B47" s="108" t="s">
        <v>213</v>
      </c>
      <c r="C47" s="113">
        <v>191558</v>
      </c>
      <c r="D47" s="108" t="s">
        <v>1</v>
      </c>
      <c r="E47" s="108" t="s">
        <v>84</v>
      </c>
      <c r="F47" s="108" t="s">
        <v>1082</v>
      </c>
      <c r="G47" s="108" t="s">
        <v>1083</v>
      </c>
      <c r="H47" s="105" t="s">
        <v>116</v>
      </c>
      <c r="I47" s="109">
        <v>43594</v>
      </c>
      <c r="J47" s="105" t="str">
        <f t="shared" ca="1" si="1"/>
        <v>7 Tahun 5 Bulan 4 Hari</v>
      </c>
    </row>
    <row r="48" spans="1:10">
      <c r="A48" s="105">
        <f t="shared" si="0"/>
        <v>44</v>
      </c>
      <c r="B48" s="108" t="s">
        <v>215</v>
      </c>
      <c r="C48" s="113">
        <v>131642</v>
      </c>
      <c r="D48" s="108" t="s">
        <v>1</v>
      </c>
      <c r="E48" s="108" t="s">
        <v>84</v>
      </c>
      <c r="F48" s="108" t="s">
        <v>1082</v>
      </c>
      <c r="G48" s="108" t="s">
        <v>1083</v>
      </c>
      <c r="H48" s="105" t="s">
        <v>116</v>
      </c>
      <c r="I48" s="109">
        <v>41395</v>
      </c>
      <c r="J48" s="105" t="str">
        <f t="shared" ca="1" si="1"/>
        <v>13 Tahun 5 Bulan 12 Hari</v>
      </c>
    </row>
    <row r="49" spans="1:10">
      <c r="A49" s="105">
        <f t="shared" si="0"/>
        <v>45</v>
      </c>
      <c r="B49" s="108" t="s">
        <v>1099</v>
      </c>
      <c r="C49" s="113">
        <v>83091136</v>
      </c>
      <c r="D49" s="108" t="s">
        <v>1</v>
      </c>
      <c r="E49" s="108" t="s">
        <v>84</v>
      </c>
      <c r="F49" s="108" t="s">
        <v>1082</v>
      </c>
      <c r="G49" s="108" t="s">
        <v>1083</v>
      </c>
      <c r="H49" s="105" t="s">
        <v>116</v>
      </c>
      <c r="I49" s="126">
        <v>40087</v>
      </c>
      <c r="J49" s="105" t="str">
        <f t="shared" ca="1" si="1"/>
        <v>17 Tahun 0 Bulan 12 Hari</v>
      </c>
    </row>
    <row r="50" spans="1:10">
      <c r="A50" s="105">
        <f t="shared" si="0"/>
        <v>46</v>
      </c>
      <c r="B50" s="108" t="s">
        <v>216</v>
      </c>
      <c r="C50" s="113">
        <v>133572</v>
      </c>
      <c r="D50" s="108" t="s">
        <v>1</v>
      </c>
      <c r="E50" s="108" t="s">
        <v>95</v>
      </c>
      <c r="F50" s="108" t="s">
        <v>1082</v>
      </c>
      <c r="G50" s="108" t="s">
        <v>1083</v>
      </c>
      <c r="H50" s="105" t="s">
        <v>115</v>
      </c>
      <c r="I50" s="109">
        <v>41501</v>
      </c>
      <c r="J50" s="105" t="str">
        <f t="shared" ca="1" si="1"/>
        <v>13 Tahun 1 Bulan 28 Hari</v>
      </c>
    </row>
    <row r="51" spans="1:10">
      <c r="A51" s="105">
        <f t="shared" si="0"/>
        <v>47</v>
      </c>
      <c r="B51" s="108" t="s">
        <v>217</v>
      </c>
      <c r="C51" s="113">
        <v>135259</v>
      </c>
      <c r="D51" s="108" t="s">
        <v>1</v>
      </c>
      <c r="E51" s="108" t="s">
        <v>95</v>
      </c>
      <c r="F51" s="108" t="s">
        <v>1082</v>
      </c>
      <c r="G51" s="108" t="s">
        <v>1083</v>
      </c>
      <c r="H51" s="105" t="s">
        <v>115</v>
      </c>
      <c r="I51" s="109">
        <v>41548</v>
      </c>
      <c r="J51" s="105" t="str">
        <f t="shared" ca="1" si="1"/>
        <v>13 Tahun 0 Bulan 12 Hari</v>
      </c>
    </row>
    <row r="52" spans="1:10">
      <c r="A52" s="105">
        <f t="shared" si="0"/>
        <v>48</v>
      </c>
      <c r="B52" s="108" t="s">
        <v>1100</v>
      </c>
      <c r="C52" s="113">
        <v>83103629</v>
      </c>
      <c r="D52" s="108" t="s">
        <v>1</v>
      </c>
      <c r="E52" s="108" t="s">
        <v>95</v>
      </c>
      <c r="F52" s="108" t="s">
        <v>1082</v>
      </c>
      <c r="G52" s="108" t="s">
        <v>1083</v>
      </c>
      <c r="H52" s="105" t="s">
        <v>115</v>
      </c>
      <c r="I52" s="126">
        <v>40406</v>
      </c>
      <c r="J52" s="105" t="str">
        <f t="shared" ca="1" si="1"/>
        <v>16 Tahun 1 Bulan 27 Hari</v>
      </c>
    </row>
    <row r="53" spans="1:10">
      <c r="A53" s="105">
        <f t="shared" si="0"/>
        <v>49</v>
      </c>
      <c r="B53" s="108" t="s">
        <v>136</v>
      </c>
      <c r="C53" s="110">
        <v>83040148</v>
      </c>
      <c r="D53" s="108" t="s">
        <v>2</v>
      </c>
      <c r="E53" s="108" t="s">
        <v>84</v>
      </c>
      <c r="F53" s="108" t="s">
        <v>1082</v>
      </c>
      <c r="G53" s="108" t="s">
        <v>1083</v>
      </c>
      <c r="H53" s="105" t="s">
        <v>116</v>
      </c>
      <c r="I53" s="109">
        <v>37987</v>
      </c>
      <c r="J53" s="105" t="str">
        <f t="shared" ca="1" si="1"/>
        <v>22 Tahun 9 Bulan 12 Hari</v>
      </c>
    </row>
    <row r="54" spans="1:10">
      <c r="A54" s="105">
        <f t="shared" si="0"/>
        <v>50</v>
      </c>
      <c r="B54" s="108" t="s">
        <v>1101</v>
      </c>
      <c r="C54" s="110">
        <v>131846</v>
      </c>
      <c r="D54" s="108" t="s">
        <v>2</v>
      </c>
      <c r="E54" s="108" t="s">
        <v>84</v>
      </c>
      <c r="F54" s="108" t="s">
        <v>1082</v>
      </c>
      <c r="G54" s="108" t="s">
        <v>1083</v>
      </c>
      <c r="H54" s="105" t="s">
        <v>116</v>
      </c>
      <c r="I54" s="109">
        <v>41410</v>
      </c>
      <c r="J54" s="105" t="str">
        <f t="shared" ca="1" si="1"/>
        <v>13 Tahun 4 Bulan 27 Hari</v>
      </c>
    </row>
    <row r="55" spans="1:10">
      <c r="A55" s="105">
        <f t="shared" si="0"/>
        <v>51</v>
      </c>
      <c r="B55" s="108" t="s">
        <v>5341</v>
      </c>
      <c r="C55" s="110">
        <v>142172</v>
      </c>
      <c r="D55" s="108" t="s">
        <v>2</v>
      </c>
      <c r="E55" s="108" t="s">
        <v>84</v>
      </c>
      <c r="F55" s="108" t="s">
        <v>1082</v>
      </c>
      <c r="G55" s="108" t="s">
        <v>1083</v>
      </c>
      <c r="H55" s="105" t="s">
        <v>116</v>
      </c>
      <c r="I55" s="109">
        <v>41746</v>
      </c>
      <c r="J55" s="105" t="str">
        <f t="shared" ca="1" si="1"/>
        <v>12 Tahun 5 Bulan 26 Hari</v>
      </c>
    </row>
    <row r="56" spans="1:10" s="137" customFormat="1">
      <c r="A56" s="105">
        <f t="shared" si="0"/>
        <v>52</v>
      </c>
      <c r="B56" s="130" t="s">
        <v>221</v>
      </c>
      <c r="C56" s="142">
        <v>131240</v>
      </c>
      <c r="D56" s="132" t="s">
        <v>2</v>
      </c>
      <c r="E56" s="132" t="s">
        <v>33</v>
      </c>
      <c r="F56" s="132" t="s">
        <v>1084</v>
      </c>
      <c r="G56" s="132" t="s">
        <v>1083</v>
      </c>
      <c r="H56" s="129" t="s">
        <v>115</v>
      </c>
      <c r="I56" s="139">
        <v>41354</v>
      </c>
      <c r="J56" s="129" t="str">
        <f ca="1">IF(ISNUMBER(I56),DATEDIF(I56,TODAY(),"Y")&amp;" Tahun "&amp;DATEDIF(I56,TODAY(),"YM")&amp;" Bulan "&amp;DATEDIF(I56,TODAY(),"MD")&amp;" Hari","")</f>
        <v>13 Tahun 6 Bulan 22 Hari</v>
      </c>
    </row>
    <row r="57" spans="1:10">
      <c r="A57" s="105">
        <f t="shared" si="0"/>
        <v>53</v>
      </c>
      <c r="B57" s="106" t="s">
        <v>219</v>
      </c>
      <c r="C57" s="284">
        <v>83120957</v>
      </c>
      <c r="D57" s="108" t="s">
        <v>2</v>
      </c>
      <c r="E57" s="108" t="s">
        <v>95</v>
      </c>
      <c r="F57" s="108" t="s">
        <v>1084</v>
      </c>
      <c r="G57" s="108" t="s">
        <v>1083</v>
      </c>
      <c r="H57" s="105" t="s">
        <v>115</v>
      </c>
      <c r="I57" s="109">
        <v>40989</v>
      </c>
      <c r="J57" s="105" t="str">
        <f t="shared" ca="1" si="1"/>
        <v>14 Tahun 6 Bulan 22 Hari</v>
      </c>
    </row>
    <row r="58" spans="1:10">
      <c r="A58" s="105">
        <f t="shared" si="0"/>
        <v>54</v>
      </c>
      <c r="B58" s="106" t="s">
        <v>220</v>
      </c>
      <c r="C58" s="284">
        <v>83119823</v>
      </c>
      <c r="D58" s="108" t="s">
        <v>2</v>
      </c>
      <c r="E58" s="108" t="s">
        <v>95</v>
      </c>
      <c r="F58" s="108" t="s">
        <v>1084</v>
      </c>
      <c r="G58" s="108" t="s">
        <v>1083</v>
      </c>
      <c r="H58" s="105" t="s">
        <v>115</v>
      </c>
      <c r="I58" s="109">
        <v>40883</v>
      </c>
      <c r="J58" s="105" t="str">
        <f t="shared" ca="1" si="1"/>
        <v>14 Tahun 10 Bulan 7 Hari</v>
      </c>
    </row>
    <row r="59" spans="1:10">
      <c r="A59" s="105">
        <f t="shared" si="0"/>
        <v>55</v>
      </c>
      <c r="B59" s="106" t="s">
        <v>223</v>
      </c>
      <c r="C59" s="284">
        <v>142954</v>
      </c>
      <c r="D59" s="108" t="s">
        <v>2</v>
      </c>
      <c r="E59" s="108" t="s">
        <v>95</v>
      </c>
      <c r="F59" s="108" t="s">
        <v>1084</v>
      </c>
      <c r="G59" s="108" t="s">
        <v>1083</v>
      </c>
      <c r="H59" s="105" t="s">
        <v>115</v>
      </c>
      <c r="I59" s="109">
        <v>41775</v>
      </c>
      <c r="J59" s="105" t="str">
        <f t="shared" ca="1" si="1"/>
        <v>12 Tahun 4 Bulan 27 Hari</v>
      </c>
    </row>
    <row r="60" spans="1:10">
      <c r="A60" s="105">
        <f t="shared" si="0"/>
        <v>56</v>
      </c>
      <c r="B60" s="106" t="s">
        <v>224</v>
      </c>
      <c r="C60" s="284">
        <v>145964</v>
      </c>
      <c r="D60" s="108" t="s">
        <v>2</v>
      </c>
      <c r="E60" s="108" t="s">
        <v>95</v>
      </c>
      <c r="F60" s="108" t="s">
        <v>1084</v>
      </c>
      <c r="G60" s="108" t="s">
        <v>1083</v>
      </c>
      <c r="H60" s="105" t="s">
        <v>115</v>
      </c>
      <c r="I60" s="109">
        <v>41926</v>
      </c>
      <c r="J60" s="105" t="str">
        <f t="shared" ca="1" si="1"/>
        <v>11 Tahun 11 Bulan 29 Hari</v>
      </c>
    </row>
    <row r="61" spans="1:10">
      <c r="A61" s="105">
        <f t="shared" si="0"/>
        <v>57</v>
      </c>
      <c r="B61" s="108" t="s">
        <v>226</v>
      </c>
      <c r="C61" s="115">
        <v>160810</v>
      </c>
      <c r="D61" s="108" t="s">
        <v>2</v>
      </c>
      <c r="E61" s="108" t="s">
        <v>95</v>
      </c>
      <c r="F61" s="108" t="s">
        <v>1084</v>
      </c>
      <c r="G61" s="108" t="s">
        <v>1083</v>
      </c>
      <c r="H61" s="105" t="s">
        <v>115</v>
      </c>
      <c r="I61" s="109">
        <v>42450</v>
      </c>
      <c r="J61" s="105" t="str">
        <f t="shared" ca="1" si="1"/>
        <v>10 Tahun 6 Bulan 22 Hari</v>
      </c>
    </row>
    <row r="62" spans="1:10">
      <c r="A62" s="105">
        <f t="shared" si="0"/>
        <v>58</v>
      </c>
      <c r="B62" s="106" t="s">
        <v>138</v>
      </c>
      <c r="C62" s="284">
        <v>146097</v>
      </c>
      <c r="D62" s="108" t="s">
        <v>2</v>
      </c>
      <c r="E62" s="108" t="s">
        <v>95</v>
      </c>
      <c r="F62" s="108" t="s">
        <v>1084</v>
      </c>
      <c r="G62" s="108" t="s">
        <v>1083</v>
      </c>
      <c r="H62" s="105" t="s">
        <v>115</v>
      </c>
      <c r="I62" s="109">
        <v>41934</v>
      </c>
      <c r="J62" s="105" t="str">
        <f t="shared" ca="1" si="1"/>
        <v>11 Tahun 11 Bulan 21 Hari</v>
      </c>
    </row>
    <row r="63" spans="1:10">
      <c r="A63" s="105">
        <f t="shared" si="0"/>
        <v>59</v>
      </c>
      <c r="B63" s="106" t="s">
        <v>227</v>
      </c>
      <c r="C63" s="284">
        <v>146453</v>
      </c>
      <c r="D63" s="108" t="s">
        <v>2</v>
      </c>
      <c r="E63" s="108" t="s">
        <v>95</v>
      </c>
      <c r="F63" s="108" t="s">
        <v>1084</v>
      </c>
      <c r="G63" s="108" t="s">
        <v>1083</v>
      </c>
      <c r="H63" s="105" t="s">
        <v>115</v>
      </c>
      <c r="I63" s="109">
        <v>41945</v>
      </c>
      <c r="J63" s="105" t="str">
        <f t="shared" ca="1" si="1"/>
        <v>11 Tahun 11 Bulan 11 Hari</v>
      </c>
    </row>
    <row r="64" spans="1:10">
      <c r="A64" s="105">
        <f t="shared" si="0"/>
        <v>60</v>
      </c>
      <c r="B64" s="106" t="s">
        <v>228</v>
      </c>
      <c r="C64" s="284">
        <v>146112</v>
      </c>
      <c r="D64" s="108" t="s">
        <v>2</v>
      </c>
      <c r="E64" s="108" t="s">
        <v>95</v>
      </c>
      <c r="F64" s="108" t="s">
        <v>1084</v>
      </c>
      <c r="G64" s="108" t="s">
        <v>1083</v>
      </c>
      <c r="H64" s="105" t="s">
        <v>115</v>
      </c>
      <c r="I64" s="109">
        <v>41945</v>
      </c>
      <c r="J64" s="105" t="str">
        <f t="shared" ca="1" si="1"/>
        <v>11 Tahun 11 Bulan 11 Hari</v>
      </c>
    </row>
    <row r="65" spans="1:10">
      <c r="A65" s="105">
        <f t="shared" si="0"/>
        <v>61</v>
      </c>
      <c r="B65" s="106" t="s">
        <v>229</v>
      </c>
      <c r="C65" s="284">
        <v>160797</v>
      </c>
      <c r="D65" s="108" t="s">
        <v>2</v>
      </c>
      <c r="E65" s="108" t="s">
        <v>95</v>
      </c>
      <c r="F65" s="108" t="s">
        <v>1084</v>
      </c>
      <c r="G65" s="108" t="s">
        <v>1083</v>
      </c>
      <c r="H65" s="105" t="s">
        <v>115</v>
      </c>
      <c r="I65" s="109">
        <v>42450</v>
      </c>
      <c r="J65" s="105" t="str">
        <f t="shared" ca="1" si="1"/>
        <v>10 Tahun 6 Bulan 22 Hari</v>
      </c>
    </row>
    <row r="66" spans="1:10">
      <c r="A66" s="105">
        <f t="shared" si="0"/>
        <v>62</v>
      </c>
      <c r="B66" s="106" t="s">
        <v>230</v>
      </c>
      <c r="C66" s="284">
        <v>153242</v>
      </c>
      <c r="D66" s="108" t="s">
        <v>2</v>
      </c>
      <c r="E66" s="108" t="s">
        <v>95</v>
      </c>
      <c r="F66" s="108" t="s">
        <v>1084</v>
      </c>
      <c r="G66" s="108" t="s">
        <v>1083</v>
      </c>
      <c r="H66" s="105" t="s">
        <v>115</v>
      </c>
      <c r="I66" s="109">
        <v>42254</v>
      </c>
      <c r="J66" s="105" t="str">
        <f t="shared" ca="1" si="1"/>
        <v>11 Tahun 1 Bulan 6 Hari</v>
      </c>
    </row>
    <row r="67" spans="1:10">
      <c r="A67" s="105">
        <f t="shared" si="0"/>
        <v>63</v>
      </c>
      <c r="B67" s="106" t="s">
        <v>231</v>
      </c>
      <c r="C67" s="284">
        <v>160829</v>
      </c>
      <c r="D67" s="108" t="s">
        <v>2</v>
      </c>
      <c r="E67" s="108" t="s">
        <v>95</v>
      </c>
      <c r="F67" s="108" t="s">
        <v>1084</v>
      </c>
      <c r="G67" s="108" t="s">
        <v>1083</v>
      </c>
      <c r="H67" s="105" t="s">
        <v>115</v>
      </c>
      <c r="I67" s="109">
        <v>42450</v>
      </c>
      <c r="J67" s="105" t="str">
        <f t="shared" ca="1" si="1"/>
        <v>10 Tahun 6 Bulan 22 Hari</v>
      </c>
    </row>
    <row r="68" spans="1:10">
      <c r="A68" s="105">
        <f t="shared" si="0"/>
        <v>64</v>
      </c>
      <c r="B68" s="108" t="s">
        <v>232</v>
      </c>
      <c r="C68" s="115">
        <v>173162</v>
      </c>
      <c r="D68" s="108" t="s">
        <v>2</v>
      </c>
      <c r="E68" s="108" t="s">
        <v>95</v>
      </c>
      <c r="F68" s="108" t="s">
        <v>1084</v>
      </c>
      <c r="G68" s="108" t="s">
        <v>1083</v>
      </c>
      <c r="H68" s="105" t="s">
        <v>115</v>
      </c>
      <c r="I68" s="109">
        <v>43070</v>
      </c>
      <c r="J68" s="105" t="str">
        <f t="shared" ca="1" si="1"/>
        <v>8 Tahun 10 Bulan 12 Hari</v>
      </c>
    </row>
    <row r="69" spans="1:10">
      <c r="A69" s="105">
        <f t="shared" ref="A69:A132" si="5">ROW(A65)</f>
        <v>65</v>
      </c>
      <c r="B69" s="106" t="s">
        <v>233</v>
      </c>
      <c r="C69" s="284">
        <v>145973</v>
      </c>
      <c r="D69" s="108" t="s">
        <v>2</v>
      </c>
      <c r="E69" s="108" t="s">
        <v>95</v>
      </c>
      <c r="F69" s="108" t="s">
        <v>1084</v>
      </c>
      <c r="G69" s="108" t="s">
        <v>1083</v>
      </c>
      <c r="H69" s="105" t="s">
        <v>115</v>
      </c>
      <c r="I69" s="109">
        <v>41928</v>
      </c>
      <c r="J69" s="105" t="str">
        <f t="shared" ca="1" si="1"/>
        <v>11 Tahun 11 Bulan 27 Hari</v>
      </c>
    </row>
    <row r="70" spans="1:10" s="137" customFormat="1">
      <c r="A70" s="105">
        <f t="shared" si="5"/>
        <v>66</v>
      </c>
      <c r="B70" s="130" t="s">
        <v>234</v>
      </c>
      <c r="C70" s="142">
        <v>155000</v>
      </c>
      <c r="D70" s="143" t="s">
        <v>3</v>
      </c>
      <c r="E70" s="132" t="s">
        <v>34</v>
      </c>
      <c r="F70" s="132" t="s">
        <v>1084</v>
      </c>
      <c r="G70" s="132" t="s">
        <v>1083</v>
      </c>
      <c r="H70" s="129" t="s">
        <v>115</v>
      </c>
      <c r="I70" s="139">
        <v>42359</v>
      </c>
      <c r="J70" s="129" t="str">
        <f t="shared" ca="1" si="1"/>
        <v>10 Tahun 9 Bulan 22 Hari</v>
      </c>
    </row>
    <row r="71" spans="1:10">
      <c r="A71" s="105">
        <f t="shared" si="5"/>
        <v>67</v>
      </c>
      <c r="B71" s="106" t="s">
        <v>235</v>
      </c>
      <c r="C71" s="284">
        <v>155002</v>
      </c>
      <c r="D71" s="376" t="s">
        <v>3</v>
      </c>
      <c r="E71" s="108" t="s">
        <v>95</v>
      </c>
      <c r="F71" s="108" t="s">
        <v>1084</v>
      </c>
      <c r="G71" s="108" t="s">
        <v>1083</v>
      </c>
      <c r="H71" s="105" t="s">
        <v>115</v>
      </c>
      <c r="I71" s="109">
        <v>42359</v>
      </c>
      <c r="J71" s="105" t="str">
        <f t="shared" ca="1" si="1"/>
        <v>10 Tahun 9 Bulan 22 Hari</v>
      </c>
    </row>
    <row r="72" spans="1:10">
      <c r="A72" s="105">
        <f t="shared" si="5"/>
        <v>68</v>
      </c>
      <c r="B72" s="106" t="s">
        <v>236</v>
      </c>
      <c r="C72" s="115">
        <v>173528</v>
      </c>
      <c r="D72" s="376" t="s">
        <v>3</v>
      </c>
      <c r="E72" s="108" t="s">
        <v>95</v>
      </c>
      <c r="F72" s="108" t="s">
        <v>1084</v>
      </c>
      <c r="G72" s="108" t="s">
        <v>1083</v>
      </c>
      <c r="H72" s="105" t="s">
        <v>115</v>
      </c>
      <c r="I72" s="109">
        <v>43094</v>
      </c>
      <c r="J72" s="105" t="str">
        <f t="shared" ca="1" si="1"/>
        <v>8 Tahun 9 Bulan 18 Hari</v>
      </c>
    </row>
    <row r="73" spans="1:10">
      <c r="A73" s="105">
        <f t="shared" si="5"/>
        <v>69</v>
      </c>
      <c r="B73" s="106" t="s">
        <v>237</v>
      </c>
      <c r="C73" s="284">
        <v>144643</v>
      </c>
      <c r="D73" s="376" t="s">
        <v>3</v>
      </c>
      <c r="E73" s="108" t="s">
        <v>95</v>
      </c>
      <c r="F73" s="108" t="s">
        <v>1084</v>
      </c>
      <c r="G73" s="108" t="s">
        <v>1083</v>
      </c>
      <c r="H73" s="105" t="s">
        <v>115</v>
      </c>
      <c r="I73" s="109">
        <v>41883</v>
      </c>
      <c r="J73" s="105" t="str">
        <f t="shared" ca="1" si="1"/>
        <v>12 Tahun 1 Bulan 12 Hari</v>
      </c>
    </row>
    <row r="74" spans="1:10">
      <c r="A74" s="105">
        <f t="shared" si="5"/>
        <v>70</v>
      </c>
      <c r="B74" s="106" t="s">
        <v>239</v>
      </c>
      <c r="C74" s="115">
        <v>173512</v>
      </c>
      <c r="D74" s="376" t="s">
        <v>3</v>
      </c>
      <c r="E74" s="108" t="s">
        <v>95</v>
      </c>
      <c r="F74" s="108" t="s">
        <v>1084</v>
      </c>
      <c r="G74" s="108" t="s">
        <v>1083</v>
      </c>
      <c r="H74" s="105" t="s">
        <v>115</v>
      </c>
      <c r="I74" s="109">
        <v>43089</v>
      </c>
      <c r="J74" s="105" t="str">
        <f t="shared" ca="1" si="1"/>
        <v>8 Tahun 9 Bulan 23 Hari</v>
      </c>
    </row>
    <row r="75" spans="1:10">
      <c r="A75" s="105">
        <f t="shared" si="5"/>
        <v>71</v>
      </c>
      <c r="B75" s="106" t="s">
        <v>240</v>
      </c>
      <c r="C75" s="115">
        <v>183399</v>
      </c>
      <c r="D75" s="376" t="s">
        <v>3</v>
      </c>
      <c r="E75" s="108" t="s">
        <v>95</v>
      </c>
      <c r="F75" s="108" t="s">
        <v>1084</v>
      </c>
      <c r="G75" s="108" t="s">
        <v>1083</v>
      </c>
      <c r="H75" s="105" t="s">
        <v>115</v>
      </c>
      <c r="I75" s="109">
        <v>43385</v>
      </c>
      <c r="J75" s="105" t="str">
        <f t="shared" ca="1" si="1"/>
        <v>8 Tahun 0 Bulan 1 Hari</v>
      </c>
    </row>
    <row r="76" spans="1:10">
      <c r="A76" s="105">
        <f t="shared" si="5"/>
        <v>72</v>
      </c>
      <c r="B76" s="106" t="s">
        <v>1102</v>
      </c>
      <c r="C76" s="115">
        <v>143708</v>
      </c>
      <c r="D76" s="376" t="s">
        <v>3</v>
      </c>
      <c r="E76" s="108" t="s">
        <v>84</v>
      </c>
      <c r="F76" s="108" t="s">
        <v>1082</v>
      </c>
      <c r="G76" s="108" t="s">
        <v>1083</v>
      </c>
      <c r="H76" s="105" t="s">
        <v>112</v>
      </c>
      <c r="I76" s="126">
        <v>41806</v>
      </c>
      <c r="J76" s="105" t="str">
        <f t="shared" ca="1" si="1"/>
        <v>12 Tahun 3 Bulan 27 Hari</v>
      </c>
    </row>
    <row r="77" spans="1:10">
      <c r="A77" s="105">
        <f t="shared" si="5"/>
        <v>73</v>
      </c>
      <c r="B77" s="106" t="s">
        <v>1103</v>
      </c>
      <c r="C77" s="115">
        <v>142531</v>
      </c>
      <c r="D77" s="376" t="s">
        <v>3</v>
      </c>
      <c r="E77" s="108" t="s">
        <v>84</v>
      </c>
      <c r="F77" s="108" t="s">
        <v>1082</v>
      </c>
      <c r="G77" s="108" t="s">
        <v>1083</v>
      </c>
      <c r="H77" s="105" t="s">
        <v>112</v>
      </c>
      <c r="I77" s="126">
        <v>41764</v>
      </c>
      <c r="J77" s="105" t="str">
        <f t="shared" ca="1" si="1"/>
        <v>12 Tahun 5 Bulan 8 Hari</v>
      </c>
    </row>
    <row r="78" spans="1:10">
      <c r="A78" s="105">
        <f t="shared" si="5"/>
        <v>74</v>
      </c>
      <c r="B78" s="108" t="s">
        <v>242</v>
      </c>
      <c r="C78" s="110">
        <v>84087034</v>
      </c>
      <c r="D78" s="108" t="s">
        <v>4</v>
      </c>
      <c r="E78" s="108" t="s">
        <v>95</v>
      </c>
      <c r="F78" s="108" t="s">
        <v>1082</v>
      </c>
      <c r="G78" s="108" t="s">
        <v>1083</v>
      </c>
      <c r="H78" s="105" t="s">
        <v>118</v>
      </c>
      <c r="I78" s="109">
        <v>39610</v>
      </c>
      <c r="J78" s="105" t="str">
        <f t="shared" ca="1" si="1"/>
        <v>18 Tahun 4 Bulan 2 Hari</v>
      </c>
    </row>
    <row r="79" spans="1:10">
      <c r="A79" s="105">
        <f t="shared" si="5"/>
        <v>75</v>
      </c>
      <c r="B79" s="108" t="s">
        <v>1104</v>
      </c>
      <c r="C79" s="110">
        <v>171981</v>
      </c>
      <c r="D79" s="108" t="s">
        <v>4</v>
      </c>
      <c r="E79" s="108" t="s">
        <v>95</v>
      </c>
      <c r="F79" s="108" t="s">
        <v>1082</v>
      </c>
      <c r="G79" s="108" t="s">
        <v>1083</v>
      </c>
      <c r="H79" s="105" t="s">
        <v>118</v>
      </c>
      <c r="I79" s="109">
        <v>43003</v>
      </c>
      <c r="J79" s="105" t="str">
        <f ca="1">IF(ISNUMBER(I79),DATEDIF(I79,TODAY(),"Y")&amp;" Tahun "&amp;DATEDIF(I79,TODAY(),"YM")&amp;" Bulan "&amp;DATEDIF(I79,TODAY(),"MD")&amp;" Hari","")</f>
        <v>9 Tahun 0 Bulan 18 Hari</v>
      </c>
    </row>
    <row r="80" spans="1:10" s="137" customFormat="1">
      <c r="A80" s="105">
        <f t="shared" si="5"/>
        <v>76</v>
      </c>
      <c r="B80" s="130" t="s">
        <v>248</v>
      </c>
      <c r="C80" s="131">
        <v>83040043</v>
      </c>
      <c r="D80" s="132" t="s">
        <v>5</v>
      </c>
      <c r="E80" s="130" t="s">
        <v>90</v>
      </c>
      <c r="F80" s="132" t="s">
        <v>1082</v>
      </c>
      <c r="G80" s="132" t="s">
        <v>1083</v>
      </c>
      <c r="H80" s="129" t="s">
        <v>114</v>
      </c>
      <c r="I80" s="139">
        <v>37865</v>
      </c>
      <c r="J80" s="129" t="str">
        <f ca="1">IF(ISNUMBER(I80),DATEDIF(I80,TODAY(),"Y")&amp;" Tahun "&amp;DATEDIF(I80,TODAY(),"YM")&amp;" Bulan "&amp;DATEDIF(I80,TODAY(),"MD")&amp;" Hari","")</f>
        <v>23 Tahun 1 Bulan 12 Hari</v>
      </c>
    </row>
    <row r="81" spans="1:10" s="137" customFormat="1" ht="15" customHeight="1">
      <c r="A81" s="105">
        <f t="shared" si="5"/>
        <v>77</v>
      </c>
      <c r="B81" s="130" t="s">
        <v>147</v>
      </c>
      <c r="C81" s="131">
        <v>83040027</v>
      </c>
      <c r="D81" s="132" t="s">
        <v>5</v>
      </c>
      <c r="E81" s="130" t="s">
        <v>55</v>
      </c>
      <c r="F81" s="132" t="s">
        <v>1082</v>
      </c>
      <c r="G81" s="132" t="s">
        <v>1083</v>
      </c>
      <c r="H81" s="129" t="s">
        <v>111</v>
      </c>
      <c r="I81" s="139">
        <v>37894</v>
      </c>
      <c r="J81" s="129" t="str">
        <f ca="1">IF(ISNUMBER(I81),DATEDIF(I81,TODAY(),"Y")&amp;" Tahun "&amp;DATEDIF(I81,TODAY(),"YM")&amp;" Bulan "&amp;DATEDIF(I81,TODAY(),"MD")&amp;" Hari","")</f>
        <v>23 Tahun 0 Bulan 13 Hari</v>
      </c>
    </row>
    <row r="82" spans="1:10">
      <c r="A82" s="105">
        <f t="shared" si="5"/>
        <v>78</v>
      </c>
      <c r="B82" s="106" t="s">
        <v>244</v>
      </c>
      <c r="C82" s="107">
        <v>83075489</v>
      </c>
      <c r="D82" s="108" t="s">
        <v>5</v>
      </c>
      <c r="E82" s="108" t="s">
        <v>84</v>
      </c>
      <c r="F82" s="108" t="s">
        <v>1082</v>
      </c>
      <c r="G82" s="108" t="s">
        <v>1083</v>
      </c>
      <c r="H82" s="105" t="s">
        <v>111</v>
      </c>
      <c r="I82" s="109">
        <v>39375</v>
      </c>
      <c r="J82" s="105" t="str">
        <f t="shared" ca="1" si="1"/>
        <v>18 Tahun 11 Bulan 23 Hari</v>
      </c>
    </row>
    <row r="83" spans="1:10">
      <c r="A83" s="105">
        <f t="shared" si="5"/>
        <v>79</v>
      </c>
      <c r="B83" s="108" t="s">
        <v>200</v>
      </c>
      <c r="C83" s="111">
        <v>83122942</v>
      </c>
      <c r="D83" s="108" t="s">
        <v>5</v>
      </c>
      <c r="E83" s="108" t="s">
        <v>84</v>
      </c>
      <c r="F83" s="108" t="s">
        <v>1082</v>
      </c>
      <c r="G83" s="108" t="s">
        <v>1083</v>
      </c>
      <c r="H83" s="105" t="s">
        <v>111</v>
      </c>
      <c r="I83" s="109">
        <v>41122</v>
      </c>
      <c r="J83" s="105" t="str">
        <f ca="1">IF(ISNUMBER(I83),DATEDIF(I83,TODAY(),"Y")&amp;" Tahun "&amp;DATEDIF(I83,TODAY(),"YM")&amp;" Bulan "&amp;DATEDIF(I83,TODAY(),"MD")&amp;" Hari","")</f>
        <v>14 Tahun 2 Bulan 12 Hari</v>
      </c>
    </row>
    <row r="84" spans="1:10">
      <c r="A84" s="105">
        <f t="shared" si="5"/>
        <v>80</v>
      </c>
      <c r="B84" s="106" t="s">
        <v>144</v>
      </c>
      <c r="C84" s="107">
        <v>83102220</v>
      </c>
      <c r="D84" s="108" t="s">
        <v>5</v>
      </c>
      <c r="E84" s="108" t="s">
        <v>84</v>
      </c>
      <c r="F84" s="108" t="s">
        <v>1082</v>
      </c>
      <c r="G84" s="108" t="s">
        <v>1083</v>
      </c>
      <c r="H84" s="105" t="s">
        <v>111</v>
      </c>
      <c r="I84" s="109">
        <v>40283</v>
      </c>
      <c r="J84" s="105" t="str">
        <f t="shared" ca="1" si="1"/>
        <v>16 Tahun 5 Bulan 28 Hari</v>
      </c>
    </row>
    <row r="85" spans="1:10">
      <c r="A85" s="105">
        <f t="shared" si="5"/>
        <v>81</v>
      </c>
      <c r="B85" s="106" t="s">
        <v>245</v>
      </c>
      <c r="C85" s="107">
        <v>145550</v>
      </c>
      <c r="D85" s="108" t="s">
        <v>5</v>
      </c>
      <c r="E85" s="108" t="s">
        <v>84</v>
      </c>
      <c r="F85" s="108" t="s">
        <v>1082</v>
      </c>
      <c r="G85" s="108" t="s">
        <v>1083</v>
      </c>
      <c r="H85" s="105" t="s">
        <v>111</v>
      </c>
      <c r="I85" s="109">
        <v>41925</v>
      </c>
      <c r="J85" s="105" t="str">
        <f t="shared" ca="1" si="1"/>
        <v>12 Tahun 0 Bulan 0 Hari</v>
      </c>
    </row>
    <row r="86" spans="1:10">
      <c r="A86" s="105">
        <f t="shared" si="5"/>
        <v>82</v>
      </c>
      <c r="B86" s="106" t="s">
        <v>246</v>
      </c>
      <c r="C86" s="107">
        <v>83040052</v>
      </c>
      <c r="D86" s="108" t="s">
        <v>5</v>
      </c>
      <c r="E86" s="108" t="s">
        <v>84</v>
      </c>
      <c r="F86" s="108" t="s">
        <v>1082</v>
      </c>
      <c r="G86" s="108" t="s">
        <v>1083</v>
      </c>
      <c r="H86" s="105" t="s">
        <v>111</v>
      </c>
      <c r="I86" s="109">
        <v>37893</v>
      </c>
      <c r="J86" s="105" t="str">
        <f t="shared" ca="1" si="1"/>
        <v>23 Tahun 0 Bulan 14 Hari</v>
      </c>
    </row>
    <row r="87" spans="1:10">
      <c r="A87" s="105">
        <f t="shared" si="5"/>
        <v>83</v>
      </c>
      <c r="B87" s="106" t="s">
        <v>146</v>
      </c>
      <c r="C87" s="107">
        <v>83122886</v>
      </c>
      <c r="D87" s="108" t="s">
        <v>5</v>
      </c>
      <c r="E87" s="108" t="s">
        <v>84</v>
      </c>
      <c r="F87" s="108" t="s">
        <v>1082</v>
      </c>
      <c r="G87" s="108" t="s">
        <v>1083</v>
      </c>
      <c r="H87" s="105" t="s">
        <v>111</v>
      </c>
      <c r="I87" s="109">
        <v>41108</v>
      </c>
      <c r="J87" s="105" t="str">
        <f t="shared" ca="1" si="1"/>
        <v>14 Tahun 2 Bulan 25 Hari</v>
      </c>
    </row>
    <row r="88" spans="1:10">
      <c r="A88" s="105">
        <f t="shared" si="5"/>
        <v>84</v>
      </c>
      <c r="B88" s="106" t="s">
        <v>247</v>
      </c>
      <c r="C88" s="107">
        <v>53030510</v>
      </c>
      <c r="D88" s="108" t="s">
        <v>5</v>
      </c>
      <c r="E88" s="108" t="s">
        <v>84</v>
      </c>
      <c r="F88" s="108" t="s">
        <v>1082</v>
      </c>
      <c r="G88" s="108" t="s">
        <v>1083</v>
      </c>
      <c r="H88" s="105" t="s">
        <v>111</v>
      </c>
      <c r="I88" s="109">
        <v>37653</v>
      </c>
      <c r="J88" s="105" t="str">
        <f t="shared" ca="1" si="1"/>
        <v>23 Tahun 8 Bulan 12 Hari</v>
      </c>
    </row>
    <row r="89" spans="1:10" s="137" customFormat="1">
      <c r="A89" s="105">
        <f t="shared" si="5"/>
        <v>85</v>
      </c>
      <c r="B89" s="130" t="s">
        <v>250</v>
      </c>
      <c r="C89" s="131">
        <v>83040026</v>
      </c>
      <c r="D89" s="132" t="s">
        <v>5</v>
      </c>
      <c r="E89" s="130" t="s">
        <v>67</v>
      </c>
      <c r="F89" s="132" t="s">
        <v>1082</v>
      </c>
      <c r="G89" s="132" t="s">
        <v>1083</v>
      </c>
      <c r="H89" s="129" t="s">
        <v>111</v>
      </c>
      <c r="I89" s="139">
        <v>37865</v>
      </c>
      <c r="J89" s="129" t="str">
        <f t="shared" ca="1" si="1"/>
        <v>23 Tahun 1 Bulan 12 Hari</v>
      </c>
    </row>
    <row r="90" spans="1:10" s="137" customFormat="1">
      <c r="A90" s="105">
        <f t="shared" si="5"/>
        <v>86</v>
      </c>
      <c r="B90" s="130" t="s">
        <v>252</v>
      </c>
      <c r="C90" s="131">
        <v>83040029</v>
      </c>
      <c r="D90" s="132" t="s">
        <v>5</v>
      </c>
      <c r="E90" s="130" t="s">
        <v>68</v>
      </c>
      <c r="F90" s="132" t="s">
        <v>1082</v>
      </c>
      <c r="G90" s="132" t="s">
        <v>1083</v>
      </c>
      <c r="H90" s="129" t="s">
        <v>111</v>
      </c>
      <c r="I90" s="139">
        <v>37865</v>
      </c>
      <c r="J90" s="129" t="str">
        <f t="shared" ca="1" si="1"/>
        <v>23 Tahun 1 Bulan 12 Hari</v>
      </c>
    </row>
    <row r="91" spans="1:10" s="137" customFormat="1">
      <c r="A91" s="105">
        <f t="shared" si="5"/>
        <v>87</v>
      </c>
      <c r="B91" s="130" t="s">
        <v>253</v>
      </c>
      <c r="C91" s="131">
        <v>152469</v>
      </c>
      <c r="D91" s="132" t="s">
        <v>5</v>
      </c>
      <c r="E91" s="130" t="s">
        <v>83</v>
      </c>
      <c r="F91" s="132" t="s">
        <v>1082</v>
      </c>
      <c r="G91" s="132" t="s">
        <v>1083</v>
      </c>
      <c r="H91" s="129" t="s">
        <v>111</v>
      </c>
      <c r="I91" s="139">
        <v>42219</v>
      </c>
      <c r="J91" s="129" t="str">
        <f t="shared" ca="1" si="1"/>
        <v>11 Tahun 2 Bulan 10 Hari</v>
      </c>
    </row>
    <row r="92" spans="1:10" s="137" customFormat="1">
      <c r="A92" s="105">
        <f t="shared" si="5"/>
        <v>88</v>
      </c>
      <c r="B92" s="130" t="s">
        <v>255</v>
      </c>
      <c r="C92" s="138">
        <v>83088479</v>
      </c>
      <c r="D92" s="132" t="s">
        <v>5</v>
      </c>
      <c r="E92" s="130" t="s">
        <v>80</v>
      </c>
      <c r="F92" s="132" t="s">
        <v>1082</v>
      </c>
      <c r="G92" s="132" t="s">
        <v>1083</v>
      </c>
      <c r="H92" s="129" t="s">
        <v>111</v>
      </c>
      <c r="I92" s="139">
        <v>39751</v>
      </c>
      <c r="J92" s="129" t="str">
        <f t="shared" ca="1" si="1"/>
        <v>17 Tahun 11 Bulan 13 Hari</v>
      </c>
    </row>
    <row r="93" spans="1:10">
      <c r="A93" s="105">
        <f t="shared" si="5"/>
        <v>89</v>
      </c>
      <c r="B93" s="108" t="s">
        <v>152</v>
      </c>
      <c r="C93" s="111">
        <v>83074889</v>
      </c>
      <c r="D93" s="108" t="s">
        <v>5</v>
      </c>
      <c r="E93" s="108" t="s">
        <v>84</v>
      </c>
      <c r="F93" s="108" t="s">
        <v>1082</v>
      </c>
      <c r="G93" s="108" t="s">
        <v>1083</v>
      </c>
      <c r="H93" s="105" t="s">
        <v>111</v>
      </c>
      <c r="I93" s="122">
        <v>39264</v>
      </c>
      <c r="J93" s="105" t="str">
        <f t="shared" ref="J93:J151" ca="1" si="6">IF(ISNUMBER(I93),DATEDIF(I93,TODAY(),"Y")&amp;" Tahun "&amp;DATEDIF(I93,TODAY(),"YM")&amp;" Bulan "&amp;DATEDIF(I93,TODAY(),"MD")&amp;" Hari","")</f>
        <v>19 Tahun 3 Bulan 12 Hari</v>
      </c>
    </row>
    <row r="94" spans="1:10">
      <c r="A94" s="105">
        <f t="shared" si="5"/>
        <v>90</v>
      </c>
      <c r="B94" s="106" t="s">
        <v>257</v>
      </c>
      <c r="C94" s="112">
        <v>53031170</v>
      </c>
      <c r="D94" s="108" t="s">
        <v>5</v>
      </c>
      <c r="E94" s="108" t="s">
        <v>84</v>
      </c>
      <c r="F94" s="108" t="s">
        <v>1082</v>
      </c>
      <c r="G94" s="108" t="s">
        <v>1083</v>
      </c>
      <c r="H94" s="105" t="s">
        <v>111</v>
      </c>
      <c r="I94" s="109">
        <v>37865</v>
      </c>
      <c r="J94" s="105" t="str">
        <f t="shared" ca="1" si="6"/>
        <v>23 Tahun 1 Bulan 12 Hari</v>
      </c>
    </row>
    <row r="95" spans="1:10">
      <c r="A95" s="105">
        <f t="shared" si="5"/>
        <v>91</v>
      </c>
      <c r="B95" s="106" t="s">
        <v>258</v>
      </c>
      <c r="C95" s="112">
        <v>53030976</v>
      </c>
      <c r="D95" s="108" t="s">
        <v>5</v>
      </c>
      <c r="E95" s="108" t="s">
        <v>84</v>
      </c>
      <c r="F95" s="108" t="s">
        <v>1082</v>
      </c>
      <c r="G95" s="108" t="s">
        <v>1083</v>
      </c>
      <c r="H95" s="105" t="s">
        <v>111</v>
      </c>
      <c r="I95" s="109">
        <v>37863</v>
      </c>
      <c r="J95" s="105" t="str">
        <f t="shared" ca="1" si="6"/>
        <v>23 Tahun 1 Bulan 13 Hari</v>
      </c>
    </row>
    <row r="96" spans="1:10">
      <c r="A96" s="105">
        <f t="shared" si="5"/>
        <v>92</v>
      </c>
      <c r="B96" s="106" t="s">
        <v>259</v>
      </c>
      <c r="C96" s="107">
        <v>145556</v>
      </c>
      <c r="D96" s="108" t="s">
        <v>5</v>
      </c>
      <c r="E96" s="108" t="s">
        <v>84</v>
      </c>
      <c r="F96" s="108" t="s">
        <v>1082</v>
      </c>
      <c r="G96" s="108" t="s">
        <v>1083</v>
      </c>
      <c r="H96" s="105" t="s">
        <v>111</v>
      </c>
      <c r="I96" s="109">
        <v>41925</v>
      </c>
      <c r="J96" s="105" t="str">
        <f t="shared" ca="1" si="6"/>
        <v>12 Tahun 0 Bulan 0 Hari</v>
      </c>
    </row>
    <row r="97" spans="1:10" s="137" customFormat="1">
      <c r="A97" s="105">
        <f t="shared" si="5"/>
        <v>93</v>
      </c>
      <c r="B97" s="130" t="s">
        <v>155</v>
      </c>
      <c r="C97" s="138">
        <v>83040093</v>
      </c>
      <c r="D97" s="132" t="s">
        <v>5</v>
      </c>
      <c r="E97" s="132" t="s">
        <v>57</v>
      </c>
      <c r="F97" s="132" t="s">
        <v>1082</v>
      </c>
      <c r="G97" s="132" t="s">
        <v>1083</v>
      </c>
      <c r="H97" s="129" t="s">
        <v>111</v>
      </c>
      <c r="I97" s="139">
        <v>37895</v>
      </c>
      <c r="J97" s="129" t="str">
        <f t="shared" ca="1" si="6"/>
        <v>23 Tahun 0 Bulan 12 Hari</v>
      </c>
    </row>
    <row r="98" spans="1:10">
      <c r="A98" s="105">
        <f t="shared" si="5"/>
        <v>94</v>
      </c>
      <c r="B98" s="106" t="s">
        <v>261</v>
      </c>
      <c r="C98" s="107">
        <v>135044</v>
      </c>
      <c r="D98" s="108" t="s">
        <v>5</v>
      </c>
      <c r="E98" s="108" t="s">
        <v>84</v>
      </c>
      <c r="F98" s="108" t="s">
        <v>1082</v>
      </c>
      <c r="G98" s="108" t="s">
        <v>1083</v>
      </c>
      <c r="H98" s="105" t="s">
        <v>111</v>
      </c>
      <c r="I98" s="109">
        <v>41575</v>
      </c>
      <c r="J98" s="105" t="str">
        <f t="shared" ca="1" si="6"/>
        <v>12 Tahun 11 Bulan 15 Hari</v>
      </c>
    </row>
    <row r="99" spans="1:10">
      <c r="A99" s="105">
        <f t="shared" si="5"/>
        <v>95</v>
      </c>
      <c r="B99" s="106" t="s">
        <v>157</v>
      </c>
      <c r="C99" s="112">
        <v>83040049</v>
      </c>
      <c r="D99" s="108" t="s">
        <v>5</v>
      </c>
      <c r="E99" s="108" t="s">
        <v>84</v>
      </c>
      <c r="F99" s="108" t="s">
        <v>1082</v>
      </c>
      <c r="G99" s="108" t="s">
        <v>1083</v>
      </c>
      <c r="H99" s="105" t="s">
        <v>111</v>
      </c>
      <c r="I99" s="109">
        <v>37893</v>
      </c>
      <c r="J99" s="105" t="str">
        <f t="shared" ca="1" si="6"/>
        <v>23 Tahun 0 Bulan 14 Hari</v>
      </c>
    </row>
    <row r="100" spans="1:10">
      <c r="A100" s="105">
        <f t="shared" si="5"/>
        <v>96</v>
      </c>
      <c r="B100" s="106" t="s">
        <v>262</v>
      </c>
      <c r="C100" s="107">
        <v>145568</v>
      </c>
      <c r="D100" s="108" t="s">
        <v>5</v>
      </c>
      <c r="E100" s="108" t="s">
        <v>84</v>
      </c>
      <c r="F100" s="108" t="s">
        <v>1082</v>
      </c>
      <c r="G100" s="108" t="s">
        <v>1083</v>
      </c>
      <c r="H100" s="105" t="s">
        <v>111</v>
      </c>
      <c r="I100" s="109">
        <v>41925</v>
      </c>
      <c r="J100" s="105" t="str">
        <f t="shared" ca="1" si="6"/>
        <v>12 Tahun 0 Bulan 0 Hari</v>
      </c>
    </row>
    <row r="101" spans="1:10">
      <c r="A101" s="105">
        <f t="shared" si="5"/>
        <v>97</v>
      </c>
      <c r="B101" s="106" t="s">
        <v>263</v>
      </c>
      <c r="C101" s="377">
        <v>142264</v>
      </c>
      <c r="D101" s="108" t="s">
        <v>5</v>
      </c>
      <c r="E101" s="108" t="s">
        <v>84</v>
      </c>
      <c r="F101" s="108" t="s">
        <v>1082</v>
      </c>
      <c r="G101" s="108" t="s">
        <v>1083</v>
      </c>
      <c r="H101" s="105" t="s">
        <v>111</v>
      </c>
      <c r="I101" s="109">
        <v>41752</v>
      </c>
      <c r="J101" s="105" t="str">
        <f t="shared" ca="1" si="6"/>
        <v>12 Tahun 5 Bulan 20 Hari</v>
      </c>
    </row>
    <row r="102" spans="1:10">
      <c r="A102" s="105">
        <f t="shared" si="5"/>
        <v>98</v>
      </c>
      <c r="B102" s="106" t="s">
        <v>264</v>
      </c>
      <c r="C102" s="107">
        <v>83040098</v>
      </c>
      <c r="D102" s="108" t="s">
        <v>5</v>
      </c>
      <c r="E102" s="108" t="s">
        <v>84</v>
      </c>
      <c r="F102" s="108" t="s">
        <v>1082</v>
      </c>
      <c r="G102" s="108" t="s">
        <v>1083</v>
      </c>
      <c r="H102" s="105" t="s">
        <v>111</v>
      </c>
      <c r="I102" s="109">
        <v>37895</v>
      </c>
      <c r="J102" s="105" t="str">
        <f t="shared" ca="1" si="6"/>
        <v>23 Tahun 0 Bulan 12 Hari</v>
      </c>
    </row>
    <row r="103" spans="1:10" s="137" customFormat="1">
      <c r="A103" s="105">
        <f t="shared" si="5"/>
        <v>99</v>
      </c>
      <c r="B103" s="130" t="s">
        <v>265</v>
      </c>
      <c r="C103" s="138">
        <v>145318</v>
      </c>
      <c r="D103" s="132" t="s">
        <v>5</v>
      </c>
      <c r="E103" s="130" t="s">
        <v>82</v>
      </c>
      <c r="F103" s="132" t="s">
        <v>1082</v>
      </c>
      <c r="G103" s="132" t="s">
        <v>1083</v>
      </c>
      <c r="H103" s="129" t="s">
        <v>111</v>
      </c>
      <c r="I103" s="139">
        <v>41925</v>
      </c>
      <c r="J103" s="129" t="str">
        <f t="shared" ca="1" si="6"/>
        <v>12 Tahun 0 Bulan 0 Hari</v>
      </c>
    </row>
    <row r="104" spans="1:10">
      <c r="A104" s="105">
        <f t="shared" si="5"/>
        <v>100</v>
      </c>
      <c r="B104" s="106" t="s">
        <v>266</v>
      </c>
      <c r="C104" s="112">
        <v>145569</v>
      </c>
      <c r="D104" s="108" t="s">
        <v>5</v>
      </c>
      <c r="E104" s="108" t="s">
        <v>84</v>
      </c>
      <c r="F104" s="108" t="s">
        <v>1082</v>
      </c>
      <c r="G104" s="108" t="s">
        <v>1083</v>
      </c>
      <c r="H104" s="105" t="s">
        <v>111</v>
      </c>
      <c r="I104" s="109">
        <v>41925</v>
      </c>
      <c r="J104" s="105" t="str">
        <f t="shared" ca="1" si="6"/>
        <v>12 Tahun 0 Bulan 0 Hari</v>
      </c>
    </row>
    <row r="105" spans="1:10">
      <c r="A105" s="105">
        <f t="shared" si="5"/>
        <v>101</v>
      </c>
      <c r="B105" s="106" t="s">
        <v>267</v>
      </c>
      <c r="C105" s="112">
        <v>142243</v>
      </c>
      <c r="D105" s="108" t="s">
        <v>5</v>
      </c>
      <c r="E105" s="108" t="s">
        <v>84</v>
      </c>
      <c r="F105" s="108" t="s">
        <v>1082</v>
      </c>
      <c r="G105" s="108" t="s">
        <v>1083</v>
      </c>
      <c r="H105" s="105" t="s">
        <v>111</v>
      </c>
      <c r="I105" s="109">
        <v>41752</v>
      </c>
      <c r="J105" s="105" t="str">
        <f t="shared" ca="1" si="6"/>
        <v>12 Tahun 5 Bulan 20 Hari</v>
      </c>
    </row>
    <row r="106" spans="1:10">
      <c r="A106" s="105">
        <f t="shared" si="5"/>
        <v>102</v>
      </c>
      <c r="B106" s="106" t="s">
        <v>1105</v>
      </c>
      <c r="C106" s="112">
        <v>135015</v>
      </c>
      <c r="D106" s="108" t="s">
        <v>5</v>
      </c>
      <c r="E106" s="108" t="s">
        <v>84</v>
      </c>
      <c r="F106" s="108" t="s">
        <v>1082</v>
      </c>
      <c r="G106" s="108" t="s">
        <v>1083</v>
      </c>
      <c r="H106" s="105" t="s">
        <v>111</v>
      </c>
      <c r="I106" s="109">
        <v>45624</v>
      </c>
      <c r="J106" s="105" t="str">
        <f t="shared" ca="1" si="6"/>
        <v>1 Tahun 10 Bulan 15 Hari</v>
      </c>
    </row>
    <row r="107" spans="1:10">
      <c r="A107" s="105">
        <f t="shared" si="5"/>
        <v>103</v>
      </c>
      <c r="B107" s="106" t="s">
        <v>269</v>
      </c>
      <c r="C107" s="116">
        <v>145359</v>
      </c>
      <c r="D107" s="108" t="s">
        <v>5</v>
      </c>
      <c r="E107" s="108" t="s">
        <v>84</v>
      </c>
      <c r="F107" s="108" t="s">
        <v>1082</v>
      </c>
      <c r="G107" s="108" t="s">
        <v>1083</v>
      </c>
      <c r="H107" s="105" t="s">
        <v>111</v>
      </c>
      <c r="I107" s="109">
        <v>41926</v>
      </c>
      <c r="J107" s="105" t="str">
        <f t="shared" ca="1" si="6"/>
        <v>11 Tahun 11 Bulan 29 Hari</v>
      </c>
    </row>
    <row r="108" spans="1:10">
      <c r="A108" s="105">
        <f t="shared" si="5"/>
        <v>104</v>
      </c>
      <c r="B108" s="378" t="s">
        <v>270</v>
      </c>
      <c r="C108" s="111">
        <v>83122888</v>
      </c>
      <c r="D108" s="108" t="s">
        <v>5</v>
      </c>
      <c r="E108" s="108" t="s">
        <v>84</v>
      </c>
      <c r="F108" s="108" t="s">
        <v>1082</v>
      </c>
      <c r="G108" s="108" t="s">
        <v>1083</v>
      </c>
      <c r="H108" s="105" t="s">
        <v>111</v>
      </c>
      <c r="I108" s="109">
        <v>41108</v>
      </c>
      <c r="J108" s="105" t="str">
        <f t="shared" ca="1" si="6"/>
        <v>14 Tahun 2 Bulan 25 Hari</v>
      </c>
    </row>
    <row r="109" spans="1:10" s="137" customFormat="1">
      <c r="A109" s="105">
        <f t="shared" si="5"/>
        <v>105</v>
      </c>
      <c r="B109" s="130" t="s">
        <v>820</v>
      </c>
      <c r="C109" s="138">
        <v>135047</v>
      </c>
      <c r="D109" s="132" t="s">
        <v>5</v>
      </c>
      <c r="E109" s="130" t="s">
        <v>81</v>
      </c>
      <c r="F109" s="132" t="s">
        <v>1082</v>
      </c>
      <c r="G109" s="132" t="s">
        <v>1083</v>
      </c>
      <c r="H109" s="129" t="s">
        <v>111</v>
      </c>
      <c r="I109" s="139">
        <v>41577</v>
      </c>
      <c r="J109" s="129" t="str">
        <f t="shared" ca="1" si="6"/>
        <v>12 Tahun 11 Bulan 13 Hari</v>
      </c>
    </row>
    <row r="110" spans="1:10">
      <c r="A110" s="105">
        <f t="shared" si="5"/>
        <v>106</v>
      </c>
      <c r="B110" s="106" t="s">
        <v>1106</v>
      </c>
      <c r="C110" s="112">
        <v>145350</v>
      </c>
      <c r="D110" s="108" t="s">
        <v>5</v>
      </c>
      <c r="E110" s="108" t="s">
        <v>84</v>
      </c>
      <c r="F110" s="108" t="s">
        <v>1082</v>
      </c>
      <c r="G110" s="108" t="s">
        <v>1083</v>
      </c>
      <c r="H110" s="105" t="s">
        <v>111</v>
      </c>
      <c r="I110" s="109">
        <v>41925</v>
      </c>
      <c r="J110" s="105" t="str">
        <f t="shared" ca="1" si="6"/>
        <v>12 Tahun 0 Bulan 0 Hari</v>
      </c>
    </row>
    <row r="111" spans="1:10">
      <c r="A111" s="105">
        <f t="shared" si="5"/>
        <v>107</v>
      </c>
      <c r="B111" s="106" t="s">
        <v>829</v>
      </c>
      <c r="C111" s="112">
        <v>83122944</v>
      </c>
      <c r="D111" s="108" t="s">
        <v>5</v>
      </c>
      <c r="E111" s="108" t="s">
        <v>84</v>
      </c>
      <c r="F111" s="108" t="s">
        <v>1082</v>
      </c>
      <c r="G111" s="108" t="s">
        <v>1083</v>
      </c>
      <c r="H111" s="105" t="s">
        <v>111</v>
      </c>
      <c r="I111" s="109">
        <v>41122</v>
      </c>
      <c r="J111" s="105" t="str">
        <f t="shared" ca="1" si="6"/>
        <v>14 Tahun 2 Bulan 12 Hari</v>
      </c>
    </row>
    <row r="112" spans="1:10">
      <c r="A112" s="105">
        <f t="shared" si="5"/>
        <v>108</v>
      </c>
      <c r="B112" s="108" t="s">
        <v>391</v>
      </c>
      <c r="C112" s="111">
        <v>83040239</v>
      </c>
      <c r="D112" s="108" t="s">
        <v>5</v>
      </c>
      <c r="E112" s="108" t="s">
        <v>84</v>
      </c>
      <c r="F112" s="108" t="s">
        <v>1082</v>
      </c>
      <c r="G112" s="108" t="s">
        <v>1083</v>
      </c>
      <c r="H112" s="105" t="s">
        <v>111</v>
      </c>
      <c r="I112" s="109">
        <v>38353</v>
      </c>
      <c r="J112" s="105" t="str">
        <f t="shared" ca="1" si="6"/>
        <v>21 Tahun 9 Bulan 12 Hari</v>
      </c>
    </row>
    <row r="113" spans="1:10" s="137" customFormat="1">
      <c r="A113" s="105">
        <f t="shared" si="5"/>
        <v>109</v>
      </c>
      <c r="B113" s="130" t="s">
        <v>274</v>
      </c>
      <c r="C113" s="134">
        <v>83122902</v>
      </c>
      <c r="D113" s="132" t="s">
        <v>5</v>
      </c>
      <c r="E113" s="130" t="s">
        <v>69</v>
      </c>
      <c r="F113" s="132" t="s">
        <v>1082</v>
      </c>
      <c r="G113" s="132" t="s">
        <v>1083</v>
      </c>
      <c r="H113" s="129" t="s">
        <v>111</v>
      </c>
      <c r="I113" s="139">
        <v>41108</v>
      </c>
      <c r="J113" s="129" t="str">
        <f t="shared" ca="1" si="6"/>
        <v>14 Tahun 2 Bulan 25 Hari</v>
      </c>
    </row>
    <row r="114" spans="1:10">
      <c r="A114" s="105">
        <f t="shared" si="5"/>
        <v>110</v>
      </c>
      <c r="B114" s="106" t="s">
        <v>978</v>
      </c>
      <c r="C114" s="112">
        <v>145346</v>
      </c>
      <c r="D114" s="108" t="s">
        <v>5</v>
      </c>
      <c r="E114" s="108" t="s">
        <v>84</v>
      </c>
      <c r="F114" s="108" t="s">
        <v>1082</v>
      </c>
      <c r="G114" s="108" t="s">
        <v>1083</v>
      </c>
      <c r="H114" s="105" t="s">
        <v>111</v>
      </c>
      <c r="I114" s="109">
        <v>41925</v>
      </c>
      <c r="J114" s="105" t="str">
        <f t="shared" ca="1" si="6"/>
        <v>12 Tahun 0 Bulan 0 Hari</v>
      </c>
    </row>
    <row r="115" spans="1:10">
      <c r="A115" s="105">
        <f t="shared" si="5"/>
        <v>111</v>
      </c>
      <c r="B115" s="106" t="s">
        <v>979</v>
      </c>
      <c r="C115" s="107">
        <v>145540</v>
      </c>
      <c r="D115" s="108" t="s">
        <v>5</v>
      </c>
      <c r="E115" s="108" t="s">
        <v>84</v>
      </c>
      <c r="F115" s="108" t="s">
        <v>1082</v>
      </c>
      <c r="G115" s="108" t="s">
        <v>1083</v>
      </c>
      <c r="H115" s="105" t="s">
        <v>111</v>
      </c>
      <c r="I115" s="109">
        <v>41925</v>
      </c>
      <c r="J115" s="105" t="str">
        <f t="shared" ca="1" si="6"/>
        <v>12 Tahun 0 Bulan 0 Hari</v>
      </c>
    </row>
    <row r="116" spans="1:10">
      <c r="A116" s="105">
        <f t="shared" si="5"/>
        <v>112</v>
      </c>
      <c r="B116" s="106" t="s">
        <v>159</v>
      </c>
      <c r="C116" s="107">
        <v>145571</v>
      </c>
      <c r="D116" s="108" t="s">
        <v>5</v>
      </c>
      <c r="E116" s="108" t="s">
        <v>84</v>
      </c>
      <c r="F116" s="108" t="s">
        <v>1082</v>
      </c>
      <c r="G116" s="108" t="s">
        <v>1083</v>
      </c>
      <c r="H116" s="105" t="s">
        <v>111</v>
      </c>
      <c r="I116" s="109">
        <v>41925</v>
      </c>
      <c r="J116" s="105" t="str">
        <f t="shared" ca="1" si="6"/>
        <v>12 Tahun 0 Bulan 0 Hari</v>
      </c>
    </row>
    <row r="117" spans="1:10">
      <c r="A117" s="105">
        <f t="shared" si="5"/>
        <v>113</v>
      </c>
      <c r="B117" s="108" t="s">
        <v>160</v>
      </c>
      <c r="C117" s="111">
        <v>83051931</v>
      </c>
      <c r="D117" s="108" t="s">
        <v>5</v>
      </c>
      <c r="E117" s="108" t="s">
        <v>84</v>
      </c>
      <c r="F117" s="108" t="s">
        <v>1082</v>
      </c>
      <c r="G117" s="108" t="s">
        <v>1083</v>
      </c>
      <c r="H117" s="105" t="s">
        <v>111</v>
      </c>
      <c r="I117" s="109">
        <v>38628</v>
      </c>
      <c r="J117" s="105" t="str">
        <f t="shared" ca="1" si="6"/>
        <v>21 Tahun 0 Bulan 10 Hari</v>
      </c>
    </row>
    <row r="118" spans="1:10">
      <c r="A118" s="105">
        <f t="shared" si="5"/>
        <v>114</v>
      </c>
      <c r="B118" s="108" t="s">
        <v>1107</v>
      </c>
      <c r="C118" s="111">
        <v>135020</v>
      </c>
      <c r="D118" s="108" t="s">
        <v>5</v>
      </c>
      <c r="E118" s="108" t="s">
        <v>84</v>
      </c>
      <c r="F118" s="108" t="s">
        <v>1082</v>
      </c>
      <c r="G118" s="108" t="s">
        <v>1083</v>
      </c>
      <c r="H118" s="105" t="s">
        <v>111</v>
      </c>
      <c r="I118" s="109">
        <v>41575</v>
      </c>
      <c r="J118" s="105" t="str">
        <f t="shared" ca="1" si="6"/>
        <v>12 Tahun 11 Bulan 15 Hari</v>
      </c>
    </row>
    <row r="119" spans="1:10">
      <c r="A119" s="105">
        <f t="shared" si="5"/>
        <v>115</v>
      </c>
      <c r="B119" s="106" t="s">
        <v>1108</v>
      </c>
      <c r="C119" s="112">
        <v>145560</v>
      </c>
      <c r="D119" s="108" t="s">
        <v>5</v>
      </c>
      <c r="E119" s="108" t="s">
        <v>84</v>
      </c>
      <c r="F119" s="108" t="s">
        <v>1082</v>
      </c>
      <c r="G119" s="108" t="s">
        <v>1083</v>
      </c>
      <c r="H119" s="105" t="s">
        <v>111</v>
      </c>
      <c r="I119" s="109">
        <v>41925</v>
      </c>
      <c r="J119" s="105" t="str">
        <f t="shared" ca="1" si="6"/>
        <v>12 Tahun 0 Bulan 0 Hari</v>
      </c>
    </row>
    <row r="120" spans="1:10">
      <c r="A120" s="105">
        <f t="shared" si="5"/>
        <v>116</v>
      </c>
      <c r="B120" s="106" t="s">
        <v>930</v>
      </c>
      <c r="C120" s="112">
        <v>83122104</v>
      </c>
      <c r="D120" s="108" t="s">
        <v>5</v>
      </c>
      <c r="E120" s="108" t="s">
        <v>84</v>
      </c>
      <c r="F120" s="108" t="s">
        <v>1082</v>
      </c>
      <c r="G120" s="108" t="s">
        <v>1083</v>
      </c>
      <c r="H120" s="105" t="s">
        <v>111</v>
      </c>
      <c r="I120" s="109">
        <v>41043</v>
      </c>
      <c r="J120" s="105" t="str">
        <f t="shared" ca="1" si="6"/>
        <v>14 Tahun 4 Bulan 29 Hari</v>
      </c>
    </row>
    <row r="121" spans="1:10">
      <c r="A121" s="105">
        <f t="shared" si="5"/>
        <v>117</v>
      </c>
      <c r="B121" s="106" t="s">
        <v>1061</v>
      </c>
      <c r="C121" s="112">
        <v>83123906</v>
      </c>
      <c r="D121" s="108" t="s">
        <v>5</v>
      </c>
      <c r="E121" s="108" t="s">
        <v>84</v>
      </c>
      <c r="F121" s="108" t="s">
        <v>1082</v>
      </c>
      <c r="G121" s="108" t="s">
        <v>1083</v>
      </c>
      <c r="H121" s="105" t="s">
        <v>111</v>
      </c>
      <c r="I121" s="109">
        <v>41197</v>
      </c>
      <c r="J121" s="105" t="str">
        <f t="shared" ca="1" si="6"/>
        <v>13 Tahun 11 Bulan 28 Hari</v>
      </c>
    </row>
    <row r="122" spans="1:10">
      <c r="A122" s="105">
        <f t="shared" si="5"/>
        <v>118</v>
      </c>
      <c r="B122" s="106" t="s">
        <v>1109</v>
      </c>
      <c r="C122" s="107">
        <v>152476</v>
      </c>
      <c r="D122" s="108" t="s">
        <v>5</v>
      </c>
      <c r="E122" s="108" t="s">
        <v>84</v>
      </c>
      <c r="F122" s="108" t="s">
        <v>1082</v>
      </c>
      <c r="G122" s="108" t="s">
        <v>1083</v>
      </c>
      <c r="H122" s="105" t="s">
        <v>111</v>
      </c>
      <c r="I122" s="109">
        <v>42218</v>
      </c>
      <c r="J122" s="105" t="str">
        <f t="shared" ca="1" si="6"/>
        <v>11 Tahun 2 Bulan 11 Hari</v>
      </c>
    </row>
    <row r="123" spans="1:10">
      <c r="A123" s="105">
        <f t="shared" si="5"/>
        <v>119</v>
      </c>
      <c r="B123" s="106" t="s">
        <v>285</v>
      </c>
      <c r="C123" s="116">
        <v>83122893</v>
      </c>
      <c r="D123" s="108" t="s">
        <v>5</v>
      </c>
      <c r="E123" s="108" t="s">
        <v>84</v>
      </c>
      <c r="F123" s="108" t="s">
        <v>1082</v>
      </c>
      <c r="G123" s="108" t="s">
        <v>1083</v>
      </c>
      <c r="H123" s="105" t="s">
        <v>111</v>
      </c>
      <c r="I123" s="109">
        <v>41108</v>
      </c>
      <c r="J123" s="105" t="str">
        <f t="shared" ca="1" si="6"/>
        <v>14 Tahun 2 Bulan 25 Hari</v>
      </c>
    </row>
    <row r="124" spans="1:10">
      <c r="A124" s="105">
        <f t="shared" si="5"/>
        <v>120</v>
      </c>
      <c r="B124" s="106" t="s">
        <v>286</v>
      </c>
      <c r="C124" s="116">
        <v>133429</v>
      </c>
      <c r="D124" s="108" t="s">
        <v>5</v>
      </c>
      <c r="E124" s="108" t="s">
        <v>84</v>
      </c>
      <c r="F124" s="108" t="s">
        <v>1082</v>
      </c>
      <c r="G124" s="108" t="s">
        <v>1083</v>
      </c>
      <c r="H124" s="105" t="s">
        <v>111</v>
      </c>
      <c r="I124" s="109">
        <v>41512</v>
      </c>
      <c r="J124" s="105" t="str">
        <f t="shared" ca="1" si="6"/>
        <v>13 Tahun 1 Bulan 17 Hari</v>
      </c>
    </row>
    <row r="125" spans="1:10">
      <c r="A125" s="105">
        <f t="shared" si="5"/>
        <v>121</v>
      </c>
      <c r="B125" s="106" t="s">
        <v>1059</v>
      </c>
      <c r="C125" s="107">
        <v>152473</v>
      </c>
      <c r="D125" s="108" t="s">
        <v>5</v>
      </c>
      <c r="E125" s="108" t="s">
        <v>84</v>
      </c>
      <c r="F125" s="108" t="s">
        <v>1082</v>
      </c>
      <c r="G125" s="108" t="s">
        <v>1083</v>
      </c>
      <c r="H125" s="105" t="s">
        <v>111</v>
      </c>
      <c r="I125" s="109">
        <v>43315</v>
      </c>
      <c r="J125" s="105" t="str">
        <f t="shared" ca="1" si="6"/>
        <v>8 Tahun 2 Bulan 10 Hari</v>
      </c>
    </row>
    <row r="126" spans="1:10">
      <c r="A126" s="105">
        <f t="shared" si="5"/>
        <v>122</v>
      </c>
      <c r="B126" s="106" t="s">
        <v>937</v>
      </c>
      <c r="C126" s="107">
        <v>135031</v>
      </c>
      <c r="D126" s="108" t="s">
        <v>5</v>
      </c>
      <c r="E126" s="108" t="s">
        <v>84</v>
      </c>
      <c r="F126" s="108" t="s">
        <v>1082</v>
      </c>
      <c r="G126" s="108" t="s">
        <v>1083</v>
      </c>
      <c r="H126" s="105" t="s">
        <v>111</v>
      </c>
      <c r="I126" s="109">
        <v>41575</v>
      </c>
      <c r="J126" s="105" t="str">
        <f t="shared" ca="1" si="6"/>
        <v>12 Tahun 11 Bulan 15 Hari</v>
      </c>
    </row>
    <row r="127" spans="1:10">
      <c r="A127" s="105">
        <f t="shared" si="5"/>
        <v>123</v>
      </c>
      <c r="B127" s="106" t="s">
        <v>1110</v>
      </c>
      <c r="C127" s="107">
        <v>83040096</v>
      </c>
      <c r="D127" s="108" t="s">
        <v>5</v>
      </c>
      <c r="E127" s="108" t="s">
        <v>84</v>
      </c>
      <c r="F127" s="108" t="s">
        <v>1082</v>
      </c>
      <c r="G127" s="108" t="s">
        <v>1083</v>
      </c>
      <c r="H127" s="105" t="s">
        <v>111</v>
      </c>
      <c r="I127" s="109">
        <v>0</v>
      </c>
      <c r="J127" s="105" t="str">
        <f t="shared" ca="1" si="6"/>
        <v>126 Tahun 9 Bulan 13 Hari</v>
      </c>
    </row>
    <row r="128" spans="1:10">
      <c r="A128" s="105">
        <f t="shared" si="5"/>
        <v>124</v>
      </c>
      <c r="B128" s="106" t="s">
        <v>1111</v>
      </c>
      <c r="C128" s="107">
        <v>83102183</v>
      </c>
      <c r="D128" s="108" t="s">
        <v>5</v>
      </c>
      <c r="E128" s="108" t="s">
        <v>84</v>
      </c>
      <c r="F128" s="108" t="s">
        <v>1082</v>
      </c>
      <c r="G128" s="108" t="s">
        <v>1083</v>
      </c>
      <c r="H128" s="105" t="s">
        <v>111</v>
      </c>
      <c r="I128" s="109">
        <v>40283</v>
      </c>
      <c r="J128" s="105" t="str">
        <f t="shared" ca="1" si="6"/>
        <v>16 Tahun 5 Bulan 28 Hari</v>
      </c>
    </row>
    <row r="129" spans="1:10">
      <c r="A129" s="105">
        <f t="shared" si="5"/>
        <v>125</v>
      </c>
      <c r="B129" s="106" t="s">
        <v>291</v>
      </c>
      <c r="C129" s="116">
        <v>145575</v>
      </c>
      <c r="D129" s="108" t="s">
        <v>5</v>
      </c>
      <c r="E129" s="108" t="s">
        <v>84</v>
      </c>
      <c r="F129" s="108" t="s">
        <v>1082</v>
      </c>
      <c r="G129" s="108" t="s">
        <v>1083</v>
      </c>
      <c r="H129" s="105" t="s">
        <v>111</v>
      </c>
      <c r="I129" s="109">
        <v>41925</v>
      </c>
      <c r="J129" s="105" t="str">
        <f t="shared" ca="1" si="6"/>
        <v>12 Tahun 0 Bulan 0 Hari</v>
      </c>
    </row>
    <row r="130" spans="1:10">
      <c r="A130" s="105">
        <f t="shared" si="5"/>
        <v>126</v>
      </c>
      <c r="B130" s="106" t="s">
        <v>292</v>
      </c>
      <c r="C130" s="116">
        <v>200386</v>
      </c>
      <c r="D130" s="108" t="s">
        <v>5</v>
      </c>
      <c r="E130" s="108" t="s">
        <v>84</v>
      </c>
      <c r="F130" s="108" t="s">
        <v>1082</v>
      </c>
      <c r="G130" s="108" t="s">
        <v>1083</v>
      </c>
      <c r="H130" s="105" t="s">
        <v>111</v>
      </c>
      <c r="I130" s="109">
        <v>43874</v>
      </c>
      <c r="J130" s="105" t="str">
        <f t="shared" ca="1" si="6"/>
        <v>6 Tahun 8 Bulan 0 Hari</v>
      </c>
    </row>
    <row r="131" spans="1:10" s="137" customFormat="1">
      <c r="A131" s="105">
        <f t="shared" si="5"/>
        <v>127</v>
      </c>
      <c r="B131" s="130" t="s">
        <v>946</v>
      </c>
      <c r="C131" s="131">
        <v>132166</v>
      </c>
      <c r="D131" s="132" t="s">
        <v>5</v>
      </c>
      <c r="E131" s="130" t="s">
        <v>103</v>
      </c>
      <c r="F131" s="132" t="s">
        <v>1082</v>
      </c>
      <c r="G131" s="132" t="s">
        <v>1083</v>
      </c>
      <c r="H131" s="129" t="s">
        <v>111</v>
      </c>
      <c r="I131" s="139">
        <v>41435</v>
      </c>
      <c r="J131" s="129" t="str">
        <f t="shared" ca="1" si="6"/>
        <v>13 Tahun 4 Bulan 3 Hari</v>
      </c>
    </row>
    <row r="132" spans="1:10">
      <c r="A132" s="105">
        <f t="shared" si="5"/>
        <v>128</v>
      </c>
      <c r="B132" s="106" t="s">
        <v>294</v>
      </c>
      <c r="C132" s="107">
        <v>152477</v>
      </c>
      <c r="D132" s="108" t="s">
        <v>5</v>
      </c>
      <c r="E132" s="108" t="s">
        <v>84</v>
      </c>
      <c r="F132" s="108" t="s">
        <v>1082</v>
      </c>
      <c r="G132" s="108" t="s">
        <v>1083</v>
      </c>
      <c r="H132" s="105" t="s">
        <v>111</v>
      </c>
      <c r="I132" s="109">
        <v>42218</v>
      </c>
      <c r="J132" s="105" t="str">
        <f t="shared" ca="1" si="6"/>
        <v>11 Tahun 2 Bulan 11 Hari</v>
      </c>
    </row>
    <row r="133" spans="1:10">
      <c r="A133" s="105">
        <f t="shared" ref="A133:A196" si="7">ROW(A129)</f>
        <v>129</v>
      </c>
      <c r="B133" s="106" t="s">
        <v>944</v>
      </c>
      <c r="C133" s="107">
        <v>83086308</v>
      </c>
      <c r="D133" s="108" t="s">
        <v>5</v>
      </c>
      <c r="E133" s="108" t="s">
        <v>84</v>
      </c>
      <c r="F133" s="108" t="s">
        <v>1082</v>
      </c>
      <c r="G133" s="108" t="s">
        <v>1083</v>
      </c>
      <c r="H133" s="105" t="s">
        <v>111</v>
      </c>
      <c r="I133" s="109">
        <v>39498</v>
      </c>
      <c r="J133" s="105" t="str">
        <f t="shared" ca="1" si="6"/>
        <v>18 Tahun 7 Bulan 23 Hari</v>
      </c>
    </row>
    <row r="134" spans="1:10">
      <c r="A134" s="105">
        <f t="shared" si="7"/>
        <v>130</v>
      </c>
      <c r="B134" s="106" t="s">
        <v>296</v>
      </c>
      <c r="C134" s="107">
        <v>83122885</v>
      </c>
      <c r="D134" s="108" t="s">
        <v>5</v>
      </c>
      <c r="E134" s="108" t="s">
        <v>84</v>
      </c>
      <c r="F134" s="108" t="s">
        <v>1082</v>
      </c>
      <c r="G134" s="108" t="s">
        <v>1083</v>
      </c>
      <c r="H134" s="105" t="s">
        <v>111</v>
      </c>
      <c r="I134" s="109">
        <v>28258</v>
      </c>
      <c r="J134" s="105" t="str">
        <f t="shared" ca="1" si="6"/>
        <v>49 Tahun 5 Bulan 0 Hari</v>
      </c>
    </row>
    <row r="135" spans="1:10" s="137" customFormat="1">
      <c r="A135" s="105">
        <f t="shared" si="7"/>
        <v>131</v>
      </c>
      <c r="B135" s="130" t="s">
        <v>1010</v>
      </c>
      <c r="C135" s="138">
        <v>83040047</v>
      </c>
      <c r="D135" s="132" t="s">
        <v>5</v>
      </c>
      <c r="E135" s="132" t="s">
        <v>56</v>
      </c>
      <c r="F135" s="132" t="s">
        <v>1082</v>
      </c>
      <c r="G135" s="132" t="s">
        <v>1083</v>
      </c>
      <c r="H135" s="129" t="s">
        <v>111</v>
      </c>
      <c r="I135" s="139">
        <v>37865</v>
      </c>
      <c r="J135" s="129" t="str">
        <f t="shared" ca="1" si="6"/>
        <v>23 Tahun 1 Bulan 12 Hari</v>
      </c>
    </row>
    <row r="136" spans="1:10">
      <c r="A136" s="105">
        <f t="shared" si="7"/>
        <v>132</v>
      </c>
      <c r="B136" s="106" t="s">
        <v>986</v>
      </c>
      <c r="C136" s="112">
        <v>83117955</v>
      </c>
      <c r="D136" s="108" t="s">
        <v>5</v>
      </c>
      <c r="E136" s="108" t="s">
        <v>84</v>
      </c>
      <c r="F136" s="108" t="s">
        <v>1082</v>
      </c>
      <c r="G136" s="108" t="s">
        <v>1083</v>
      </c>
      <c r="H136" s="105" t="s">
        <v>111</v>
      </c>
      <c r="I136" s="109">
        <v>40743</v>
      </c>
      <c r="J136" s="105" t="str">
        <f t="shared" ca="1" si="6"/>
        <v>15 Tahun 2 Bulan 24 Hari</v>
      </c>
    </row>
    <row r="137" spans="1:10">
      <c r="A137" s="105">
        <f t="shared" si="7"/>
        <v>133</v>
      </c>
      <c r="B137" s="106" t="s">
        <v>161</v>
      </c>
      <c r="C137" s="112">
        <v>83117964</v>
      </c>
      <c r="D137" s="108" t="s">
        <v>5</v>
      </c>
      <c r="E137" s="108" t="s">
        <v>84</v>
      </c>
      <c r="F137" s="108" t="s">
        <v>1082</v>
      </c>
      <c r="G137" s="108" t="s">
        <v>1083</v>
      </c>
      <c r="H137" s="105" t="s">
        <v>111</v>
      </c>
      <c r="I137" s="122">
        <v>40743</v>
      </c>
      <c r="J137" s="105" t="str">
        <f t="shared" ca="1" si="6"/>
        <v>15 Tahun 2 Bulan 24 Hari</v>
      </c>
    </row>
    <row r="138" spans="1:10">
      <c r="A138" s="105">
        <f t="shared" si="7"/>
        <v>134</v>
      </c>
      <c r="B138" s="106" t="s">
        <v>806</v>
      </c>
      <c r="C138" s="107">
        <v>145555</v>
      </c>
      <c r="D138" s="108" t="s">
        <v>5</v>
      </c>
      <c r="E138" s="108" t="s">
        <v>84</v>
      </c>
      <c r="F138" s="108" t="s">
        <v>1082</v>
      </c>
      <c r="G138" s="108" t="s">
        <v>1083</v>
      </c>
      <c r="H138" s="105" t="s">
        <v>111</v>
      </c>
      <c r="I138" s="109">
        <v>41925</v>
      </c>
      <c r="J138" s="105" t="str">
        <f t="shared" ca="1" si="6"/>
        <v>12 Tahun 0 Bulan 0 Hari</v>
      </c>
    </row>
    <row r="139" spans="1:10">
      <c r="A139" s="105">
        <f t="shared" si="7"/>
        <v>135</v>
      </c>
      <c r="B139" s="106" t="s">
        <v>301</v>
      </c>
      <c r="C139" s="377">
        <v>200378</v>
      </c>
      <c r="D139" s="108" t="s">
        <v>5</v>
      </c>
      <c r="E139" s="108" t="s">
        <v>84</v>
      </c>
      <c r="F139" s="108" t="s">
        <v>1082</v>
      </c>
      <c r="G139" s="108" t="s">
        <v>1083</v>
      </c>
      <c r="H139" s="105" t="s">
        <v>111</v>
      </c>
      <c r="I139" s="109">
        <v>43874</v>
      </c>
      <c r="J139" s="105" t="str">
        <f t="shared" ca="1" si="6"/>
        <v>6 Tahun 8 Bulan 0 Hari</v>
      </c>
    </row>
    <row r="140" spans="1:10">
      <c r="A140" s="105">
        <f t="shared" si="7"/>
        <v>136</v>
      </c>
      <c r="B140" s="106" t="s">
        <v>1112</v>
      </c>
      <c r="C140" s="107">
        <v>131851</v>
      </c>
      <c r="D140" s="108" t="s">
        <v>5</v>
      </c>
      <c r="E140" s="108" t="s">
        <v>84</v>
      </c>
      <c r="F140" s="108" t="s">
        <v>1082</v>
      </c>
      <c r="G140" s="108" t="s">
        <v>1083</v>
      </c>
      <c r="H140" s="105" t="s">
        <v>111</v>
      </c>
      <c r="I140" s="109">
        <v>45855</v>
      </c>
      <c r="J140" s="105" t="str">
        <f t="shared" ca="1" si="6"/>
        <v>1 Tahun 2 Bulan 26 Hari</v>
      </c>
    </row>
    <row r="141" spans="1:10">
      <c r="A141" s="105">
        <f t="shared" si="7"/>
        <v>137</v>
      </c>
      <c r="B141" s="106" t="s">
        <v>1113</v>
      </c>
      <c r="C141" s="107">
        <v>131847</v>
      </c>
      <c r="D141" s="108" t="s">
        <v>5</v>
      </c>
      <c r="E141" s="108" t="s">
        <v>84</v>
      </c>
      <c r="F141" s="108" t="s">
        <v>1082</v>
      </c>
      <c r="G141" s="108" t="s">
        <v>1083</v>
      </c>
      <c r="H141" s="105" t="s">
        <v>111</v>
      </c>
      <c r="I141" s="109">
        <v>41410</v>
      </c>
      <c r="J141" s="105" t="str">
        <f t="shared" ca="1" si="6"/>
        <v>13 Tahun 4 Bulan 27 Hari</v>
      </c>
    </row>
    <row r="142" spans="1:10">
      <c r="A142" s="105">
        <f t="shared" si="7"/>
        <v>138</v>
      </c>
      <c r="B142" s="108" t="s">
        <v>303</v>
      </c>
      <c r="C142" s="111">
        <v>145354</v>
      </c>
      <c r="D142" s="108" t="s">
        <v>5</v>
      </c>
      <c r="E142" s="108" t="s">
        <v>84</v>
      </c>
      <c r="F142" s="108" t="s">
        <v>1082</v>
      </c>
      <c r="G142" s="108" t="s">
        <v>1083</v>
      </c>
      <c r="H142" s="105" t="s">
        <v>111</v>
      </c>
      <c r="I142" s="109">
        <v>41925</v>
      </c>
      <c r="J142" s="105" t="str">
        <f t="shared" ca="1" si="6"/>
        <v>12 Tahun 0 Bulan 0 Hari</v>
      </c>
    </row>
    <row r="143" spans="1:10">
      <c r="A143" s="105">
        <f t="shared" si="7"/>
        <v>139</v>
      </c>
      <c r="B143" s="106" t="s">
        <v>1114</v>
      </c>
      <c r="C143" s="112">
        <v>131849</v>
      </c>
      <c r="D143" s="108" t="s">
        <v>5</v>
      </c>
      <c r="E143" s="108" t="s">
        <v>84</v>
      </c>
      <c r="F143" s="108" t="s">
        <v>1082</v>
      </c>
      <c r="G143" s="108" t="s">
        <v>1083</v>
      </c>
      <c r="H143" s="105" t="s">
        <v>111</v>
      </c>
      <c r="I143" s="109">
        <v>41410</v>
      </c>
      <c r="J143" s="105" t="str">
        <f t="shared" ca="1" si="6"/>
        <v>13 Tahun 4 Bulan 27 Hari</v>
      </c>
    </row>
    <row r="144" spans="1:10">
      <c r="A144" s="105">
        <f t="shared" si="7"/>
        <v>140</v>
      </c>
      <c r="B144" s="106" t="s">
        <v>1115</v>
      </c>
      <c r="C144" s="112">
        <v>83122892</v>
      </c>
      <c r="D144" s="108" t="s">
        <v>5</v>
      </c>
      <c r="E144" s="108" t="s">
        <v>84</v>
      </c>
      <c r="F144" s="108" t="s">
        <v>1082</v>
      </c>
      <c r="G144" s="108" t="s">
        <v>1083</v>
      </c>
      <c r="H144" s="105" t="s">
        <v>111</v>
      </c>
      <c r="I144" s="109">
        <v>41108</v>
      </c>
      <c r="J144" s="105" t="str">
        <f t="shared" ca="1" si="6"/>
        <v>14 Tahun 2 Bulan 25 Hari</v>
      </c>
    </row>
    <row r="145" spans="1:10">
      <c r="A145" s="105">
        <f t="shared" si="7"/>
        <v>141</v>
      </c>
      <c r="B145" s="106" t="s">
        <v>1116</v>
      </c>
      <c r="C145" s="112">
        <v>83040085</v>
      </c>
      <c r="D145" s="108" t="s">
        <v>5</v>
      </c>
      <c r="E145" s="108" t="s">
        <v>84</v>
      </c>
      <c r="F145" s="108" t="s">
        <v>1082</v>
      </c>
      <c r="G145" s="108" t="s">
        <v>1083</v>
      </c>
      <c r="H145" s="105" t="s">
        <v>111</v>
      </c>
      <c r="I145" s="109">
        <v>37895</v>
      </c>
      <c r="J145" s="105" t="str">
        <f t="shared" ca="1" si="6"/>
        <v>23 Tahun 0 Bulan 12 Hari</v>
      </c>
    </row>
    <row r="146" spans="1:10">
      <c r="A146" s="105">
        <f t="shared" si="7"/>
        <v>142</v>
      </c>
      <c r="B146" s="106" t="s">
        <v>164</v>
      </c>
      <c r="C146" s="116">
        <v>142247</v>
      </c>
      <c r="D146" s="108" t="s">
        <v>5</v>
      </c>
      <c r="E146" s="108" t="s">
        <v>84</v>
      </c>
      <c r="F146" s="108" t="s">
        <v>1082</v>
      </c>
      <c r="G146" s="108" t="s">
        <v>1083</v>
      </c>
      <c r="H146" s="105" t="s">
        <v>111</v>
      </c>
      <c r="I146" s="109">
        <v>41757</v>
      </c>
      <c r="J146" s="105" t="str">
        <f t="shared" ca="1" si="6"/>
        <v>12 Tahun 5 Bulan 15 Hari</v>
      </c>
    </row>
    <row r="147" spans="1:10">
      <c r="A147" s="105">
        <f t="shared" si="7"/>
        <v>143</v>
      </c>
      <c r="B147" s="106" t="s">
        <v>309</v>
      </c>
      <c r="C147" s="377">
        <v>145542</v>
      </c>
      <c r="D147" s="108" t="s">
        <v>5</v>
      </c>
      <c r="E147" s="108" t="s">
        <v>84</v>
      </c>
      <c r="F147" s="108" t="s">
        <v>1082</v>
      </c>
      <c r="G147" s="108" t="s">
        <v>1083</v>
      </c>
      <c r="H147" s="105" t="s">
        <v>111</v>
      </c>
      <c r="I147" s="109">
        <v>41925</v>
      </c>
      <c r="J147" s="105" t="str">
        <f t="shared" ca="1" si="6"/>
        <v>12 Tahun 0 Bulan 0 Hari</v>
      </c>
    </row>
    <row r="148" spans="1:10">
      <c r="A148" s="105">
        <f t="shared" si="7"/>
        <v>144</v>
      </c>
      <c r="B148" s="106" t="s">
        <v>310</v>
      </c>
      <c r="C148" s="112">
        <v>135048</v>
      </c>
      <c r="D148" s="108" t="s">
        <v>5</v>
      </c>
      <c r="E148" s="108" t="s">
        <v>84</v>
      </c>
      <c r="F148" s="108" t="s">
        <v>1082</v>
      </c>
      <c r="G148" s="108" t="s">
        <v>1083</v>
      </c>
      <c r="H148" s="105" t="s">
        <v>111</v>
      </c>
      <c r="I148" s="109">
        <v>41575</v>
      </c>
      <c r="J148" s="105" t="str">
        <f t="shared" ca="1" si="6"/>
        <v>12 Tahun 11 Bulan 15 Hari</v>
      </c>
    </row>
    <row r="149" spans="1:10">
      <c r="A149" s="105">
        <f t="shared" si="7"/>
        <v>145</v>
      </c>
      <c r="B149" s="106" t="s">
        <v>1117</v>
      </c>
      <c r="C149" s="112">
        <v>135062</v>
      </c>
      <c r="D149" s="108" t="s">
        <v>5</v>
      </c>
      <c r="E149" s="108" t="s">
        <v>84</v>
      </c>
      <c r="F149" s="108" t="s">
        <v>1082</v>
      </c>
      <c r="G149" s="108" t="s">
        <v>1083</v>
      </c>
      <c r="H149" s="105" t="s">
        <v>111</v>
      </c>
      <c r="I149" s="109">
        <v>41575</v>
      </c>
      <c r="J149" s="105" t="str">
        <f t="shared" ca="1" si="6"/>
        <v>12 Tahun 11 Bulan 15 Hari</v>
      </c>
    </row>
    <row r="150" spans="1:10">
      <c r="A150" s="105">
        <f t="shared" si="7"/>
        <v>146</v>
      </c>
      <c r="B150" s="106" t="s">
        <v>312</v>
      </c>
      <c r="C150" s="107">
        <v>83103414</v>
      </c>
      <c r="D150" s="108" t="s">
        <v>5</v>
      </c>
      <c r="E150" s="108" t="s">
        <v>84</v>
      </c>
      <c r="F150" s="108" t="s">
        <v>1082</v>
      </c>
      <c r="G150" s="108" t="s">
        <v>1083</v>
      </c>
      <c r="H150" s="105" t="s">
        <v>111</v>
      </c>
      <c r="I150" s="109">
        <v>40386</v>
      </c>
      <c r="J150" s="105" t="str">
        <f t="shared" ca="1" si="6"/>
        <v>16 Tahun 2 Bulan 16 Hari</v>
      </c>
    </row>
    <row r="151" spans="1:10">
      <c r="A151" s="105">
        <f t="shared" si="7"/>
        <v>147</v>
      </c>
      <c r="B151" s="106" t="s">
        <v>313</v>
      </c>
      <c r="C151" s="107">
        <v>83123908</v>
      </c>
      <c r="D151" s="108" t="s">
        <v>5</v>
      </c>
      <c r="E151" s="108" t="s">
        <v>84</v>
      </c>
      <c r="F151" s="108" t="s">
        <v>1082</v>
      </c>
      <c r="G151" s="108" t="s">
        <v>1083</v>
      </c>
      <c r="H151" s="105" t="s">
        <v>111</v>
      </c>
      <c r="I151" s="109">
        <v>41197</v>
      </c>
      <c r="J151" s="105" t="str">
        <f t="shared" ca="1" si="6"/>
        <v>13 Tahun 11 Bulan 28 Hari</v>
      </c>
    </row>
    <row r="152" spans="1:10">
      <c r="A152" s="105">
        <f t="shared" si="7"/>
        <v>148</v>
      </c>
      <c r="B152" s="106" t="s">
        <v>314</v>
      </c>
      <c r="C152" s="377">
        <v>135045</v>
      </c>
      <c r="D152" s="108" t="s">
        <v>5</v>
      </c>
      <c r="E152" s="108" t="s">
        <v>84</v>
      </c>
      <c r="F152" s="108" t="s">
        <v>1082</v>
      </c>
      <c r="G152" s="108" t="s">
        <v>1083</v>
      </c>
      <c r="H152" s="105" t="s">
        <v>111</v>
      </c>
      <c r="I152" s="109">
        <v>41606</v>
      </c>
      <c r="J152" s="105" t="str">
        <f t="shared" ref="J152:J203" ca="1" si="8">IF(ISNUMBER(I152),DATEDIF(I152,TODAY(),"Y")&amp;" Tahun "&amp;DATEDIF(I152,TODAY(),"YM")&amp;" Bulan "&amp;DATEDIF(I152,TODAY(),"MD")&amp;" Hari","")</f>
        <v>12 Tahun 10 Bulan 15 Hari</v>
      </c>
    </row>
    <row r="153" spans="1:10">
      <c r="A153" s="105">
        <f t="shared" si="7"/>
        <v>149</v>
      </c>
      <c r="B153" s="106" t="s">
        <v>315</v>
      </c>
      <c r="C153" s="377">
        <v>145328</v>
      </c>
      <c r="D153" s="108" t="s">
        <v>5</v>
      </c>
      <c r="E153" s="108" t="s">
        <v>84</v>
      </c>
      <c r="F153" s="108" t="s">
        <v>1082</v>
      </c>
      <c r="G153" s="108" t="s">
        <v>1083</v>
      </c>
      <c r="H153" s="105" t="s">
        <v>111</v>
      </c>
      <c r="I153" s="109">
        <v>41925</v>
      </c>
      <c r="J153" s="105" t="str">
        <f t="shared" ca="1" si="8"/>
        <v>12 Tahun 0 Bulan 0 Hari</v>
      </c>
    </row>
    <row r="154" spans="1:10">
      <c r="A154" s="105">
        <f t="shared" si="7"/>
        <v>150</v>
      </c>
      <c r="B154" s="106" t="s">
        <v>1041</v>
      </c>
      <c r="C154" s="107">
        <v>145313</v>
      </c>
      <c r="D154" s="108" t="s">
        <v>5</v>
      </c>
      <c r="E154" s="108" t="s">
        <v>84</v>
      </c>
      <c r="F154" s="108" t="s">
        <v>1082</v>
      </c>
      <c r="G154" s="108" t="s">
        <v>1083</v>
      </c>
      <c r="H154" s="105" t="s">
        <v>111</v>
      </c>
      <c r="I154" s="109">
        <v>41925</v>
      </c>
      <c r="J154" s="105" t="str">
        <f t="shared" ca="1" si="8"/>
        <v>12 Tahun 0 Bulan 0 Hari</v>
      </c>
    </row>
    <row r="155" spans="1:10">
      <c r="A155" s="105">
        <f t="shared" si="7"/>
        <v>151</v>
      </c>
      <c r="B155" s="106" t="s">
        <v>1118</v>
      </c>
      <c r="C155" s="107">
        <v>152450</v>
      </c>
      <c r="D155" s="108" t="s">
        <v>5</v>
      </c>
      <c r="E155" s="108" t="s">
        <v>84</v>
      </c>
      <c r="F155" s="108" t="s">
        <v>1082</v>
      </c>
      <c r="G155" s="108" t="s">
        <v>1083</v>
      </c>
      <c r="H155" s="105" t="s">
        <v>111</v>
      </c>
      <c r="I155" s="109">
        <v>42219</v>
      </c>
      <c r="J155" s="105" t="str">
        <f t="shared" ca="1" si="8"/>
        <v>11 Tahun 2 Bulan 10 Hari</v>
      </c>
    </row>
    <row r="156" spans="1:10">
      <c r="A156" s="105">
        <f t="shared" si="7"/>
        <v>152</v>
      </c>
      <c r="B156" s="106" t="s">
        <v>1119</v>
      </c>
      <c r="C156" s="107">
        <v>162712</v>
      </c>
      <c r="D156" s="108" t="s">
        <v>5</v>
      </c>
      <c r="E156" s="108" t="s">
        <v>84</v>
      </c>
      <c r="F156" s="108" t="s">
        <v>1082</v>
      </c>
      <c r="G156" s="108" t="s">
        <v>1083</v>
      </c>
      <c r="H156" s="105" t="s">
        <v>111</v>
      </c>
      <c r="I156" s="109">
        <v>42675</v>
      </c>
      <c r="J156" s="105" t="str">
        <f t="shared" ca="1" si="8"/>
        <v>9 Tahun 11 Bulan 12 Hari</v>
      </c>
    </row>
    <row r="157" spans="1:10">
      <c r="A157" s="105">
        <f t="shared" si="7"/>
        <v>153</v>
      </c>
      <c r="B157" s="106" t="s">
        <v>1120</v>
      </c>
      <c r="C157" s="107">
        <v>145529</v>
      </c>
      <c r="D157" s="108" t="s">
        <v>5</v>
      </c>
      <c r="E157" s="108" t="s">
        <v>84</v>
      </c>
      <c r="F157" s="108" t="s">
        <v>1082</v>
      </c>
      <c r="G157" s="108" t="s">
        <v>1083</v>
      </c>
      <c r="H157" s="105" t="s">
        <v>111</v>
      </c>
      <c r="I157" s="109">
        <v>41925</v>
      </c>
      <c r="J157" s="105" t="str">
        <f t="shared" ca="1" si="8"/>
        <v>12 Tahun 0 Bulan 0 Hari</v>
      </c>
    </row>
    <row r="158" spans="1:10">
      <c r="A158" s="105">
        <f t="shared" si="7"/>
        <v>154</v>
      </c>
      <c r="B158" s="106" t="s">
        <v>318</v>
      </c>
      <c r="C158" s="116">
        <v>142271</v>
      </c>
      <c r="D158" s="108" t="s">
        <v>5</v>
      </c>
      <c r="E158" s="108" t="s">
        <v>84</v>
      </c>
      <c r="F158" s="108" t="s">
        <v>1082</v>
      </c>
      <c r="G158" s="108" t="s">
        <v>1083</v>
      </c>
      <c r="H158" s="105" t="s">
        <v>111</v>
      </c>
      <c r="I158" s="109">
        <v>41757</v>
      </c>
      <c r="J158" s="105" t="str">
        <f t="shared" ca="1" si="8"/>
        <v>12 Tahun 5 Bulan 15 Hari</v>
      </c>
    </row>
    <row r="159" spans="1:10">
      <c r="A159" s="105">
        <f t="shared" si="7"/>
        <v>155</v>
      </c>
      <c r="B159" s="106" t="s">
        <v>1121</v>
      </c>
      <c r="C159" s="107">
        <v>152483</v>
      </c>
      <c r="D159" s="108" t="s">
        <v>5</v>
      </c>
      <c r="E159" s="108" t="s">
        <v>84</v>
      </c>
      <c r="F159" s="108" t="s">
        <v>1082</v>
      </c>
      <c r="G159" s="108" t="s">
        <v>1083</v>
      </c>
      <c r="H159" s="105" t="s">
        <v>111</v>
      </c>
      <c r="I159" s="109">
        <v>42219</v>
      </c>
      <c r="J159" s="105" t="str">
        <f t="shared" ca="1" si="8"/>
        <v>11 Tahun 2 Bulan 10 Hari</v>
      </c>
    </row>
    <row r="160" spans="1:10">
      <c r="A160" s="105">
        <f t="shared" si="7"/>
        <v>156</v>
      </c>
      <c r="B160" s="106" t="s">
        <v>1122</v>
      </c>
      <c r="C160" s="107">
        <v>135030</v>
      </c>
      <c r="D160" s="108" t="s">
        <v>5</v>
      </c>
      <c r="E160" s="108" t="s">
        <v>84</v>
      </c>
      <c r="F160" s="108" t="s">
        <v>1082</v>
      </c>
      <c r="G160" s="108" t="s">
        <v>1083</v>
      </c>
      <c r="H160" s="105" t="s">
        <v>111</v>
      </c>
      <c r="I160" s="109">
        <v>41575</v>
      </c>
      <c r="J160" s="105" t="str">
        <f t="shared" ca="1" si="8"/>
        <v>12 Tahun 11 Bulan 15 Hari</v>
      </c>
    </row>
    <row r="161" spans="1:10">
      <c r="A161" s="105">
        <f t="shared" si="7"/>
        <v>157</v>
      </c>
      <c r="B161" s="106" t="s">
        <v>860</v>
      </c>
      <c r="C161" s="107">
        <v>142253</v>
      </c>
      <c r="D161" s="108" t="s">
        <v>5</v>
      </c>
      <c r="E161" s="108" t="s">
        <v>84</v>
      </c>
      <c r="F161" s="108" t="s">
        <v>1082</v>
      </c>
      <c r="G161" s="108" t="s">
        <v>1083</v>
      </c>
      <c r="H161" s="105" t="s">
        <v>111</v>
      </c>
      <c r="I161" s="109">
        <v>41757</v>
      </c>
      <c r="J161" s="105" t="str">
        <f t="shared" ca="1" si="8"/>
        <v>12 Tahun 5 Bulan 15 Hari</v>
      </c>
    </row>
    <row r="162" spans="1:10">
      <c r="A162" s="105">
        <f t="shared" si="7"/>
        <v>158</v>
      </c>
      <c r="B162" s="106" t="s">
        <v>1011</v>
      </c>
      <c r="C162" s="107">
        <v>162709</v>
      </c>
      <c r="D162" s="108" t="s">
        <v>5</v>
      </c>
      <c r="E162" s="108" t="s">
        <v>84</v>
      </c>
      <c r="F162" s="108" t="s">
        <v>1082</v>
      </c>
      <c r="G162" s="108" t="s">
        <v>1083</v>
      </c>
      <c r="H162" s="105" t="s">
        <v>111</v>
      </c>
      <c r="I162" s="109">
        <v>42675</v>
      </c>
      <c r="J162" s="105" t="str">
        <f t="shared" ca="1" si="8"/>
        <v>9 Tahun 11 Bulan 12 Hari</v>
      </c>
    </row>
    <row r="163" spans="1:10">
      <c r="A163" s="105">
        <f t="shared" si="7"/>
        <v>159</v>
      </c>
      <c r="B163" s="106" t="s">
        <v>1123</v>
      </c>
      <c r="C163" s="107">
        <v>145574</v>
      </c>
      <c r="D163" s="108" t="s">
        <v>5</v>
      </c>
      <c r="E163" s="108" t="s">
        <v>84</v>
      </c>
      <c r="F163" s="108" t="s">
        <v>1082</v>
      </c>
      <c r="G163" s="108" t="s">
        <v>1083</v>
      </c>
      <c r="H163" s="105" t="s">
        <v>111</v>
      </c>
      <c r="I163" s="109">
        <v>41933</v>
      </c>
      <c r="J163" s="105" t="str">
        <f t="shared" ca="1" si="8"/>
        <v>11 Tahun 11 Bulan 22 Hari</v>
      </c>
    </row>
    <row r="164" spans="1:10">
      <c r="A164" s="105">
        <f t="shared" si="7"/>
        <v>160</v>
      </c>
      <c r="B164" s="106" t="s">
        <v>1062</v>
      </c>
      <c r="C164" s="107">
        <v>135046</v>
      </c>
      <c r="D164" s="108" t="s">
        <v>5</v>
      </c>
      <c r="E164" s="108" t="s">
        <v>84</v>
      </c>
      <c r="F164" s="108" t="s">
        <v>1082</v>
      </c>
      <c r="G164" s="108" t="s">
        <v>1083</v>
      </c>
      <c r="H164" s="105" t="s">
        <v>111</v>
      </c>
      <c r="I164" s="109">
        <v>41575</v>
      </c>
      <c r="J164" s="105" t="str">
        <f t="shared" ca="1" si="8"/>
        <v>12 Tahun 11 Bulan 15 Hari</v>
      </c>
    </row>
    <row r="165" spans="1:10">
      <c r="A165" s="105">
        <f t="shared" si="7"/>
        <v>161</v>
      </c>
      <c r="B165" s="106" t="s">
        <v>171</v>
      </c>
      <c r="C165" s="377">
        <v>83122898</v>
      </c>
      <c r="D165" s="108" t="s">
        <v>5</v>
      </c>
      <c r="E165" s="108" t="s">
        <v>84</v>
      </c>
      <c r="F165" s="108" t="s">
        <v>1082</v>
      </c>
      <c r="G165" s="108" t="s">
        <v>1083</v>
      </c>
      <c r="H165" s="105" t="s">
        <v>111</v>
      </c>
      <c r="I165" s="109">
        <v>41108</v>
      </c>
      <c r="J165" s="105" t="str">
        <f t="shared" ca="1" si="8"/>
        <v>14 Tahun 2 Bulan 25 Hari</v>
      </c>
    </row>
    <row r="166" spans="1:10">
      <c r="A166" s="105">
        <f t="shared" si="7"/>
        <v>162</v>
      </c>
      <c r="B166" s="106" t="s">
        <v>1124</v>
      </c>
      <c r="C166" s="107">
        <v>83122881</v>
      </c>
      <c r="D166" s="108" t="s">
        <v>5</v>
      </c>
      <c r="E166" s="108" t="s">
        <v>84</v>
      </c>
      <c r="F166" s="108" t="s">
        <v>1082</v>
      </c>
      <c r="G166" s="108" t="s">
        <v>1083</v>
      </c>
      <c r="H166" s="105" t="s">
        <v>111</v>
      </c>
      <c r="I166" s="109">
        <v>41108</v>
      </c>
      <c r="J166" s="105" t="str">
        <f t="shared" ca="1" si="8"/>
        <v>14 Tahun 2 Bulan 25 Hari</v>
      </c>
    </row>
    <row r="167" spans="1:10">
      <c r="A167" s="105">
        <f t="shared" si="7"/>
        <v>163</v>
      </c>
      <c r="B167" s="106" t="s">
        <v>1125</v>
      </c>
      <c r="C167" s="107">
        <v>152480</v>
      </c>
      <c r="D167" s="108" t="s">
        <v>5</v>
      </c>
      <c r="E167" s="108" t="s">
        <v>84</v>
      </c>
      <c r="F167" s="108" t="s">
        <v>1082</v>
      </c>
      <c r="G167" s="108" t="s">
        <v>1083</v>
      </c>
      <c r="H167" s="105" t="s">
        <v>111</v>
      </c>
      <c r="I167" s="109">
        <v>42219</v>
      </c>
      <c r="J167" s="105" t="str">
        <f t="shared" ca="1" si="8"/>
        <v>11 Tahun 2 Bulan 10 Hari</v>
      </c>
    </row>
    <row r="168" spans="1:10">
      <c r="A168" s="105">
        <f t="shared" si="7"/>
        <v>164</v>
      </c>
      <c r="B168" s="106" t="s">
        <v>1126</v>
      </c>
      <c r="C168" s="107">
        <v>83122880</v>
      </c>
      <c r="D168" s="108" t="s">
        <v>5</v>
      </c>
      <c r="E168" s="108" t="s">
        <v>84</v>
      </c>
      <c r="F168" s="108" t="s">
        <v>1082</v>
      </c>
      <c r="G168" s="108" t="s">
        <v>1083</v>
      </c>
      <c r="H168" s="105" t="s">
        <v>111</v>
      </c>
      <c r="I168" s="109">
        <v>41108</v>
      </c>
      <c r="J168" s="105" t="str">
        <f t="shared" ca="1" si="8"/>
        <v>14 Tahun 2 Bulan 25 Hari</v>
      </c>
    </row>
    <row r="169" spans="1:10">
      <c r="A169" s="105">
        <f t="shared" si="7"/>
        <v>165</v>
      </c>
      <c r="B169" s="106" t="s">
        <v>330</v>
      </c>
      <c r="C169" s="107">
        <v>145572</v>
      </c>
      <c r="D169" s="108" t="s">
        <v>5</v>
      </c>
      <c r="E169" s="108" t="s">
        <v>84</v>
      </c>
      <c r="F169" s="108" t="s">
        <v>1082</v>
      </c>
      <c r="G169" s="108" t="s">
        <v>1083</v>
      </c>
      <c r="H169" s="105" t="s">
        <v>111</v>
      </c>
      <c r="I169" s="109">
        <v>41925</v>
      </c>
      <c r="J169" s="105" t="str">
        <f t="shared" ca="1" si="8"/>
        <v>12 Tahun 0 Bulan 0 Hari</v>
      </c>
    </row>
    <row r="170" spans="1:10">
      <c r="A170" s="105">
        <f t="shared" si="7"/>
        <v>166</v>
      </c>
      <c r="B170" s="106" t="s">
        <v>331</v>
      </c>
      <c r="C170" s="107">
        <v>83123907</v>
      </c>
      <c r="D170" s="108" t="s">
        <v>5</v>
      </c>
      <c r="E170" s="108" t="s">
        <v>84</v>
      </c>
      <c r="F170" s="108" t="s">
        <v>1082</v>
      </c>
      <c r="G170" s="108" t="s">
        <v>1083</v>
      </c>
      <c r="H170" s="105" t="s">
        <v>111</v>
      </c>
      <c r="I170" s="109">
        <v>41197</v>
      </c>
      <c r="J170" s="105" t="str">
        <f t="shared" ca="1" si="8"/>
        <v>13 Tahun 11 Bulan 28 Hari</v>
      </c>
    </row>
    <row r="171" spans="1:10">
      <c r="A171" s="105">
        <f t="shared" si="7"/>
        <v>167</v>
      </c>
      <c r="B171" s="106" t="s">
        <v>1127</v>
      </c>
      <c r="C171" s="107">
        <v>150927</v>
      </c>
      <c r="D171" s="108" t="s">
        <v>5</v>
      </c>
      <c r="E171" s="108" t="s">
        <v>84</v>
      </c>
      <c r="F171" s="108" t="s">
        <v>1082</v>
      </c>
      <c r="G171" s="108" t="s">
        <v>1083</v>
      </c>
      <c r="H171" s="105" t="s">
        <v>111</v>
      </c>
      <c r="I171" s="126">
        <v>42072</v>
      </c>
      <c r="J171" s="105" t="str">
        <f t="shared" ca="1" si="8"/>
        <v>11 Tahun 7 Bulan 4 Hari</v>
      </c>
    </row>
    <row r="172" spans="1:10">
      <c r="A172" s="105">
        <f t="shared" si="7"/>
        <v>168</v>
      </c>
      <c r="B172" s="106" t="s">
        <v>1128</v>
      </c>
      <c r="C172" s="107">
        <v>150930</v>
      </c>
      <c r="D172" s="108" t="s">
        <v>5</v>
      </c>
      <c r="E172" s="108" t="s">
        <v>84</v>
      </c>
      <c r="F172" s="108" t="s">
        <v>1082</v>
      </c>
      <c r="G172" s="108" t="s">
        <v>1083</v>
      </c>
      <c r="H172" s="105" t="s">
        <v>111</v>
      </c>
      <c r="I172" s="126">
        <v>42072</v>
      </c>
      <c r="J172" s="105" t="str">
        <f t="shared" ca="1" si="8"/>
        <v>11 Tahun 7 Bulan 4 Hari</v>
      </c>
    </row>
    <row r="173" spans="1:10">
      <c r="A173" s="105">
        <f t="shared" si="7"/>
        <v>169</v>
      </c>
      <c r="B173" s="106" t="s">
        <v>1129</v>
      </c>
      <c r="C173" s="107">
        <v>83104423</v>
      </c>
      <c r="D173" s="108" t="s">
        <v>5</v>
      </c>
      <c r="E173" s="108" t="s">
        <v>84</v>
      </c>
      <c r="F173" s="108" t="s">
        <v>1082</v>
      </c>
      <c r="G173" s="108" t="s">
        <v>1083</v>
      </c>
      <c r="H173" s="105" t="s">
        <v>111</v>
      </c>
      <c r="I173" s="126">
        <v>40479</v>
      </c>
      <c r="J173" s="105" t="str">
        <f t="shared" ca="1" si="8"/>
        <v>15 Tahun 11 Bulan 15 Hari</v>
      </c>
    </row>
    <row r="174" spans="1:10">
      <c r="A174" s="105">
        <f t="shared" si="7"/>
        <v>170</v>
      </c>
      <c r="B174" s="106" t="s">
        <v>1130</v>
      </c>
      <c r="C174" s="107">
        <v>152474</v>
      </c>
      <c r="D174" s="108" t="s">
        <v>5</v>
      </c>
      <c r="E174" s="108" t="s">
        <v>84</v>
      </c>
      <c r="F174" s="108" t="s">
        <v>1082</v>
      </c>
      <c r="G174" s="108" t="s">
        <v>1083</v>
      </c>
      <c r="H174" s="105" t="s">
        <v>111</v>
      </c>
      <c r="I174" s="109">
        <v>42229</v>
      </c>
      <c r="J174" s="105" t="str">
        <f t="shared" ref="J174:J179" ca="1" si="9">IF(ISNUMBER(I174),DATEDIF(I174,TODAY(),"Y")&amp;" Tahun "&amp;DATEDIF(I174,TODAY(),"YM")&amp;" Bulan "&amp;DATEDIF(I174,TODAY(),"MD")&amp;" Hari","")</f>
        <v>11 Tahun 2 Bulan 0 Hari</v>
      </c>
    </row>
    <row r="175" spans="1:10">
      <c r="A175" s="105">
        <f t="shared" si="7"/>
        <v>171</v>
      </c>
      <c r="B175" s="106" t="s">
        <v>201</v>
      </c>
      <c r="C175" s="107">
        <v>83086309</v>
      </c>
      <c r="D175" s="108" t="s">
        <v>5</v>
      </c>
      <c r="E175" s="108" t="s">
        <v>84</v>
      </c>
      <c r="F175" s="108" t="s">
        <v>1082</v>
      </c>
      <c r="G175" s="108" t="s">
        <v>1083</v>
      </c>
      <c r="H175" s="105" t="s">
        <v>111</v>
      </c>
      <c r="I175" s="109">
        <v>39498</v>
      </c>
      <c r="J175" s="105" t="str">
        <f t="shared" ca="1" si="9"/>
        <v>18 Tahun 7 Bulan 23 Hari</v>
      </c>
    </row>
    <row r="176" spans="1:10">
      <c r="A176" s="105">
        <f t="shared" si="7"/>
        <v>172</v>
      </c>
      <c r="B176" s="106" t="s">
        <v>202</v>
      </c>
      <c r="C176" s="116">
        <v>83124753</v>
      </c>
      <c r="D176" s="108" t="s">
        <v>5</v>
      </c>
      <c r="E176" s="108" t="s">
        <v>84</v>
      </c>
      <c r="F176" s="108" t="s">
        <v>1082</v>
      </c>
      <c r="G176" s="108" t="s">
        <v>1083</v>
      </c>
      <c r="H176" s="105" t="s">
        <v>111</v>
      </c>
      <c r="I176" s="109">
        <v>41255</v>
      </c>
      <c r="J176" s="105" t="str">
        <f t="shared" ca="1" si="9"/>
        <v>13 Tahun 10 Bulan 1 Hari</v>
      </c>
    </row>
    <row r="177" spans="1:10">
      <c r="A177" s="105">
        <f t="shared" si="7"/>
        <v>173</v>
      </c>
      <c r="B177" s="123" t="s">
        <v>1158</v>
      </c>
      <c r="C177" s="124">
        <v>145358</v>
      </c>
      <c r="D177" s="125" t="s">
        <v>5</v>
      </c>
      <c r="E177" s="108" t="s">
        <v>84</v>
      </c>
      <c r="F177" s="125" t="s">
        <v>1082</v>
      </c>
      <c r="G177" s="125" t="s">
        <v>1083</v>
      </c>
      <c r="H177" s="105" t="s">
        <v>111</v>
      </c>
      <c r="I177" s="386">
        <v>41925</v>
      </c>
      <c r="J177" s="387" t="str">
        <f t="shared" ca="1" si="9"/>
        <v>12 Tahun 0 Bulan 0 Hari</v>
      </c>
    </row>
    <row r="178" spans="1:10" s="137" customFormat="1">
      <c r="A178" s="105">
        <f t="shared" si="7"/>
        <v>174</v>
      </c>
      <c r="B178" s="132" t="s">
        <v>425</v>
      </c>
      <c r="C178" s="145">
        <v>83075251</v>
      </c>
      <c r="D178" s="132" t="s">
        <v>5</v>
      </c>
      <c r="E178" s="132" t="s">
        <v>86</v>
      </c>
      <c r="F178" s="132" t="s">
        <v>1084</v>
      </c>
      <c r="G178" s="132" t="s">
        <v>1083</v>
      </c>
      <c r="H178" s="129" t="s">
        <v>114</v>
      </c>
      <c r="I178" s="139">
        <v>39091</v>
      </c>
      <c r="J178" s="129" t="str">
        <f t="shared" ca="1" si="9"/>
        <v>19 Tahun 9 Bulan 4 Hari</v>
      </c>
    </row>
    <row r="179" spans="1:10" s="137" customFormat="1">
      <c r="A179" s="105">
        <f t="shared" si="7"/>
        <v>175</v>
      </c>
      <c r="B179" s="132" t="s">
        <v>115</v>
      </c>
      <c r="C179" s="136">
        <v>83075406</v>
      </c>
      <c r="D179" s="132" t="s">
        <v>5</v>
      </c>
      <c r="E179" s="132" t="s">
        <v>87</v>
      </c>
      <c r="F179" s="132" t="s">
        <v>1082</v>
      </c>
      <c r="G179" s="132" t="s">
        <v>1083</v>
      </c>
      <c r="H179" s="129" t="s">
        <v>114</v>
      </c>
      <c r="I179" s="139">
        <v>39357</v>
      </c>
      <c r="J179" s="129" t="str">
        <f t="shared" ca="1" si="9"/>
        <v>19 Tahun 0 Bulan 11 Hari</v>
      </c>
    </row>
    <row r="180" spans="1:10" s="137" customFormat="1">
      <c r="A180" s="105">
        <f t="shared" si="7"/>
        <v>176</v>
      </c>
      <c r="B180" s="132" t="s">
        <v>348</v>
      </c>
      <c r="C180" s="136">
        <v>83040044</v>
      </c>
      <c r="D180" s="132" t="s">
        <v>5</v>
      </c>
      <c r="E180" s="132" t="s">
        <v>31</v>
      </c>
      <c r="F180" s="132" t="s">
        <v>1082</v>
      </c>
      <c r="G180" s="132" t="s">
        <v>1083</v>
      </c>
      <c r="H180" s="129" t="s">
        <v>118</v>
      </c>
      <c r="I180" s="139">
        <v>37865</v>
      </c>
      <c r="J180" s="129" t="str">
        <f t="shared" ca="1" si="8"/>
        <v>23 Tahun 1 Bulan 12 Hari</v>
      </c>
    </row>
    <row r="181" spans="1:10">
      <c r="A181" s="105">
        <f t="shared" si="7"/>
        <v>177</v>
      </c>
      <c r="B181" s="108" t="s">
        <v>1131</v>
      </c>
      <c r="C181" s="111">
        <v>145548</v>
      </c>
      <c r="D181" s="108" t="s">
        <v>5</v>
      </c>
      <c r="E181" s="108" t="s">
        <v>95</v>
      </c>
      <c r="F181" s="108" t="s">
        <v>1082</v>
      </c>
      <c r="G181" s="108" t="s">
        <v>1083</v>
      </c>
      <c r="H181" s="105" t="s">
        <v>118</v>
      </c>
      <c r="I181" s="126">
        <v>41925</v>
      </c>
      <c r="J181" s="105" t="str">
        <f t="shared" ca="1" si="8"/>
        <v>12 Tahun 0 Bulan 0 Hari</v>
      </c>
    </row>
    <row r="182" spans="1:10">
      <c r="A182" s="105">
        <f t="shared" si="7"/>
        <v>178</v>
      </c>
      <c r="B182" s="108" t="s">
        <v>1132</v>
      </c>
      <c r="C182" s="111">
        <v>83040032</v>
      </c>
      <c r="D182" s="108" t="s">
        <v>5</v>
      </c>
      <c r="E182" s="108" t="s">
        <v>95</v>
      </c>
      <c r="F182" s="108" t="s">
        <v>1082</v>
      </c>
      <c r="G182" s="108" t="s">
        <v>1083</v>
      </c>
      <c r="H182" s="105" t="s">
        <v>118</v>
      </c>
      <c r="I182" s="109">
        <v>37865</v>
      </c>
      <c r="J182" s="105" t="str">
        <f t="shared" ca="1" si="8"/>
        <v>23 Tahun 1 Bulan 12 Hari</v>
      </c>
    </row>
    <row r="183" spans="1:10">
      <c r="A183" s="105">
        <f t="shared" si="7"/>
        <v>179</v>
      </c>
      <c r="B183" s="108" t="s">
        <v>1030</v>
      </c>
      <c r="C183" s="111">
        <v>83040130</v>
      </c>
      <c r="D183" s="108" t="s">
        <v>5</v>
      </c>
      <c r="E183" s="108" t="s">
        <v>95</v>
      </c>
      <c r="F183" s="108" t="s">
        <v>1082</v>
      </c>
      <c r="G183" s="108" t="s">
        <v>1083</v>
      </c>
      <c r="H183" s="105" t="s">
        <v>118</v>
      </c>
      <c r="I183" s="109">
        <v>37960</v>
      </c>
      <c r="J183" s="105" t="str">
        <f t="shared" ca="1" si="8"/>
        <v>22 Tahun 10 Bulan 8 Hari</v>
      </c>
    </row>
    <row r="184" spans="1:10">
      <c r="A184" s="105">
        <f t="shared" si="7"/>
        <v>180</v>
      </c>
      <c r="B184" s="108" t="s">
        <v>976</v>
      </c>
      <c r="C184" s="111">
        <v>83040046</v>
      </c>
      <c r="D184" s="108" t="s">
        <v>5</v>
      </c>
      <c r="E184" s="108" t="s">
        <v>95</v>
      </c>
      <c r="F184" s="108" t="s">
        <v>1082</v>
      </c>
      <c r="G184" s="108" t="s">
        <v>1083</v>
      </c>
      <c r="H184" s="105" t="s">
        <v>118</v>
      </c>
      <c r="I184" s="109">
        <v>37865</v>
      </c>
      <c r="J184" s="105" t="str">
        <f t="shared" ca="1" si="8"/>
        <v>23 Tahun 1 Bulan 12 Hari</v>
      </c>
    </row>
    <row r="185" spans="1:10">
      <c r="A185" s="105">
        <f t="shared" si="7"/>
        <v>181</v>
      </c>
      <c r="B185" s="108" t="s">
        <v>354</v>
      </c>
      <c r="C185" s="111">
        <v>83102177</v>
      </c>
      <c r="D185" s="108" t="s">
        <v>5</v>
      </c>
      <c r="E185" s="108" t="s">
        <v>95</v>
      </c>
      <c r="F185" s="108" t="s">
        <v>1082</v>
      </c>
      <c r="G185" s="108" t="s">
        <v>1083</v>
      </c>
      <c r="H185" s="105" t="s">
        <v>118</v>
      </c>
      <c r="I185" s="109">
        <v>40283</v>
      </c>
      <c r="J185" s="105" t="str">
        <f t="shared" ca="1" si="8"/>
        <v>16 Tahun 5 Bulan 28 Hari</v>
      </c>
    </row>
    <row r="186" spans="1:10">
      <c r="A186" s="105">
        <f t="shared" si="7"/>
        <v>182</v>
      </c>
      <c r="B186" s="108" t="s">
        <v>355</v>
      </c>
      <c r="C186" s="111">
        <v>83040194</v>
      </c>
      <c r="D186" s="108" t="s">
        <v>5</v>
      </c>
      <c r="E186" s="108" t="s">
        <v>95</v>
      </c>
      <c r="F186" s="108" t="s">
        <v>1082</v>
      </c>
      <c r="G186" s="108" t="s">
        <v>1083</v>
      </c>
      <c r="H186" s="105" t="s">
        <v>118</v>
      </c>
      <c r="I186" s="109">
        <v>38141</v>
      </c>
      <c r="J186" s="105" t="str">
        <f t="shared" ca="1" si="8"/>
        <v>22 Tahun 4 Bulan 10 Hari</v>
      </c>
    </row>
    <row r="187" spans="1:10">
      <c r="A187" s="105">
        <f t="shared" si="7"/>
        <v>183</v>
      </c>
      <c r="B187" s="108" t="s">
        <v>356</v>
      </c>
      <c r="C187" s="111">
        <v>140244</v>
      </c>
      <c r="D187" s="108" t="s">
        <v>5</v>
      </c>
      <c r="E187" s="108" t="s">
        <v>95</v>
      </c>
      <c r="F187" s="108" t="s">
        <v>1082</v>
      </c>
      <c r="G187" s="108" t="s">
        <v>1083</v>
      </c>
      <c r="H187" s="105" t="s">
        <v>118</v>
      </c>
      <c r="I187" s="109">
        <v>41666</v>
      </c>
      <c r="J187" s="105" t="str">
        <f t="shared" ca="1" si="8"/>
        <v>12 Tahun 8 Bulan 16 Hari</v>
      </c>
    </row>
    <row r="188" spans="1:10">
      <c r="A188" s="105">
        <f t="shared" si="7"/>
        <v>184</v>
      </c>
      <c r="B188" s="108" t="s">
        <v>357</v>
      </c>
      <c r="C188" s="111">
        <v>83075884</v>
      </c>
      <c r="D188" s="108" t="s">
        <v>5</v>
      </c>
      <c r="E188" s="108" t="s">
        <v>95</v>
      </c>
      <c r="F188" s="108" t="s">
        <v>1082</v>
      </c>
      <c r="G188" s="108" t="s">
        <v>1083</v>
      </c>
      <c r="H188" s="105" t="s">
        <v>118</v>
      </c>
      <c r="I188" s="109">
        <v>39444</v>
      </c>
      <c r="J188" s="105" t="str">
        <f t="shared" ca="1" si="8"/>
        <v>18 Tahun 9 Bulan 15 Hari</v>
      </c>
    </row>
    <row r="189" spans="1:10">
      <c r="A189" s="105">
        <f t="shared" si="7"/>
        <v>185</v>
      </c>
      <c r="B189" s="108" t="s">
        <v>358</v>
      </c>
      <c r="C189" s="111">
        <v>83103420</v>
      </c>
      <c r="D189" s="108" t="s">
        <v>5</v>
      </c>
      <c r="E189" s="108" t="s">
        <v>95</v>
      </c>
      <c r="F189" s="108" t="s">
        <v>1082</v>
      </c>
      <c r="G189" s="108" t="s">
        <v>1083</v>
      </c>
      <c r="H189" s="105" t="s">
        <v>118</v>
      </c>
      <c r="I189" s="109">
        <v>40386</v>
      </c>
      <c r="J189" s="105" t="str">
        <f t="shared" ca="1" si="8"/>
        <v>16 Tahun 2 Bulan 16 Hari</v>
      </c>
    </row>
    <row r="190" spans="1:10">
      <c r="A190" s="105">
        <f t="shared" si="7"/>
        <v>186</v>
      </c>
      <c r="B190" s="108" t="s">
        <v>359</v>
      </c>
      <c r="C190" s="111">
        <v>83116130</v>
      </c>
      <c r="D190" s="108" t="s">
        <v>5</v>
      </c>
      <c r="E190" s="108" t="s">
        <v>95</v>
      </c>
      <c r="F190" s="108" t="s">
        <v>1082</v>
      </c>
      <c r="G190" s="108" t="s">
        <v>1083</v>
      </c>
      <c r="H190" s="105" t="s">
        <v>118</v>
      </c>
      <c r="I190" s="109">
        <v>40609</v>
      </c>
      <c r="J190" s="105" t="str">
        <f t="shared" ca="1" si="8"/>
        <v>15 Tahun 7 Bulan 6 Hari</v>
      </c>
    </row>
    <row r="191" spans="1:10" s="137" customFormat="1">
      <c r="A191" s="105">
        <f t="shared" si="7"/>
        <v>187</v>
      </c>
      <c r="B191" s="132" t="s">
        <v>998</v>
      </c>
      <c r="C191" s="136">
        <v>83086810</v>
      </c>
      <c r="D191" s="132" t="s">
        <v>5</v>
      </c>
      <c r="E191" s="132" t="s">
        <v>27</v>
      </c>
      <c r="F191" s="132" t="s">
        <v>1082</v>
      </c>
      <c r="G191" s="132" t="s">
        <v>1083</v>
      </c>
      <c r="H191" s="129" t="s">
        <v>118</v>
      </c>
      <c r="I191" s="139">
        <v>39576</v>
      </c>
      <c r="J191" s="129" t="str">
        <f t="shared" ca="1" si="8"/>
        <v>18 Tahun 5 Bulan 5 Hari</v>
      </c>
    </row>
    <row r="192" spans="1:10" s="137" customFormat="1">
      <c r="A192" s="105">
        <f t="shared" si="7"/>
        <v>188</v>
      </c>
      <c r="B192" s="132" t="s">
        <v>361</v>
      </c>
      <c r="C192" s="136">
        <v>83075871</v>
      </c>
      <c r="D192" s="132" t="s">
        <v>5</v>
      </c>
      <c r="E192" s="132" t="s">
        <v>25</v>
      </c>
      <c r="F192" s="132" t="s">
        <v>1082</v>
      </c>
      <c r="G192" s="132" t="s">
        <v>1083</v>
      </c>
      <c r="H192" s="129" t="s">
        <v>118</v>
      </c>
      <c r="I192" s="139">
        <v>39444</v>
      </c>
      <c r="J192" s="129" t="str">
        <f t="shared" ca="1" si="8"/>
        <v>18 Tahun 9 Bulan 15 Hari</v>
      </c>
    </row>
    <row r="193" spans="1:10">
      <c r="A193" s="105">
        <f t="shared" si="7"/>
        <v>189</v>
      </c>
      <c r="B193" s="108" t="s">
        <v>362</v>
      </c>
      <c r="C193" s="111">
        <v>83117968</v>
      </c>
      <c r="D193" s="108" t="s">
        <v>5</v>
      </c>
      <c r="E193" s="108" t="s">
        <v>95</v>
      </c>
      <c r="F193" s="108" t="s">
        <v>1082</v>
      </c>
      <c r="G193" s="108" t="s">
        <v>1083</v>
      </c>
      <c r="H193" s="105" t="s">
        <v>118</v>
      </c>
      <c r="I193" s="109">
        <v>40743</v>
      </c>
      <c r="J193" s="105" t="str">
        <f t="shared" ca="1" si="8"/>
        <v>15 Tahun 2 Bulan 24 Hari</v>
      </c>
    </row>
    <row r="194" spans="1:10">
      <c r="A194" s="105">
        <f t="shared" si="7"/>
        <v>190</v>
      </c>
      <c r="B194" s="108" t="s">
        <v>363</v>
      </c>
      <c r="C194" s="111">
        <v>84122957</v>
      </c>
      <c r="D194" s="108" t="s">
        <v>5</v>
      </c>
      <c r="E194" s="108" t="s">
        <v>95</v>
      </c>
      <c r="F194" s="108" t="s">
        <v>1082</v>
      </c>
      <c r="G194" s="108" t="s">
        <v>1083</v>
      </c>
      <c r="H194" s="105" t="s">
        <v>118</v>
      </c>
      <c r="I194" s="109">
        <v>41129</v>
      </c>
      <c r="J194" s="105" t="str">
        <f t="shared" ca="1" si="8"/>
        <v>14 Tahun 2 Bulan 5 Hari</v>
      </c>
    </row>
    <row r="195" spans="1:10">
      <c r="A195" s="105">
        <f t="shared" si="7"/>
        <v>191</v>
      </c>
      <c r="B195" s="108" t="s">
        <v>988</v>
      </c>
      <c r="C195" s="111">
        <v>83040133</v>
      </c>
      <c r="D195" s="108" t="s">
        <v>5</v>
      </c>
      <c r="E195" s="108" t="s">
        <v>95</v>
      </c>
      <c r="F195" s="108" t="s">
        <v>1082</v>
      </c>
      <c r="G195" s="108" t="s">
        <v>1083</v>
      </c>
      <c r="H195" s="105" t="s">
        <v>118</v>
      </c>
      <c r="I195" s="109">
        <v>37960</v>
      </c>
      <c r="J195" s="105" t="str">
        <f t="shared" ca="1" si="8"/>
        <v>22 Tahun 10 Bulan 8 Hari</v>
      </c>
    </row>
    <row r="196" spans="1:10">
      <c r="A196" s="105">
        <f t="shared" si="7"/>
        <v>192</v>
      </c>
      <c r="B196" s="108" t="s">
        <v>365</v>
      </c>
      <c r="C196" s="111">
        <v>83102181</v>
      </c>
      <c r="D196" s="108" t="s">
        <v>5</v>
      </c>
      <c r="E196" s="108" t="s">
        <v>95</v>
      </c>
      <c r="F196" s="108" t="s">
        <v>1082</v>
      </c>
      <c r="G196" s="108" t="s">
        <v>1083</v>
      </c>
      <c r="H196" s="105" t="s">
        <v>118</v>
      </c>
      <c r="I196" s="109">
        <v>40283</v>
      </c>
      <c r="J196" s="105" t="str">
        <f t="shared" ca="1" si="8"/>
        <v>16 Tahun 5 Bulan 28 Hari</v>
      </c>
    </row>
    <row r="197" spans="1:10">
      <c r="A197" s="105">
        <f t="shared" ref="A197:A260" si="10">ROW(A193)</f>
        <v>193</v>
      </c>
      <c r="B197" s="108" t="s">
        <v>366</v>
      </c>
      <c r="C197" s="111">
        <v>83117969</v>
      </c>
      <c r="D197" s="108" t="s">
        <v>5</v>
      </c>
      <c r="E197" s="108" t="s">
        <v>95</v>
      </c>
      <c r="F197" s="108" t="s">
        <v>1082</v>
      </c>
      <c r="G197" s="108" t="s">
        <v>1083</v>
      </c>
      <c r="H197" s="105" t="s">
        <v>118</v>
      </c>
      <c r="I197" s="109">
        <v>40743</v>
      </c>
      <c r="J197" s="105" t="str">
        <f t="shared" ca="1" si="8"/>
        <v>15 Tahun 2 Bulan 24 Hari</v>
      </c>
    </row>
    <row r="198" spans="1:10">
      <c r="A198" s="105">
        <f t="shared" si="10"/>
        <v>194</v>
      </c>
      <c r="B198" s="108" t="s">
        <v>367</v>
      </c>
      <c r="C198" s="111">
        <v>84122965</v>
      </c>
      <c r="D198" s="108" t="s">
        <v>5</v>
      </c>
      <c r="E198" s="108" t="s">
        <v>95</v>
      </c>
      <c r="F198" s="108" t="s">
        <v>1082</v>
      </c>
      <c r="G198" s="108" t="s">
        <v>1083</v>
      </c>
      <c r="H198" s="105" t="s">
        <v>118</v>
      </c>
      <c r="I198" s="109">
        <v>41129</v>
      </c>
      <c r="J198" s="105" t="str">
        <f t="shared" ca="1" si="8"/>
        <v>14 Tahun 2 Bulan 5 Hari</v>
      </c>
    </row>
    <row r="199" spans="1:10">
      <c r="A199" s="105">
        <f t="shared" si="10"/>
        <v>195</v>
      </c>
      <c r="B199" s="108" t="s">
        <v>368</v>
      </c>
      <c r="C199" s="111">
        <v>83105168</v>
      </c>
      <c r="D199" s="108" t="s">
        <v>5</v>
      </c>
      <c r="E199" s="108" t="s">
        <v>95</v>
      </c>
      <c r="F199" s="108" t="s">
        <v>1082</v>
      </c>
      <c r="G199" s="108" t="s">
        <v>1083</v>
      </c>
      <c r="H199" s="105" t="s">
        <v>118</v>
      </c>
      <c r="I199" s="109">
        <v>40518</v>
      </c>
      <c r="J199" s="105" t="str">
        <f t="shared" ca="1" si="8"/>
        <v>15 Tahun 10 Bulan 7 Hari</v>
      </c>
    </row>
    <row r="200" spans="1:10">
      <c r="A200" s="105">
        <f t="shared" si="10"/>
        <v>196</v>
      </c>
      <c r="B200" s="108" t="s">
        <v>369</v>
      </c>
      <c r="C200" s="111">
        <v>83104434</v>
      </c>
      <c r="D200" s="108" t="s">
        <v>5</v>
      </c>
      <c r="E200" s="108" t="s">
        <v>95</v>
      </c>
      <c r="F200" s="108" t="s">
        <v>1082</v>
      </c>
      <c r="G200" s="108" t="s">
        <v>1083</v>
      </c>
      <c r="H200" s="105" t="s">
        <v>118</v>
      </c>
      <c r="I200" s="109">
        <v>40479</v>
      </c>
      <c r="J200" s="105" t="str">
        <f t="shared" ca="1" si="8"/>
        <v>15 Tahun 11 Bulan 15 Hari</v>
      </c>
    </row>
    <row r="201" spans="1:10">
      <c r="A201" s="105">
        <f t="shared" si="10"/>
        <v>197</v>
      </c>
      <c r="B201" s="108" t="s">
        <v>370</v>
      </c>
      <c r="C201" s="111">
        <v>83075242</v>
      </c>
      <c r="D201" s="108" t="s">
        <v>5</v>
      </c>
      <c r="E201" s="108" t="s">
        <v>95</v>
      </c>
      <c r="F201" s="108" t="s">
        <v>1082</v>
      </c>
      <c r="G201" s="108" t="s">
        <v>1083</v>
      </c>
      <c r="H201" s="105" t="s">
        <v>118</v>
      </c>
      <c r="I201" s="109">
        <v>39326</v>
      </c>
      <c r="J201" s="105" t="str">
        <f t="shared" ca="1" si="8"/>
        <v>19 Tahun 1 Bulan 12 Hari</v>
      </c>
    </row>
    <row r="202" spans="1:10">
      <c r="A202" s="105">
        <f t="shared" si="10"/>
        <v>198</v>
      </c>
      <c r="B202" s="108" t="s">
        <v>373</v>
      </c>
      <c r="C202" s="111">
        <v>83086322</v>
      </c>
      <c r="D202" s="108" t="s">
        <v>5</v>
      </c>
      <c r="E202" s="108" t="s">
        <v>95</v>
      </c>
      <c r="F202" s="108" t="s">
        <v>1082</v>
      </c>
      <c r="G202" s="108" t="s">
        <v>1083</v>
      </c>
      <c r="H202" s="105" t="s">
        <v>118</v>
      </c>
      <c r="I202" s="109">
        <v>39498</v>
      </c>
      <c r="J202" s="105" t="str">
        <f t="shared" ca="1" si="8"/>
        <v>18 Tahun 7 Bulan 23 Hari</v>
      </c>
    </row>
    <row r="203" spans="1:10" s="137" customFormat="1">
      <c r="A203" s="105">
        <f t="shared" si="10"/>
        <v>199</v>
      </c>
      <c r="B203" s="132" t="s">
        <v>374</v>
      </c>
      <c r="C203" s="136">
        <v>83075245</v>
      </c>
      <c r="D203" s="132" t="s">
        <v>5</v>
      </c>
      <c r="E203" s="132" t="s">
        <v>23</v>
      </c>
      <c r="F203" s="132" t="s">
        <v>1082</v>
      </c>
      <c r="G203" s="132" t="s">
        <v>1083</v>
      </c>
      <c r="H203" s="129" t="s">
        <v>118</v>
      </c>
      <c r="I203" s="139">
        <v>39326</v>
      </c>
      <c r="J203" s="129" t="str">
        <f t="shared" ca="1" si="8"/>
        <v>19 Tahun 1 Bulan 12 Hari</v>
      </c>
    </row>
    <row r="204" spans="1:10">
      <c r="A204" s="105">
        <f t="shared" si="10"/>
        <v>200</v>
      </c>
      <c r="B204" s="108" t="s">
        <v>376</v>
      </c>
      <c r="C204" s="111">
        <v>140219</v>
      </c>
      <c r="D204" s="108" t="s">
        <v>5</v>
      </c>
      <c r="E204" s="108" t="s">
        <v>95</v>
      </c>
      <c r="F204" s="108" t="s">
        <v>1082</v>
      </c>
      <c r="G204" s="108" t="s">
        <v>1083</v>
      </c>
      <c r="H204" s="105" t="s">
        <v>118</v>
      </c>
      <c r="I204" s="109">
        <v>41666</v>
      </c>
      <c r="J204" s="105" t="str">
        <f t="shared" ref="J204:J263" ca="1" si="11">IF(ISNUMBER(I204),DATEDIF(I204,TODAY(),"Y")&amp;" Tahun "&amp;DATEDIF(I204,TODAY(),"YM")&amp;" Bulan "&amp;DATEDIF(I204,TODAY(),"MD")&amp;" Hari","")</f>
        <v>12 Tahun 8 Bulan 16 Hari</v>
      </c>
    </row>
    <row r="205" spans="1:10">
      <c r="A205" s="105">
        <f t="shared" si="10"/>
        <v>201</v>
      </c>
      <c r="B205" s="108" t="s">
        <v>377</v>
      </c>
      <c r="C205" s="111">
        <v>132513</v>
      </c>
      <c r="D205" s="108" t="s">
        <v>5</v>
      </c>
      <c r="E205" s="108" t="s">
        <v>95</v>
      </c>
      <c r="F205" s="108" t="s">
        <v>1082</v>
      </c>
      <c r="G205" s="108" t="s">
        <v>1083</v>
      </c>
      <c r="H205" s="105" t="s">
        <v>118</v>
      </c>
      <c r="I205" s="109">
        <v>41457</v>
      </c>
      <c r="J205" s="105" t="str">
        <f t="shared" ca="1" si="11"/>
        <v>13 Tahun 3 Bulan 11 Hari</v>
      </c>
    </row>
    <row r="206" spans="1:10">
      <c r="A206" s="105">
        <f t="shared" si="10"/>
        <v>202</v>
      </c>
      <c r="B206" s="108" t="s">
        <v>379</v>
      </c>
      <c r="C206" s="111">
        <v>83102758</v>
      </c>
      <c r="D206" s="108" t="s">
        <v>5</v>
      </c>
      <c r="E206" s="108" t="s">
        <v>95</v>
      </c>
      <c r="F206" s="108" t="s">
        <v>1082</v>
      </c>
      <c r="G206" s="108" t="s">
        <v>1083</v>
      </c>
      <c r="H206" s="105" t="s">
        <v>118</v>
      </c>
      <c r="I206" s="109">
        <v>40343</v>
      </c>
      <c r="J206" s="105" t="str">
        <f t="shared" ca="1" si="11"/>
        <v>16 Tahun 3 Bulan 29 Hari</v>
      </c>
    </row>
    <row r="207" spans="1:10">
      <c r="A207" s="105">
        <f t="shared" si="10"/>
        <v>203</v>
      </c>
      <c r="B207" s="108" t="s">
        <v>380</v>
      </c>
      <c r="C207" s="111">
        <v>141878</v>
      </c>
      <c r="D207" s="108" t="s">
        <v>5</v>
      </c>
      <c r="E207" s="108" t="s">
        <v>95</v>
      </c>
      <c r="F207" s="108" t="s">
        <v>1082</v>
      </c>
      <c r="G207" s="108" t="s">
        <v>1083</v>
      </c>
      <c r="H207" s="105" t="s">
        <v>118</v>
      </c>
      <c r="I207" s="109">
        <v>41767</v>
      </c>
      <c r="J207" s="105" t="str">
        <f t="shared" ca="1" si="11"/>
        <v>12 Tahun 5 Bulan 5 Hari</v>
      </c>
    </row>
    <row r="208" spans="1:10">
      <c r="A208" s="105">
        <f t="shared" si="10"/>
        <v>204</v>
      </c>
      <c r="B208" s="106" t="s">
        <v>1133</v>
      </c>
      <c r="C208" s="111">
        <v>152600</v>
      </c>
      <c r="D208" s="108" t="s">
        <v>5</v>
      </c>
      <c r="E208" s="108" t="s">
        <v>95</v>
      </c>
      <c r="F208" s="108" t="s">
        <v>1082</v>
      </c>
      <c r="G208" s="108" t="s">
        <v>1083</v>
      </c>
      <c r="H208" s="105" t="s">
        <v>118</v>
      </c>
      <c r="I208" s="109">
        <v>42219</v>
      </c>
      <c r="J208" s="105" t="str">
        <f t="shared" ca="1" si="11"/>
        <v>11 Tahun 2 Bulan 10 Hari</v>
      </c>
    </row>
    <row r="209" spans="1:10" s="137" customFormat="1">
      <c r="A209" s="105">
        <f t="shared" si="10"/>
        <v>205</v>
      </c>
      <c r="B209" s="132" t="s">
        <v>382</v>
      </c>
      <c r="C209" s="136">
        <v>83087494</v>
      </c>
      <c r="D209" s="132" t="s">
        <v>5</v>
      </c>
      <c r="E209" s="132" t="s">
        <v>26</v>
      </c>
      <c r="F209" s="132" t="s">
        <v>1082</v>
      </c>
      <c r="G209" s="132" t="s">
        <v>1083</v>
      </c>
      <c r="H209" s="129" t="s">
        <v>118</v>
      </c>
      <c r="I209" s="139">
        <v>39658</v>
      </c>
      <c r="J209" s="129" t="str">
        <f t="shared" ca="1" si="11"/>
        <v>18 Tahun 2 Bulan 14 Hari</v>
      </c>
    </row>
    <row r="210" spans="1:10" s="137" customFormat="1">
      <c r="A210" s="105">
        <f t="shared" si="10"/>
        <v>206</v>
      </c>
      <c r="B210" s="132" t="s">
        <v>383</v>
      </c>
      <c r="C210" s="136">
        <v>83040124</v>
      </c>
      <c r="D210" s="132" t="s">
        <v>5</v>
      </c>
      <c r="E210" s="132" t="s">
        <v>22</v>
      </c>
      <c r="F210" s="132" t="s">
        <v>1082</v>
      </c>
      <c r="G210" s="132" t="s">
        <v>1083</v>
      </c>
      <c r="H210" s="129" t="s">
        <v>118</v>
      </c>
      <c r="I210" s="139">
        <v>37960</v>
      </c>
      <c r="J210" s="129" t="str">
        <f t="shared" ca="1" si="11"/>
        <v>22 Tahun 10 Bulan 8 Hari</v>
      </c>
    </row>
    <row r="211" spans="1:10">
      <c r="A211" s="105">
        <f t="shared" si="10"/>
        <v>207</v>
      </c>
      <c r="B211" s="108" t="s">
        <v>385</v>
      </c>
      <c r="C211" s="111">
        <v>84122956</v>
      </c>
      <c r="D211" s="108" t="s">
        <v>5</v>
      </c>
      <c r="E211" s="108" t="s">
        <v>95</v>
      </c>
      <c r="F211" s="108" t="s">
        <v>1082</v>
      </c>
      <c r="G211" s="108" t="s">
        <v>1083</v>
      </c>
      <c r="H211" s="105" t="s">
        <v>118</v>
      </c>
      <c r="I211" s="109">
        <v>41122</v>
      </c>
      <c r="J211" s="105" t="str">
        <f t="shared" ca="1" si="11"/>
        <v>14 Tahun 2 Bulan 12 Hari</v>
      </c>
    </row>
    <row r="212" spans="1:10">
      <c r="A212" s="105">
        <f t="shared" si="10"/>
        <v>208</v>
      </c>
      <c r="B212" s="108" t="s">
        <v>386</v>
      </c>
      <c r="C212" s="111">
        <v>83086316</v>
      </c>
      <c r="D212" s="108" t="s">
        <v>5</v>
      </c>
      <c r="E212" s="108" t="s">
        <v>95</v>
      </c>
      <c r="F212" s="108" t="s">
        <v>1082</v>
      </c>
      <c r="G212" s="108" t="s">
        <v>1083</v>
      </c>
      <c r="H212" s="105" t="s">
        <v>118</v>
      </c>
      <c r="I212" s="109">
        <v>39498</v>
      </c>
      <c r="J212" s="105" t="str">
        <f t="shared" ca="1" si="11"/>
        <v>18 Tahun 7 Bulan 23 Hari</v>
      </c>
    </row>
    <row r="213" spans="1:10">
      <c r="A213" s="105">
        <f t="shared" si="10"/>
        <v>209</v>
      </c>
      <c r="B213" s="108" t="s">
        <v>387</v>
      </c>
      <c r="C213" s="111">
        <v>83105157</v>
      </c>
      <c r="D213" s="108" t="s">
        <v>5</v>
      </c>
      <c r="E213" s="108" t="s">
        <v>95</v>
      </c>
      <c r="F213" s="108" t="s">
        <v>1082</v>
      </c>
      <c r="G213" s="108" t="s">
        <v>1083</v>
      </c>
      <c r="H213" s="105" t="s">
        <v>118</v>
      </c>
      <c r="I213" s="109">
        <v>40518</v>
      </c>
      <c r="J213" s="105" t="str">
        <f t="shared" ca="1" si="11"/>
        <v>15 Tahun 10 Bulan 7 Hari</v>
      </c>
    </row>
    <row r="214" spans="1:10">
      <c r="A214" s="105">
        <f t="shared" si="10"/>
        <v>210</v>
      </c>
      <c r="B214" s="108" t="s">
        <v>388</v>
      </c>
      <c r="C214" s="111">
        <v>84122947</v>
      </c>
      <c r="D214" s="108" t="s">
        <v>5</v>
      </c>
      <c r="E214" s="108" t="s">
        <v>95</v>
      </c>
      <c r="F214" s="108" t="s">
        <v>1082</v>
      </c>
      <c r="G214" s="108" t="s">
        <v>1083</v>
      </c>
      <c r="H214" s="105" t="s">
        <v>118</v>
      </c>
      <c r="I214" s="109">
        <v>41122</v>
      </c>
      <c r="J214" s="105" t="str">
        <f t="shared" ca="1" si="11"/>
        <v>14 Tahun 2 Bulan 12 Hari</v>
      </c>
    </row>
    <row r="215" spans="1:10">
      <c r="A215" s="105">
        <f t="shared" si="10"/>
        <v>211</v>
      </c>
      <c r="B215" s="108" t="s">
        <v>389</v>
      </c>
      <c r="C215" s="111">
        <v>83117959</v>
      </c>
      <c r="D215" s="108" t="s">
        <v>5</v>
      </c>
      <c r="E215" s="108" t="s">
        <v>95</v>
      </c>
      <c r="F215" s="108" t="s">
        <v>1082</v>
      </c>
      <c r="G215" s="108" t="s">
        <v>1083</v>
      </c>
      <c r="H215" s="105" t="s">
        <v>118</v>
      </c>
      <c r="I215" s="109">
        <v>40743</v>
      </c>
      <c r="J215" s="105" t="str">
        <f t="shared" ca="1" si="11"/>
        <v>15 Tahun 2 Bulan 24 Hari</v>
      </c>
    </row>
    <row r="216" spans="1:10">
      <c r="A216" s="105">
        <f t="shared" si="10"/>
        <v>212</v>
      </c>
      <c r="B216" s="108" t="s">
        <v>285</v>
      </c>
      <c r="C216" s="111">
        <v>140296</v>
      </c>
      <c r="D216" s="108" t="s">
        <v>5</v>
      </c>
      <c r="E216" s="108" t="s">
        <v>95</v>
      </c>
      <c r="F216" s="108" t="s">
        <v>1082</v>
      </c>
      <c r="G216" s="108" t="s">
        <v>1083</v>
      </c>
      <c r="H216" s="105" t="s">
        <v>118</v>
      </c>
      <c r="I216" s="109">
        <v>41666</v>
      </c>
      <c r="J216" s="105" t="str">
        <f t="shared" ca="1" si="11"/>
        <v>12 Tahun 8 Bulan 16 Hari</v>
      </c>
    </row>
    <row r="217" spans="1:10">
      <c r="A217" s="105">
        <f t="shared" si="10"/>
        <v>213</v>
      </c>
      <c r="B217" s="108" t="s">
        <v>390</v>
      </c>
      <c r="C217" s="111">
        <v>171982</v>
      </c>
      <c r="D217" s="108" t="s">
        <v>5</v>
      </c>
      <c r="E217" s="108" t="s">
        <v>95</v>
      </c>
      <c r="F217" s="108" t="s">
        <v>1082</v>
      </c>
      <c r="G217" s="108" t="s">
        <v>1083</v>
      </c>
      <c r="H217" s="105" t="s">
        <v>118</v>
      </c>
      <c r="I217" s="109">
        <v>43003</v>
      </c>
      <c r="J217" s="105" t="str">
        <f t="shared" ca="1" si="11"/>
        <v>9 Tahun 0 Bulan 18 Hari</v>
      </c>
    </row>
    <row r="218" spans="1:10">
      <c r="A218" s="105">
        <f t="shared" si="10"/>
        <v>214</v>
      </c>
      <c r="B218" s="108" t="s">
        <v>391</v>
      </c>
      <c r="C218" s="111">
        <v>83074622</v>
      </c>
      <c r="D218" s="108" t="s">
        <v>5</v>
      </c>
      <c r="E218" s="108" t="s">
        <v>95</v>
      </c>
      <c r="F218" s="108" t="s">
        <v>1082</v>
      </c>
      <c r="G218" s="108" t="s">
        <v>1083</v>
      </c>
      <c r="H218" s="105" t="s">
        <v>118</v>
      </c>
      <c r="I218" s="109">
        <v>39183</v>
      </c>
      <c r="J218" s="105" t="str">
        <f t="shared" ca="1" si="11"/>
        <v>19 Tahun 6 Bulan 2 Hari</v>
      </c>
    </row>
    <row r="219" spans="1:10" s="137" customFormat="1">
      <c r="A219" s="105">
        <f t="shared" si="10"/>
        <v>215</v>
      </c>
      <c r="B219" s="132" t="s">
        <v>393</v>
      </c>
      <c r="C219" s="145">
        <v>83075877</v>
      </c>
      <c r="D219" s="132" t="s">
        <v>5</v>
      </c>
      <c r="E219" s="132" t="s">
        <v>30</v>
      </c>
      <c r="F219" s="132" t="s">
        <v>1082</v>
      </c>
      <c r="G219" s="132" t="s">
        <v>1083</v>
      </c>
      <c r="H219" s="129" t="s">
        <v>118</v>
      </c>
      <c r="I219" s="139">
        <v>39444</v>
      </c>
      <c r="J219" s="129" t="str">
        <f t="shared" ca="1" si="11"/>
        <v>18 Tahun 9 Bulan 15 Hari</v>
      </c>
    </row>
    <row r="220" spans="1:10" s="137" customFormat="1">
      <c r="A220" s="105">
        <f t="shared" si="10"/>
        <v>216</v>
      </c>
      <c r="B220" s="132" t="s">
        <v>394</v>
      </c>
      <c r="C220" s="145">
        <v>83040090</v>
      </c>
      <c r="D220" s="132" t="s">
        <v>5</v>
      </c>
      <c r="E220" s="132" t="s">
        <v>32</v>
      </c>
      <c r="F220" s="132" t="s">
        <v>1084</v>
      </c>
      <c r="G220" s="132" t="s">
        <v>1083</v>
      </c>
      <c r="H220" s="129" t="s">
        <v>118</v>
      </c>
      <c r="I220" s="139">
        <v>38261</v>
      </c>
      <c r="J220" s="129" t="str">
        <f t="shared" ca="1" si="11"/>
        <v>22 Tahun 0 Bulan 12 Hari</v>
      </c>
    </row>
    <row r="221" spans="1:10">
      <c r="A221" s="105">
        <f t="shared" si="10"/>
        <v>217</v>
      </c>
      <c r="B221" s="108" t="s">
        <v>395</v>
      </c>
      <c r="C221" s="115">
        <v>83040048</v>
      </c>
      <c r="D221" s="108" t="s">
        <v>5</v>
      </c>
      <c r="E221" s="108" t="s">
        <v>95</v>
      </c>
      <c r="F221" s="108" t="s">
        <v>1084</v>
      </c>
      <c r="G221" s="108" t="s">
        <v>1083</v>
      </c>
      <c r="H221" s="105" t="s">
        <v>118</v>
      </c>
      <c r="I221" s="109">
        <v>37866</v>
      </c>
      <c r="J221" s="105" t="str">
        <f t="shared" ca="1" si="11"/>
        <v>23 Tahun 1 Bulan 11 Hari</v>
      </c>
    </row>
    <row r="222" spans="1:10">
      <c r="A222" s="105">
        <f t="shared" si="10"/>
        <v>218</v>
      </c>
      <c r="B222" s="108" t="s">
        <v>396</v>
      </c>
      <c r="C222" s="115">
        <v>154176</v>
      </c>
      <c r="D222" s="108" t="s">
        <v>5</v>
      </c>
      <c r="E222" s="108" t="s">
        <v>95</v>
      </c>
      <c r="F222" s="108" t="s">
        <v>1084</v>
      </c>
      <c r="G222" s="108" t="s">
        <v>1083</v>
      </c>
      <c r="H222" s="105" t="s">
        <v>118</v>
      </c>
      <c r="I222" s="109">
        <v>42318</v>
      </c>
      <c r="J222" s="105" t="str">
        <f t="shared" ca="1" si="11"/>
        <v>10 Tahun 11 Bulan 3 Hari</v>
      </c>
    </row>
    <row r="223" spans="1:10">
      <c r="A223" s="105">
        <f t="shared" si="10"/>
        <v>219</v>
      </c>
      <c r="B223" s="106" t="s">
        <v>919</v>
      </c>
      <c r="C223" s="115">
        <v>221925</v>
      </c>
      <c r="D223" s="108" t="s">
        <v>5</v>
      </c>
      <c r="E223" s="108" t="s">
        <v>95</v>
      </c>
      <c r="F223" s="108" t="s">
        <v>1084</v>
      </c>
      <c r="G223" s="108" t="s">
        <v>1083</v>
      </c>
      <c r="H223" s="105" t="s">
        <v>118</v>
      </c>
      <c r="I223" s="109">
        <v>44746</v>
      </c>
      <c r="J223" s="105" t="str">
        <f t="shared" ca="1" si="11"/>
        <v>4 Tahun 3 Bulan 9 Hari</v>
      </c>
    </row>
    <row r="224" spans="1:10">
      <c r="A224" s="105">
        <f t="shared" si="10"/>
        <v>220</v>
      </c>
      <c r="B224" s="108" t="s">
        <v>398</v>
      </c>
      <c r="C224" s="115">
        <v>83104431</v>
      </c>
      <c r="D224" s="108" t="s">
        <v>5</v>
      </c>
      <c r="E224" s="108" t="s">
        <v>95</v>
      </c>
      <c r="F224" s="108" t="s">
        <v>1084</v>
      </c>
      <c r="G224" s="108" t="s">
        <v>1083</v>
      </c>
      <c r="H224" s="105" t="s">
        <v>118</v>
      </c>
      <c r="I224" s="109">
        <v>40479</v>
      </c>
      <c r="J224" s="105" t="str">
        <f t="shared" ca="1" si="11"/>
        <v>15 Tahun 11 Bulan 15 Hari</v>
      </c>
    </row>
    <row r="225" spans="1:10">
      <c r="A225" s="105">
        <f t="shared" si="10"/>
        <v>221</v>
      </c>
      <c r="B225" s="108" t="s">
        <v>399</v>
      </c>
      <c r="C225" s="115">
        <v>147322</v>
      </c>
      <c r="D225" s="108" t="s">
        <v>5</v>
      </c>
      <c r="E225" s="108" t="s">
        <v>95</v>
      </c>
      <c r="F225" s="108" t="s">
        <v>1084</v>
      </c>
      <c r="G225" s="108" t="s">
        <v>1083</v>
      </c>
      <c r="H225" s="105" t="s">
        <v>118</v>
      </c>
      <c r="I225" s="109">
        <v>41975</v>
      </c>
      <c r="J225" s="105" t="str">
        <f t="shared" ca="1" si="11"/>
        <v>11 Tahun 10 Bulan 11 Hari</v>
      </c>
    </row>
    <row r="226" spans="1:10">
      <c r="A226" s="105">
        <f t="shared" si="10"/>
        <v>222</v>
      </c>
      <c r="B226" s="108" t="s">
        <v>400</v>
      </c>
      <c r="C226" s="115">
        <v>83119917</v>
      </c>
      <c r="D226" s="108" t="s">
        <v>5</v>
      </c>
      <c r="E226" s="108" t="s">
        <v>95</v>
      </c>
      <c r="F226" s="108" t="s">
        <v>1084</v>
      </c>
      <c r="G226" s="108" t="s">
        <v>1083</v>
      </c>
      <c r="H226" s="105" t="s">
        <v>118</v>
      </c>
      <c r="I226" s="109">
        <v>40903</v>
      </c>
      <c r="J226" s="105" t="str">
        <f t="shared" ca="1" si="11"/>
        <v>14 Tahun 9 Bulan 17 Hari</v>
      </c>
    </row>
    <row r="227" spans="1:10">
      <c r="A227" s="105">
        <f t="shared" si="10"/>
        <v>223</v>
      </c>
      <c r="B227" s="108" t="s">
        <v>401</v>
      </c>
      <c r="C227" s="115">
        <v>83102553</v>
      </c>
      <c r="D227" s="108" t="s">
        <v>5</v>
      </c>
      <c r="E227" s="108" t="s">
        <v>95</v>
      </c>
      <c r="F227" s="108" t="s">
        <v>1084</v>
      </c>
      <c r="G227" s="108" t="s">
        <v>1083</v>
      </c>
      <c r="H227" s="105" t="s">
        <v>118</v>
      </c>
      <c r="I227" s="109">
        <v>40322</v>
      </c>
      <c r="J227" s="105" t="str">
        <f t="shared" ca="1" si="11"/>
        <v>16 Tahun 4 Bulan 19 Hari</v>
      </c>
    </row>
    <row r="228" spans="1:10">
      <c r="A228" s="105">
        <f t="shared" si="10"/>
        <v>224</v>
      </c>
      <c r="B228" s="108" t="s">
        <v>402</v>
      </c>
      <c r="C228" s="115">
        <v>83105165</v>
      </c>
      <c r="D228" s="108" t="s">
        <v>5</v>
      </c>
      <c r="E228" s="108" t="s">
        <v>95</v>
      </c>
      <c r="F228" s="108" t="s">
        <v>1084</v>
      </c>
      <c r="G228" s="108" t="s">
        <v>1083</v>
      </c>
      <c r="H228" s="105" t="s">
        <v>118</v>
      </c>
      <c r="I228" s="109">
        <v>40518</v>
      </c>
      <c r="J228" s="105" t="str">
        <f t="shared" ca="1" si="11"/>
        <v>15 Tahun 10 Bulan 7 Hari</v>
      </c>
    </row>
    <row r="229" spans="1:10">
      <c r="A229" s="105">
        <f t="shared" si="10"/>
        <v>225</v>
      </c>
      <c r="B229" s="108" t="s">
        <v>403</v>
      </c>
      <c r="C229" s="115">
        <v>84122949</v>
      </c>
      <c r="D229" s="108" t="s">
        <v>5</v>
      </c>
      <c r="E229" s="108" t="s">
        <v>95</v>
      </c>
      <c r="F229" s="108" t="s">
        <v>1084</v>
      </c>
      <c r="G229" s="108" t="s">
        <v>1083</v>
      </c>
      <c r="H229" s="105" t="s">
        <v>118</v>
      </c>
      <c r="I229" s="109">
        <v>41122</v>
      </c>
      <c r="J229" s="105" t="str">
        <f t="shared" ca="1" si="11"/>
        <v>14 Tahun 2 Bulan 12 Hari</v>
      </c>
    </row>
    <row r="230" spans="1:10">
      <c r="A230" s="105">
        <f t="shared" si="10"/>
        <v>226</v>
      </c>
      <c r="B230" s="108" t="s">
        <v>404</v>
      </c>
      <c r="C230" s="115">
        <v>83103415</v>
      </c>
      <c r="D230" s="108" t="s">
        <v>5</v>
      </c>
      <c r="E230" s="108" t="s">
        <v>95</v>
      </c>
      <c r="F230" s="108" t="s">
        <v>1084</v>
      </c>
      <c r="G230" s="108" t="s">
        <v>1083</v>
      </c>
      <c r="H230" s="105" t="s">
        <v>118</v>
      </c>
      <c r="I230" s="109">
        <v>40386</v>
      </c>
      <c r="J230" s="105" t="str">
        <f t="shared" ca="1" si="11"/>
        <v>16 Tahun 2 Bulan 16 Hari</v>
      </c>
    </row>
    <row r="231" spans="1:10">
      <c r="A231" s="105">
        <f t="shared" si="10"/>
        <v>227</v>
      </c>
      <c r="B231" s="108" t="s">
        <v>405</v>
      </c>
      <c r="C231" s="115">
        <v>83102200</v>
      </c>
      <c r="D231" s="108" t="s">
        <v>5</v>
      </c>
      <c r="E231" s="108" t="s">
        <v>95</v>
      </c>
      <c r="F231" s="108" t="s">
        <v>1084</v>
      </c>
      <c r="G231" s="108" t="s">
        <v>1083</v>
      </c>
      <c r="H231" s="105" t="s">
        <v>118</v>
      </c>
      <c r="I231" s="109">
        <v>40283</v>
      </c>
      <c r="J231" s="105" t="str">
        <f t="shared" ca="1" si="11"/>
        <v>16 Tahun 5 Bulan 28 Hari</v>
      </c>
    </row>
    <row r="232" spans="1:10">
      <c r="A232" s="105">
        <f t="shared" si="10"/>
        <v>228</v>
      </c>
      <c r="B232" s="108" t="s">
        <v>406</v>
      </c>
      <c r="C232" s="115">
        <v>83119918</v>
      </c>
      <c r="D232" s="108" t="s">
        <v>5</v>
      </c>
      <c r="E232" s="108" t="s">
        <v>95</v>
      </c>
      <c r="F232" s="108" t="s">
        <v>1084</v>
      </c>
      <c r="G232" s="108" t="s">
        <v>1083</v>
      </c>
      <c r="H232" s="105" t="s">
        <v>118</v>
      </c>
      <c r="I232" s="109">
        <v>40903</v>
      </c>
      <c r="J232" s="105" t="str">
        <f t="shared" ca="1" si="11"/>
        <v>14 Tahun 9 Bulan 17 Hari</v>
      </c>
    </row>
    <row r="233" spans="1:10">
      <c r="A233" s="105">
        <f t="shared" si="10"/>
        <v>229</v>
      </c>
      <c r="B233" s="108" t="s">
        <v>407</v>
      </c>
      <c r="C233" s="115">
        <v>84122951</v>
      </c>
      <c r="D233" s="108" t="s">
        <v>5</v>
      </c>
      <c r="E233" s="108" t="s">
        <v>95</v>
      </c>
      <c r="F233" s="108" t="s">
        <v>1084</v>
      </c>
      <c r="G233" s="108" t="s">
        <v>1083</v>
      </c>
      <c r="H233" s="105" t="s">
        <v>118</v>
      </c>
      <c r="I233" s="109">
        <v>41122</v>
      </c>
      <c r="J233" s="105" t="str">
        <f t="shared" ca="1" si="11"/>
        <v>14 Tahun 2 Bulan 12 Hari</v>
      </c>
    </row>
    <row r="234" spans="1:10">
      <c r="A234" s="105">
        <f t="shared" si="10"/>
        <v>230</v>
      </c>
      <c r="B234" s="108" t="s">
        <v>408</v>
      </c>
      <c r="C234" s="115">
        <v>83119926</v>
      </c>
      <c r="D234" s="108" t="s">
        <v>5</v>
      </c>
      <c r="E234" s="108" t="s">
        <v>95</v>
      </c>
      <c r="F234" s="108" t="s">
        <v>1084</v>
      </c>
      <c r="G234" s="108" t="s">
        <v>1083</v>
      </c>
      <c r="H234" s="105" t="s">
        <v>118</v>
      </c>
      <c r="I234" s="109">
        <v>40903</v>
      </c>
      <c r="J234" s="105" t="str">
        <f t="shared" ca="1" si="11"/>
        <v>14 Tahun 9 Bulan 17 Hari</v>
      </c>
    </row>
    <row r="235" spans="1:10">
      <c r="A235" s="105">
        <f t="shared" si="10"/>
        <v>231</v>
      </c>
      <c r="B235" s="108" t="s">
        <v>409</v>
      </c>
      <c r="C235" s="115">
        <v>84124758</v>
      </c>
      <c r="D235" s="108" t="s">
        <v>5</v>
      </c>
      <c r="E235" s="108" t="s">
        <v>95</v>
      </c>
      <c r="F235" s="108" t="s">
        <v>1084</v>
      </c>
      <c r="G235" s="108" t="s">
        <v>1083</v>
      </c>
      <c r="H235" s="105" t="s">
        <v>118</v>
      </c>
      <c r="I235" s="109">
        <v>40909</v>
      </c>
      <c r="J235" s="105" t="str">
        <f t="shared" ca="1" si="11"/>
        <v>14 Tahun 9 Bulan 12 Hari</v>
      </c>
    </row>
    <row r="236" spans="1:10">
      <c r="A236" s="105">
        <f t="shared" si="10"/>
        <v>232</v>
      </c>
      <c r="B236" s="108" t="s">
        <v>410</v>
      </c>
      <c r="C236" s="115">
        <v>83040095</v>
      </c>
      <c r="D236" s="108" t="s">
        <v>5</v>
      </c>
      <c r="E236" s="108" t="s">
        <v>95</v>
      </c>
      <c r="F236" s="108" t="s">
        <v>1084</v>
      </c>
      <c r="G236" s="108" t="s">
        <v>1083</v>
      </c>
      <c r="H236" s="105" t="s">
        <v>118</v>
      </c>
      <c r="I236" s="109">
        <v>37895</v>
      </c>
      <c r="J236" s="105" t="str">
        <f t="shared" ca="1" si="11"/>
        <v>23 Tahun 0 Bulan 12 Hari</v>
      </c>
    </row>
    <row r="237" spans="1:10">
      <c r="A237" s="105">
        <f t="shared" si="10"/>
        <v>233</v>
      </c>
      <c r="B237" s="108" t="s">
        <v>411</v>
      </c>
      <c r="C237" s="115">
        <v>152561</v>
      </c>
      <c r="D237" s="108" t="s">
        <v>5</v>
      </c>
      <c r="E237" s="108" t="s">
        <v>95</v>
      </c>
      <c r="F237" s="108" t="s">
        <v>1084</v>
      </c>
      <c r="G237" s="108" t="s">
        <v>1083</v>
      </c>
      <c r="H237" s="105" t="s">
        <v>118</v>
      </c>
      <c r="I237" s="109">
        <v>42219</v>
      </c>
      <c r="J237" s="105" t="str">
        <f t="shared" ca="1" si="11"/>
        <v>11 Tahun 2 Bulan 10 Hari</v>
      </c>
    </row>
    <row r="238" spans="1:10">
      <c r="A238" s="105">
        <f t="shared" si="10"/>
        <v>234</v>
      </c>
      <c r="B238" s="108" t="s">
        <v>412</v>
      </c>
      <c r="C238" s="115">
        <v>147361</v>
      </c>
      <c r="D238" s="108" t="s">
        <v>5</v>
      </c>
      <c r="E238" s="108" t="s">
        <v>95</v>
      </c>
      <c r="F238" s="108" t="s">
        <v>1084</v>
      </c>
      <c r="G238" s="108" t="s">
        <v>1083</v>
      </c>
      <c r="H238" s="105" t="s">
        <v>118</v>
      </c>
      <c r="I238" s="109">
        <v>41245</v>
      </c>
      <c r="J238" s="105" t="str">
        <f t="shared" ca="1" si="11"/>
        <v>13 Tahun 10 Bulan 11 Hari</v>
      </c>
    </row>
    <row r="239" spans="1:10">
      <c r="A239" s="105">
        <f t="shared" si="10"/>
        <v>235</v>
      </c>
      <c r="B239" s="108" t="s">
        <v>413</v>
      </c>
      <c r="C239" s="115">
        <v>140274</v>
      </c>
      <c r="D239" s="108" t="s">
        <v>5</v>
      </c>
      <c r="E239" s="108" t="s">
        <v>95</v>
      </c>
      <c r="F239" s="108" t="s">
        <v>1084</v>
      </c>
      <c r="G239" s="108" t="s">
        <v>1083</v>
      </c>
      <c r="H239" s="105" t="s">
        <v>118</v>
      </c>
      <c r="I239" s="109">
        <v>41666</v>
      </c>
      <c r="J239" s="105" t="str">
        <f t="shared" ca="1" si="11"/>
        <v>12 Tahun 8 Bulan 16 Hari</v>
      </c>
    </row>
    <row r="240" spans="1:10">
      <c r="A240" s="105">
        <f t="shared" si="10"/>
        <v>236</v>
      </c>
      <c r="B240" s="108" t="s">
        <v>414</v>
      </c>
      <c r="C240" s="115">
        <v>83087497</v>
      </c>
      <c r="D240" s="108" t="s">
        <v>5</v>
      </c>
      <c r="E240" s="108" t="s">
        <v>95</v>
      </c>
      <c r="F240" s="108" t="s">
        <v>1084</v>
      </c>
      <c r="G240" s="108" t="s">
        <v>1083</v>
      </c>
      <c r="H240" s="105" t="s">
        <v>118</v>
      </c>
      <c r="I240" s="109">
        <v>39658</v>
      </c>
      <c r="J240" s="105" t="str">
        <f t="shared" ca="1" si="11"/>
        <v>18 Tahun 2 Bulan 14 Hari</v>
      </c>
    </row>
    <row r="241" spans="1:10">
      <c r="A241" s="105">
        <f t="shared" si="10"/>
        <v>237</v>
      </c>
      <c r="B241" s="108" t="s">
        <v>415</v>
      </c>
      <c r="C241" s="115">
        <v>152596</v>
      </c>
      <c r="D241" s="108" t="s">
        <v>5</v>
      </c>
      <c r="E241" s="108" t="s">
        <v>95</v>
      </c>
      <c r="F241" s="108" t="s">
        <v>1084</v>
      </c>
      <c r="G241" s="108" t="s">
        <v>1083</v>
      </c>
      <c r="H241" s="105" t="s">
        <v>118</v>
      </c>
      <c r="I241" s="109">
        <v>45849</v>
      </c>
      <c r="J241" s="105" t="str">
        <f t="shared" ca="1" si="11"/>
        <v>1 Tahun 3 Bulan 2 Hari</v>
      </c>
    </row>
    <row r="242" spans="1:10">
      <c r="A242" s="105">
        <f t="shared" si="10"/>
        <v>238</v>
      </c>
      <c r="B242" s="108" t="s">
        <v>416</v>
      </c>
      <c r="C242" s="115">
        <v>83122109</v>
      </c>
      <c r="D242" s="108" t="s">
        <v>5</v>
      </c>
      <c r="E242" s="108" t="s">
        <v>95</v>
      </c>
      <c r="F242" s="108" t="s">
        <v>1084</v>
      </c>
      <c r="G242" s="108" t="s">
        <v>1083</v>
      </c>
      <c r="H242" s="105" t="s">
        <v>118</v>
      </c>
      <c r="I242" s="109">
        <v>41102</v>
      </c>
      <c r="J242" s="105" t="str">
        <f t="shared" ca="1" si="11"/>
        <v>14 Tahun 3 Bulan 1 Hari</v>
      </c>
    </row>
    <row r="243" spans="1:10">
      <c r="A243" s="105">
        <f t="shared" si="10"/>
        <v>239</v>
      </c>
      <c r="B243" s="106" t="s">
        <v>417</v>
      </c>
      <c r="C243" s="115">
        <v>221926</v>
      </c>
      <c r="D243" s="108" t="s">
        <v>5</v>
      </c>
      <c r="E243" s="108" t="s">
        <v>95</v>
      </c>
      <c r="F243" s="108" t="s">
        <v>1084</v>
      </c>
      <c r="G243" s="108" t="s">
        <v>1083</v>
      </c>
      <c r="H243" s="105" t="s">
        <v>118</v>
      </c>
      <c r="I243" s="109">
        <v>44746</v>
      </c>
      <c r="J243" s="105" t="str">
        <f t="shared" ca="1" si="11"/>
        <v>4 Tahun 3 Bulan 9 Hari</v>
      </c>
    </row>
    <row r="244" spans="1:10">
      <c r="A244" s="105">
        <f t="shared" si="10"/>
        <v>240</v>
      </c>
      <c r="B244" s="108" t="s">
        <v>418</v>
      </c>
      <c r="C244" s="115">
        <v>83099396</v>
      </c>
      <c r="D244" s="108" t="s">
        <v>5</v>
      </c>
      <c r="E244" s="108" t="s">
        <v>95</v>
      </c>
      <c r="F244" s="108" t="s">
        <v>1084</v>
      </c>
      <c r="G244" s="108" t="s">
        <v>1085</v>
      </c>
      <c r="H244" s="105" t="s">
        <v>118</v>
      </c>
      <c r="I244" s="109">
        <v>39867</v>
      </c>
      <c r="J244" s="105" t="str">
        <f t="shared" ca="1" si="11"/>
        <v>17 Tahun 7 Bulan 20 Hari</v>
      </c>
    </row>
    <row r="245" spans="1:10">
      <c r="A245" s="105">
        <f t="shared" si="10"/>
        <v>241</v>
      </c>
      <c r="B245" s="108" t="s">
        <v>419</v>
      </c>
      <c r="C245" s="115">
        <v>140585</v>
      </c>
      <c r="D245" s="108" t="s">
        <v>5</v>
      </c>
      <c r="E245" s="108" t="s">
        <v>95</v>
      </c>
      <c r="F245" s="108" t="s">
        <v>1084</v>
      </c>
      <c r="G245" s="108" t="s">
        <v>1085</v>
      </c>
      <c r="H245" s="105" t="s">
        <v>118</v>
      </c>
      <c r="I245" s="109">
        <v>41683</v>
      </c>
      <c r="J245" s="105" t="str">
        <f t="shared" ca="1" si="11"/>
        <v>12 Tahun 8 Bulan 0 Hari</v>
      </c>
    </row>
    <row r="246" spans="1:10">
      <c r="A246" s="105">
        <f t="shared" si="10"/>
        <v>242</v>
      </c>
      <c r="B246" s="108" t="s">
        <v>420</v>
      </c>
      <c r="C246" s="115">
        <v>83086318</v>
      </c>
      <c r="D246" s="108" t="s">
        <v>5</v>
      </c>
      <c r="E246" s="108" t="s">
        <v>95</v>
      </c>
      <c r="F246" s="108" t="s">
        <v>1084</v>
      </c>
      <c r="G246" s="108" t="s">
        <v>1085</v>
      </c>
      <c r="H246" s="105" t="s">
        <v>118</v>
      </c>
      <c r="I246" s="109">
        <v>39498</v>
      </c>
      <c r="J246" s="105" t="str">
        <f t="shared" ca="1" si="11"/>
        <v>18 Tahun 7 Bulan 23 Hari</v>
      </c>
    </row>
    <row r="247" spans="1:10">
      <c r="A247" s="105">
        <f t="shared" si="10"/>
        <v>243</v>
      </c>
      <c r="B247" s="108" t="s">
        <v>423</v>
      </c>
      <c r="C247" s="115">
        <v>83103445</v>
      </c>
      <c r="D247" s="108" t="s">
        <v>5</v>
      </c>
      <c r="E247" s="108" t="s">
        <v>95</v>
      </c>
      <c r="F247" s="108" t="s">
        <v>1084</v>
      </c>
      <c r="G247" s="108" t="s">
        <v>1085</v>
      </c>
      <c r="H247" s="105" t="s">
        <v>118</v>
      </c>
      <c r="I247" s="109">
        <v>40386</v>
      </c>
      <c r="J247" s="105" t="str">
        <f t="shared" ca="1" si="11"/>
        <v>16 Tahun 2 Bulan 16 Hari</v>
      </c>
    </row>
    <row r="248" spans="1:10">
      <c r="A248" s="105">
        <f t="shared" si="10"/>
        <v>244</v>
      </c>
      <c r="B248" s="108" t="s">
        <v>424</v>
      </c>
      <c r="C248" s="115">
        <v>84050998</v>
      </c>
      <c r="D248" s="108" t="s">
        <v>5</v>
      </c>
      <c r="E248" s="108" t="s">
        <v>95</v>
      </c>
      <c r="F248" s="108" t="s">
        <v>1084</v>
      </c>
      <c r="G248" s="108" t="s">
        <v>1085</v>
      </c>
      <c r="H248" s="105" t="s">
        <v>118</v>
      </c>
      <c r="I248" s="109">
        <v>38473</v>
      </c>
      <c r="J248" s="105" t="str">
        <f t="shared" ca="1" si="11"/>
        <v>21 Tahun 5 Bulan 12 Hari</v>
      </c>
    </row>
    <row r="249" spans="1:10" s="137" customFormat="1">
      <c r="A249" s="105">
        <f t="shared" si="10"/>
        <v>245</v>
      </c>
      <c r="B249" s="132" t="s">
        <v>427</v>
      </c>
      <c r="C249" s="145">
        <v>83074917</v>
      </c>
      <c r="D249" s="132" t="s">
        <v>5</v>
      </c>
      <c r="E249" s="132" t="s">
        <v>28</v>
      </c>
      <c r="F249" s="132" t="s">
        <v>1084</v>
      </c>
      <c r="G249" s="132" t="s">
        <v>1083</v>
      </c>
      <c r="H249" s="129" t="s">
        <v>118</v>
      </c>
      <c r="I249" s="139">
        <v>39265</v>
      </c>
      <c r="J249" s="129" t="str">
        <f t="shared" ca="1" si="11"/>
        <v>19 Tahun 3 Bulan 11 Hari</v>
      </c>
    </row>
    <row r="250" spans="1:10" s="137" customFormat="1">
      <c r="A250" s="105">
        <f t="shared" si="10"/>
        <v>246</v>
      </c>
      <c r="B250" s="132" t="s">
        <v>429</v>
      </c>
      <c r="C250" s="146">
        <v>152579</v>
      </c>
      <c r="D250" s="132" t="s">
        <v>5</v>
      </c>
      <c r="E250" s="132" t="s">
        <v>29</v>
      </c>
      <c r="F250" s="132" t="s">
        <v>1084</v>
      </c>
      <c r="G250" s="132" t="s">
        <v>1083</v>
      </c>
      <c r="H250" s="129" t="s">
        <v>118</v>
      </c>
      <c r="I250" s="139">
        <v>42219</v>
      </c>
      <c r="J250" s="129" t="str">
        <f t="shared" ca="1" si="11"/>
        <v>11 Tahun 2 Bulan 10 Hari</v>
      </c>
    </row>
    <row r="251" spans="1:10">
      <c r="A251" s="105">
        <f t="shared" si="10"/>
        <v>247</v>
      </c>
      <c r="B251" s="108" t="s">
        <v>430</v>
      </c>
      <c r="C251" s="115">
        <v>141864</v>
      </c>
      <c r="D251" s="108" t="s">
        <v>5</v>
      </c>
      <c r="E251" s="108" t="s">
        <v>95</v>
      </c>
      <c r="F251" s="108" t="s">
        <v>1084</v>
      </c>
      <c r="G251" s="108" t="s">
        <v>1083</v>
      </c>
      <c r="H251" s="105" t="s">
        <v>118</v>
      </c>
      <c r="I251" s="109">
        <v>41767</v>
      </c>
      <c r="J251" s="105" t="str">
        <f t="shared" ca="1" si="11"/>
        <v>12 Tahun 5 Bulan 5 Hari</v>
      </c>
    </row>
    <row r="252" spans="1:10">
      <c r="A252" s="105">
        <f t="shared" si="10"/>
        <v>248</v>
      </c>
      <c r="B252" s="108" t="s">
        <v>431</v>
      </c>
      <c r="C252" s="115">
        <v>152582</v>
      </c>
      <c r="D252" s="108" t="s">
        <v>5</v>
      </c>
      <c r="E252" s="108" t="s">
        <v>95</v>
      </c>
      <c r="F252" s="108" t="s">
        <v>1084</v>
      </c>
      <c r="G252" s="108" t="s">
        <v>1083</v>
      </c>
      <c r="H252" s="105" t="s">
        <v>118</v>
      </c>
      <c r="I252" s="109">
        <v>42219</v>
      </c>
      <c r="J252" s="105" t="str">
        <f t="shared" ca="1" si="11"/>
        <v>11 Tahun 2 Bulan 10 Hari</v>
      </c>
    </row>
    <row r="253" spans="1:10">
      <c r="A253" s="105">
        <f t="shared" si="10"/>
        <v>249</v>
      </c>
      <c r="B253" s="108" t="s">
        <v>432</v>
      </c>
      <c r="C253" s="115">
        <v>83120900</v>
      </c>
      <c r="D253" s="108" t="s">
        <v>5</v>
      </c>
      <c r="E253" s="108" t="s">
        <v>95</v>
      </c>
      <c r="F253" s="108" t="s">
        <v>1084</v>
      </c>
      <c r="G253" s="108" t="s">
        <v>1083</v>
      </c>
      <c r="H253" s="105" t="s">
        <v>118</v>
      </c>
      <c r="I253" s="109">
        <v>40974</v>
      </c>
      <c r="J253" s="105" t="str">
        <f t="shared" ca="1" si="11"/>
        <v>14 Tahun 7 Bulan 7 Hari</v>
      </c>
    </row>
    <row r="254" spans="1:10">
      <c r="A254" s="105">
        <f t="shared" si="10"/>
        <v>250</v>
      </c>
      <c r="B254" s="108" t="s">
        <v>433</v>
      </c>
      <c r="C254" s="115">
        <v>83075250</v>
      </c>
      <c r="D254" s="108" t="s">
        <v>5</v>
      </c>
      <c r="E254" s="108" t="s">
        <v>95</v>
      </c>
      <c r="F254" s="108" t="s">
        <v>1084</v>
      </c>
      <c r="G254" s="108" t="s">
        <v>1083</v>
      </c>
      <c r="H254" s="105" t="s">
        <v>118</v>
      </c>
      <c r="I254" s="109">
        <v>39326</v>
      </c>
      <c r="J254" s="105" t="str">
        <f t="shared" ca="1" si="11"/>
        <v>19 Tahun 1 Bulan 12 Hari</v>
      </c>
    </row>
    <row r="255" spans="1:10">
      <c r="A255" s="105">
        <f t="shared" si="10"/>
        <v>251</v>
      </c>
      <c r="B255" s="108" t="s">
        <v>434</v>
      </c>
      <c r="C255" s="115">
        <v>83105164</v>
      </c>
      <c r="D255" s="108" t="s">
        <v>5</v>
      </c>
      <c r="E255" s="108" t="s">
        <v>95</v>
      </c>
      <c r="F255" s="108" t="s">
        <v>1084</v>
      </c>
      <c r="G255" s="108" t="s">
        <v>1083</v>
      </c>
      <c r="H255" s="105" t="s">
        <v>118</v>
      </c>
      <c r="I255" s="109">
        <v>40518</v>
      </c>
      <c r="J255" s="105" t="str">
        <f t="shared" ca="1" si="11"/>
        <v>15 Tahun 10 Bulan 7 Hari</v>
      </c>
    </row>
    <row r="256" spans="1:10">
      <c r="A256" s="105">
        <f t="shared" si="10"/>
        <v>252</v>
      </c>
      <c r="B256" s="108" t="s">
        <v>435</v>
      </c>
      <c r="C256" s="115">
        <v>132527</v>
      </c>
      <c r="D256" s="108" t="s">
        <v>5</v>
      </c>
      <c r="E256" s="108" t="s">
        <v>95</v>
      </c>
      <c r="F256" s="108" t="s">
        <v>1084</v>
      </c>
      <c r="G256" s="108" t="s">
        <v>1083</v>
      </c>
      <c r="H256" s="105" t="s">
        <v>118</v>
      </c>
      <c r="I256" s="109">
        <v>41457</v>
      </c>
      <c r="J256" s="105" t="str">
        <f t="shared" ca="1" si="11"/>
        <v>13 Tahun 3 Bulan 11 Hari</v>
      </c>
    </row>
    <row r="257" spans="1:10">
      <c r="A257" s="105">
        <f t="shared" si="10"/>
        <v>253</v>
      </c>
      <c r="B257" s="106" t="s">
        <v>436</v>
      </c>
      <c r="C257" s="115">
        <v>221920</v>
      </c>
      <c r="D257" s="108" t="s">
        <v>5</v>
      </c>
      <c r="E257" s="108" t="s">
        <v>95</v>
      </c>
      <c r="F257" s="108" t="s">
        <v>1084</v>
      </c>
      <c r="G257" s="108" t="s">
        <v>1083</v>
      </c>
      <c r="H257" s="105" t="s">
        <v>118</v>
      </c>
      <c r="I257" s="109">
        <v>44746</v>
      </c>
      <c r="J257" s="105" t="str">
        <f t="shared" ca="1" si="11"/>
        <v>4 Tahun 3 Bulan 9 Hari</v>
      </c>
    </row>
    <row r="258" spans="1:10">
      <c r="A258" s="105">
        <f t="shared" si="10"/>
        <v>254</v>
      </c>
      <c r="B258" s="108" t="s">
        <v>437</v>
      </c>
      <c r="C258" s="115">
        <v>83086320</v>
      </c>
      <c r="D258" s="108" t="s">
        <v>5</v>
      </c>
      <c r="E258" s="108" t="s">
        <v>95</v>
      </c>
      <c r="F258" s="108" t="s">
        <v>1084</v>
      </c>
      <c r="G258" s="108" t="s">
        <v>1083</v>
      </c>
      <c r="H258" s="105" t="s">
        <v>118</v>
      </c>
      <c r="I258" s="109">
        <v>39498</v>
      </c>
      <c r="J258" s="105" t="str">
        <f t="shared" ca="1" si="11"/>
        <v>18 Tahun 7 Bulan 23 Hari</v>
      </c>
    </row>
    <row r="259" spans="1:10">
      <c r="A259" s="105">
        <f t="shared" si="10"/>
        <v>255</v>
      </c>
      <c r="B259" s="108" t="s">
        <v>438</v>
      </c>
      <c r="C259" s="115">
        <v>134355</v>
      </c>
      <c r="D259" s="108" t="s">
        <v>5</v>
      </c>
      <c r="E259" s="108" t="s">
        <v>95</v>
      </c>
      <c r="F259" s="108" t="s">
        <v>1084</v>
      </c>
      <c r="G259" s="108" t="s">
        <v>1083</v>
      </c>
      <c r="H259" s="105" t="s">
        <v>118</v>
      </c>
      <c r="I259" s="109">
        <v>41543</v>
      </c>
      <c r="J259" s="105" t="str">
        <f t="shared" ca="1" si="11"/>
        <v>13 Tahun 0 Bulan 17 Hari</v>
      </c>
    </row>
    <row r="260" spans="1:10">
      <c r="A260" s="105">
        <f t="shared" si="10"/>
        <v>256</v>
      </c>
      <c r="B260" s="106" t="s">
        <v>439</v>
      </c>
      <c r="C260" s="115">
        <v>221924</v>
      </c>
      <c r="D260" s="108" t="s">
        <v>5</v>
      </c>
      <c r="E260" s="108" t="s">
        <v>95</v>
      </c>
      <c r="F260" s="108" t="s">
        <v>1084</v>
      </c>
      <c r="G260" s="108" t="s">
        <v>1083</v>
      </c>
      <c r="H260" s="105" t="s">
        <v>118</v>
      </c>
      <c r="I260" s="109">
        <v>44746</v>
      </c>
      <c r="J260" s="105" t="str">
        <f t="shared" ca="1" si="11"/>
        <v>4 Tahun 3 Bulan 9 Hari</v>
      </c>
    </row>
    <row r="261" spans="1:10">
      <c r="A261" s="105">
        <f t="shared" ref="A261:A324" si="12">ROW(A257)</f>
        <v>257</v>
      </c>
      <c r="B261" s="108" t="s">
        <v>440</v>
      </c>
      <c r="C261" s="115">
        <v>147328</v>
      </c>
      <c r="D261" s="108" t="s">
        <v>5</v>
      </c>
      <c r="E261" s="108" t="s">
        <v>95</v>
      </c>
      <c r="F261" s="108" t="s">
        <v>1084</v>
      </c>
      <c r="G261" s="108" t="s">
        <v>1083</v>
      </c>
      <c r="H261" s="105" t="s">
        <v>118</v>
      </c>
      <c r="I261" s="109">
        <v>41975</v>
      </c>
      <c r="J261" s="105" t="str">
        <f t="shared" ca="1" si="11"/>
        <v>11 Tahun 10 Bulan 11 Hari</v>
      </c>
    </row>
    <row r="262" spans="1:10">
      <c r="A262" s="105">
        <f t="shared" si="12"/>
        <v>258</v>
      </c>
      <c r="B262" s="108" t="s">
        <v>441</v>
      </c>
      <c r="C262" s="115">
        <v>83120032</v>
      </c>
      <c r="D262" s="108" t="s">
        <v>5</v>
      </c>
      <c r="E262" s="108" t="s">
        <v>95</v>
      </c>
      <c r="F262" s="108" t="s">
        <v>1084</v>
      </c>
      <c r="G262" s="108" t="s">
        <v>1083</v>
      </c>
      <c r="H262" s="105" t="s">
        <v>118</v>
      </c>
      <c r="I262" s="109">
        <v>41277</v>
      </c>
      <c r="J262" s="105" t="str">
        <f t="shared" ca="1" si="11"/>
        <v>13 Tahun 9 Bulan 10 Hari</v>
      </c>
    </row>
    <row r="263" spans="1:10">
      <c r="A263" s="105">
        <f t="shared" si="12"/>
        <v>259</v>
      </c>
      <c r="B263" s="108" t="s">
        <v>442</v>
      </c>
      <c r="C263" s="115">
        <v>152597</v>
      </c>
      <c r="D263" s="108" t="s">
        <v>5</v>
      </c>
      <c r="E263" s="108" t="s">
        <v>95</v>
      </c>
      <c r="F263" s="108" t="s">
        <v>1084</v>
      </c>
      <c r="G263" s="108" t="s">
        <v>1083</v>
      </c>
      <c r="H263" s="105" t="s">
        <v>118</v>
      </c>
      <c r="I263" s="109">
        <v>42219</v>
      </c>
      <c r="J263" s="105" t="str">
        <f t="shared" ca="1" si="11"/>
        <v>11 Tahun 2 Bulan 10 Hari</v>
      </c>
    </row>
    <row r="264" spans="1:10">
      <c r="A264" s="105">
        <f t="shared" si="12"/>
        <v>260</v>
      </c>
      <c r="B264" s="108" t="s">
        <v>443</v>
      </c>
      <c r="C264" s="115">
        <v>83122118</v>
      </c>
      <c r="D264" s="108" t="s">
        <v>5</v>
      </c>
      <c r="E264" s="108" t="s">
        <v>95</v>
      </c>
      <c r="F264" s="108" t="s">
        <v>1084</v>
      </c>
      <c r="G264" s="108" t="s">
        <v>1083</v>
      </c>
      <c r="H264" s="105" t="s">
        <v>118</v>
      </c>
      <c r="I264" s="109">
        <v>41043</v>
      </c>
      <c r="J264" s="105" t="str">
        <f t="shared" ref="J264:J326" ca="1" si="13">IF(ISNUMBER(I264),DATEDIF(I264,TODAY(),"Y")&amp;" Tahun "&amp;DATEDIF(I264,TODAY(),"YM")&amp;" Bulan "&amp;DATEDIF(I264,TODAY(),"MD")&amp;" Hari","")</f>
        <v>14 Tahun 4 Bulan 29 Hari</v>
      </c>
    </row>
    <row r="265" spans="1:10">
      <c r="A265" s="105">
        <f t="shared" si="12"/>
        <v>261</v>
      </c>
      <c r="B265" s="108" t="s">
        <v>444</v>
      </c>
      <c r="C265" s="115">
        <v>141777</v>
      </c>
      <c r="D265" s="108" t="s">
        <v>5</v>
      </c>
      <c r="E265" s="108" t="s">
        <v>95</v>
      </c>
      <c r="F265" s="108" t="s">
        <v>1084</v>
      </c>
      <c r="G265" s="108" t="s">
        <v>1083</v>
      </c>
      <c r="H265" s="105" t="s">
        <v>118</v>
      </c>
      <c r="I265" s="109">
        <v>41767</v>
      </c>
      <c r="J265" s="105" t="str">
        <f t="shared" ca="1" si="13"/>
        <v>12 Tahun 5 Bulan 5 Hari</v>
      </c>
    </row>
    <row r="266" spans="1:10">
      <c r="A266" s="105">
        <f t="shared" si="12"/>
        <v>262</v>
      </c>
      <c r="B266" s="106" t="s">
        <v>445</v>
      </c>
      <c r="C266" s="115">
        <v>221923</v>
      </c>
      <c r="D266" s="108" t="s">
        <v>5</v>
      </c>
      <c r="E266" s="108" t="s">
        <v>95</v>
      </c>
      <c r="F266" s="108" t="s">
        <v>1084</v>
      </c>
      <c r="G266" s="108" t="s">
        <v>1083</v>
      </c>
      <c r="H266" s="105" t="s">
        <v>118</v>
      </c>
      <c r="I266" s="109">
        <v>44746</v>
      </c>
      <c r="J266" s="105" t="str">
        <f t="shared" ca="1" si="13"/>
        <v>4 Tahun 3 Bulan 9 Hari</v>
      </c>
    </row>
    <row r="267" spans="1:10">
      <c r="A267" s="105">
        <f t="shared" si="12"/>
        <v>263</v>
      </c>
      <c r="B267" s="108" t="s">
        <v>446</v>
      </c>
      <c r="C267" s="115">
        <v>147332</v>
      </c>
      <c r="D267" s="108" t="s">
        <v>5</v>
      </c>
      <c r="E267" s="108" t="s">
        <v>95</v>
      </c>
      <c r="F267" s="108" t="s">
        <v>1084</v>
      </c>
      <c r="G267" s="108" t="s">
        <v>1083</v>
      </c>
      <c r="H267" s="105" t="s">
        <v>118</v>
      </c>
      <c r="I267" s="109">
        <v>41975</v>
      </c>
      <c r="J267" s="105" t="str">
        <f t="shared" ca="1" si="13"/>
        <v>11 Tahun 10 Bulan 11 Hari</v>
      </c>
    </row>
    <row r="268" spans="1:10">
      <c r="A268" s="105">
        <f t="shared" si="12"/>
        <v>264</v>
      </c>
      <c r="B268" s="108" t="s">
        <v>447</v>
      </c>
      <c r="C268" s="115">
        <v>132522</v>
      </c>
      <c r="D268" s="108" t="s">
        <v>5</v>
      </c>
      <c r="E268" s="108" t="s">
        <v>95</v>
      </c>
      <c r="F268" s="108" t="s">
        <v>1084</v>
      </c>
      <c r="G268" s="108" t="s">
        <v>1083</v>
      </c>
      <c r="H268" s="105" t="s">
        <v>118</v>
      </c>
      <c r="I268" s="109">
        <v>41457</v>
      </c>
      <c r="J268" s="105" t="str">
        <f t="shared" ca="1" si="13"/>
        <v>13 Tahun 3 Bulan 11 Hari</v>
      </c>
    </row>
    <row r="269" spans="1:10">
      <c r="A269" s="105">
        <f t="shared" si="12"/>
        <v>265</v>
      </c>
      <c r="B269" s="108" t="s">
        <v>448</v>
      </c>
      <c r="C269" s="115">
        <v>140703</v>
      </c>
      <c r="D269" s="108" t="s">
        <v>5</v>
      </c>
      <c r="E269" s="108" t="s">
        <v>95</v>
      </c>
      <c r="F269" s="108" t="s">
        <v>1084</v>
      </c>
      <c r="G269" s="108" t="s">
        <v>1083</v>
      </c>
      <c r="H269" s="105" t="s">
        <v>118</v>
      </c>
      <c r="I269" s="109">
        <v>41683</v>
      </c>
      <c r="J269" s="105" t="str">
        <f t="shared" ca="1" si="13"/>
        <v>12 Tahun 8 Bulan 0 Hari</v>
      </c>
    </row>
    <row r="270" spans="1:10">
      <c r="A270" s="105">
        <f t="shared" si="12"/>
        <v>266</v>
      </c>
      <c r="B270" s="108" t="s">
        <v>449</v>
      </c>
      <c r="C270" s="115">
        <v>132711</v>
      </c>
      <c r="D270" s="108" t="s">
        <v>5</v>
      </c>
      <c r="E270" s="108" t="s">
        <v>95</v>
      </c>
      <c r="F270" s="108" t="s">
        <v>1084</v>
      </c>
      <c r="G270" s="108" t="s">
        <v>1083</v>
      </c>
      <c r="H270" s="105" t="s">
        <v>118</v>
      </c>
      <c r="I270" s="109">
        <v>41465</v>
      </c>
      <c r="J270" s="105" t="str">
        <f t="shared" ca="1" si="13"/>
        <v>13 Tahun 3 Bulan 3 Hari</v>
      </c>
    </row>
    <row r="271" spans="1:10">
      <c r="A271" s="105">
        <f t="shared" si="12"/>
        <v>267</v>
      </c>
      <c r="B271" s="108" t="s">
        <v>450</v>
      </c>
      <c r="C271" s="115">
        <v>84122962</v>
      </c>
      <c r="D271" s="108" t="s">
        <v>5</v>
      </c>
      <c r="E271" s="108" t="s">
        <v>95</v>
      </c>
      <c r="F271" s="108" t="s">
        <v>1084</v>
      </c>
      <c r="G271" s="108" t="s">
        <v>1083</v>
      </c>
      <c r="H271" s="105" t="s">
        <v>118</v>
      </c>
      <c r="I271" s="109">
        <v>41122</v>
      </c>
      <c r="J271" s="105" t="str">
        <f t="shared" ca="1" si="13"/>
        <v>14 Tahun 2 Bulan 12 Hari</v>
      </c>
    </row>
    <row r="272" spans="1:10">
      <c r="A272" s="105">
        <f t="shared" si="12"/>
        <v>268</v>
      </c>
      <c r="B272" s="108" t="s">
        <v>451</v>
      </c>
      <c r="C272" s="115">
        <v>83086324</v>
      </c>
      <c r="D272" s="108" t="s">
        <v>5</v>
      </c>
      <c r="E272" s="108" t="s">
        <v>95</v>
      </c>
      <c r="F272" s="108" t="s">
        <v>1084</v>
      </c>
      <c r="G272" s="108" t="s">
        <v>1083</v>
      </c>
      <c r="H272" s="105" t="s">
        <v>118</v>
      </c>
      <c r="I272" s="109">
        <v>39498</v>
      </c>
      <c r="J272" s="105" t="str">
        <f t="shared" ca="1" si="13"/>
        <v>18 Tahun 7 Bulan 23 Hari</v>
      </c>
    </row>
    <row r="273" spans="1:10">
      <c r="A273" s="105">
        <f t="shared" si="12"/>
        <v>269</v>
      </c>
      <c r="B273" s="108" t="s">
        <v>452</v>
      </c>
      <c r="C273" s="115">
        <v>140292</v>
      </c>
      <c r="D273" s="108" t="s">
        <v>5</v>
      </c>
      <c r="E273" s="108" t="s">
        <v>95</v>
      </c>
      <c r="F273" s="108" t="s">
        <v>1084</v>
      </c>
      <c r="G273" s="108" t="s">
        <v>1083</v>
      </c>
      <c r="H273" s="105" t="s">
        <v>118</v>
      </c>
      <c r="I273" s="109">
        <v>41666</v>
      </c>
      <c r="J273" s="105" t="str">
        <f t="shared" ca="1" si="13"/>
        <v>12 Tahun 8 Bulan 16 Hari</v>
      </c>
    </row>
    <row r="274" spans="1:10">
      <c r="A274" s="105">
        <f t="shared" si="12"/>
        <v>270</v>
      </c>
      <c r="B274" s="106" t="s">
        <v>453</v>
      </c>
      <c r="C274" s="115">
        <v>221919</v>
      </c>
      <c r="D274" s="108" t="s">
        <v>5</v>
      </c>
      <c r="E274" s="108" t="s">
        <v>95</v>
      </c>
      <c r="F274" s="108" t="s">
        <v>1084</v>
      </c>
      <c r="G274" s="108" t="s">
        <v>1083</v>
      </c>
      <c r="H274" s="105" t="s">
        <v>118</v>
      </c>
      <c r="I274" s="109">
        <v>44746</v>
      </c>
      <c r="J274" s="105" t="str">
        <f t="shared" ca="1" si="13"/>
        <v>4 Tahun 3 Bulan 9 Hari</v>
      </c>
    </row>
    <row r="275" spans="1:10">
      <c r="A275" s="105">
        <f t="shared" si="12"/>
        <v>271</v>
      </c>
      <c r="B275" s="108" t="s">
        <v>175</v>
      </c>
      <c r="C275" s="115">
        <v>152587</v>
      </c>
      <c r="D275" s="108" t="s">
        <v>5</v>
      </c>
      <c r="E275" s="108" t="s">
        <v>95</v>
      </c>
      <c r="F275" s="108" t="s">
        <v>1084</v>
      </c>
      <c r="G275" s="108" t="s">
        <v>1083</v>
      </c>
      <c r="H275" s="105" t="s">
        <v>118</v>
      </c>
      <c r="I275" s="109">
        <v>42219</v>
      </c>
      <c r="J275" s="105" t="str">
        <f t="shared" ca="1" si="13"/>
        <v>11 Tahun 2 Bulan 10 Hari</v>
      </c>
    </row>
    <row r="276" spans="1:10">
      <c r="A276" s="105">
        <f t="shared" si="12"/>
        <v>272</v>
      </c>
      <c r="B276" s="108" t="s">
        <v>454</v>
      </c>
      <c r="C276" s="115">
        <v>147347</v>
      </c>
      <c r="D276" s="108" t="s">
        <v>5</v>
      </c>
      <c r="E276" s="108" t="s">
        <v>95</v>
      </c>
      <c r="F276" s="108" t="s">
        <v>1084</v>
      </c>
      <c r="G276" s="108" t="s">
        <v>1083</v>
      </c>
      <c r="H276" s="105" t="s">
        <v>118</v>
      </c>
      <c r="I276" s="109">
        <v>41975</v>
      </c>
      <c r="J276" s="105" t="str">
        <f t="shared" ca="1" si="13"/>
        <v>11 Tahun 10 Bulan 11 Hari</v>
      </c>
    </row>
    <row r="277" spans="1:10">
      <c r="A277" s="105">
        <f t="shared" si="12"/>
        <v>273</v>
      </c>
      <c r="B277" s="108" t="s">
        <v>455</v>
      </c>
      <c r="C277" s="115">
        <v>84122948</v>
      </c>
      <c r="D277" s="108" t="s">
        <v>5</v>
      </c>
      <c r="E277" s="108" t="s">
        <v>95</v>
      </c>
      <c r="F277" s="108" t="s">
        <v>1084</v>
      </c>
      <c r="G277" s="108" t="s">
        <v>1083</v>
      </c>
      <c r="H277" s="105" t="s">
        <v>118</v>
      </c>
      <c r="I277" s="109">
        <v>41122</v>
      </c>
      <c r="J277" s="105" t="str">
        <f t="shared" ca="1" si="13"/>
        <v>14 Tahun 2 Bulan 12 Hari</v>
      </c>
    </row>
    <row r="278" spans="1:10">
      <c r="A278" s="105">
        <f t="shared" si="12"/>
        <v>274</v>
      </c>
      <c r="B278" s="108" t="s">
        <v>456</v>
      </c>
      <c r="C278" s="115">
        <v>84124763</v>
      </c>
      <c r="D278" s="108" t="s">
        <v>5</v>
      </c>
      <c r="E278" s="108" t="s">
        <v>95</v>
      </c>
      <c r="F278" s="108" t="s">
        <v>1084</v>
      </c>
      <c r="G278" s="108" t="s">
        <v>1083</v>
      </c>
      <c r="H278" s="105" t="s">
        <v>118</v>
      </c>
      <c r="I278" s="109">
        <v>41257</v>
      </c>
      <c r="J278" s="105" t="str">
        <f t="shared" ca="1" si="13"/>
        <v>13 Tahun 9 Bulan 29 Hari</v>
      </c>
    </row>
    <row r="279" spans="1:10">
      <c r="A279" s="105">
        <f t="shared" si="12"/>
        <v>275</v>
      </c>
      <c r="B279" s="106" t="s">
        <v>457</v>
      </c>
      <c r="C279" s="115">
        <v>221929</v>
      </c>
      <c r="D279" s="108" t="s">
        <v>5</v>
      </c>
      <c r="E279" s="108" t="s">
        <v>95</v>
      </c>
      <c r="F279" s="108" t="s">
        <v>1084</v>
      </c>
      <c r="G279" s="108" t="s">
        <v>1083</v>
      </c>
      <c r="H279" s="105" t="s">
        <v>118</v>
      </c>
      <c r="I279" s="109">
        <v>44760</v>
      </c>
      <c r="J279" s="105" t="str">
        <f t="shared" ca="1" si="13"/>
        <v>4 Tahun 2 Bulan 25 Hari</v>
      </c>
    </row>
    <row r="280" spans="1:10">
      <c r="A280" s="105">
        <f t="shared" si="12"/>
        <v>276</v>
      </c>
      <c r="B280" s="108" t="s">
        <v>458</v>
      </c>
      <c r="C280" s="115">
        <v>147324</v>
      </c>
      <c r="D280" s="108" t="s">
        <v>5</v>
      </c>
      <c r="E280" s="108" t="s">
        <v>95</v>
      </c>
      <c r="F280" s="108" t="s">
        <v>1084</v>
      </c>
      <c r="G280" s="108" t="s">
        <v>1083</v>
      </c>
      <c r="H280" s="105" t="s">
        <v>118</v>
      </c>
      <c r="I280" s="109">
        <v>41975</v>
      </c>
      <c r="J280" s="105" t="str">
        <f t="shared" ca="1" si="13"/>
        <v>11 Tahun 10 Bulan 11 Hari</v>
      </c>
    </row>
    <row r="281" spans="1:10">
      <c r="A281" s="105">
        <f t="shared" si="12"/>
        <v>277</v>
      </c>
      <c r="B281" s="108" t="s">
        <v>373</v>
      </c>
      <c r="C281" s="115">
        <v>83120037</v>
      </c>
      <c r="D281" s="108" t="s">
        <v>5</v>
      </c>
      <c r="E281" s="108" t="s">
        <v>95</v>
      </c>
      <c r="F281" s="108" t="s">
        <v>1084</v>
      </c>
      <c r="G281" s="108" t="s">
        <v>1083</v>
      </c>
      <c r="H281" s="105" t="s">
        <v>118</v>
      </c>
      <c r="I281" s="109">
        <v>40939</v>
      </c>
      <c r="J281" s="105" t="str">
        <f t="shared" ca="1" si="13"/>
        <v>14 Tahun 8 Bulan 12 Hari</v>
      </c>
    </row>
    <row r="282" spans="1:10">
      <c r="A282" s="105">
        <f t="shared" si="12"/>
        <v>278</v>
      </c>
      <c r="B282" s="108" t="s">
        <v>459</v>
      </c>
      <c r="C282" s="115">
        <v>134566</v>
      </c>
      <c r="D282" s="108" t="s">
        <v>5</v>
      </c>
      <c r="E282" s="108" t="s">
        <v>95</v>
      </c>
      <c r="F282" s="108" t="s">
        <v>1084</v>
      </c>
      <c r="G282" s="108" t="s">
        <v>1083</v>
      </c>
      <c r="H282" s="105" t="s">
        <v>118</v>
      </c>
      <c r="I282" s="109">
        <v>41544</v>
      </c>
      <c r="J282" s="105" t="str">
        <f t="shared" ca="1" si="13"/>
        <v>13 Tahun 0 Bulan 16 Hari</v>
      </c>
    </row>
    <row r="283" spans="1:10">
      <c r="A283" s="105">
        <f t="shared" si="12"/>
        <v>279</v>
      </c>
      <c r="B283" s="108" t="s">
        <v>461</v>
      </c>
      <c r="C283" s="115">
        <v>83117954</v>
      </c>
      <c r="D283" s="108" t="s">
        <v>5</v>
      </c>
      <c r="E283" s="108" t="s">
        <v>95</v>
      </c>
      <c r="F283" s="108" t="s">
        <v>1084</v>
      </c>
      <c r="G283" s="108" t="s">
        <v>1083</v>
      </c>
      <c r="H283" s="105" t="s">
        <v>118</v>
      </c>
      <c r="I283" s="109">
        <v>40743</v>
      </c>
      <c r="J283" s="105" t="str">
        <f t="shared" ca="1" si="13"/>
        <v>15 Tahun 2 Bulan 24 Hari</v>
      </c>
    </row>
    <row r="284" spans="1:10">
      <c r="A284" s="105">
        <f t="shared" si="12"/>
        <v>280</v>
      </c>
      <c r="B284" s="108" t="s">
        <v>462</v>
      </c>
      <c r="C284" s="115">
        <v>132533</v>
      </c>
      <c r="D284" s="108" t="s">
        <v>5</v>
      </c>
      <c r="E284" s="108" t="s">
        <v>95</v>
      </c>
      <c r="F284" s="108" t="s">
        <v>1084</v>
      </c>
      <c r="G284" s="108" t="s">
        <v>1085</v>
      </c>
      <c r="H284" s="105" t="s">
        <v>118</v>
      </c>
      <c r="I284" s="109">
        <v>41457</v>
      </c>
      <c r="J284" s="105" t="str">
        <f t="shared" ca="1" si="13"/>
        <v>13 Tahun 3 Bulan 11 Hari</v>
      </c>
    </row>
    <row r="285" spans="1:10">
      <c r="A285" s="105">
        <f t="shared" si="12"/>
        <v>281</v>
      </c>
      <c r="B285" s="108" t="s">
        <v>463</v>
      </c>
      <c r="C285" s="115">
        <v>134362</v>
      </c>
      <c r="D285" s="108" t="s">
        <v>5</v>
      </c>
      <c r="E285" s="108" t="s">
        <v>95</v>
      </c>
      <c r="F285" s="108" t="s">
        <v>1084</v>
      </c>
      <c r="G285" s="108" t="s">
        <v>1085</v>
      </c>
      <c r="H285" s="105" t="s">
        <v>118</v>
      </c>
      <c r="I285" s="109">
        <v>41543</v>
      </c>
      <c r="J285" s="105" t="str">
        <f t="shared" ca="1" si="13"/>
        <v>13 Tahun 0 Bulan 17 Hari</v>
      </c>
    </row>
    <row r="286" spans="1:10">
      <c r="A286" s="105">
        <f t="shared" si="12"/>
        <v>282</v>
      </c>
      <c r="B286" s="108" t="s">
        <v>464</v>
      </c>
      <c r="C286" s="115">
        <v>134564</v>
      </c>
      <c r="D286" s="108" t="s">
        <v>5</v>
      </c>
      <c r="E286" s="108" t="s">
        <v>95</v>
      </c>
      <c r="F286" s="108" t="s">
        <v>1084</v>
      </c>
      <c r="G286" s="108" t="s">
        <v>1085</v>
      </c>
      <c r="H286" s="105" t="s">
        <v>118</v>
      </c>
      <c r="I286" s="109">
        <v>41544</v>
      </c>
      <c r="J286" s="105" t="str">
        <f t="shared" ca="1" si="13"/>
        <v>13 Tahun 0 Bulan 16 Hari</v>
      </c>
    </row>
    <row r="287" spans="1:10">
      <c r="A287" s="105">
        <f t="shared" si="12"/>
        <v>283</v>
      </c>
      <c r="B287" s="108" t="s">
        <v>465</v>
      </c>
      <c r="C287" s="115">
        <v>83102190</v>
      </c>
      <c r="D287" s="108" t="s">
        <v>5</v>
      </c>
      <c r="E287" s="108" t="s">
        <v>95</v>
      </c>
      <c r="F287" s="108" t="s">
        <v>1084</v>
      </c>
      <c r="G287" s="108" t="s">
        <v>1085</v>
      </c>
      <c r="H287" s="105" t="s">
        <v>118</v>
      </c>
      <c r="I287" s="109">
        <v>40283</v>
      </c>
      <c r="J287" s="105" t="str">
        <f t="shared" ca="1" si="13"/>
        <v>16 Tahun 5 Bulan 28 Hari</v>
      </c>
    </row>
    <row r="288" spans="1:10">
      <c r="A288" s="105">
        <f t="shared" si="12"/>
        <v>284</v>
      </c>
      <c r="B288" s="108" t="s">
        <v>466</v>
      </c>
      <c r="C288" s="115">
        <v>143572</v>
      </c>
      <c r="D288" s="108" t="s">
        <v>5</v>
      </c>
      <c r="E288" s="108" t="s">
        <v>95</v>
      </c>
      <c r="F288" s="108" t="s">
        <v>1084</v>
      </c>
      <c r="G288" s="108" t="s">
        <v>1085</v>
      </c>
      <c r="H288" s="105" t="s">
        <v>118</v>
      </c>
      <c r="I288" s="109">
        <v>41835</v>
      </c>
      <c r="J288" s="105" t="str">
        <f t="shared" ca="1" si="13"/>
        <v>12 Tahun 2 Bulan 28 Hari</v>
      </c>
    </row>
    <row r="289" spans="1:10">
      <c r="A289" s="105">
        <f t="shared" si="12"/>
        <v>285</v>
      </c>
      <c r="B289" s="108" t="s">
        <v>467</v>
      </c>
      <c r="C289" s="115">
        <v>143585</v>
      </c>
      <c r="D289" s="108" t="s">
        <v>5</v>
      </c>
      <c r="E289" s="108" t="s">
        <v>95</v>
      </c>
      <c r="F289" s="108" t="s">
        <v>1084</v>
      </c>
      <c r="G289" s="108" t="s">
        <v>1085</v>
      </c>
      <c r="H289" s="105" t="s">
        <v>118</v>
      </c>
      <c r="I289" s="109">
        <v>41835</v>
      </c>
      <c r="J289" s="105" t="str">
        <f t="shared" ca="1" si="13"/>
        <v>12 Tahun 2 Bulan 28 Hari</v>
      </c>
    </row>
    <row r="290" spans="1:10">
      <c r="A290" s="105">
        <f t="shared" si="12"/>
        <v>286</v>
      </c>
      <c r="B290" s="108" t="s">
        <v>468</v>
      </c>
      <c r="C290" s="115">
        <v>147334</v>
      </c>
      <c r="D290" s="108" t="s">
        <v>5</v>
      </c>
      <c r="E290" s="108" t="s">
        <v>95</v>
      </c>
      <c r="F290" s="108" t="s">
        <v>1084</v>
      </c>
      <c r="G290" s="108" t="s">
        <v>1085</v>
      </c>
      <c r="H290" s="105" t="s">
        <v>118</v>
      </c>
      <c r="I290" s="109">
        <v>41975</v>
      </c>
      <c r="J290" s="105" t="str">
        <f t="shared" ca="1" si="13"/>
        <v>11 Tahun 10 Bulan 11 Hari</v>
      </c>
    </row>
    <row r="291" spans="1:10">
      <c r="A291" s="105">
        <f t="shared" si="12"/>
        <v>287</v>
      </c>
      <c r="B291" s="108" t="s">
        <v>469</v>
      </c>
      <c r="C291" s="115">
        <v>143582</v>
      </c>
      <c r="D291" s="108" t="s">
        <v>5</v>
      </c>
      <c r="E291" s="108" t="s">
        <v>95</v>
      </c>
      <c r="F291" s="108" t="s">
        <v>1084</v>
      </c>
      <c r="G291" s="108" t="s">
        <v>1085</v>
      </c>
      <c r="H291" s="105" t="s">
        <v>118</v>
      </c>
      <c r="I291" s="109">
        <v>41834</v>
      </c>
      <c r="J291" s="105" t="str">
        <f t="shared" ca="1" si="13"/>
        <v>12 Tahun 2 Bulan 29 Hari</v>
      </c>
    </row>
    <row r="292" spans="1:10">
      <c r="A292" s="105">
        <f t="shared" si="12"/>
        <v>288</v>
      </c>
      <c r="B292" s="108" t="s">
        <v>470</v>
      </c>
      <c r="C292" s="115">
        <v>140691</v>
      </c>
      <c r="D292" s="108" t="s">
        <v>5</v>
      </c>
      <c r="E292" s="108" t="s">
        <v>95</v>
      </c>
      <c r="F292" s="108" t="s">
        <v>1084</v>
      </c>
      <c r="G292" s="108" t="s">
        <v>1085</v>
      </c>
      <c r="H292" s="105" t="s">
        <v>118</v>
      </c>
      <c r="I292" s="109">
        <v>41683</v>
      </c>
      <c r="J292" s="105" t="str">
        <f t="shared" ca="1" si="13"/>
        <v>12 Tahun 8 Bulan 0 Hari</v>
      </c>
    </row>
    <row r="293" spans="1:10">
      <c r="A293" s="105">
        <f t="shared" si="12"/>
        <v>289</v>
      </c>
      <c r="B293" s="108" t="s">
        <v>471</v>
      </c>
      <c r="C293" s="115">
        <v>143583</v>
      </c>
      <c r="D293" s="108" t="s">
        <v>5</v>
      </c>
      <c r="E293" s="108" t="s">
        <v>95</v>
      </c>
      <c r="F293" s="108" t="s">
        <v>1084</v>
      </c>
      <c r="G293" s="108" t="s">
        <v>1085</v>
      </c>
      <c r="H293" s="105" t="s">
        <v>118</v>
      </c>
      <c r="I293" s="109">
        <v>41835</v>
      </c>
      <c r="J293" s="105" t="str">
        <f t="shared" ca="1" si="13"/>
        <v>12 Tahun 2 Bulan 28 Hari</v>
      </c>
    </row>
    <row r="294" spans="1:10">
      <c r="A294" s="105">
        <f t="shared" si="12"/>
        <v>290</v>
      </c>
      <c r="B294" s="108" t="s">
        <v>472</v>
      </c>
      <c r="C294" s="115">
        <v>143577</v>
      </c>
      <c r="D294" s="108" t="s">
        <v>5</v>
      </c>
      <c r="E294" s="108" t="s">
        <v>95</v>
      </c>
      <c r="F294" s="108" t="s">
        <v>1084</v>
      </c>
      <c r="G294" s="108" t="s">
        <v>1085</v>
      </c>
      <c r="H294" s="105" t="s">
        <v>118</v>
      </c>
      <c r="I294" s="109">
        <v>41835</v>
      </c>
      <c r="J294" s="105" t="str">
        <f t="shared" ca="1" si="13"/>
        <v>12 Tahun 2 Bulan 28 Hari</v>
      </c>
    </row>
    <row r="295" spans="1:10" s="137" customFormat="1">
      <c r="A295" s="105">
        <f t="shared" si="12"/>
        <v>291</v>
      </c>
      <c r="B295" s="132" t="s">
        <v>176</v>
      </c>
      <c r="C295" s="145">
        <v>83086469</v>
      </c>
      <c r="D295" s="132" t="s">
        <v>5</v>
      </c>
      <c r="E295" s="132" t="s">
        <v>24</v>
      </c>
      <c r="F295" s="132" t="s">
        <v>1084</v>
      </c>
      <c r="G295" s="132" t="s">
        <v>1083</v>
      </c>
      <c r="H295" s="129" t="s">
        <v>118</v>
      </c>
      <c r="I295" s="139">
        <v>39525</v>
      </c>
      <c r="J295" s="129" t="str">
        <f t="shared" ca="1" si="13"/>
        <v>18 Tahun 6 Bulan 25 Hari</v>
      </c>
    </row>
    <row r="296" spans="1:10">
      <c r="A296" s="105">
        <f t="shared" si="12"/>
        <v>292</v>
      </c>
      <c r="B296" s="108" t="s">
        <v>473</v>
      </c>
      <c r="C296" s="115">
        <v>83075874</v>
      </c>
      <c r="D296" s="108" t="s">
        <v>5</v>
      </c>
      <c r="E296" s="108" t="s">
        <v>95</v>
      </c>
      <c r="F296" s="108" t="s">
        <v>1084</v>
      </c>
      <c r="G296" s="108" t="s">
        <v>1083</v>
      </c>
      <c r="H296" s="105" t="s">
        <v>118</v>
      </c>
      <c r="I296" s="109">
        <v>41271</v>
      </c>
      <c r="J296" s="105" t="str">
        <f t="shared" ca="1" si="13"/>
        <v>13 Tahun 9 Bulan 15 Hari</v>
      </c>
    </row>
    <row r="297" spans="1:10">
      <c r="A297" s="105">
        <f t="shared" si="12"/>
        <v>293</v>
      </c>
      <c r="B297" s="108" t="s">
        <v>474</v>
      </c>
      <c r="C297" s="115">
        <v>83040045</v>
      </c>
      <c r="D297" s="108" t="s">
        <v>5</v>
      </c>
      <c r="E297" s="108" t="s">
        <v>95</v>
      </c>
      <c r="F297" s="108" t="s">
        <v>1084</v>
      </c>
      <c r="G297" s="108" t="s">
        <v>1083</v>
      </c>
      <c r="H297" s="105" t="s">
        <v>118</v>
      </c>
      <c r="I297" s="109">
        <v>37865</v>
      </c>
      <c r="J297" s="105" t="str">
        <f t="shared" ca="1" si="13"/>
        <v>23 Tahun 1 Bulan 12 Hari</v>
      </c>
    </row>
    <row r="298" spans="1:10">
      <c r="A298" s="105">
        <f t="shared" si="12"/>
        <v>294</v>
      </c>
      <c r="B298" s="108" t="s">
        <v>475</v>
      </c>
      <c r="C298" s="115">
        <v>83040208</v>
      </c>
      <c r="D298" s="108" t="s">
        <v>5</v>
      </c>
      <c r="E298" s="108" t="s">
        <v>95</v>
      </c>
      <c r="F298" s="108" t="s">
        <v>1084</v>
      </c>
      <c r="G298" s="108" t="s">
        <v>1085</v>
      </c>
      <c r="H298" s="105" t="s">
        <v>118</v>
      </c>
      <c r="I298" s="109">
        <v>38141</v>
      </c>
      <c r="J298" s="105" t="str">
        <f t="shared" ca="1" si="13"/>
        <v>22 Tahun 4 Bulan 10 Hari</v>
      </c>
    </row>
    <row r="299" spans="1:10">
      <c r="A299" s="105">
        <f t="shared" si="12"/>
        <v>295</v>
      </c>
      <c r="B299" s="108" t="s">
        <v>476</v>
      </c>
      <c r="C299" s="115">
        <v>162692</v>
      </c>
      <c r="D299" s="108" t="s">
        <v>5</v>
      </c>
      <c r="E299" s="108" t="s">
        <v>95</v>
      </c>
      <c r="F299" s="108" t="s">
        <v>1084</v>
      </c>
      <c r="G299" s="108" t="s">
        <v>1083</v>
      </c>
      <c r="H299" s="105" t="s">
        <v>118</v>
      </c>
      <c r="I299" s="109">
        <v>42675</v>
      </c>
      <c r="J299" s="105" t="str">
        <f t="shared" ca="1" si="13"/>
        <v>9 Tahun 11 Bulan 12 Hari</v>
      </c>
    </row>
    <row r="300" spans="1:10">
      <c r="A300" s="105">
        <f t="shared" si="12"/>
        <v>296</v>
      </c>
      <c r="B300" s="108" t="s">
        <v>477</v>
      </c>
      <c r="C300" s="115">
        <v>134354</v>
      </c>
      <c r="D300" s="108" t="s">
        <v>5</v>
      </c>
      <c r="E300" s="108" t="s">
        <v>95</v>
      </c>
      <c r="F300" s="108" t="s">
        <v>1084</v>
      </c>
      <c r="G300" s="108" t="s">
        <v>1083</v>
      </c>
      <c r="H300" s="105" t="s">
        <v>118</v>
      </c>
      <c r="I300" s="109">
        <v>41543</v>
      </c>
      <c r="J300" s="105" t="str">
        <f t="shared" ca="1" si="13"/>
        <v>13 Tahun 0 Bulan 17 Hari</v>
      </c>
    </row>
    <row r="301" spans="1:10">
      <c r="A301" s="105">
        <f t="shared" si="12"/>
        <v>297</v>
      </c>
      <c r="B301" s="108" t="s">
        <v>478</v>
      </c>
      <c r="C301" s="115">
        <v>83102201</v>
      </c>
      <c r="D301" s="108" t="s">
        <v>5</v>
      </c>
      <c r="E301" s="108" t="s">
        <v>95</v>
      </c>
      <c r="F301" s="108" t="s">
        <v>1084</v>
      </c>
      <c r="G301" s="108" t="s">
        <v>1083</v>
      </c>
      <c r="H301" s="105" t="s">
        <v>118</v>
      </c>
      <c r="I301" s="109">
        <v>40283</v>
      </c>
      <c r="J301" s="105" t="str">
        <f t="shared" ca="1" si="13"/>
        <v>16 Tahun 5 Bulan 28 Hari</v>
      </c>
    </row>
    <row r="302" spans="1:10">
      <c r="A302" s="105">
        <f t="shared" si="12"/>
        <v>298</v>
      </c>
      <c r="B302" s="108" t="s">
        <v>479</v>
      </c>
      <c r="C302" s="115">
        <v>84122966</v>
      </c>
      <c r="D302" s="108" t="s">
        <v>5</v>
      </c>
      <c r="E302" s="108" t="s">
        <v>95</v>
      </c>
      <c r="F302" s="108" t="s">
        <v>1084</v>
      </c>
      <c r="G302" s="108" t="s">
        <v>1083</v>
      </c>
      <c r="H302" s="105" t="s">
        <v>118</v>
      </c>
      <c r="I302" s="109">
        <v>41122</v>
      </c>
      <c r="J302" s="105" t="str">
        <f t="shared" ca="1" si="13"/>
        <v>14 Tahun 2 Bulan 12 Hari</v>
      </c>
    </row>
    <row r="303" spans="1:10">
      <c r="A303" s="105">
        <f t="shared" si="12"/>
        <v>299</v>
      </c>
      <c r="B303" s="108" t="s">
        <v>480</v>
      </c>
      <c r="C303" s="115">
        <v>83105169</v>
      </c>
      <c r="D303" s="108" t="s">
        <v>5</v>
      </c>
      <c r="E303" s="108" t="s">
        <v>95</v>
      </c>
      <c r="F303" s="108" t="s">
        <v>1084</v>
      </c>
      <c r="G303" s="108" t="s">
        <v>1083</v>
      </c>
      <c r="H303" s="105" t="s">
        <v>118</v>
      </c>
      <c r="I303" s="109">
        <v>40518</v>
      </c>
      <c r="J303" s="105" t="str">
        <f t="shared" ca="1" si="13"/>
        <v>15 Tahun 10 Bulan 7 Hari</v>
      </c>
    </row>
    <row r="304" spans="1:10">
      <c r="A304" s="105">
        <f t="shared" si="12"/>
        <v>300</v>
      </c>
      <c r="B304" s="108" t="s">
        <v>481</v>
      </c>
      <c r="C304" s="115">
        <v>132514</v>
      </c>
      <c r="D304" s="108" t="s">
        <v>5</v>
      </c>
      <c r="E304" s="108" t="s">
        <v>95</v>
      </c>
      <c r="F304" s="108" t="s">
        <v>1084</v>
      </c>
      <c r="G304" s="108" t="s">
        <v>1083</v>
      </c>
      <c r="H304" s="105" t="s">
        <v>118</v>
      </c>
      <c r="I304" s="109">
        <v>41438</v>
      </c>
      <c r="J304" s="105" t="str">
        <f t="shared" ca="1" si="13"/>
        <v>13 Tahun 4 Bulan 0 Hari</v>
      </c>
    </row>
    <row r="305" spans="1:10">
      <c r="A305" s="105">
        <f t="shared" si="12"/>
        <v>301</v>
      </c>
      <c r="B305" s="106" t="s">
        <v>482</v>
      </c>
      <c r="C305" s="115">
        <v>221927</v>
      </c>
      <c r="D305" s="108" t="s">
        <v>5</v>
      </c>
      <c r="E305" s="108" t="s">
        <v>95</v>
      </c>
      <c r="F305" s="108" t="s">
        <v>1084</v>
      </c>
      <c r="G305" s="108" t="s">
        <v>1083</v>
      </c>
      <c r="H305" s="105" t="s">
        <v>118</v>
      </c>
      <c r="I305" s="109">
        <v>44746</v>
      </c>
      <c r="J305" s="105" t="str">
        <f t="shared" ca="1" si="13"/>
        <v>4 Tahun 3 Bulan 9 Hari</v>
      </c>
    </row>
    <row r="306" spans="1:10">
      <c r="A306" s="105">
        <f t="shared" si="12"/>
        <v>302</v>
      </c>
      <c r="B306" s="108" t="s">
        <v>483</v>
      </c>
      <c r="C306" s="115">
        <v>83075885</v>
      </c>
      <c r="D306" s="108" t="s">
        <v>5</v>
      </c>
      <c r="E306" s="108" t="s">
        <v>95</v>
      </c>
      <c r="F306" s="108" t="s">
        <v>1084</v>
      </c>
      <c r="G306" s="108" t="s">
        <v>1083</v>
      </c>
      <c r="H306" s="105" t="s">
        <v>118</v>
      </c>
      <c r="I306" s="109">
        <v>39444</v>
      </c>
      <c r="J306" s="105" t="str">
        <f t="shared" ca="1" si="13"/>
        <v>18 Tahun 9 Bulan 15 Hari</v>
      </c>
    </row>
    <row r="307" spans="1:10">
      <c r="A307" s="105">
        <f t="shared" si="12"/>
        <v>303</v>
      </c>
      <c r="B307" s="108" t="s">
        <v>484</v>
      </c>
      <c r="C307" s="115">
        <v>83102185</v>
      </c>
      <c r="D307" s="108" t="s">
        <v>5</v>
      </c>
      <c r="E307" s="108" t="s">
        <v>95</v>
      </c>
      <c r="F307" s="108" t="s">
        <v>1084</v>
      </c>
      <c r="G307" s="108" t="s">
        <v>1083</v>
      </c>
      <c r="H307" s="105" t="s">
        <v>118</v>
      </c>
      <c r="I307" s="109">
        <v>40283</v>
      </c>
      <c r="J307" s="105" t="str">
        <f t="shared" ca="1" si="13"/>
        <v>16 Tahun 5 Bulan 28 Hari</v>
      </c>
    </row>
    <row r="308" spans="1:10">
      <c r="A308" s="105">
        <f t="shared" si="12"/>
        <v>304</v>
      </c>
      <c r="B308" s="106" t="s">
        <v>874</v>
      </c>
      <c r="C308" s="115">
        <v>221928</v>
      </c>
      <c r="D308" s="108" t="s">
        <v>5</v>
      </c>
      <c r="E308" s="108" t="s">
        <v>95</v>
      </c>
      <c r="F308" s="108" t="s">
        <v>1084</v>
      </c>
      <c r="G308" s="108" t="s">
        <v>1083</v>
      </c>
      <c r="H308" s="105" t="s">
        <v>118</v>
      </c>
      <c r="I308" s="109">
        <v>44746</v>
      </c>
      <c r="J308" s="105" t="str">
        <f t="shared" ca="1" si="13"/>
        <v>4 Tahun 3 Bulan 9 Hari</v>
      </c>
    </row>
    <row r="309" spans="1:10">
      <c r="A309" s="105">
        <f t="shared" si="12"/>
        <v>305</v>
      </c>
      <c r="B309" s="108" t="s">
        <v>486</v>
      </c>
      <c r="C309" s="115">
        <v>83116138</v>
      </c>
      <c r="D309" s="108" t="s">
        <v>5</v>
      </c>
      <c r="E309" s="108" t="s">
        <v>95</v>
      </c>
      <c r="F309" s="108" t="s">
        <v>1084</v>
      </c>
      <c r="G309" s="108" t="s">
        <v>1083</v>
      </c>
      <c r="H309" s="105" t="s">
        <v>118</v>
      </c>
      <c r="I309" s="109">
        <v>40609</v>
      </c>
      <c r="J309" s="105" t="str">
        <f t="shared" ca="1" si="13"/>
        <v>15 Tahun 7 Bulan 6 Hari</v>
      </c>
    </row>
    <row r="310" spans="1:10">
      <c r="A310" s="105">
        <f t="shared" si="12"/>
        <v>306</v>
      </c>
      <c r="B310" s="108" t="s">
        <v>487</v>
      </c>
      <c r="C310" s="115">
        <v>140685</v>
      </c>
      <c r="D310" s="108" t="s">
        <v>5</v>
      </c>
      <c r="E310" s="108" t="s">
        <v>95</v>
      </c>
      <c r="F310" s="108" t="s">
        <v>1084</v>
      </c>
      <c r="G310" s="108" t="s">
        <v>1083</v>
      </c>
      <c r="H310" s="105" t="s">
        <v>118</v>
      </c>
      <c r="I310" s="109">
        <v>41683</v>
      </c>
      <c r="J310" s="105" t="str">
        <f t="shared" ca="1" si="13"/>
        <v>12 Tahun 8 Bulan 0 Hari</v>
      </c>
    </row>
    <row r="311" spans="1:10">
      <c r="A311" s="105">
        <f t="shared" si="12"/>
        <v>307</v>
      </c>
      <c r="B311" s="108" t="s">
        <v>488</v>
      </c>
      <c r="C311" s="115">
        <v>140689</v>
      </c>
      <c r="D311" s="108" t="s">
        <v>5</v>
      </c>
      <c r="E311" s="108" t="s">
        <v>95</v>
      </c>
      <c r="F311" s="108" t="s">
        <v>1084</v>
      </c>
      <c r="G311" s="108" t="s">
        <v>1083</v>
      </c>
      <c r="H311" s="105" t="s">
        <v>118</v>
      </c>
      <c r="I311" s="109">
        <v>41683</v>
      </c>
      <c r="J311" s="105" t="str">
        <f t="shared" ca="1" si="13"/>
        <v>12 Tahun 8 Bulan 0 Hari</v>
      </c>
    </row>
    <row r="312" spans="1:10">
      <c r="A312" s="105">
        <f t="shared" si="12"/>
        <v>308</v>
      </c>
      <c r="B312" s="108" t="s">
        <v>489</v>
      </c>
      <c r="C312" s="115">
        <v>83074618</v>
      </c>
      <c r="D312" s="108" t="s">
        <v>5</v>
      </c>
      <c r="E312" s="108" t="s">
        <v>95</v>
      </c>
      <c r="F312" s="108" t="s">
        <v>1084</v>
      </c>
      <c r="G312" s="108" t="s">
        <v>1083</v>
      </c>
      <c r="H312" s="105" t="s">
        <v>118</v>
      </c>
      <c r="I312" s="109">
        <v>39183</v>
      </c>
      <c r="J312" s="105" t="str">
        <f t="shared" ca="1" si="13"/>
        <v>19 Tahun 6 Bulan 2 Hari</v>
      </c>
    </row>
    <row r="313" spans="1:10">
      <c r="A313" s="105">
        <f t="shared" si="12"/>
        <v>309</v>
      </c>
      <c r="B313" s="108" t="s">
        <v>490</v>
      </c>
      <c r="C313" s="115">
        <v>147371</v>
      </c>
      <c r="D313" s="108" t="s">
        <v>5</v>
      </c>
      <c r="E313" s="108" t="s">
        <v>95</v>
      </c>
      <c r="F313" s="108" t="s">
        <v>1084</v>
      </c>
      <c r="G313" s="108" t="s">
        <v>1083</v>
      </c>
      <c r="H313" s="105" t="s">
        <v>118</v>
      </c>
      <c r="I313" s="109">
        <v>41975</v>
      </c>
      <c r="J313" s="105" t="str">
        <f t="shared" ca="1" si="13"/>
        <v>11 Tahun 10 Bulan 11 Hari</v>
      </c>
    </row>
    <row r="314" spans="1:10">
      <c r="A314" s="105">
        <f t="shared" si="12"/>
        <v>310</v>
      </c>
      <c r="B314" s="108" t="s">
        <v>491</v>
      </c>
      <c r="C314" s="115">
        <v>154179</v>
      </c>
      <c r="D314" s="108" t="s">
        <v>5</v>
      </c>
      <c r="E314" s="108" t="s">
        <v>95</v>
      </c>
      <c r="F314" s="108" t="s">
        <v>1084</v>
      </c>
      <c r="G314" s="108" t="s">
        <v>1083</v>
      </c>
      <c r="H314" s="105" t="s">
        <v>118</v>
      </c>
      <c r="I314" s="109">
        <v>42318</v>
      </c>
      <c r="J314" s="105" t="str">
        <f t="shared" ca="1" si="13"/>
        <v>10 Tahun 11 Bulan 3 Hari</v>
      </c>
    </row>
    <row r="315" spans="1:10">
      <c r="A315" s="105">
        <f t="shared" si="12"/>
        <v>311</v>
      </c>
      <c r="B315" s="108" t="s">
        <v>492</v>
      </c>
      <c r="C315" s="115">
        <v>83102749</v>
      </c>
      <c r="D315" s="108" t="s">
        <v>5</v>
      </c>
      <c r="E315" s="108" t="s">
        <v>95</v>
      </c>
      <c r="F315" s="108" t="s">
        <v>1084</v>
      </c>
      <c r="G315" s="108" t="s">
        <v>1083</v>
      </c>
      <c r="H315" s="105" t="s">
        <v>118</v>
      </c>
      <c r="I315" s="109">
        <v>40343</v>
      </c>
      <c r="J315" s="105" t="str">
        <f t="shared" ca="1" si="13"/>
        <v>16 Tahun 3 Bulan 29 Hari</v>
      </c>
    </row>
    <row r="316" spans="1:10">
      <c r="A316" s="105">
        <f t="shared" si="12"/>
        <v>312</v>
      </c>
      <c r="B316" s="108" t="s">
        <v>493</v>
      </c>
      <c r="C316" s="115">
        <v>83088475</v>
      </c>
      <c r="D316" s="108" t="s">
        <v>5</v>
      </c>
      <c r="E316" s="108" t="s">
        <v>95</v>
      </c>
      <c r="F316" s="108" t="s">
        <v>1084</v>
      </c>
      <c r="G316" s="108" t="s">
        <v>1085</v>
      </c>
      <c r="H316" s="105" t="s">
        <v>118</v>
      </c>
      <c r="I316" s="109">
        <v>39751</v>
      </c>
      <c r="J316" s="105" t="str">
        <f t="shared" ca="1" si="13"/>
        <v>17 Tahun 11 Bulan 13 Hari</v>
      </c>
    </row>
    <row r="317" spans="1:10">
      <c r="A317" s="105">
        <f t="shared" si="12"/>
        <v>313</v>
      </c>
      <c r="B317" s="108" t="s">
        <v>494</v>
      </c>
      <c r="C317" s="115">
        <v>83090015</v>
      </c>
      <c r="D317" s="108" t="s">
        <v>5</v>
      </c>
      <c r="E317" s="108" t="s">
        <v>95</v>
      </c>
      <c r="F317" s="108" t="s">
        <v>1084</v>
      </c>
      <c r="G317" s="108" t="s">
        <v>1085</v>
      </c>
      <c r="H317" s="105" t="s">
        <v>118</v>
      </c>
      <c r="I317" s="109">
        <v>39995</v>
      </c>
      <c r="J317" s="105" t="str">
        <f t="shared" ca="1" si="13"/>
        <v>17 Tahun 3 Bulan 12 Hari</v>
      </c>
    </row>
    <row r="318" spans="1:10">
      <c r="A318" s="105">
        <f t="shared" si="12"/>
        <v>314</v>
      </c>
      <c r="B318" s="108" t="s">
        <v>495</v>
      </c>
      <c r="C318" s="115">
        <v>147365</v>
      </c>
      <c r="D318" s="108" t="s">
        <v>5</v>
      </c>
      <c r="E318" s="108" t="s">
        <v>95</v>
      </c>
      <c r="F318" s="108" t="s">
        <v>1084</v>
      </c>
      <c r="G318" s="108" t="s">
        <v>1085</v>
      </c>
      <c r="H318" s="105" t="s">
        <v>118</v>
      </c>
      <c r="I318" s="109">
        <v>41975</v>
      </c>
      <c r="J318" s="105" t="str">
        <f t="shared" ca="1" si="13"/>
        <v>11 Tahun 10 Bulan 11 Hari</v>
      </c>
    </row>
    <row r="319" spans="1:10">
      <c r="A319" s="105">
        <f t="shared" si="12"/>
        <v>315</v>
      </c>
      <c r="B319" s="108" t="s">
        <v>496</v>
      </c>
      <c r="C319" s="115">
        <v>83102429</v>
      </c>
      <c r="D319" s="108" t="s">
        <v>5</v>
      </c>
      <c r="E319" s="108" t="s">
        <v>95</v>
      </c>
      <c r="F319" s="108" t="s">
        <v>1084</v>
      </c>
      <c r="G319" s="108" t="s">
        <v>1085</v>
      </c>
      <c r="H319" s="105" t="s">
        <v>118</v>
      </c>
      <c r="I319" s="109">
        <v>40303</v>
      </c>
      <c r="J319" s="105" t="str">
        <f t="shared" ca="1" si="13"/>
        <v>16 Tahun 5 Bulan 8 Hari</v>
      </c>
    </row>
    <row r="320" spans="1:10">
      <c r="A320" s="105">
        <f t="shared" si="12"/>
        <v>316</v>
      </c>
      <c r="B320" s="108" t="s">
        <v>497</v>
      </c>
      <c r="C320" s="115">
        <v>83119911</v>
      </c>
      <c r="D320" s="108" t="s">
        <v>5</v>
      </c>
      <c r="E320" s="108" t="s">
        <v>95</v>
      </c>
      <c r="F320" s="108" t="s">
        <v>1084</v>
      </c>
      <c r="G320" s="108" t="s">
        <v>1085</v>
      </c>
      <c r="H320" s="105" t="s">
        <v>118</v>
      </c>
      <c r="I320" s="109">
        <v>40903</v>
      </c>
      <c r="J320" s="105" t="str">
        <f t="shared" ca="1" si="13"/>
        <v>14 Tahun 9 Bulan 17 Hari</v>
      </c>
    </row>
    <row r="321" spans="1:10">
      <c r="A321" s="105">
        <f t="shared" si="12"/>
        <v>317</v>
      </c>
      <c r="B321" s="108" t="s">
        <v>498</v>
      </c>
      <c r="C321" s="115">
        <v>140594</v>
      </c>
      <c r="D321" s="108" t="s">
        <v>5</v>
      </c>
      <c r="E321" s="108" t="s">
        <v>95</v>
      </c>
      <c r="F321" s="108" t="s">
        <v>1084</v>
      </c>
      <c r="G321" s="108" t="s">
        <v>1085</v>
      </c>
      <c r="H321" s="105" t="s">
        <v>118</v>
      </c>
      <c r="I321" s="109">
        <v>41683</v>
      </c>
      <c r="J321" s="105" t="str">
        <f t="shared" ca="1" si="13"/>
        <v>12 Tahun 8 Bulan 0 Hari</v>
      </c>
    </row>
    <row r="322" spans="1:10">
      <c r="A322" s="105">
        <f t="shared" si="12"/>
        <v>318</v>
      </c>
      <c r="B322" s="108" t="s">
        <v>499</v>
      </c>
      <c r="C322" s="115">
        <v>134584</v>
      </c>
      <c r="D322" s="108" t="s">
        <v>5</v>
      </c>
      <c r="E322" s="108" t="s">
        <v>95</v>
      </c>
      <c r="F322" s="108" t="s">
        <v>1084</v>
      </c>
      <c r="G322" s="108" t="s">
        <v>1083</v>
      </c>
      <c r="H322" s="105" t="s">
        <v>118</v>
      </c>
      <c r="I322" s="109">
        <v>41544</v>
      </c>
      <c r="J322" s="105" t="str">
        <f t="shared" ca="1" si="13"/>
        <v>13 Tahun 0 Bulan 16 Hari</v>
      </c>
    </row>
    <row r="323" spans="1:10">
      <c r="A323" s="105">
        <f t="shared" si="12"/>
        <v>319</v>
      </c>
      <c r="B323" s="108" t="s">
        <v>500</v>
      </c>
      <c r="C323" s="115">
        <v>83103429</v>
      </c>
      <c r="D323" s="108" t="s">
        <v>5</v>
      </c>
      <c r="E323" s="108" t="s">
        <v>95</v>
      </c>
      <c r="F323" s="108" t="s">
        <v>1084</v>
      </c>
      <c r="G323" s="108" t="s">
        <v>1083</v>
      </c>
      <c r="H323" s="105" t="s">
        <v>118</v>
      </c>
      <c r="I323" s="109">
        <v>40386</v>
      </c>
      <c r="J323" s="105" t="str">
        <f t="shared" ca="1" si="13"/>
        <v>16 Tahun 2 Bulan 16 Hari</v>
      </c>
    </row>
    <row r="324" spans="1:10">
      <c r="A324" s="105">
        <f t="shared" si="12"/>
        <v>320</v>
      </c>
      <c r="B324" s="108" t="s">
        <v>501</v>
      </c>
      <c r="C324" s="115">
        <v>84122840</v>
      </c>
      <c r="D324" s="108" t="s">
        <v>5</v>
      </c>
      <c r="E324" s="108" t="s">
        <v>95</v>
      </c>
      <c r="F324" s="108" t="s">
        <v>1084</v>
      </c>
      <c r="G324" s="108" t="s">
        <v>1083</v>
      </c>
      <c r="H324" s="105" t="s">
        <v>118</v>
      </c>
      <c r="I324" s="109">
        <v>41107</v>
      </c>
      <c r="J324" s="105" t="str">
        <f t="shared" ca="1" si="13"/>
        <v>14 Tahun 2 Bulan 26 Hari</v>
      </c>
    </row>
    <row r="325" spans="1:10">
      <c r="A325" s="105">
        <f t="shared" ref="A325:A388" si="14">ROW(A321)</f>
        <v>321</v>
      </c>
      <c r="B325" s="108" t="s">
        <v>502</v>
      </c>
      <c r="C325" s="115">
        <v>140692</v>
      </c>
      <c r="D325" s="108" t="s">
        <v>5</v>
      </c>
      <c r="E325" s="108" t="s">
        <v>95</v>
      </c>
      <c r="F325" s="108" t="s">
        <v>1084</v>
      </c>
      <c r="G325" s="108" t="s">
        <v>1085</v>
      </c>
      <c r="H325" s="105" t="s">
        <v>118</v>
      </c>
      <c r="I325" s="118">
        <v>41683</v>
      </c>
      <c r="J325" s="105" t="str">
        <f t="shared" ca="1" si="13"/>
        <v>12 Tahun 8 Bulan 0 Hari</v>
      </c>
    </row>
    <row r="326" spans="1:10">
      <c r="A326" s="105">
        <f t="shared" si="14"/>
        <v>322</v>
      </c>
      <c r="B326" s="108" t="s">
        <v>503</v>
      </c>
      <c r="C326" s="115">
        <v>147356</v>
      </c>
      <c r="D326" s="108" t="s">
        <v>5</v>
      </c>
      <c r="E326" s="108" t="s">
        <v>95</v>
      </c>
      <c r="F326" s="108" t="s">
        <v>1084</v>
      </c>
      <c r="G326" s="108" t="s">
        <v>1085</v>
      </c>
      <c r="H326" s="105" t="s">
        <v>118</v>
      </c>
      <c r="I326" s="109">
        <v>41682</v>
      </c>
      <c r="J326" s="105" t="str">
        <f t="shared" ca="1" si="13"/>
        <v>12 Tahun 8 Bulan 1 Hari</v>
      </c>
    </row>
    <row r="327" spans="1:10">
      <c r="A327" s="105">
        <f t="shared" si="14"/>
        <v>323</v>
      </c>
      <c r="B327" s="108" t="s">
        <v>505</v>
      </c>
      <c r="C327" s="115">
        <v>83105221</v>
      </c>
      <c r="D327" s="108" t="s">
        <v>5</v>
      </c>
      <c r="E327" s="108" t="s">
        <v>95</v>
      </c>
      <c r="F327" s="108" t="s">
        <v>1084</v>
      </c>
      <c r="G327" s="108" t="s">
        <v>1083</v>
      </c>
      <c r="H327" s="105" t="s">
        <v>118</v>
      </c>
      <c r="I327" s="109">
        <v>40518</v>
      </c>
      <c r="J327" s="105" t="str">
        <f t="shared" ref="J327:J392" ca="1" si="15">IF(ISNUMBER(I327),DATEDIF(I327,TODAY(),"Y")&amp;" Tahun "&amp;DATEDIF(I327,TODAY(),"YM")&amp;" Bulan "&amp;DATEDIF(I327,TODAY(),"MD")&amp;" Hari","")</f>
        <v>15 Tahun 10 Bulan 7 Hari</v>
      </c>
    </row>
    <row r="328" spans="1:10">
      <c r="A328" s="105">
        <f t="shared" si="14"/>
        <v>324</v>
      </c>
      <c r="B328" s="108" t="s">
        <v>506</v>
      </c>
      <c r="C328" s="115">
        <v>143586</v>
      </c>
      <c r="D328" s="108" t="s">
        <v>5</v>
      </c>
      <c r="E328" s="108" t="s">
        <v>95</v>
      </c>
      <c r="F328" s="108" t="s">
        <v>1084</v>
      </c>
      <c r="G328" s="108" t="s">
        <v>1085</v>
      </c>
      <c r="H328" s="105" t="s">
        <v>118</v>
      </c>
      <c r="I328" s="109">
        <v>41834</v>
      </c>
      <c r="J328" s="105" t="str">
        <f t="shared" ca="1" si="15"/>
        <v>12 Tahun 2 Bulan 29 Hari</v>
      </c>
    </row>
    <row r="329" spans="1:10">
      <c r="A329" s="105">
        <f t="shared" si="14"/>
        <v>325</v>
      </c>
      <c r="B329" s="106" t="s">
        <v>873</v>
      </c>
      <c r="C329" s="115">
        <v>221918</v>
      </c>
      <c r="D329" s="108" t="s">
        <v>5</v>
      </c>
      <c r="E329" s="108" t="s">
        <v>95</v>
      </c>
      <c r="F329" s="108" t="s">
        <v>1084</v>
      </c>
      <c r="G329" s="108" t="s">
        <v>1083</v>
      </c>
      <c r="H329" s="105" t="s">
        <v>118</v>
      </c>
      <c r="I329" s="109">
        <v>44746</v>
      </c>
      <c r="J329" s="105" t="str">
        <f t="shared" ca="1" si="15"/>
        <v>4 Tahun 3 Bulan 9 Hari</v>
      </c>
    </row>
    <row r="330" spans="1:10">
      <c r="A330" s="105">
        <f t="shared" si="14"/>
        <v>326</v>
      </c>
      <c r="B330" s="108" t="s">
        <v>508</v>
      </c>
      <c r="C330" s="115">
        <v>134550</v>
      </c>
      <c r="D330" s="108" t="s">
        <v>5</v>
      </c>
      <c r="E330" s="108" t="s">
        <v>95</v>
      </c>
      <c r="F330" s="108" t="s">
        <v>1084</v>
      </c>
      <c r="G330" s="108" t="s">
        <v>1085</v>
      </c>
      <c r="H330" s="105" t="s">
        <v>118</v>
      </c>
      <c r="I330" s="109">
        <v>41544</v>
      </c>
      <c r="J330" s="105" t="str">
        <f t="shared" ca="1" si="15"/>
        <v>13 Tahun 0 Bulan 16 Hari</v>
      </c>
    </row>
    <row r="331" spans="1:10">
      <c r="A331" s="105">
        <f t="shared" si="14"/>
        <v>327</v>
      </c>
      <c r="B331" s="108" t="s">
        <v>509</v>
      </c>
      <c r="C331" s="115">
        <v>83116127</v>
      </c>
      <c r="D331" s="108" t="s">
        <v>5</v>
      </c>
      <c r="E331" s="108" t="s">
        <v>95</v>
      </c>
      <c r="F331" s="108" t="s">
        <v>1084</v>
      </c>
      <c r="G331" s="108" t="s">
        <v>1083</v>
      </c>
      <c r="H331" s="105" t="s">
        <v>118</v>
      </c>
      <c r="I331" s="109">
        <v>40609</v>
      </c>
      <c r="J331" s="105" t="str">
        <f t="shared" ca="1" si="15"/>
        <v>15 Tahun 7 Bulan 6 Hari</v>
      </c>
    </row>
    <row r="332" spans="1:10">
      <c r="A332" s="105">
        <f t="shared" si="14"/>
        <v>328</v>
      </c>
      <c r="B332" s="108" t="s">
        <v>510</v>
      </c>
      <c r="C332" s="110">
        <v>241131</v>
      </c>
      <c r="D332" s="108" t="s">
        <v>5</v>
      </c>
      <c r="E332" s="108" t="s">
        <v>95</v>
      </c>
      <c r="F332" s="108" t="s">
        <v>1084</v>
      </c>
      <c r="G332" s="108" t="s">
        <v>1083</v>
      </c>
      <c r="H332" s="105" t="s">
        <v>118</v>
      </c>
      <c r="I332" s="109">
        <v>45481</v>
      </c>
      <c r="J332" s="105" t="str">
        <f t="shared" ca="1" si="15"/>
        <v>2 Tahun 3 Bulan 5 Hari</v>
      </c>
    </row>
    <row r="333" spans="1:10">
      <c r="A333" s="105">
        <f t="shared" si="14"/>
        <v>329</v>
      </c>
      <c r="B333" s="108" t="s">
        <v>512</v>
      </c>
      <c r="C333" s="110">
        <v>241137</v>
      </c>
      <c r="D333" s="108" t="s">
        <v>5</v>
      </c>
      <c r="E333" s="108" t="s">
        <v>95</v>
      </c>
      <c r="F333" s="108" t="s">
        <v>1084</v>
      </c>
      <c r="G333" s="108" t="s">
        <v>1083</v>
      </c>
      <c r="H333" s="105" t="s">
        <v>118</v>
      </c>
      <c r="I333" s="109">
        <v>45481</v>
      </c>
      <c r="J333" s="105" t="str">
        <f t="shared" ca="1" si="15"/>
        <v>2 Tahun 3 Bulan 5 Hari</v>
      </c>
    </row>
    <row r="334" spans="1:10">
      <c r="A334" s="105">
        <f t="shared" si="14"/>
        <v>330</v>
      </c>
      <c r="B334" s="108" t="s">
        <v>514</v>
      </c>
      <c r="C334" s="110">
        <v>241133</v>
      </c>
      <c r="D334" s="108" t="s">
        <v>5</v>
      </c>
      <c r="E334" s="108" t="s">
        <v>95</v>
      </c>
      <c r="F334" s="108" t="s">
        <v>1084</v>
      </c>
      <c r="G334" s="108" t="s">
        <v>1085</v>
      </c>
      <c r="H334" s="105" t="s">
        <v>118</v>
      </c>
      <c r="I334" s="109">
        <v>45481</v>
      </c>
      <c r="J334" s="105" t="str">
        <f t="shared" ca="1" si="15"/>
        <v>2 Tahun 3 Bulan 5 Hari</v>
      </c>
    </row>
    <row r="335" spans="1:10">
      <c r="A335" s="105">
        <f t="shared" si="14"/>
        <v>331</v>
      </c>
      <c r="B335" s="108" t="s">
        <v>515</v>
      </c>
      <c r="C335" s="110">
        <v>241136</v>
      </c>
      <c r="D335" s="108" t="s">
        <v>5</v>
      </c>
      <c r="E335" s="108" t="s">
        <v>95</v>
      </c>
      <c r="F335" s="108" t="s">
        <v>1084</v>
      </c>
      <c r="G335" s="108" t="s">
        <v>1083</v>
      </c>
      <c r="H335" s="105" t="s">
        <v>118</v>
      </c>
      <c r="I335" s="109">
        <v>45481</v>
      </c>
      <c r="J335" s="105" t="str">
        <f t="shared" ca="1" si="15"/>
        <v>2 Tahun 3 Bulan 5 Hari</v>
      </c>
    </row>
    <row r="336" spans="1:10">
      <c r="A336" s="105">
        <f t="shared" si="14"/>
        <v>332</v>
      </c>
      <c r="B336" s="108" t="s">
        <v>516</v>
      </c>
      <c r="C336" s="110">
        <v>241138</v>
      </c>
      <c r="D336" s="108" t="s">
        <v>5</v>
      </c>
      <c r="E336" s="108" t="s">
        <v>95</v>
      </c>
      <c r="F336" s="108" t="s">
        <v>1084</v>
      </c>
      <c r="G336" s="108" t="s">
        <v>1085</v>
      </c>
      <c r="H336" s="105" t="s">
        <v>118</v>
      </c>
      <c r="I336" s="109">
        <v>45481</v>
      </c>
      <c r="J336" s="105" t="str">
        <f t="shared" ca="1" si="15"/>
        <v>2 Tahun 3 Bulan 5 Hari</v>
      </c>
    </row>
    <row r="337" spans="1:10">
      <c r="A337" s="105">
        <f t="shared" si="14"/>
        <v>333</v>
      </c>
      <c r="B337" s="108" t="s">
        <v>517</v>
      </c>
      <c r="C337" s="110">
        <v>241134</v>
      </c>
      <c r="D337" s="108" t="s">
        <v>5</v>
      </c>
      <c r="E337" s="108" t="s">
        <v>95</v>
      </c>
      <c r="F337" s="108" t="s">
        <v>1084</v>
      </c>
      <c r="G337" s="108" t="s">
        <v>1085</v>
      </c>
      <c r="H337" s="105" t="s">
        <v>118</v>
      </c>
      <c r="I337" s="109">
        <v>45481</v>
      </c>
      <c r="J337" s="105" t="str">
        <f t="shared" ca="1" si="15"/>
        <v>2 Tahun 3 Bulan 5 Hari</v>
      </c>
    </row>
    <row r="338" spans="1:10">
      <c r="A338" s="105">
        <f t="shared" si="14"/>
        <v>334</v>
      </c>
      <c r="B338" s="108" t="s">
        <v>1046</v>
      </c>
      <c r="C338" s="110">
        <v>241552</v>
      </c>
      <c r="D338" s="108" t="s">
        <v>5</v>
      </c>
      <c r="E338" s="108" t="s">
        <v>95</v>
      </c>
      <c r="F338" s="108" t="s">
        <v>1084</v>
      </c>
      <c r="G338" s="108" t="s">
        <v>1085</v>
      </c>
      <c r="H338" s="105" t="s">
        <v>118</v>
      </c>
      <c r="I338" s="109">
        <v>45534</v>
      </c>
      <c r="J338" s="105" t="str">
        <f t="shared" ca="1" si="15"/>
        <v>2 Tahun 1 Bulan 13 Hari</v>
      </c>
    </row>
    <row r="339" spans="1:10">
      <c r="A339" s="105">
        <f t="shared" si="14"/>
        <v>335</v>
      </c>
      <c r="B339" s="108" t="s">
        <v>832</v>
      </c>
      <c r="C339" s="110">
        <v>241553</v>
      </c>
      <c r="D339" s="108" t="s">
        <v>5</v>
      </c>
      <c r="E339" s="108" t="s">
        <v>95</v>
      </c>
      <c r="F339" s="108" t="s">
        <v>1084</v>
      </c>
      <c r="G339" s="108" t="s">
        <v>1085</v>
      </c>
      <c r="H339" s="105" t="s">
        <v>118</v>
      </c>
      <c r="I339" s="109">
        <v>45534</v>
      </c>
      <c r="J339" s="105" t="str">
        <f t="shared" ca="1" si="15"/>
        <v>2 Tahun 1 Bulan 13 Hari</v>
      </c>
    </row>
    <row r="340" spans="1:10">
      <c r="A340" s="105">
        <f t="shared" si="14"/>
        <v>336</v>
      </c>
      <c r="B340" s="108" t="s">
        <v>822</v>
      </c>
      <c r="C340" s="110">
        <v>241554</v>
      </c>
      <c r="D340" s="108" t="s">
        <v>5</v>
      </c>
      <c r="E340" s="108" t="s">
        <v>95</v>
      </c>
      <c r="F340" s="108" t="s">
        <v>1084</v>
      </c>
      <c r="G340" s="108" t="s">
        <v>1085</v>
      </c>
      <c r="H340" s="105" t="s">
        <v>118</v>
      </c>
      <c r="I340" s="109">
        <v>45534</v>
      </c>
      <c r="J340" s="105" t="str">
        <f t="shared" ca="1" si="15"/>
        <v>2 Tahun 1 Bulan 13 Hari</v>
      </c>
    </row>
    <row r="341" spans="1:10">
      <c r="A341" s="105">
        <f t="shared" si="14"/>
        <v>337</v>
      </c>
      <c r="B341" s="108" t="s">
        <v>1134</v>
      </c>
      <c r="C341" s="110">
        <v>241555</v>
      </c>
      <c r="D341" s="108" t="s">
        <v>5</v>
      </c>
      <c r="E341" s="108" t="s">
        <v>95</v>
      </c>
      <c r="F341" s="108" t="s">
        <v>1084</v>
      </c>
      <c r="G341" s="108" t="s">
        <v>1083</v>
      </c>
      <c r="H341" s="105" t="s">
        <v>118</v>
      </c>
      <c r="I341" s="109">
        <v>45534</v>
      </c>
      <c r="J341" s="105" t="str">
        <f t="shared" ca="1" si="15"/>
        <v>2 Tahun 1 Bulan 13 Hari</v>
      </c>
    </row>
    <row r="342" spans="1:10">
      <c r="A342" s="105">
        <f t="shared" si="14"/>
        <v>338</v>
      </c>
      <c r="B342" s="108" t="s">
        <v>1135</v>
      </c>
      <c r="C342" s="110">
        <v>241556</v>
      </c>
      <c r="D342" s="108" t="s">
        <v>5</v>
      </c>
      <c r="E342" s="108" t="s">
        <v>95</v>
      </c>
      <c r="F342" s="108" t="s">
        <v>1084</v>
      </c>
      <c r="G342" s="108" t="s">
        <v>1083</v>
      </c>
      <c r="H342" s="105" t="s">
        <v>118</v>
      </c>
      <c r="I342" s="109">
        <v>45534</v>
      </c>
      <c r="J342" s="105" t="str">
        <f t="shared" ca="1" si="15"/>
        <v>2 Tahun 1 Bulan 13 Hari</v>
      </c>
    </row>
    <row r="343" spans="1:10">
      <c r="A343" s="105">
        <f t="shared" si="14"/>
        <v>339</v>
      </c>
      <c r="B343" s="108" t="s">
        <v>1136</v>
      </c>
      <c r="C343" s="110">
        <v>241557</v>
      </c>
      <c r="D343" s="108" t="s">
        <v>5</v>
      </c>
      <c r="E343" s="108" t="s">
        <v>95</v>
      </c>
      <c r="F343" s="108" t="s">
        <v>1084</v>
      </c>
      <c r="G343" s="108" t="s">
        <v>1083</v>
      </c>
      <c r="H343" s="105" t="s">
        <v>118</v>
      </c>
      <c r="I343" s="109">
        <v>45534</v>
      </c>
      <c r="J343" s="105" t="str">
        <f t="shared" ca="1" si="15"/>
        <v>2 Tahun 1 Bulan 13 Hari</v>
      </c>
    </row>
    <row r="344" spans="1:10">
      <c r="A344" s="105">
        <f t="shared" si="14"/>
        <v>340</v>
      </c>
      <c r="B344" s="108" t="s">
        <v>1137</v>
      </c>
      <c r="C344" s="110">
        <v>241559</v>
      </c>
      <c r="D344" s="108" t="s">
        <v>5</v>
      </c>
      <c r="E344" s="108" t="s">
        <v>95</v>
      </c>
      <c r="F344" s="108" t="s">
        <v>1084</v>
      </c>
      <c r="G344" s="108" t="s">
        <v>1083</v>
      </c>
      <c r="H344" s="105" t="s">
        <v>118</v>
      </c>
      <c r="I344" s="109">
        <v>45534</v>
      </c>
      <c r="J344" s="105" t="str">
        <f t="shared" ca="1" si="15"/>
        <v>2 Tahun 1 Bulan 13 Hari</v>
      </c>
    </row>
    <row r="345" spans="1:10">
      <c r="A345" s="105">
        <f t="shared" si="14"/>
        <v>341</v>
      </c>
      <c r="B345" s="108" t="s">
        <v>1020</v>
      </c>
      <c r="C345" s="110">
        <v>241560</v>
      </c>
      <c r="D345" s="108" t="s">
        <v>5</v>
      </c>
      <c r="E345" s="108" t="s">
        <v>95</v>
      </c>
      <c r="F345" s="108" t="s">
        <v>1084</v>
      </c>
      <c r="G345" s="108" t="s">
        <v>1083</v>
      </c>
      <c r="H345" s="105" t="s">
        <v>118</v>
      </c>
      <c r="I345" s="109">
        <v>45534</v>
      </c>
      <c r="J345" s="105" t="str">
        <f t="shared" ca="1" si="15"/>
        <v>2 Tahun 1 Bulan 13 Hari</v>
      </c>
    </row>
    <row r="346" spans="1:10">
      <c r="A346" s="105">
        <f t="shared" si="14"/>
        <v>342</v>
      </c>
      <c r="B346" s="108" t="s">
        <v>1051</v>
      </c>
      <c r="C346" s="110">
        <v>241561</v>
      </c>
      <c r="D346" s="108" t="s">
        <v>5</v>
      </c>
      <c r="E346" s="108" t="s">
        <v>95</v>
      </c>
      <c r="F346" s="108" t="s">
        <v>1084</v>
      </c>
      <c r="G346" s="108" t="s">
        <v>1085</v>
      </c>
      <c r="H346" s="105" t="s">
        <v>118</v>
      </c>
      <c r="I346" s="109">
        <v>45534</v>
      </c>
      <c r="J346" s="105" t="str">
        <f t="shared" ca="1" si="15"/>
        <v>2 Tahun 1 Bulan 13 Hari</v>
      </c>
    </row>
    <row r="347" spans="1:10">
      <c r="A347" s="105">
        <f t="shared" si="14"/>
        <v>343</v>
      </c>
      <c r="B347" s="108" t="s">
        <v>1138</v>
      </c>
      <c r="C347" s="110">
        <v>242165</v>
      </c>
      <c r="D347" s="108" t="s">
        <v>5</v>
      </c>
      <c r="E347" s="108" t="s">
        <v>95</v>
      </c>
      <c r="F347" s="108" t="s">
        <v>1084</v>
      </c>
      <c r="G347" s="108" t="s">
        <v>1083</v>
      </c>
      <c r="H347" s="105" t="s">
        <v>118</v>
      </c>
      <c r="I347" s="109">
        <v>45945</v>
      </c>
      <c r="J347" s="105" t="str">
        <f t="shared" ca="1" si="15"/>
        <v>0 Tahun 11 Bulan 28 Hari</v>
      </c>
    </row>
    <row r="348" spans="1:10">
      <c r="A348" s="105">
        <f t="shared" si="14"/>
        <v>344</v>
      </c>
      <c r="B348" s="108" t="s">
        <v>1139</v>
      </c>
      <c r="C348" s="110">
        <v>242159</v>
      </c>
      <c r="D348" s="108" t="s">
        <v>5</v>
      </c>
      <c r="E348" s="108" t="s">
        <v>95</v>
      </c>
      <c r="F348" s="108" t="s">
        <v>1084</v>
      </c>
      <c r="G348" s="108" t="s">
        <v>1085</v>
      </c>
      <c r="H348" s="105" t="s">
        <v>118</v>
      </c>
      <c r="I348" s="109">
        <v>45579</v>
      </c>
      <c r="J348" s="105" t="str">
        <f t="shared" ca="1" si="15"/>
        <v>1 Tahun 11 Bulan 29 Hari</v>
      </c>
    </row>
    <row r="349" spans="1:10">
      <c r="A349" s="105">
        <f t="shared" si="14"/>
        <v>345</v>
      </c>
      <c r="B349" s="108" t="s">
        <v>1140</v>
      </c>
      <c r="C349" s="110">
        <v>242184</v>
      </c>
      <c r="D349" s="108" t="s">
        <v>5</v>
      </c>
      <c r="E349" s="108" t="s">
        <v>95</v>
      </c>
      <c r="F349" s="108" t="s">
        <v>1084</v>
      </c>
      <c r="G349" s="108" t="s">
        <v>1083</v>
      </c>
      <c r="H349" s="105" t="s">
        <v>118</v>
      </c>
      <c r="I349" s="109">
        <v>45587</v>
      </c>
      <c r="J349" s="105" t="str">
        <f t="shared" ca="1" si="15"/>
        <v>1 Tahun 11 Bulan 21 Hari</v>
      </c>
    </row>
    <row r="350" spans="1:10">
      <c r="A350" s="105">
        <f t="shared" si="14"/>
        <v>346</v>
      </c>
      <c r="B350" s="108" t="s">
        <v>969</v>
      </c>
      <c r="C350" s="110">
        <v>242185</v>
      </c>
      <c r="D350" s="108" t="s">
        <v>5</v>
      </c>
      <c r="E350" s="108" t="s">
        <v>95</v>
      </c>
      <c r="F350" s="108" t="s">
        <v>1084</v>
      </c>
      <c r="G350" s="108" t="s">
        <v>1083</v>
      </c>
      <c r="H350" s="105" t="s">
        <v>118</v>
      </c>
      <c r="I350" s="109">
        <v>45587</v>
      </c>
      <c r="J350" s="105" t="str">
        <f t="shared" ca="1" si="15"/>
        <v>1 Tahun 11 Bulan 21 Hari</v>
      </c>
    </row>
    <row r="351" spans="1:10">
      <c r="A351" s="105">
        <f t="shared" si="14"/>
        <v>347</v>
      </c>
      <c r="B351" s="108" t="s">
        <v>948</v>
      </c>
      <c r="C351" s="110">
        <v>242186</v>
      </c>
      <c r="D351" s="108" t="s">
        <v>5</v>
      </c>
      <c r="E351" s="108" t="s">
        <v>95</v>
      </c>
      <c r="F351" s="108" t="s">
        <v>1084</v>
      </c>
      <c r="G351" s="108" t="s">
        <v>1083</v>
      </c>
      <c r="H351" s="105" t="s">
        <v>118</v>
      </c>
      <c r="I351" s="109">
        <v>45587</v>
      </c>
      <c r="J351" s="105" t="str">
        <f t="shared" ca="1" si="15"/>
        <v>1 Tahun 11 Bulan 21 Hari</v>
      </c>
    </row>
    <row r="352" spans="1:10">
      <c r="A352" s="105">
        <f t="shared" si="14"/>
        <v>348</v>
      </c>
      <c r="B352" s="108" t="s">
        <v>975</v>
      </c>
      <c r="C352" s="110">
        <v>242209</v>
      </c>
      <c r="D352" s="108" t="s">
        <v>5</v>
      </c>
      <c r="E352" s="108" t="s">
        <v>95</v>
      </c>
      <c r="F352" s="108" t="s">
        <v>1084</v>
      </c>
      <c r="G352" s="108" t="s">
        <v>1083</v>
      </c>
      <c r="H352" s="105" t="s">
        <v>118</v>
      </c>
      <c r="I352" s="109">
        <v>45588</v>
      </c>
      <c r="J352" s="105" t="str">
        <f t="shared" ca="1" si="15"/>
        <v>1 Tahun 11 Bulan 20 Hari</v>
      </c>
    </row>
    <row r="353" spans="1:10">
      <c r="A353" s="105">
        <f t="shared" si="14"/>
        <v>349</v>
      </c>
      <c r="B353" s="108" t="s">
        <v>816</v>
      </c>
      <c r="C353" s="110">
        <v>242407</v>
      </c>
      <c r="D353" s="108" t="s">
        <v>5</v>
      </c>
      <c r="E353" s="108" t="s">
        <v>95</v>
      </c>
      <c r="F353" s="108" t="s">
        <v>1084</v>
      </c>
      <c r="G353" s="108" t="s">
        <v>1085</v>
      </c>
      <c r="H353" s="105" t="s">
        <v>118</v>
      </c>
      <c r="I353" s="109">
        <v>45621</v>
      </c>
      <c r="J353" s="105" t="str">
        <f t="shared" ca="1" si="15"/>
        <v>1 Tahun 10 Bulan 18 Hari</v>
      </c>
    </row>
    <row r="354" spans="1:10">
      <c r="A354" s="105">
        <f t="shared" si="14"/>
        <v>350</v>
      </c>
      <c r="B354" s="108" t="s">
        <v>1008</v>
      </c>
      <c r="C354" s="110">
        <v>242408</v>
      </c>
      <c r="D354" s="108" t="s">
        <v>5</v>
      </c>
      <c r="E354" s="108" t="s">
        <v>95</v>
      </c>
      <c r="F354" s="108" t="s">
        <v>1084</v>
      </c>
      <c r="G354" s="108" t="s">
        <v>1083</v>
      </c>
      <c r="H354" s="105" t="s">
        <v>118</v>
      </c>
      <c r="I354" s="109">
        <v>45621</v>
      </c>
      <c r="J354" s="105" t="str">
        <f t="shared" ca="1" si="15"/>
        <v>1 Tahun 10 Bulan 18 Hari</v>
      </c>
    </row>
    <row r="355" spans="1:10">
      <c r="A355" s="105">
        <f t="shared" si="14"/>
        <v>351</v>
      </c>
      <c r="B355" s="108" t="s">
        <v>537</v>
      </c>
      <c r="C355" s="110">
        <v>242409</v>
      </c>
      <c r="D355" s="108" t="s">
        <v>5</v>
      </c>
      <c r="E355" s="108" t="s">
        <v>95</v>
      </c>
      <c r="F355" s="108" t="s">
        <v>1084</v>
      </c>
      <c r="G355" s="108" t="s">
        <v>1085</v>
      </c>
      <c r="H355" s="105" t="s">
        <v>118</v>
      </c>
      <c r="I355" s="109">
        <v>45986</v>
      </c>
      <c r="J355" s="105" t="str">
        <f t="shared" ca="1" si="15"/>
        <v>0 Tahun 10 Bulan 18 Hari</v>
      </c>
    </row>
    <row r="356" spans="1:10">
      <c r="A356" s="105">
        <f t="shared" si="14"/>
        <v>352</v>
      </c>
      <c r="B356" s="108" t="s">
        <v>538</v>
      </c>
      <c r="C356" s="110">
        <v>242410</v>
      </c>
      <c r="D356" s="108" t="s">
        <v>5</v>
      </c>
      <c r="E356" s="108" t="s">
        <v>95</v>
      </c>
      <c r="F356" s="108" t="s">
        <v>1084</v>
      </c>
      <c r="G356" s="108" t="s">
        <v>1083</v>
      </c>
      <c r="H356" s="105" t="s">
        <v>118</v>
      </c>
      <c r="I356" s="109">
        <v>45621</v>
      </c>
      <c r="J356" s="105" t="str">
        <f t="shared" ca="1" si="15"/>
        <v>1 Tahun 10 Bulan 18 Hari</v>
      </c>
    </row>
    <row r="357" spans="1:10">
      <c r="A357" s="105">
        <f t="shared" si="14"/>
        <v>353</v>
      </c>
      <c r="B357" s="108" t="s">
        <v>539</v>
      </c>
      <c r="C357" s="110">
        <v>242411</v>
      </c>
      <c r="D357" s="108" t="s">
        <v>5</v>
      </c>
      <c r="E357" s="108" t="s">
        <v>95</v>
      </c>
      <c r="F357" s="108" t="s">
        <v>1084</v>
      </c>
      <c r="G357" s="108" t="s">
        <v>1083</v>
      </c>
      <c r="H357" s="105" t="s">
        <v>118</v>
      </c>
      <c r="I357" s="109">
        <v>45621</v>
      </c>
      <c r="J357" s="105" t="str">
        <f t="shared" ca="1" si="15"/>
        <v>1 Tahun 10 Bulan 18 Hari</v>
      </c>
    </row>
    <row r="358" spans="1:10">
      <c r="A358" s="105">
        <f t="shared" si="14"/>
        <v>354</v>
      </c>
      <c r="B358" s="108" t="s">
        <v>540</v>
      </c>
      <c r="C358" s="110">
        <v>242412</v>
      </c>
      <c r="D358" s="108" t="s">
        <v>5</v>
      </c>
      <c r="E358" s="108" t="s">
        <v>95</v>
      </c>
      <c r="F358" s="108" t="s">
        <v>1084</v>
      </c>
      <c r="G358" s="108" t="s">
        <v>1085</v>
      </c>
      <c r="H358" s="105" t="s">
        <v>118</v>
      </c>
      <c r="I358" s="109">
        <v>45852</v>
      </c>
      <c r="J358" s="105" t="str">
        <f t="shared" ca="1" si="15"/>
        <v>1 Tahun 2 Bulan 29 Hari</v>
      </c>
    </row>
    <row r="359" spans="1:10">
      <c r="A359" s="105">
        <f t="shared" si="14"/>
        <v>355</v>
      </c>
      <c r="B359" s="108" t="s">
        <v>541</v>
      </c>
      <c r="C359" s="110">
        <v>242413</v>
      </c>
      <c r="D359" s="108" t="s">
        <v>5</v>
      </c>
      <c r="E359" s="108" t="s">
        <v>95</v>
      </c>
      <c r="F359" s="108" t="s">
        <v>1084</v>
      </c>
      <c r="G359" s="108" t="s">
        <v>1083</v>
      </c>
      <c r="H359" s="105" t="s">
        <v>118</v>
      </c>
      <c r="I359" s="109">
        <v>45621</v>
      </c>
      <c r="J359" s="105" t="str">
        <f t="shared" ca="1" si="15"/>
        <v>1 Tahun 10 Bulan 18 Hari</v>
      </c>
    </row>
    <row r="360" spans="1:10">
      <c r="A360" s="105">
        <f t="shared" si="14"/>
        <v>356</v>
      </c>
      <c r="B360" s="108" t="s">
        <v>1141</v>
      </c>
      <c r="C360" s="110">
        <v>242417</v>
      </c>
      <c r="D360" s="108" t="s">
        <v>5</v>
      </c>
      <c r="E360" s="108" t="s">
        <v>95</v>
      </c>
      <c r="F360" s="108" t="s">
        <v>1084</v>
      </c>
      <c r="G360" s="108" t="s">
        <v>1083</v>
      </c>
      <c r="H360" s="105" t="s">
        <v>118</v>
      </c>
      <c r="I360" s="109">
        <v>45621</v>
      </c>
      <c r="J360" s="105" t="str">
        <f t="shared" ca="1" si="15"/>
        <v>1 Tahun 10 Bulan 18 Hari</v>
      </c>
    </row>
    <row r="361" spans="1:10">
      <c r="A361" s="105">
        <f t="shared" si="14"/>
        <v>357</v>
      </c>
      <c r="B361" s="108" t="s">
        <v>543</v>
      </c>
      <c r="C361" s="110">
        <v>250755</v>
      </c>
      <c r="D361" s="108" t="s">
        <v>5</v>
      </c>
      <c r="E361" s="108" t="s">
        <v>95</v>
      </c>
      <c r="F361" s="108" t="s">
        <v>1084</v>
      </c>
      <c r="G361" s="108" t="s">
        <v>1085</v>
      </c>
      <c r="H361" s="105" t="s">
        <v>118</v>
      </c>
      <c r="I361" s="109">
        <v>45756</v>
      </c>
      <c r="J361" s="105" t="str">
        <f t="shared" ca="1" si="15"/>
        <v>1 Tahun 6 Bulan 4 Hari</v>
      </c>
    </row>
    <row r="362" spans="1:10">
      <c r="A362" s="105">
        <f t="shared" si="14"/>
        <v>358</v>
      </c>
      <c r="B362" s="108" t="s">
        <v>422</v>
      </c>
      <c r="C362" s="115">
        <v>83075887</v>
      </c>
      <c r="D362" s="108" t="s">
        <v>5</v>
      </c>
      <c r="E362" s="108" t="s">
        <v>95</v>
      </c>
      <c r="F362" s="108" t="s">
        <v>1084</v>
      </c>
      <c r="G362" s="108" t="s">
        <v>1083</v>
      </c>
      <c r="H362" s="105" t="s">
        <v>118</v>
      </c>
      <c r="I362" s="109">
        <v>39444</v>
      </c>
      <c r="J362" s="105" t="str">
        <f ca="1">IF(ISNUMBER(I362),DATEDIF(I362,TODAY(),"Y")&amp;" Tahun "&amp;DATEDIF(I362,TODAY(),"YM")&amp;" Bulan "&amp;DATEDIF(I362,TODAY(),"MD")&amp;" Hari","")</f>
        <v>18 Tahun 9 Bulan 15 Hari</v>
      </c>
    </row>
    <row r="363" spans="1:10">
      <c r="A363" s="105">
        <f t="shared" si="14"/>
        <v>359</v>
      </c>
      <c r="B363" s="108" t="s">
        <v>803</v>
      </c>
      <c r="C363" s="110">
        <v>241562</v>
      </c>
      <c r="D363" s="108" t="s">
        <v>5</v>
      </c>
      <c r="E363" s="108" t="s">
        <v>95</v>
      </c>
      <c r="F363" s="108" t="s">
        <v>1084</v>
      </c>
      <c r="G363" s="108" t="s">
        <v>1083</v>
      </c>
      <c r="H363" s="105" t="s">
        <v>118</v>
      </c>
      <c r="I363" s="109">
        <v>45534</v>
      </c>
      <c r="J363" s="105" t="str">
        <f ca="1">IF(ISNUMBER(I363),DATEDIF(I363,TODAY(),"Y")&amp;" Tahun "&amp;DATEDIF(I363,TODAY(),"YM")&amp;" Bulan "&amp;DATEDIF(I363,TODAY(),"MD")&amp;" Hari","")</f>
        <v>2 Tahun 1 Bulan 13 Hari</v>
      </c>
    </row>
    <row r="364" spans="1:10" s="137" customFormat="1">
      <c r="A364" s="105">
        <f t="shared" si="14"/>
        <v>360</v>
      </c>
      <c r="B364" s="132" t="s">
        <v>544</v>
      </c>
      <c r="C364" s="141">
        <v>83123708</v>
      </c>
      <c r="D364" s="132" t="s">
        <v>6</v>
      </c>
      <c r="E364" s="132" t="s">
        <v>50</v>
      </c>
      <c r="F364" s="132" t="s">
        <v>1082</v>
      </c>
      <c r="G364" s="132" t="s">
        <v>1083</v>
      </c>
      <c r="H364" s="129" t="s">
        <v>112</v>
      </c>
      <c r="I364" s="139">
        <v>41172</v>
      </c>
      <c r="J364" s="129" t="str">
        <f t="shared" ca="1" si="15"/>
        <v>14 Tahun 0 Bulan 23 Hari</v>
      </c>
    </row>
    <row r="365" spans="1:10">
      <c r="A365" s="105">
        <f t="shared" si="14"/>
        <v>361</v>
      </c>
      <c r="B365" s="108" t="s">
        <v>546</v>
      </c>
      <c r="C365" s="110">
        <v>83123707</v>
      </c>
      <c r="D365" s="108" t="s">
        <v>6</v>
      </c>
      <c r="E365" s="108" t="s">
        <v>84</v>
      </c>
      <c r="F365" s="108" t="s">
        <v>1082</v>
      </c>
      <c r="G365" s="108" t="s">
        <v>1083</v>
      </c>
      <c r="H365" s="105" t="s">
        <v>112</v>
      </c>
      <c r="I365" s="109">
        <v>41183</v>
      </c>
      <c r="J365" s="105" t="str">
        <f t="shared" ca="1" si="15"/>
        <v>14 Tahun 0 Bulan 12 Hari</v>
      </c>
    </row>
    <row r="366" spans="1:10">
      <c r="A366" s="105">
        <f t="shared" si="14"/>
        <v>362</v>
      </c>
      <c r="B366" s="108" t="s">
        <v>547</v>
      </c>
      <c r="C366" s="110">
        <v>145074</v>
      </c>
      <c r="D366" s="108" t="s">
        <v>6</v>
      </c>
      <c r="E366" s="108" t="s">
        <v>84</v>
      </c>
      <c r="F366" s="108" t="s">
        <v>1082</v>
      </c>
      <c r="G366" s="108" t="s">
        <v>1083</v>
      </c>
      <c r="H366" s="105" t="s">
        <v>112</v>
      </c>
      <c r="I366" s="109">
        <v>41913</v>
      </c>
      <c r="J366" s="105" t="str">
        <f t="shared" ca="1" si="15"/>
        <v>12 Tahun 0 Bulan 12 Hari</v>
      </c>
    </row>
    <row r="367" spans="1:10">
      <c r="A367" s="105">
        <f t="shared" si="14"/>
        <v>363</v>
      </c>
      <c r="B367" s="108" t="s">
        <v>1142</v>
      </c>
      <c r="C367" s="110">
        <v>83085782</v>
      </c>
      <c r="D367" s="108" t="s">
        <v>6</v>
      </c>
      <c r="E367" s="108" t="s">
        <v>84</v>
      </c>
      <c r="F367" s="108" t="s">
        <v>1082</v>
      </c>
      <c r="G367" s="108" t="s">
        <v>1083</v>
      </c>
      <c r="H367" s="105" t="s">
        <v>112</v>
      </c>
      <c r="I367" s="126">
        <v>39577</v>
      </c>
      <c r="J367" s="105" t="str">
        <f t="shared" ca="1" si="15"/>
        <v>18 Tahun 5 Bulan 4 Hari</v>
      </c>
    </row>
    <row r="368" spans="1:10" s="137" customFormat="1">
      <c r="A368" s="105">
        <f t="shared" si="14"/>
        <v>364</v>
      </c>
      <c r="B368" s="132" t="s">
        <v>554</v>
      </c>
      <c r="C368" s="141">
        <v>83124750</v>
      </c>
      <c r="D368" s="132" t="s">
        <v>7</v>
      </c>
      <c r="E368" s="132" t="s">
        <v>51</v>
      </c>
      <c r="F368" s="132" t="s">
        <v>1082</v>
      </c>
      <c r="G368" s="132" t="s">
        <v>1083</v>
      </c>
      <c r="H368" s="129" t="s">
        <v>111</v>
      </c>
      <c r="I368" s="139">
        <v>41255</v>
      </c>
      <c r="J368" s="129" t="str">
        <f ca="1">IF(ISNUMBER(I368),DATEDIF(I368,TODAY(),"Y")&amp;" Tahun "&amp;DATEDIF(I368,TODAY(),"YM")&amp;" Bulan "&amp;DATEDIF(I368,TODAY(),"MD")&amp;" Hari","")</f>
        <v>13 Tahun 10 Bulan 1 Hari</v>
      </c>
    </row>
    <row r="369" spans="1:10">
      <c r="A369" s="105">
        <f t="shared" si="14"/>
        <v>365</v>
      </c>
      <c r="B369" s="108" t="s">
        <v>556</v>
      </c>
      <c r="C369" s="110">
        <v>135037</v>
      </c>
      <c r="D369" s="108" t="s">
        <v>7</v>
      </c>
      <c r="E369" s="108" t="s">
        <v>84</v>
      </c>
      <c r="F369" s="108" t="s">
        <v>1082</v>
      </c>
      <c r="G369" s="108" t="s">
        <v>1083</v>
      </c>
      <c r="H369" s="105" t="s">
        <v>111</v>
      </c>
      <c r="I369" s="109">
        <v>41557</v>
      </c>
      <c r="J369" s="105" t="str">
        <f ca="1">IF(ISNUMBER(I369),DATEDIF(I369,TODAY(),"Y")&amp;" Tahun "&amp;DATEDIF(I369,TODAY(),"YM")&amp;" Bulan "&amp;DATEDIF(I369,TODAY(),"MD")&amp;" Hari","")</f>
        <v>13 Tahun 0 Bulan 3 Hari</v>
      </c>
    </row>
    <row r="370" spans="1:10">
      <c r="A370" s="105">
        <f t="shared" si="14"/>
        <v>366</v>
      </c>
      <c r="B370" s="108" t="s">
        <v>557</v>
      </c>
      <c r="C370" s="110">
        <v>83086689</v>
      </c>
      <c r="D370" s="108" t="s">
        <v>7</v>
      </c>
      <c r="E370" s="108" t="s">
        <v>84</v>
      </c>
      <c r="F370" s="108" t="s">
        <v>1082</v>
      </c>
      <c r="G370" s="108" t="s">
        <v>1083</v>
      </c>
      <c r="H370" s="105" t="s">
        <v>111</v>
      </c>
      <c r="I370" s="109">
        <v>39566</v>
      </c>
      <c r="J370" s="105" t="str">
        <f ca="1">IF(ISNUMBER(I370),DATEDIF(I370,TODAY(),"Y")&amp;" Tahun "&amp;DATEDIF(I370,TODAY(),"YM")&amp;" Bulan "&amp;DATEDIF(I370,TODAY(),"MD")&amp;" Hari","")</f>
        <v>18 Tahun 5 Bulan 15 Hari</v>
      </c>
    </row>
    <row r="371" spans="1:10" s="137" customFormat="1">
      <c r="A371" s="105">
        <f t="shared" si="14"/>
        <v>367</v>
      </c>
      <c r="B371" s="132" t="s">
        <v>558</v>
      </c>
      <c r="C371" s="141">
        <v>83124751</v>
      </c>
      <c r="D371" s="132" t="s">
        <v>7</v>
      </c>
      <c r="E371" s="132" t="s">
        <v>52</v>
      </c>
      <c r="F371" s="132" t="s">
        <v>1082</v>
      </c>
      <c r="G371" s="132" t="s">
        <v>1083</v>
      </c>
      <c r="H371" s="129" t="s">
        <v>111</v>
      </c>
      <c r="I371" s="139">
        <v>41255</v>
      </c>
      <c r="J371" s="129" t="str">
        <f ca="1">IF(ISNUMBER(I371),DATEDIF(I371,TODAY(),"Y")&amp;" Tahun "&amp;DATEDIF(I371,TODAY(),"YM")&amp;" Bulan "&amp;DATEDIF(I371,TODAY(),"MD")&amp;" Hari","")</f>
        <v>13 Tahun 10 Bulan 1 Hari</v>
      </c>
    </row>
    <row r="372" spans="1:10">
      <c r="A372" s="105">
        <f t="shared" si="14"/>
        <v>368</v>
      </c>
      <c r="B372" s="108" t="s">
        <v>1143</v>
      </c>
      <c r="C372" s="110">
        <v>145329</v>
      </c>
      <c r="D372" s="108" t="s">
        <v>7</v>
      </c>
      <c r="E372" s="108" t="s">
        <v>84</v>
      </c>
      <c r="F372" s="108" t="s">
        <v>1082</v>
      </c>
      <c r="G372" s="108" t="s">
        <v>1083</v>
      </c>
      <c r="H372" s="105" t="s">
        <v>111</v>
      </c>
      <c r="I372" s="109">
        <v>41925</v>
      </c>
      <c r="J372" s="105" t="str">
        <f t="shared" ref="J372" ca="1" si="16">IF(ISNUMBER(I372),DATEDIF(I372,TODAY(),"Y")&amp;" Tahun "&amp;DATEDIF(I372,TODAY(),"YM")&amp;" Bulan "&amp;DATEDIF(I372,TODAY(),"MD")&amp;" Hari","")</f>
        <v>12 Tahun 0 Bulan 0 Hari</v>
      </c>
    </row>
    <row r="373" spans="1:10">
      <c r="A373" s="105">
        <f t="shared" si="14"/>
        <v>369</v>
      </c>
      <c r="B373" s="108" t="s">
        <v>560</v>
      </c>
      <c r="C373" s="110">
        <v>83086304</v>
      </c>
      <c r="D373" s="108" t="s">
        <v>7</v>
      </c>
      <c r="E373" s="108" t="s">
        <v>84</v>
      </c>
      <c r="F373" s="108" t="s">
        <v>1082</v>
      </c>
      <c r="G373" s="108" t="s">
        <v>1083</v>
      </c>
      <c r="H373" s="105" t="s">
        <v>111</v>
      </c>
      <c r="I373" s="109">
        <v>39498</v>
      </c>
      <c r="J373" s="105" t="str">
        <f ca="1">IF(ISNUMBER(I373),DATEDIF(I373,TODAY(),"Y")&amp;" Tahun "&amp;DATEDIF(I373,TODAY(),"YM")&amp;" Bulan "&amp;DATEDIF(I373,TODAY(),"MD")&amp;" Hari","")</f>
        <v>18 Tahun 7 Bulan 23 Hari</v>
      </c>
    </row>
    <row r="374" spans="1:10" s="137" customFormat="1">
      <c r="A374" s="105">
        <f t="shared" si="14"/>
        <v>370</v>
      </c>
      <c r="B374" s="132" t="s">
        <v>549</v>
      </c>
      <c r="C374" s="141">
        <v>83102211</v>
      </c>
      <c r="D374" s="132" t="s">
        <v>7</v>
      </c>
      <c r="E374" s="132" t="s">
        <v>53</v>
      </c>
      <c r="F374" s="132" t="s">
        <v>1082</v>
      </c>
      <c r="G374" s="132" t="s">
        <v>1083</v>
      </c>
      <c r="H374" s="129" t="s">
        <v>111</v>
      </c>
      <c r="I374" s="139">
        <v>34853</v>
      </c>
      <c r="J374" s="129" t="str">
        <f t="shared" ca="1" si="15"/>
        <v>31 Tahun 4 Bulan 10 Hari</v>
      </c>
    </row>
    <row r="375" spans="1:10">
      <c r="A375" s="105">
        <f t="shared" si="14"/>
        <v>371</v>
      </c>
      <c r="B375" s="108" t="s">
        <v>551</v>
      </c>
      <c r="C375" s="110">
        <v>142244</v>
      </c>
      <c r="D375" s="108" t="s">
        <v>7</v>
      </c>
      <c r="E375" s="108" t="s">
        <v>84</v>
      </c>
      <c r="F375" s="108" t="s">
        <v>1082</v>
      </c>
      <c r="G375" s="108" t="s">
        <v>1083</v>
      </c>
      <c r="H375" s="105" t="s">
        <v>111</v>
      </c>
      <c r="I375" s="109">
        <v>41757</v>
      </c>
      <c r="J375" s="105" t="str">
        <f t="shared" ca="1" si="15"/>
        <v>12 Tahun 5 Bulan 15 Hari</v>
      </c>
    </row>
    <row r="376" spans="1:10">
      <c r="A376" s="105">
        <f t="shared" si="14"/>
        <v>372</v>
      </c>
      <c r="B376" s="108" t="s">
        <v>552</v>
      </c>
      <c r="C376" s="110">
        <v>145315</v>
      </c>
      <c r="D376" s="108" t="s">
        <v>7</v>
      </c>
      <c r="E376" s="108" t="s">
        <v>84</v>
      </c>
      <c r="F376" s="108" t="s">
        <v>1082</v>
      </c>
      <c r="G376" s="108" t="s">
        <v>1083</v>
      </c>
      <c r="H376" s="105" t="s">
        <v>111</v>
      </c>
      <c r="I376" s="109">
        <v>41925</v>
      </c>
      <c r="J376" s="105" t="str">
        <f t="shared" ca="1" si="15"/>
        <v>12 Tahun 0 Bulan 0 Hari</v>
      </c>
    </row>
    <row r="377" spans="1:10" s="137" customFormat="1">
      <c r="A377" s="105">
        <f t="shared" si="14"/>
        <v>373</v>
      </c>
      <c r="B377" s="132" t="s">
        <v>1144</v>
      </c>
      <c r="C377" s="141">
        <v>145347</v>
      </c>
      <c r="D377" s="132" t="s">
        <v>7</v>
      </c>
      <c r="E377" s="132" t="s">
        <v>54</v>
      </c>
      <c r="F377" s="132" t="s">
        <v>1082</v>
      </c>
      <c r="G377" s="132" t="s">
        <v>1083</v>
      </c>
      <c r="H377" s="129" t="s">
        <v>111</v>
      </c>
      <c r="I377" s="139">
        <v>41956</v>
      </c>
      <c r="J377" s="129" t="str">
        <f t="shared" ca="1" si="15"/>
        <v>11 Tahun 11 Bulan 0 Hari</v>
      </c>
    </row>
    <row r="378" spans="1:10">
      <c r="A378" s="105">
        <f t="shared" si="14"/>
        <v>374</v>
      </c>
      <c r="B378" s="108" t="s">
        <v>1145</v>
      </c>
      <c r="C378" s="110">
        <v>151728</v>
      </c>
      <c r="D378" s="108" t="s">
        <v>7</v>
      </c>
      <c r="E378" s="108" t="s">
        <v>84</v>
      </c>
      <c r="F378" s="108" t="s">
        <v>1082</v>
      </c>
      <c r="G378" s="108" t="s">
        <v>1083</v>
      </c>
      <c r="H378" s="105" t="s">
        <v>111</v>
      </c>
      <c r="I378" s="109">
        <v>42166</v>
      </c>
      <c r="J378" s="105" t="str">
        <f t="shared" ca="1" si="15"/>
        <v>11 Tahun 4 Bulan 2 Hari</v>
      </c>
    </row>
    <row r="379" spans="1:10">
      <c r="A379" s="105">
        <f t="shared" si="14"/>
        <v>375</v>
      </c>
      <c r="B379" s="108" t="s">
        <v>548</v>
      </c>
      <c r="C379" s="110">
        <v>145341</v>
      </c>
      <c r="D379" s="108" t="s">
        <v>7</v>
      </c>
      <c r="E379" s="108" t="s">
        <v>84</v>
      </c>
      <c r="F379" s="108" t="s">
        <v>1082</v>
      </c>
      <c r="G379" s="108" t="s">
        <v>1083</v>
      </c>
      <c r="H379" s="105" t="s">
        <v>111</v>
      </c>
      <c r="I379" s="109">
        <v>41925</v>
      </c>
      <c r="J379" s="105" t="str">
        <f ca="1">IF(ISNUMBER(I379),DATEDIF(I379,TODAY(),"Y")&amp;" Tahun "&amp;DATEDIF(I379,TODAY(),"YM")&amp;" Bulan "&amp;DATEDIF(I379,TODAY(),"MD")&amp;" Hari","")</f>
        <v>12 Tahun 0 Bulan 0 Hari</v>
      </c>
    </row>
    <row r="380" spans="1:10" s="137" customFormat="1">
      <c r="A380" s="105">
        <f t="shared" si="14"/>
        <v>376</v>
      </c>
      <c r="B380" s="130" t="s">
        <v>1146</v>
      </c>
      <c r="C380" s="142">
        <v>154599</v>
      </c>
      <c r="D380" s="132" t="s">
        <v>7</v>
      </c>
      <c r="E380" s="132" t="s">
        <v>35</v>
      </c>
      <c r="F380" s="132" t="s">
        <v>1084</v>
      </c>
      <c r="G380" s="132" t="s">
        <v>1083</v>
      </c>
      <c r="H380" s="129" t="s">
        <v>118</v>
      </c>
      <c r="I380" s="139">
        <v>42328</v>
      </c>
      <c r="J380" s="129" t="str">
        <f t="shared" ca="1" si="15"/>
        <v>10 Tahun 10 Bulan 23 Hari</v>
      </c>
    </row>
    <row r="381" spans="1:10">
      <c r="A381" s="105">
        <f t="shared" si="14"/>
        <v>377</v>
      </c>
      <c r="B381" s="106" t="s">
        <v>1147</v>
      </c>
      <c r="C381" s="284">
        <v>150928</v>
      </c>
      <c r="D381" s="108" t="s">
        <v>7</v>
      </c>
      <c r="E381" s="108" t="s">
        <v>95</v>
      </c>
      <c r="F381" s="108" t="s">
        <v>1082</v>
      </c>
      <c r="G381" s="108" t="s">
        <v>1083</v>
      </c>
      <c r="H381" s="105" t="s">
        <v>118</v>
      </c>
      <c r="I381" s="109">
        <v>42072</v>
      </c>
      <c r="J381" s="105" t="str">
        <f t="shared" ca="1" si="15"/>
        <v>11 Tahun 7 Bulan 4 Hari</v>
      </c>
    </row>
    <row r="382" spans="1:10">
      <c r="A382" s="105">
        <f t="shared" si="14"/>
        <v>378</v>
      </c>
      <c r="B382" s="106" t="s">
        <v>563</v>
      </c>
      <c r="C382" s="284">
        <v>147326</v>
      </c>
      <c r="D382" s="108" t="s">
        <v>7</v>
      </c>
      <c r="E382" s="108" t="s">
        <v>95</v>
      </c>
      <c r="F382" s="108" t="s">
        <v>1084</v>
      </c>
      <c r="G382" s="108" t="s">
        <v>1083</v>
      </c>
      <c r="H382" s="105" t="s">
        <v>118</v>
      </c>
      <c r="I382" s="109">
        <v>41975</v>
      </c>
      <c r="J382" s="105" t="str">
        <f t="shared" ca="1" si="15"/>
        <v>11 Tahun 10 Bulan 11 Hari</v>
      </c>
    </row>
    <row r="383" spans="1:10">
      <c r="A383" s="105">
        <f t="shared" si="14"/>
        <v>379</v>
      </c>
      <c r="B383" s="106" t="s">
        <v>180</v>
      </c>
      <c r="C383" s="284">
        <v>134571</v>
      </c>
      <c r="D383" s="108" t="s">
        <v>7</v>
      </c>
      <c r="E383" s="108" t="s">
        <v>95</v>
      </c>
      <c r="F383" s="108" t="s">
        <v>1084</v>
      </c>
      <c r="G383" s="108" t="s">
        <v>1083</v>
      </c>
      <c r="H383" s="105" t="s">
        <v>118</v>
      </c>
      <c r="I383" s="109">
        <v>41544</v>
      </c>
      <c r="J383" s="105" t="str">
        <f ca="1">IF(ISNUMBER(I383),DATEDIF(I383,TODAY(),"Y")&amp;" Tahun "&amp;DATEDIF(I383,TODAY(),"YM")&amp;" Bulan "&amp;DATEDIF(I383,TODAY(),"MD")&amp;" Hari","")</f>
        <v>13 Tahun 0 Bulan 16 Hari</v>
      </c>
    </row>
    <row r="384" spans="1:10">
      <c r="A384" s="105">
        <f t="shared" si="14"/>
        <v>380</v>
      </c>
      <c r="B384" s="106" t="s">
        <v>1148</v>
      </c>
      <c r="C384" s="284">
        <v>251126</v>
      </c>
      <c r="D384" s="108" t="s">
        <v>7</v>
      </c>
      <c r="E384" s="108" t="s">
        <v>95</v>
      </c>
      <c r="F384" s="108" t="s">
        <v>1084</v>
      </c>
      <c r="G384" s="108" t="s">
        <v>1083</v>
      </c>
      <c r="H384" s="105" t="s">
        <v>118</v>
      </c>
      <c r="I384" s="109">
        <v>45799</v>
      </c>
      <c r="J384" s="105" t="str">
        <f ca="1">IF(ISNUMBER(I384),DATEDIF(I384,TODAY(),"Y")&amp;" Tahun "&amp;DATEDIF(I384,TODAY(),"YM")&amp;" Bulan "&amp;DATEDIF(I384,TODAY(),"MD")&amp;" Hari","")</f>
        <v>1 Tahun 4 Bulan 21 Hari</v>
      </c>
    </row>
    <row r="385" spans="1:10" s="137" customFormat="1">
      <c r="A385" s="105">
        <f t="shared" si="14"/>
        <v>381</v>
      </c>
      <c r="B385" s="130" t="s">
        <v>564</v>
      </c>
      <c r="C385" s="142">
        <v>83040081</v>
      </c>
      <c r="D385" s="132" t="s">
        <v>7</v>
      </c>
      <c r="E385" s="132" t="s">
        <v>35</v>
      </c>
      <c r="F385" s="132" t="s">
        <v>1084</v>
      </c>
      <c r="G385" s="132" t="s">
        <v>1083</v>
      </c>
      <c r="H385" s="129" t="s">
        <v>118</v>
      </c>
      <c r="I385" s="139">
        <v>37895</v>
      </c>
      <c r="J385" s="129" t="str">
        <f t="shared" ca="1" si="15"/>
        <v>23 Tahun 0 Bulan 12 Hari</v>
      </c>
    </row>
    <row r="386" spans="1:10">
      <c r="A386" s="105">
        <f t="shared" si="14"/>
        <v>382</v>
      </c>
      <c r="B386" s="106" t="s">
        <v>178</v>
      </c>
      <c r="C386" s="284">
        <v>152573</v>
      </c>
      <c r="D386" s="108" t="s">
        <v>7</v>
      </c>
      <c r="E386" s="108" t="s">
        <v>95</v>
      </c>
      <c r="F386" s="108" t="s">
        <v>1084</v>
      </c>
      <c r="G386" s="108" t="s">
        <v>1083</v>
      </c>
      <c r="H386" s="105" t="s">
        <v>118</v>
      </c>
      <c r="I386" s="109">
        <v>42219</v>
      </c>
      <c r="J386" s="105" t="str">
        <f t="shared" ca="1" si="15"/>
        <v>11 Tahun 2 Bulan 10 Hari</v>
      </c>
    </row>
    <row r="387" spans="1:10">
      <c r="A387" s="105">
        <f t="shared" si="14"/>
        <v>383</v>
      </c>
      <c r="B387" s="106" t="s">
        <v>565</v>
      </c>
      <c r="C387" s="284">
        <v>162697</v>
      </c>
      <c r="D387" s="108" t="s">
        <v>7</v>
      </c>
      <c r="E387" s="108" t="s">
        <v>95</v>
      </c>
      <c r="F387" s="108" t="s">
        <v>1084</v>
      </c>
      <c r="G387" s="108" t="s">
        <v>1083</v>
      </c>
      <c r="H387" s="105" t="s">
        <v>118</v>
      </c>
      <c r="I387" s="109">
        <v>42675</v>
      </c>
      <c r="J387" s="105" t="str">
        <f t="shared" ca="1" si="15"/>
        <v>9 Tahun 11 Bulan 12 Hari</v>
      </c>
    </row>
    <row r="388" spans="1:10">
      <c r="A388" s="105">
        <f t="shared" si="14"/>
        <v>384</v>
      </c>
      <c r="B388" s="106" t="s">
        <v>566</v>
      </c>
      <c r="C388" s="284">
        <v>162705</v>
      </c>
      <c r="D388" s="108" t="s">
        <v>7</v>
      </c>
      <c r="E388" s="108" t="s">
        <v>95</v>
      </c>
      <c r="F388" s="108" t="s">
        <v>1084</v>
      </c>
      <c r="G388" s="108" t="s">
        <v>1083</v>
      </c>
      <c r="H388" s="105" t="s">
        <v>118</v>
      </c>
      <c r="I388" s="109">
        <v>42676</v>
      </c>
      <c r="J388" s="105" t="str">
        <f t="shared" ca="1" si="15"/>
        <v>9 Tahun 11 Bulan 11 Hari</v>
      </c>
    </row>
    <row r="389" spans="1:10">
      <c r="A389" s="105">
        <f t="shared" ref="A389:A452" si="17">ROW(A385)</f>
        <v>385</v>
      </c>
      <c r="B389" s="106" t="s">
        <v>179</v>
      </c>
      <c r="C389" s="284">
        <v>154184</v>
      </c>
      <c r="D389" s="108" t="s">
        <v>7</v>
      </c>
      <c r="E389" s="108" t="s">
        <v>95</v>
      </c>
      <c r="F389" s="108" t="s">
        <v>1084</v>
      </c>
      <c r="G389" s="108" t="s">
        <v>1083</v>
      </c>
      <c r="H389" s="105" t="s">
        <v>118</v>
      </c>
      <c r="I389" s="109">
        <v>42318</v>
      </c>
      <c r="J389" s="105" t="str">
        <f t="shared" ca="1" si="15"/>
        <v>10 Tahun 11 Bulan 3 Hari</v>
      </c>
    </row>
    <row r="390" spans="1:10" s="137" customFormat="1">
      <c r="A390" s="105">
        <f t="shared" si="17"/>
        <v>386</v>
      </c>
      <c r="B390" s="106" t="s">
        <v>1149</v>
      </c>
      <c r="C390" s="284">
        <v>83102118</v>
      </c>
      <c r="D390" s="108" t="s">
        <v>7</v>
      </c>
      <c r="E390" s="106" t="s">
        <v>20</v>
      </c>
      <c r="F390" s="132" t="s">
        <v>1082</v>
      </c>
      <c r="G390" s="132" t="s">
        <v>1083</v>
      </c>
      <c r="H390" s="129" t="s">
        <v>113</v>
      </c>
      <c r="I390" s="139">
        <v>40282</v>
      </c>
      <c r="J390" s="129" t="str">
        <f t="shared" ca="1" si="15"/>
        <v>16 Tahun 5 Bulan 29 Hari</v>
      </c>
    </row>
    <row r="391" spans="1:10" s="137" customFormat="1">
      <c r="A391" s="105">
        <f t="shared" si="17"/>
        <v>387</v>
      </c>
      <c r="B391" s="106" t="s">
        <v>1150</v>
      </c>
      <c r="C391" s="284">
        <v>147843</v>
      </c>
      <c r="D391" s="108" t="s">
        <v>7</v>
      </c>
      <c r="E391" s="106" t="s">
        <v>20</v>
      </c>
      <c r="F391" s="132" t="s">
        <v>1082</v>
      </c>
      <c r="G391" s="132" t="s">
        <v>1083</v>
      </c>
      <c r="H391" s="129" t="s">
        <v>113</v>
      </c>
      <c r="I391" s="139">
        <v>41988</v>
      </c>
      <c r="J391" s="129" t="str">
        <f t="shared" ca="1" si="15"/>
        <v>11 Tahun 9 Bulan 28 Hari</v>
      </c>
    </row>
    <row r="392" spans="1:10" s="137" customFormat="1">
      <c r="A392" s="105">
        <f t="shared" si="17"/>
        <v>388</v>
      </c>
      <c r="B392" s="132" t="s">
        <v>112</v>
      </c>
      <c r="C392" s="147">
        <v>83102208</v>
      </c>
      <c r="D392" s="108" t="s">
        <v>8</v>
      </c>
      <c r="E392" s="132" t="s">
        <v>93</v>
      </c>
      <c r="F392" s="132" t="s">
        <v>1082</v>
      </c>
      <c r="G392" s="132" t="s">
        <v>1083</v>
      </c>
      <c r="H392" s="129" t="s">
        <v>114</v>
      </c>
      <c r="I392" s="139">
        <v>40283</v>
      </c>
      <c r="J392" s="129" t="str">
        <f t="shared" ca="1" si="15"/>
        <v>16 Tahun 5 Bulan 28 Hari</v>
      </c>
    </row>
    <row r="393" spans="1:10" s="137" customFormat="1">
      <c r="A393" s="105">
        <f t="shared" si="17"/>
        <v>389</v>
      </c>
      <c r="B393" s="132" t="s">
        <v>183</v>
      </c>
      <c r="C393" s="148">
        <v>83123675</v>
      </c>
      <c r="D393" s="108" t="s">
        <v>8</v>
      </c>
      <c r="E393" s="132" t="s">
        <v>58</v>
      </c>
      <c r="F393" s="132" t="s">
        <v>1082</v>
      </c>
      <c r="G393" s="132" t="s">
        <v>1083</v>
      </c>
      <c r="H393" s="129" t="s">
        <v>112</v>
      </c>
      <c r="I393" s="139">
        <v>41172</v>
      </c>
      <c r="J393" s="129" t="str">
        <f ca="1">IF(ISNUMBER(I393),DATEDIF(I393,TODAY(),"Y")&amp;" Tahun "&amp;DATEDIF(I393,TODAY(),"YM")&amp;" Bulan "&amp;DATEDIF(I393,TODAY(),"MD")&amp;" Hari","")</f>
        <v>14 Tahun 0 Bulan 23 Hari</v>
      </c>
    </row>
    <row r="394" spans="1:10">
      <c r="A394" s="105">
        <f t="shared" si="17"/>
        <v>390</v>
      </c>
      <c r="B394" s="108" t="s">
        <v>578</v>
      </c>
      <c r="C394" s="108">
        <v>183507</v>
      </c>
      <c r="D394" s="108" t="s">
        <v>8</v>
      </c>
      <c r="E394" s="108" t="s">
        <v>84</v>
      </c>
      <c r="F394" s="108" t="s">
        <v>1082</v>
      </c>
      <c r="G394" s="108" t="s">
        <v>1083</v>
      </c>
      <c r="H394" s="105" t="s">
        <v>112</v>
      </c>
      <c r="I394" s="109">
        <v>43389</v>
      </c>
      <c r="J394" s="105" t="str">
        <f ca="1">IF(ISNUMBER(I394),DATEDIF(I394,TODAY(),"Y")&amp;" Tahun "&amp;DATEDIF(I394,TODAY(),"YM")&amp;" Bulan "&amp;DATEDIF(I394,TODAY(),"MD")&amp;" Hari","")</f>
        <v>7 Tahun 11 Bulan 27 Hari</v>
      </c>
    </row>
    <row r="395" spans="1:10">
      <c r="A395" s="105">
        <f t="shared" si="17"/>
        <v>391</v>
      </c>
      <c r="B395" s="108" t="s">
        <v>1151</v>
      </c>
      <c r="C395" s="379">
        <v>150717</v>
      </c>
      <c r="D395" s="108" t="s">
        <v>8</v>
      </c>
      <c r="E395" s="108" t="s">
        <v>84</v>
      </c>
      <c r="F395" s="108" t="s">
        <v>1082</v>
      </c>
      <c r="G395" s="108" t="s">
        <v>1083</v>
      </c>
      <c r="H395" s="105" t="s">
        <v>112</v>
      </c>
      <c r="I395" s="109">
        <v>42036</v>
      </c>
      <c r="J395" s="105" t="str">
        <f t="shared" ref="J395:J396" ca="1" si="18">IF(ISNUMBER(I395),DATEDIF(I395,TODAY(),"Y")&amp;" Tahun "&amp;DATEDIF(I395,TODAY(),"YM")&amp;" Bulan "&amp;DATEDIF(I395,TODAY(),"MD")&amp;" Hari","")</f>
        <v>11 Tahun 8 Bulan 12 Hari</v>
      </c>
    </row>
    <row r="396" spans="1:10">
      <c r="A396" s="105">
        <f t="shared" si="17"/>
        <v>392</v>
      </c>
      <c r="B396" s="108" t="s">
        <v>1152</v>
      </c>
      <c r="C396" s="379">
        <v>83104214</v>
      </c>
      <c r="D396" s="108" t="s">
        <v>8</v>
      </c>
      <c r="E396" s="108" t="s">
        <v>84</v>
      </c>
      <c r="F396" s="108" t="s">
        <v>1082</v>
      </c>
      <c r="G396" s="108" t="s">
        <v>1083</v>
      </c>
      <c r="H396" s="105" t="s">
        <v>112</v>
      </c>
      <c r="I396" s="109">
        <v>40428</v>
      </c>
      <c r="J396" s="105" t="str">
        <f t="shared" ca="1" si="18"/>
        <v>16 Tahun 1 Bulan 6 Hari</v>
      </c>
    </row>
    <row r="397" spans="1:10">
      <c r="A397" s="105">
        <f t="shared" si="17"/>
        <v>393</v>
      </c>
      <c r="B397" s="108" t="s">
        <v>571</v>
      </c>
      <c r="C397" s="379">
        <v>83123690</v>
      </c>
      <c r="D397" s="108" t="s">
        <v>8</v>
      </c>
      <c r="E397" s="108" t="s">
        <v>84</v>
      </c>
      <c r="F397" s="108" t="s">
        <v>1082</v>
      </c>
      <c r="G397" s="108" t="s">
        <v>1083</v>
      </c>
      <c r="H397" s="105" t="s">
        <v>112</v>
      </c>
      <c r="I397" s="109">
        <v>41192</v>
      </c>
      <c r="J397" s="105" t="str">
        <f t="shared" ref="J397:J455" ca="1" si="19">IF(ISNUMBER(I397),DATEDIF(I397,TODAY(),"Y")&amp;" Tahun "&amp;DATEDIF(I397,TODAY(),"YM")&amp;" Bulan "&amp;DATEDIF(I397,TODAY(),"MD")&amp;" Hari","")</f>
        <v>14 Tahun 0 Bulan 3 Hari</v>
      </c>
    </row>
    <row r="398" spans="1:10" s="137" customFormat="1">
      <c r="A398" s="105">
        <f t="shared" si="17"/>
        <v>394</v>
      </c>
      <c r="B398" s="132" t="s">
        <v>575</v>
      </c>
      <c r="C398" s="148">
        <v>83123687</v>
      </c>
      <c r="D398" s="108" t="s">
        <v>8</v>
      </c>
      <c r="E398" s="132" t="s">
        <v>59</v>
      </c>
      <c r="F398" s="132" t="s">
        <v>1082</v>
      </c>
      <c r="G398" s="132" t="s">
        <v>1083</v>
      </c>
      <c r="H398" s="129" t="s">
        <v>112</v>
      </c>
      <c r="I398" s="139">
        <v>41183</v>
      </c>
      <c r="J398" s="129" t="str">
        <f t="shared" ca="1" si="19"/>
        <v>14 Tahun 0 Bulan 12 Hari</v>
      </c>
    </row>
    <row r="399" spans="1:10">
      <c r="A399" s="105">
        <f t="shared" si="17"/>
        <v>395</v>
      </c>
      <c r="B399" s="108" t="s">
        <v>573</v>
      </c>
      <c r="C399" s="379">
        <v>141439</v>
      </c>
      <c r="D399" s="108" t="s">
        <v>8</v>
      </c>
      <c r="E399" s="108" t="s">
        <v>84</v>
      </c>
      <c r="F399" s="108" t="s">
        <v>1082</v>
      </c>
      <c r="G399" s="108" t="s">
        <v>1083</v>
      </c>
      <c r="H399" s="105" t="s">
        <v>112</v>
      </c>
      <c r="I399" s="109">
        <v>41715</v>
      </c>
      <c r="J399" s="105" t="str">
        <f ca="1">IF(ISNUMBER(I399),DATEDIF(I399,TODAY(),"Y")&amp;" Tahun "&amp;DATEDIF(I399,TODAY(),"YM")&amp;" Bulan "&amp;DATEDIF(I399,TODAY(),"MD")&amp;" Hari","")</f>
        <v>12 Tahun 6 Bulan 26 Hari</v>
      </c>
    </row>
    <row r="400" spans="1:10">
      <c r="A400" s="105">
        <f t="shared" si="17"/>
        <v>396</v>
      </c>
      <c r="B400" s="108" t="s">
        <v>574</v>
      </c>
      <c r="C400" s="379">
        <v>141440</v>
      </c>
      <c r="D400" s="108" t="s">
        <v>8</v>
      </c>
      <c r="E400" s="108" t="s">
        <v>84</v>
      </c>
      <c r="F400" s="108" t="s">
        <v>1082</v>
      </c>
      <c r="G400" s="108" t="s">
        <v>1083</v>
      </c>
      <c r="H400" s="105" t="s">
        <v>112</v>
      </c>
      <c r="I400" s="109">
        <v>41715</v>
      </c>
      <c r="J400" s="105" t="str">
        <f ca="1">IF(ISNUMBER(I400),DATEDIF(I400,TODAY(),"Y")&amp;" Tahun "&amp;DATEDIF(I400,TODAY(),"YM")&amp;" Bulan "&amp;DATEDIF(I400,TODAY(),"MD")&amp;" Hari","")</f>
        <v>12 Tahun 6 Bulan 26 Hari</v>
      </c>
    </row>
    <row r="401" spans="1:10">
      <c r="A401" s="105">
        <f t="shared" si="17"/>
        <v>397</v>
      </c>
      <c r="B401" s="108" t="s">
        <v>181</v>
      </c>
      <c r="C401" s="379">
        <v>83123683</v>
      </c>
      <c r="D401" s="108" t="s">
        <v>8</v>
      </c>
      <c r="E401" s="108" t="s">
        <v>84</v>
      </c>
      <c r="F401" s="108" t="s">
        <v>1082</v>
      </c>
      <c r="G401" s="108" t="s">
        <v>1083</v>
      </c>
      <c r="H401" s="105" t="s">
        <v>112</v>
      </c>
      <c r="I401" s="109">
        <v>41183</v>
      </c>
      <c r="J401" s="105" t="str">
        <f ca="1">IF(ISNUMBER(I401),DATEDIF(I401,TODAY(),"Y")&amp;" Tahun "&amp;DATEDIF(I401,TODAY(),"YM")&amp;" Bulan "&amp;DATEDIF(I401,TODAY(),"MD")&amp;" Hari","")</f>
        <v>14 Tahun 0 Bulan 12 Hari</v>
      </c>
    </row>
    <row r="402" spans="1:10" s="137" customFormat="1">
      <c r="A402" s="105">
        <f t="shared" si="17"/>
        <v>398</v>
      </c>
      <c r="B402" s="132" t="s">
        <v>579</v>
      </c>
      <c r="C402" s="148">
        <v>145565</v>
      </c>
      <c r="D402" s="108" t="s">
        <v>8</v>
      </c>
      <c r="E402" s="132" t="s">
        <v>60</v>
      </c>
      <c r="F402" s="132" t="s">
        <v>1082</v>
      </c>
      <c r="G402" s="132" t="s">
        <v>1083</v>
      </c>
      <c r="H402" s="129" t="s">
        <v>112</v>
      </c>
      <c r="I402" s="139">
        <v>41925</v>
      </c>
      <c r="J402" s="129" t="str">
        <f t="shared" ca="1" si="19"/>
        <v>12 Tahun 0 Bulan 0 Hari</v>
      </c>
    </row>
    <row r="403" spans="1:10">
      <c r="A403" s="105">
        <f t="shared" si="17"/>
        <v>399</v>
      </c>
      <c r="B403" s="108" t="s">
        <v>582</v>
      </c>
      <c r="C403" s="379">
        <v>142875</v>
      </c>
      <c r="D403" s="108" t="s">
        <v>8</v>
      </c>
      <c r="E403" s="108" t="s">
        <v>84</v>
      </c>
      <c r="F403" s="108" t="s">
        <v>1082</v>
      </c>
      <c r="G403" s="108" t="s">
        <v>1083</v>
      </c>
      <c r="H403" s="105" t="s">
        <v>112</v>
      </c>
      <c r="I403" s="109">
        <v>41760</v>
      </c>
      <c r="J403" s="105" t="str">
        <f t="shared" ca="1" si="19"/>
        <v>12 Tahun 5 Bulan 12 Hari</v>
      </c>
    </row>
    <row r="404" spans="1:10">
      <c r="A404" s="105">
        <f t="shared" si="17"/>
        <v>400</v>
      </c>
      <c r="B404" s="108" t="s">
        <v>1153</v>
      </c>
      <c r="C404" s="379">
        <v>135705</v>
      </c>
      <c r="D404" s="108" t="s">
        <v>8</v>
      </c>
      <c r="E404" s="108" t="s">
        <v>84</v>
      </c>
      <c r="F404" s="108" t="s">
        <v>1082</v>
      </c>
      <c r="G404" s="108" t="s">
        <v>1083</v>
      </c>
      <c r="H404" s="105" t="s">
        <v>112</v>
      </c>
      <c r="I404" s="109">
        <v>41623</v>
      </c>
      <c r="J404" s="105" t="str">
        <f t="shared" ca="1" si="19"/>
        <v>12 Tahun 9 Bulan 28 Hari</v>
      </c>
    </row>
    <row r="405" spans="1:10" s="137" customFormat="1">
      <c r="A405" s="105">
        <f t="shared" si="17"/>
        <v>401</v>
      </c>
      <c r="B405" s="132" t="s">
        <v>584</v>
      </c>
      <c r="C405" s="148">
        <v>83123685</v>
      </c>
      <c r="D405" s="108" t="s">
        <v>8</v>
      </c>
      <c r="E405" s="132" t="s">
        <v>61</v>
      </c>
      <c r="F405" s="132" t="s">
        <v>1082</v>
      </c>
      <c r="G405" s="132" t="s">
        <v>1083</v>
      </c>
      <c r="H405" s="129" t="s">
        <v>112</v>
      </c>
      <c r="I405" s="139">
        <v>41183</v>
      </c>
      <c r="J405" s="129" t="str">
        <f t="shared" ca="1" si="19"/>
        <v>14 Tahun 0 Bulan 12 Hari</v>
      </c>
    </row>
    <row r="406" spans="1:10">
      <c r="A406" s="105">
        <f t="shared" si="17"/>
        <v>402</v>
      </c>
      <c r="B406" s="108" t="s">
        <v>586</v>
      </c>
      <c r="C406" s="379">
        <v>83123688</v>
      </c>
      <c r="D406" s="108" t="s">
        <v>8</v>
      </c>
      <c r="E406" s="108" t="s">
        <v>84</v>
      </c>
      <c r="F406" s="108" t="s">
        <v>1082</v>
      </c>
      <c r="G406" s="108" t="s">
        <v>1083</v>
      </c>
      <c r="H406" s="105" t="s">
        <v>112</v>
      </c>
      <c r="I406" s="109">
        <v>41172</v>
      </c>
      <c r="J406" s="105" t="str">
        <f t="shared" ca="1" si="19"/>
        <v>14 Tahun 0 Bulan 23 Hari</v>
      </c>
    </row>
    <row r="407" spans="1:10">
      <c r="A407" s="105">
        <f t="shared" si="17"/>
        <v>403</v>
      </c>
      <c r="B407" s="108" t="s">
        <v>587</v>
      </c>
      <c r="C407" s="379">
        <v>83123686</v>
      </c>
      <c r="D407" s="108" t="s">
        <v>8</v>
      </c>
      <c r="E407" s="108" t="s">
        <v>84</v>
      </c>
      <c r="F407" s="108" t="s">
        <v>1082</v>
      </c>
      <c r="G407" s="108" t="s">
        <v>1083</v>
      </c>
      <c r="H407" s="105" t="s">
        <v>112</v>
      </c>
      <c r="I407" s="109">
        <v>41183</v>
      </c>
      <c r="J407" s="105" t="str">
        <f t="shared" ca="1" si="19"/>
        <v>14 Tahun 0 Bulan 12 Hari</v>
      </c>
    </row>
    <row r="408" spans="1:10">
      <c r="A408" s="105">
        <f t="shared" si="17"/>
        <v>404</v>
      </c>
      <c r="B408" s="108" t="s">
        <v>588</v>
      </c>
      <c r="C408" s="379">
        <v>83123689</v>
      </c>
      <c r="D408" s="108" t="s">
        <v>8</v>
      </c>
      <c r="E408" s="108" t="s">
        <v>84</v>
      </c>
      <c r="F408" s="108" t="s">
        <v>1082</v>
      </c>
      <c r="G408" s="108" t="s">
        <v>1083</v>
      </c>
      <c r="H408" s="105" t="s">
        <v>112</v>
      </c>
      <c r="I408" s="109">
        <v>41172</v>
      </c>
      <c r="J408" s="105" t="str">
        <f t="shared" ca="1" si="19"/>
        <v>14 Tahun 0 Bulan 23 Hari</v>
      </c>
    </row>
    <row r="409" spans="1:10">
      <c r="A409" s="105">
        <f t="shared" si="17"/>
        <v>405</v>
      </c>
      <c r="B409" s="108" t="s">
        <v>589</v>
      </c>
      <c r="C409" s="379">
        <v>183506</v>
      </c>
      <c r="D409" s="108" t="s">
        <v>8</v>
      </c>
      <c r="E409" s="108" t="s">
        <v>84</v>
      </c>
      <c r="F409" s="108" t="s">
        <v>1082</v>
      </c>
      <c r="G409" s="108" t="s">
        <v>1083</v>
      </c>
      <c r="H409" s="105" t="s">
        <v>112</v>
      </c>
      <c r="I409" s="109">
        <v>43389</v>
      </c>
      <c r="J409" s="105" t="str">
        <f t="shared" ca="1" si="19"/>
        <v>7 Tahun 11 Bulan 27 Hari</v>
      </c>
    </row>
    <row r="410" spans="1:10">
      <c r="A410" s="105">
        <f t="shared" si="17"/>
        <v>406</v>
      </c>
      <c r="B410" s="108" t="s">
        <v>591</v>
      </c>
      <c r="C410" s="110">
        <v>83103566</v>
      </c>
      <c r="D410" s="108" t="s">
        <v>8</v>
      </c>
      <c r="E410" s="108" t="s">
        <v>95</v>
      </c>
      <c r="F410" s="108" t="s">
        <v>1082</v>
      </c>
      <c r="G410" s="108" t="s">
        <v>1083</v>
      </c>
      <c r="H410" s="105" t="s">
        <v>115</v>
      </c>
      <c r="I410" s="109">
        <v>45536</v>
      </c>
      <c r="J410" s="105" t="str">
        <f t="shared" ca="1" si="19"/>
        <v>2 Tahun 1 Bulan 12 Hari</v>
      </c>
    </row>
    <row r="411" spans="1:10">
      <c r="A411" s="105">
        <f t="shared" si="17"/>
        <v>407</v>
      </c>
      <c r="B411" s="108" t="s">
        <v>594</v>
      </c>
      <c r="C411" s="110">
        <v>83117001</v>
      </c>
      <c r="D411" s="108" t="s">
        <v>8</v>
      </c>
      <c r="E411" s="108" t="s">
        <v>95</v>
      </c>
      <c r="F411" s="108" t="s">
        <v>1082</v>
      </c>
      <c r="G411" s="108" t="s">
        <v>1083</v>
      </c>
      <c r="H411" s="105" t="s">
        <v>115</v>
      </c>
      <c r="I411" s="109">
        <v>40660</v>
      </c>
      <c r="J411" s="105" t="str">
        <f t="shared" ca="1" si="19"/>
        <v>15 Tahun 5 Bulan 16 Hari</v>
      </c>
    </row>
    <row r="412" spans="1:10">
      <c r="A412" s="105">
        <f t="shared" si="17"/>
        <v>408</v>
      </c>
      <c r="B412" s="108" t="s">
        <v>1154</v>
      </c>
      <c r="C412" s="110">
        <v>83103403</v>
      </c>
      <c r="D412" s="108" t="s">
        <v>8</v>
      </c>
      <c r="E412" s="108" t="s">
        <v>95</v>
      </c>
      <c r="F412" s="108" t="s">
        <v>1082</v>
      </c>
      <c r="G412" s="108" t="s">
        <v>1083</v>
      </c>
      <c r="H412" s="105" t="s">
        <v>115</v>
      </c>
      <c r="I412" s="109">
        <v>40362</v>
      </c>
      <c r="J412" s="105" t="str">
        <f t="shared" ca="1" si="19"/>
        <v>16 Tahun 3 Bulan 10 Hari</v>
      </c>
    </row>
    <row r="413" spans="1:10" s="137" customFormat="1">
      <c r="A413" s="105">
        <f t="shared" si="17"/>
        <v>409</v>
      </c>
      <c r="B413" s="132" t="s">
        <v>596</v>
      </c>
      <c r="C413" s="147">
        <v>84088210</v>
      </c>
      <c r="D413" s="108" t="s">
        <v>8</v>
      </c>
      <c r="E413" s="132" t="s">
        <v>37</v>
      </c>
      <c r="F413" s="132" t="s">
        <v>1084</v>
      </c>
      <c r="G413" s="132" t="s">
        <v>1083</v>
      </c>
      <c r="H413" s="129" t="s">
        <v>115</v>
      </c>
      <c r="I413" s="139">
        <v>39721</v>
      </c>
      <c r="J413" s="129" t="str">
        <f t="shared" ca="1" si="19"/>
        <v>18 Tahun 0 Bulan 13 Hari</v>
      </c>
    </row>
    <row r="414" spans="1:10">
      <c r="A414" s="105">
        <f t="shared" si="17"/>
        <v>410</v>
      </c>
      <c r="B414" s="108" t="s">
        <v>598</v>
      </c>
      <c r="C414" s="110">
        <v>133792</v>
      </c>
      <c r="D414" s="108" t="s">
        <v>8</v>
      </c>
      <c r="E414" s="108" t="s">
        <v>95</v>
      </c>
      <c r="F414" s="108" t="s">
        <v>1082</v>
      </c>
      <c r="G414" s="108" t="s">
        <v>1083</v>
      </c>
      <c r="H414" s="105" t="s">
        <v>115</v>
      </c>
      <c r="I414" s="109">
        <v>41519</v>
      </c>
      <c r="J414" s="105" t="str">
        <f t="shared" ca="1" si="19"/>
        <v>13 Tahun 1 Bulan 11 Hari</v>
      </c>
    </row>
    <row r="415" spans="1:10">
      <c r="A415" s="105">
        <f t="shared" si="17"/>
        <v>411</v>
      </c>
      <c r="B415" s="108" t="s">
        <v>599</v>
      </c>
      <c r="C415" s="110">
        <v>183516</v>
      </c>
      <c r="D415" s="108" t="s">
        <v>8</v>
      </c>
      <c r="E415" s="108" t="s">
        <v>95</v>
      </c>
      <c r="F415" s="108" t="s">
        <v>1082</v>
      </c>
      <c r="G415" s="108" t="s">
        <v>1083</v>
      </c>
      <c r="H415" s="105" t="s">
        <v>115</v>
      </c>
      <c r="I415" s="109">
        <v>43389</v>
      </c>
      <c r="J415" s="105" t="str">
        <f t="shared" ca="1" si="19"/>
        <v>7 Tahun 11 Bulan 27 Hari</v>
      </c>
    </row>
    <row r="416" spans="1:10">
      <c r="A416" s="105">
        <f t="shared" si="17"/>
        <v>412</v>
      </c>
      <c r="B416" s="108" t="s">
        <v>600</v>
      </c>
      <c r="C416" s="110">
        <v>83103111</v>
      </c>
      <c r="D416" s="108" t="s">
        <v>8</v>
      </c>
      <c r="E416" s="108" t="s">
        <v>95</v>
      </c>
      <c r="F416" s="108" t="s">
        <v>1082</v>
      </c>
      <c r="G416" s="108" t="s">
        <v>1083</v>
      </c>
      <c r="H416" s="105" t="s">
        <v>115</v>
      </c>
      <c r="I416" s="109">
        <v>40363</v>
      </c>
      <c r="J416" s="105" t="str">
        <f t="shared" ca="1" si="19"/>
        <v>16 Tahun 3 Bulan 9 Hari</v>
      </c>
    </row>
    <row r="417" spans="1:10">
      <c r="A417" s="105">
        <f t="shared" si="17"/>
        <v>413</v>
      </c>
      <c r="B417" s="108" t="s">
        <v>601</v>
      </c>
      <c r="C417" s="110">
        <v>183517</v>
      </c>
      <c r="D417" s="108" t="s">
        <v>8</v>
      </c>
      <c r="E417" s="108" t="s">
        <v>95</v>
      </c>
      <c r="F417" s="108" t="s">
        <v>1082</v>
      </c>
      <c r="G417" s="108" t="s">
        <v>1083</v>
      </c>
      <c r="H417" s="105" t="s">
        <v>115</v>
      </c>
      <c r="I417" s="109">
        <v>43389</v>
      </c>
      <c r="J417" s="105" t="str">
        <f t="shared" ca="1" si="19"/>
        <v>7 Tahun 11 Bulan 27 Hari</v>
      </c>
    </row>
    <row r="418" spans="1:10">
      <c r="A418" s="105">
        <f t="shared" si="17"/>
        <v>414</v>
      </c>
      <c r="B418" s="108" t="s">
        <v>603</v>
      </c>
      <c r="C418" s="108">
        <v>84130564</v>
      </c>
      <c r="D418" s="108" t="s">
        <v>8</v>
      </c>
      <c r="E418" s="108" t="s">
        <v>95</v>
      </c>
      <c r="F418" s="108" t="s">
        <v>1082</v>
      </c>
      <c r="G418" s="108" t="s">
        <v>1083</v>
      </c>
      <c r="H418" s="105" t="s">
        <v>115</v>
      </c>
      <c r="I418" s="109">
        <v>41310</v>
      </c>
      <c r="J418" s="105" t="str">
        <f t="shared" ca="1" si="19"/>
        <v>13 Tahun 8 Bulan 8 Hari</v>
      </c>
    </row>
    <row r="419" spans="1:10">
      <c r="A419" s="105">
        <f t="shared" si="17"/>
        <v>415</v>
      </c>
      <c r="B419" s="108" t="s">
        <v>604</v>
      </c>
      <c r="C419" s="110">
        <v>133799</v>
      </c>
      <c r="D419" s="108" t="s">
        <v>8</v>
      </c>
      <c r="E419" s="108" t="s">
        <v>95</v>
      </c>
      <c r="F419" s="108" t="s">
        <v>1082</v>
      </c>
      <c r="G419" s="108" t="s">
        <v>1083</v>
      </c>
      <c r="H419" s="105" t="s">
        <v>115</v>
      </c>
      <c r="I419" s="109">
        <v>41519</v>
      </c>
      <c r="J419" s="105" t="str">
        <f t="shared" ca="1" si="19"/>
        <v>13 Tahun 1 Bulan 11 Hari</v>
      </c>
    </row>
    <row r="420" spans="1:10">
      <c r="A420" s="105">
        <f t="shared" si="17"/>
        <v>416</v>
      </c>
      <c r="B420" s="108" t="s">
        <v>605</v>
      </c>
      <c r="C420" s="110">
        <v>183523</v>
      </c>
      <c r="D420" s="108" t="s">
        <v>8</v>
      </c>
      <c r="E420" s="108" t="s">
        <v>95</v>
      </c>
      <c r="F420" s="108" t="s">
        <v>1082</v>
      </c>
      <c r="G420" s="108" t="s">
        <v>1083</v>
      </c>
      <c r="H420" s="105" t="s">
        <v>115</v>
      </c>
      <c r="I420" s="109">
        <v>43389</v>
      </c>
      <c r="J420" s="105" t="str">
        <f t="shared" ca="1" si="19"/>
        <v>7 Tahun 11 Bulan 27 Hari</v>
      </c>
    </row>
    <row r="421" spans="1:10">
      <c r="A421" s="105">
        <f t="shared" si="17"/>
        <v>417</v>
      </c>
      <c r="B421" s="108" t="s">
        <v>606</v>
      </c>
      <c r="C421" s="110">
        <v>83102441</v>
      </c>
      <c r="D421" s="108" t="s">
        <v>8</v>
      </c>
      <c r="E421" s="108" t="s">
        <v>95</v>
      </c>
      <c r="F421" s="108" t="s">
        <v>1082</v>
      </c>
      <c r="G421" s="108" t="s">
        <v>1083</v>
      </c>
      <c r="H421" s="105" t="s">
        <v>115</v>
      </c>
      <c r="I421" s="109">
        <v>40284</v>
      </c>
      <c r="J421" s="105" t="str">
        <f t="shared" ca="1" si="19"/>
        <v>16 Tahun 5 Bulan 27 Hari</v>
      </c>
    </row>
    <row r="422" spans="1:10">
      <c r="A422" s="105">
        <f t="shared" si="17"/>
        <v>418</v>
      </c>
      <c r="B422" s="108" t="s">
        <v>607</v>
      </c>
      <c r="C422" s="110">
        <v>84124047</v>
      </c>
      <c r="D422" s="108" t="s">
        <v>8</v>
      </c>
      <c r="E422" s="108" t="s">
        <v>95</v>
      </c>
      <c r="F422" s="108" t="s">
        <v>1082</v>
      </c>
      <c r="G422" s="108" t="s">
        <v>1083</v>
      </c>
      <c r="H422" s="105" t="s">
        <v>115</v>
      </c>
      <c r="I422" s="109">
        <v>41200</v>
      </c>
      <c r="J422" s="105" t="str">
        <f t="shared" ca="1" si="19"/>
        <v>13 Tahun 11 Bulan 25 Hari</v>
      </c>
    </row>
    <row r="423" spans="1:10">
      <c r="A423" s="105">
        <f t="shared" si="17"/>
        <v>419</v>
      </c>
      <c r="B423" s="108" t="s">
        <v>608</v>
      </c>
      <c r="C423" s="110">
        <v>183490</v>
      </c>
      <c r="D423" s="108" t="s">
        <v>8</v>
      </c>
      <c r="E423" s="108" t="s">
        <v>95</v>
      </c>
      <c r="F423" s="108" t="s">
        <v>1082</v>
      </c>
      <c r="G423" s="108" t="s">
        <v>1083</v>
      </c>
      <c r="H423" s="105" t="s">
        <v>115</v>
      </c>
      <c r="I423" s="109">
        <v>43328</v>
      </c>
      <c r="J423" s="105" t="str">
        <f t="shared" ca="1" si="19"/>
        <v>8 Tahun 1 Bulan 27 Hari</v>
      </c>
    </row>
    <row r="424" spans="1:10">
      <c r="A424" s="105">
        <f t="shared" si="17"/>
        <v>420</v>
      </c>
      <c r="B424" s="108" t="s">
        <v>609</v>
      </c>
      <c r="C424" s="110">
        <v>83088944</v>
      </c>
      <c r="D424" s="108" t="s">
        <v>8</v>
      </c>
      <c r="E424" s="108" t="s">
        <v>95</v>
      </c>
      <c r="F424" s="108" t="s">
        <v>1082</v>
      </c>
      <c r="G424" s="108" t="s">
        <v>1083</v>
      </c>
      <c r="H424" s="105" t="s">
        <v>115</v>
      </c>
      <c r="I424" s="109">
        <v>39792</v>
      </c>
      <c r="J424" s="105" t="str">
        <f t="shared" ca="1" si="19"/>
        <v>17 Tahun 10 Bulan 3 Hari</v>
      </c>
    </row>
    <row r="425" spans="1:10">
      <c r="A425" s="105">
        <f t="shared" si="17"/>
        <v>421</v>
      </c>
      <c r="B425" s="108" t="s">
        <v>610</v>
      </c>
      <c r="C425" s="110">
        <v>84088184</v>
      </c>
      <c r="D425" s="108" t="s">
        <v>8</v>
      </c>
      <c r="E425" s="108" t="s">
        <v>95</v>
      </c>
      <c r="F425" s="108" t="s">
        <v>1082</v>
      </c>
      <c r="G425" s="108" t="s">
        <v>1083</v>
      </c>
      <c r="H425" s="105" t="s">
        <v>115</v>
      </c>
      <c r="I425" s="109">
        <v>39721</v>
      </c>
      <c r="J425" s="105" t="str">
        <f t="shared" ca="1" si="19"/>
        <v>18 Tahun 0 Bulan 13 Hari</v>
      </c>
    </row>
    <row r="426" spans="1:10">
      <c r="A426" s="105">
        <f t="shared" si="17"/>
        <v>422</v>
      </c>
      <c r="B426" s="108" t="s">
        <v>934</v>
      </c>
      <c r="C426" s="110">
        <v>84124054</v>
      </c>
      <c r="D426" s="108" t="s">
        <v>8</v>
      </c>
      <c r="E426" s="108" t="s">
        <v>95</v>
      </c>
      <c r="F426" s="108" t="s">
        <v>1082</v>
      </c>
      <c r="G426" s="108" t="s">
        <v>1083</v>
      </c>
      <c r="H426" s="105" t="s">
        <v>115</v>
      </c>
      <c r="I426" s="109">
        <v>41200</v>
      </c>
      <c r="J426" s="105" t="str">
        <f t="shared" ca="1" si="19"/>
        <v>13 Tahun 11 Bulan 25 Hari</v>
      </c>
    </row>
    <row r="427" spans="1:10">
      <c r="A427" s="105">
        <f t="shared" si="17"/>
        <v>423</v>
      </c>
      <c r="B427" s="108" t="s">
        <v>185</v>
      </c>
      <c r="C427" s="110">
        <v>133797</v>
      </c>
      <c r="D427" s="108" t="s">
        <v>8</v>
      </c>
      <c r="E427" s="108" t="s">
        <v>95</v>
      </c>
      <c r="F427" s="108" t="s">
        <v>1082</v>
      </c>
      <c r="G427" s="108" t="s">
        <v>1083</v>
      </c>
      <c r="H427" s="105" t="s">
        <v>115</v>
      </c>
      <c r="I427" s="109">
        <v>41519</v>
      </c>
      <c r="J427" s="105" t="str">
        <f t="shared" ca="1" si="19"/>
        <v>13 Tahun 1 Bulan 11 Hari</v>
      </c>
    </row>
    <row r="428" spans="1:10" s="137" customFormat="1">
      <c r="A428" s="105">
        <f t="shared" si="17"/>
        <v>424</v>
      </c>
      <c r="B428" s="132" t="s">
        <v>612</v>
      </c>
      <c r="C428" s="141">
        <v>84088198</v>
      </c>
      <c r="D428" s="108" t="s">
        <v>8</v>
      </c>
      <c r="E428" s="132" t="s">
        <v>36</v>
      </c>
      <c r="F428" s="132" t="s">
        <v>1082</v>
      </c>
      <c r="G428" s="132" t="s">
        <v>1083</v>
      </c>
      <c r="H428" s="129" t="s">
        <v>115</v>
      </c>
      <c r="I428" s="139">
        <v>39721</v>
      </c>
      <c r="J428" s="129" t="str">
        <f t="shared" ca="1" si="19"/>
        <v>18 Tahun 0 Bulan 13 Hari</v>
      </c>
    </row>
    <row r="429" spans="1:10">
      <c r="A429" s="105">
        <f t="shared" si="17"/>
        <v>425</v>
      </c>
      <c r="B429" s="108" t="s">
        <v>613</v>
      </c>
      <c r="C429" s="110">
        <v>146657</v>
      </c>
      <c r="D429" s="108" t="s">
        <v>8</v>
      </c>
      <c r="E429" s="108" t="s">
        <v>95</v>
      </c>
      <c r="F429" s="108" t="s">
        <v>1082</v>
      </c>
      <c r="G429" s="108" t="s">
        <v>1083</v>
      </c>
      <c r="H429" s="105" t="s">
        <v>115</v>
      </c>
      <c r="I429" s="109">
        <v>41944</v>
      </c>
      <c r="J429" s="105" t="str">
        <f t="shared" ca="1" si="19"/>
        <v>11 Tahun 11 Bulan 12 Hari</v>
      </c>
    </row>
    <row r="430" spans="1:10">
      <c r="A430" s="105">
        <f t="shared" si="17"/>
        <v>426</v>
      </c>
      <c r="B430" s="108" t="s">
        <v>614</v>
      </c>
      <c r="C430" s="110">
        <v>142426</v>
      </c>
      <c r="D430" s="108" t="s">
        <v>8</v>
      </c>
      <c r="E430" s="108" t="s">
        <v>95</v>
      </c>
      <c r="F430" s="108" t="s">
        <v>1082</v>
      </c>
      <c r="G430" s="108" t="s">
        <v>1083</v>
      </c>
      <c r="H430" s="105" t="s">
        <v>115</v>
      </c>
      <c r="I430" s="109">
        <v>41754</v>
      </c>
      <c r="J430" s="105" t="str">
        <f t="shared" ca="1" si="19"/>
        <v>12 Tahun 5 Bulan 18 Hari</v>
      </c>
    </row>
    <row r="431" spans="1:10">
      <c r="A431" s="105">
        <f t="shared" si="17"/>
        <v>427</v>
      </c>
      <c r="B431" s="108" t="s">
        <v>615</v>
      </c>
      <c r="C431" s="110">
        <v>84122168</v>
      </c>
      <c r="D431" s="108" t="s">
        <v>8</v>
      </c>
      <c r="E431" s="108" t="s">
        <v>95</v>
      </c>
      <c r="F431" s="108" t="s">
        <v>1082</v>
      </c>
      <c r="G431" s="108" t="s">
        <v>1083</v>
      </c>
      <c r="H431" s="105" t="s">
        <v>115</v>
      </c>
      <c r="I431" s="109">
        <v>41038</v>
      </c>
      <c r="J431" s="105" t="str">
        <f t="shared" ca="1" si="19"/>
        <v>14 Tahun 5 Bulan 4 Hari</v>
      </c>
    </row>
    <row r="432" spans="1:10">
      <c r="A432" s="105">
        <f t="shared" si="17"/>
        <v>428</v>
      </c>
      <c r="B432" s="108" t="s">
        <v>616</v>
      </c>
      <c r="C432" s="110">
        <v>84120249</v>
      </c>
      <c r="D432" s="108" t="s">
        <v>8</v>
      </c>
      <c r="E432" s="108" t="s">
        <v>95</v>
      </c>
      <c r="F432" s="108" t="s">
        <v>1082</v>
      </c>
      <c r="G432" s="108" t="s">
        <v>1083</v>
      </c>
      <c r="H432" s="105" t="s">
        <v>115</v>
      </c>
      <c r="I432" s="109">
        <v>39977</v>
      </c>
      <c r="J432" s="105" t="str">
        <f t="shared" ca="1" si="19"/>
        <v>17 Tahun 4 Bulan 0 Hari</v>
      </c>
    </row>
    <row r="433" spans="1:10">
      <c r="A433" s="105">
        <f t="shared" si="17"/>
        <v>429</v>
      </c>
      <c r="B433" s="108" t="s">
        <v>617</v>
      </c>
      <c r="C433" s="115">
        <v>183510</v>
      </c>
      <c r="D433" s="108" t="s">
        <v>8</v>
      </c>
      <c r="E433" s="108" t="s">
        <v>95</v>
      </c>
      <c r="F433" s="108" t="s">
        <v>1084</v>
      </c>
      <c r="G433" s="108" t="s">
        <v>1083</v>
      </c>
      <c r="H433" s="105" t="s">
        <v>115</v>
      </c>
      <c r="I433" s="109">
        <v>43389</v>
      </c>
      <c r="J433" s="105" t="str">
        <f t="shared" ca="1" si="19"/>
        <v>7 Tahun 11 Bulan 27 Hari</v>
      </c>
    </row>
    <row r="434" spans="1:10">
      <c r="A434" s="105">
        <f t="shared" si="17"/>
        <v>430</v>
      </c>
      <c r="B434" s="106" t="s">
        <v>1155</v>
      </c>
      <c r="C434" s="284">
        <v>84088200</v>
      </c>
      <c r="D434" s="108" t="s">
        <v>8</v>
      </c>
      <c r="E434" s="108" t="s">
        <v>95</v>
      </c>
      <c r="F434" s="108" t="s">
        <v>1084</v>
      </c>
      <c r="G434" s="108" t="s">
        <v>1083</v>
      </c>
      <c r="H434" s="105" t="s">
        <v>115</v>
      </c>
      <c r="I434" s="109">
        <v>39721</v>
      </c>
      <c r="J434" s="105" t="str">
        <f t="shared" ca="1" si="19"/>
        <v>18 Tahun 0 Bulan 13 Hari</v>
      </c>
    </row>
    <row r="435" spans="1:10">
      <c r="A435" s="105">
        <f t="shared" si="17"/>
        <v>431</v>
      </c>
      <c r="B435" s="106" t="s">
        <v>619</v>
      </c>
      <c r="C435" s="284">
        <v>83119865</v>
      </c>
      <c r="D435" s="108" t="s">
        <v>8</v>
      </c>
      <c r="E435" s="108" t="s">
        <v>95</v>
      </c>
      <c r="F435" s="108" t="s">
        <v>1084</v>
      </c>
      <c r="G435" s="108" t="s">
        <v>1083</v>
      </c>
      <c r="H435" s="105" t="s">
        <v>115</v>
      </c>
      <c r="I435" s="109">
        <v>40884</v>
      </c>
      <c r="J435" s="105" t="str">
        <f t="shared" ca="1" si="19"/>
        <v>14 Tahun 10 Bulan 6 Hari</v>
      </c>
    </row>
    <row r="436" spans="1:10">
      <c r="A436" s="105">
        <f t="shared" si="17"/>
        <v>432</v>
      </c>
      <c r="B436" s="106" t="s">
        <v>620</v>
      </c>
      <c r="C436" s="284">
        <v>84124049</v>
      </c>
      <c r="D436" s="108" t="s">
        <v>8</v>
      </c>
      <c r="E436" s="108" t="s">
        <v>95</v>
      </c>
      <c r="F436" s="108" t="s">
        <v>1084</v>
      </c>
      <c r="G436" s="108" t="s">
        <v>1083</v>
      </c>
      <c r="H436" s="105" t="s">
        <v>115</v>
      </c>
      <c r="I436" s="109">
        <v>40441</v>
      </c>
      <c r="J436" s="105" t="str">
        <f t="shared" ca="1" si="19"/>
        <v>16 Tahun 0 Bulan 23 Hari</v>
      </c>
    </row>
    <row r="437" spans="1:10">
      <c r="A437" s="105">
        <f t="shared" si="17"/>
        <v>433</v>
      </c>
      <c r="B437" s="108" t="s">
        <v>621</v>
      </c>
      <c r="C437" s="115">
        <v>183521</v>
      </c>
      <c r="D437" s="108" t="s">
        <v>8</v>
      </c>
      <c r="E437" s="108" t="s">
        <v>95</v>
      </c>
      <c r="F437" s="108" t="s">
        <v>1084</v>
      </c>
      <c r="G437" s="108" t="s">
        <v>1083</v>
      </c>
      <c r="H437" s="105" t="s">
        <v>115</v>
      </c>
      <c r="I437" s="109">
        <v>43389</v>
      </c>
      <c r="J437" s="105" t="str">
        <f t="shared" ca="1" si="19"/>
        <v>7 Tahun 11 Bulan 27 Hari</v>
      </c>
    </row>
    <row r="438" spans="1:10">
      <c r="A438" s="105">
        <f t="shared" si="17"/>
        <v>434</v>
      </c>
      <c r="B438" s="108" t="s">
        <v>1056</v>
      </c>
      <c r="C438" s="110">
        <v>240739</v>
      </c>
      <c r="D438" s="108" t="s">
        <v>8</v>
      </c>
      <c r="E438" s="132" t="s">
        <v>1534</v>
      </c>
      <c r="F438" s="108" t="s">
        <v>1084</v>
      </c>
      <c r="G438" s="108" t="s">
        <v>1083</v>
      </c>
      <c r="H438" s="105" t="s">
        <v>115</v>
      </c>
      <c r="I438" s="127">
        <v>41949</v>
      </c>
      <c r="J438" s="105" t="str">
        <f ca="1">IF(ISNUMBER(I438),DATEDIF(I438,TODAY(),"Y")&amp;" Tahun "&amp;DATEDIF(I438,TODAY(),"YM")&amp;" Bulan "&amp;DATEDIF(I438,TODAY(),"MD")&amp;" Hari","")</f>
        <v>11 Tahun 11 Bulan 7 Hari</v>
      </c>
    </row>
    <row r="439" spans="1:10">
      <c r="A439" s="105">
        <f t="shared" si="17"/>
        <v>435</v>
      </c>
      <c r="B439" s="106" t="s">
        <v>623</v>
      </c>
      <c r="C439" s="284">
        <v>133821</v>
      </c>
      <c r="D439" s="108" t="s">
        <v>8</v>
      </c>
      <c r="E439" s="108" t="s">
        <v>95</v>
      </c>
      <c r="F439" s="108" t="s">
        <v>1084</v>
      </c>
      <c r="G439" s="108" t="s">
        <v>1083</v>
      </c>
      <c r="H439" s="105" t="s">
        <v>115</v>
      </c>
      <c r="I439" s="109">
        <v>41519</v>
      </c>
      <c r="J439" s="105" t="str">
        <f t="shared" ca="1" si="19"/>
        <v>13 Tahun 1 Bulan 11 Hari</v>
      </c>
    </row>
    <row r="440" spans="1:10">
      <c r="A440" s="105">
        <f t="shared" si="17"/>
        <v>436</v>
      </c>
      <c r="B440" s="106" t="s">
        <v>624</v>
      </c>
      <c r="C440" s="284">
        <v>83120875</v>
      </c>
      <c r="D440" s="108" t="s">
        <v>8</v>
      </c>
      <c r="E440" s="108" t="s">
        <v>95</v>
      </c>
      <c r="F440" s="108" t="s">
        <v>1084</v>
      </c>
      <c r="G440" s="108" t="s">
        <v>1083</v>
      </c>
      <c r="H440" s="105" t="s">
        <v>115</v>
      </c>
      <c r="I440" s="109">
        <v>40952</v>
      </c>
      <c r="J440" s="105" t="str">
        <f t="shared" ca="1" si="19"/>
        <v>14 Tahun 8 Bulan 0 Hari</v>
      </c>
    </row>
    <row r="441" spans="1:10">
      <c r="A441" s="105">
        <f t="shared" si="17"/>
        <v>437</v>
      </c>
      <c r="B441" s="106" t="s">
        <v>625</v>
      </c>
      <c r="C441" s="284">
        <v>84088206</v>
      </c>
      <c r="D441" s="108" t="s">
        <v>8</v>
      </c>
      <c r="E441" s="108" t="s">
        <v>95</v>
      </c>
      <c r="F441" s="108" t="s">
        <v>1084</v>
      </c>
      <c r="G441" s="108" t="s">
        <v>1083</v>
      </c>
      <c r="H441" s="105" t="s">
        <v>115</v>
      </c>
      <c r="I441" s="109">
        <v>39721</v>
      </c>
      <c r="J441" s="105" t="str">
        <f t="shared" ca="1" si="19"/>
        <v>18 Tahun 0 Bulan 13 Hari</v>
      </c>
    </row>
    <row r="442" spans="1:10">
      <c r="A442" s="105">
        <f t="shared" si="17"/>
        <v>438</v>
      </c>
      <c r="B442" s="106" t="s">
        <v>626</v>
      </c>
      <c r="C442" s="284">
        <v>83104215</v>
      </c>
      <c r="D442" s="108" t="s">
        <v>8</v>
      </c>
      <c r="E442" s="108" t="s">
        <v>95</v>
      </c>
      <c r="F442" s="108" t="s">
        <v>1084</v>
      </c>
      <c r="G442" s="108" t="s">
        <v>1083</v>
      </c>
      <c r="H442" s="105" t="s">
        <v>115</v>
      </c>
      <c r="I442" s="109">
        <v>40428</v>
      </c>
      <c r="J442" s="105" t="str">
        <f t="shared" ca="1" si="19"/>
        <v>16 Tahun 1 Bulan 6 Hari</v>
      </c>
    </row>
    <row r="443" spans="1:10">
      <c r="A443" s="105">
        <f t="shared" si="17"/>
        <v>439</v>
      </c>
      <c r="B443" s="108" t="s">
        <v>627</v>
      </c>
      <c r="C443" s="115">
        <v>84099267</v>
      </c>
      <c r="D443" s="108" t="s">
        <v>8</v>
      </c>
      <c r="E443" s="108" t="s">
        <v>95</v>
      </c>
      <c r="F443" s="108" t="s">
        <v>1084</v>
      </c>
      <c r="G443" s="108" t="s">
        <v>1083</v>
      </c>
      <c r="H443" s="105" t="s">
        <v>115</v>
      </c>
      <c r="I443" s="109">
        <v>39854</v>
      </c>
      <c r="J443" s="105" t="str">
        <f t="shared" ca="1" si="19"/>
        <v>17 Tahun 8 Bulan 3 Hari</v>
      </c>
    </row>
    <row r="444" spans="1:10">
      <c r="A444" s="105">
        <f t="shared" si="17"/>
        <v>440</v>
      </c>
      <c r="B444" s="108" t="s">
        <v>628</v>
      </c>
      <c r="C444" s="115">
        <v>150161</v>
      </c>
      <c r="D444" s="108" t="s">
        <v>8</v>
      </c>
      <c r="E444" s="108" t="s">
        <v>95</v>
      </c>
      <c r="F444" s="108" t="s">
        <v>1084</v>
      </c>
      <c r="G444" s="108" t="s">
        <v>1083</v>
      </c>
      <c r="H444" s="105" t="s">
        <v>115</v>
      </c>
      <c r="I444" s="109">
        <v>42006</v>
      </c>
      <c r="J444" s="105" t="str">
        <f t="shared" ca="1" si="19"/>
        <v>11 Tahun 9 Bulan 11 Hari</v>
      </c>
    </row>
    <row r="445" spans="1:10">
      <c r="A445" s="105">
        <f t="shared" si="17"/>
        <v>441</v>
      </c>
      <c r="B445" s="108" t="s">
        <v>629</v>
      </c>
      <c r="C445" s="110">
        <v>183487</v>
      </c>
      <c r="D445" s="108" t="s">
        <v>8</v>
      </c>
      <c r="E445" s="108" t="s">
        <v>95</v>
      </c>
      <c r="F445" s="108" t="s">
        <v>1082</v>
      </c>
      <c r="G445" s="108" t="s">
        <v>1083</v>
      </c>
      <c r="H445" s="105" t="s">
        <v>115</v>
      </c>
      <c r="I445" s="109">
        <v>43389</v>
      </c>
      <c r="J445" s="105" t="str">
        <f t="shared" ca="1" si="19"/>
        <v>7 Tahun 11 Bulan 27 Hari</v>
      </c>
    </row>
    <row r="446" spans="1:10" s="137" customFormat="1">
      <c r="A446" s="105">
        <f t="shared" si="17"/>
        <v>442</v>
      </c>
      <c r="B446" s="132" t="s">
        <v>630</v>
      </c>
      <c r="C446" s="141">
        <v>131759</v>
      </c>
      <c r="D446" s="108" t="s">
        <v>8</v>
      </c>
      <c r="E446" s="132" t="s">
        <v>38</v>
      </c>
      <c r="F446" s="132" t="s">
        <v>1084</v>
      </c>
      <c r="G446" s="132" t="s">
        <v>1083</v>
      </c>
      <c r="H446" s="129" t="s">
        <v>115</v>
      </c>
      <c r="I446" s="139">
        <v>41382</v>
      </c>
      <c r="J446" s="129" t="str">
        <f t="shared" ca="1" si="19"/>
        <v>13 Tahun 5 Bulan 25 Hari</v>
      </c>
    </row>
    <row r="447" spans="1:10">
      <c r="A447" s="105">
        <f t="shared" si="17"/>
        <v>443</v>
      </c>
      <c r="B447" s="108" t="s">
        <v>878</v>
      </c>
      <c r="C447" s="110">
        <v>142493</v>
      </c>
      <c r="D447" s="108" t="s">
        <v>8</v>
      </c>
      <c r="E447" s="108" t="s">
        <v>95</v>
      </c>
      <c r="F447" s="108" t="s">
        <v>1084</v>
      </c>
      <c r="G447" s="108" t="s">
        <v>1083</v>
      </c>
      <c r="H447" s="105" t="s">
        <v>115</v>
      </c>
      <c r="I447" s="109">
        <v>45406</v>
      </c>
      <c r="J447" s="105" t="str">
        <f t="shared" ca="1" si="19"/>
        <v>2 Tahun 5 Bulan 19 Hari</v>
      </c>
    </row>
    <row r="448" spans="1:10">
      <c r="A448" s="105">
        <f t="shared" si="17"/>
        <v>444</v>
      </c>
      <c r="B448" s="108" t="s">
        <v>632</v>
      </c>
      <c r="C448" s="110">
        <v>250050</v>
      </c>
      <c r="D448" s="108" t="s">
        <v>8</v>
      </c>
      <c r="E448" s="108" t="s">
        <v>95</v>
      </c>
      <c r="F448" s="108" t="s">
        <v>1084</v>
      </c>
      <c r="G448" s="108" t="s">
        <v>1083</v>
      </c>
      <c r="H448" s="105" t="s">
        <v>115</v>
      </c>
      <c r="I448" s="109">
        <v>45671</v>
      </c>
      <c r="J448" s="105" t="str">
        <f t="shared" ca="1" si="19"/>
        <v>1 Tahun 8 Bulan 29 Hari</v>
      </c>
    </row>
    <row r="449" spans="1:10">
      <c r="A449" s="105">
        <f t="shared" si="17"/>
        <v>445</v>
      </c>
      <c r="B449" s="108" t="s">
        <v>970</v>
      </c>
      <c r="C449" s="110">
        <v>251413</v>
      </c>
      <c r="D449" s="108" t="s">
        <v>8</v>
      </c>
      <c r="E449" s="108" t="s">
        <v>95</v>
      </c>
      <c r="F449" s="108" t="s">
        <v>1084</v>
      </c>
      <c r="G449" s="108" t="s">
        <v>1083</v>
      </c>
      <c r="H449" s="105" t="s">
        <v>115</v>
      </c>
      <c r="I449" s="109">
        <v>45811</v>
      </c>
      <c r="J449" s="105" t="str">
        <f t="shared" ca="1" si="19"/>
        <v>1 Tahun 4 Bulan 10 Hari</v>
      </c>
    </row>
    <row r="450" spans="1:10" s="137" customFormat="1">
      <c r="A450" s="105">
        <f t="shared" si="17"/>
        <v>446</v>
      </c>
      <c r="B450" s="130" t="s">
        <v>637</v>
      </c>
      <c r="C450" s="149">
        <v>83119342</v>
      </c>
      <c r="D450" s="132" t="s">
        <v>9</v>
      </c>
      <c r="E450" s="132" t="s">
        <v>62</v>
      </c>
      <c r="F450" s="132" t="s">
        <v>1082</v>
      </c>
      <c r="G450" s="132" t="s">
        <v>1083</v>
      </c>
      <c r="H450" s="129" t="s">
        <v>112</v>
      </c>
      <c r="I450" s="139">
        <v>40840</v>
      </c>
      <c r="J450" s="129" t="str">
        <f ca="1">IF(ISNUMBER(I450),DATEDIF(I450,TODAY(),"Y")&amp;" Tahun "&amp;DATEDIF(I450,TODAY(),"YM")&amp;" Bulan "&amp;DATEDIF(I450,TODAY(),"MD")&amp;" Hari","")</f>
        <v>14 Tahun 11 Bulan 19 Hari</v>
      </c>
    </row>
    <row r="451" spans="1:10">
      <c r="A451" s="105">
        <f t="shared" si="17"/>
        <v>447</v>
      </c>
      <c r="B451" s="106" t="s">
        <v>640</v>
      </c>
      <c r="C451" s="119">
        <v>142961</v>
      </c>
      <c r="D451" s="108" t="s">
        <v>9</v>
      </c>
      <c r="E451" s="108" t="s">
        <v>84</v>
      </c>
      <c r="F451" s="108" t="s">
        <v>1082</v>
      </c>
      <c r="G451" s="108" t="s">
        <v>1083</v>
      </c>
      <c r="H451" s="105" t="s">
        <v>112</v>
      </c>
      <c r="I451" s="109">
        <v>41761</v>
      </c>
      <c r="J451" s="105" t="str">
        <f ca="1">IF(ISNUMBER(I451),DATEDIF(I451,TODAY(),"Y")&amp;" Tahun "&amp;DATEDIF(I451,TODAY(),"YM")&amp;" Bulan "&amp;DATEDIF(I451,TODAY(),"MD")&amp;" Hari","")</f>
        <v>12 Tahun 5 Bulan 11 Hari</v>
      </c>
    </row>
    <row r="452" spans="1:10">
      <c r="A452" s="105">
        <f t="shared" si="17"/>
        <v>448</v>
      </c>
      <c r="B452" s="106" t="s">
        <v>1156</v>
      </c>
      <c r="C452" s="119">
        <v>201434</v>
      </c>
      <c r="D452" s="108" t="s">
        <v>9</v>
      </c>
      <c r="E452" s="108" t="s">
        <v>84</v>
      </c>
      <c r="F452" s="108" t="s">
        <v>1082</v>
      </c>
      <c r="G452" s="108" t="s">
        <v>1083</v>
      </c>
      <c r="H452" s="105" t="s">
        <v>112</v>
      </c>
      <c r="I452" s="128">
        <v>44075</v>
      </c>
      <c r="J452" s="105" t="str">
        <f t="shared" ca="1" si="19"/>
        <v>6 Tahun 1 Bulan 12 Hari</v>
      </c>
    </row>
    <row r="453" spans="1:10">
      <c r="A453" s="105">
        <f t="shared" ref="A453:A516" si="20">ROW(A449)</f>
        <v>449</v>
      </c>
      <c r="B453" s="106" t="s">
        <v>1157</v>
      </c>
      <c r="C453" s="119">
        <v>141670</v>
      </c>
      <c r="D453" s="108" t="s">
        <v>9</v>
      </c>
      <c r="E453" s="108" t="s">
        <v>84</v>
      </c>
      <c r="F453" s="108" t="s">
        <v>1082</v>
      </c>
      <c r="G453" s="108" t="s">
        <v>1083</v>
      </c>
      <c r="H453" s="105" t="s">
        <v>112</v>
      </c>
      <c r="I453" s="109">
        <v>41730</v>
      </c>
      <c r="J453" s="105" t="str">
        <f t="shared" ref="J453:J454" ca="1" si="21">IF(ISNUMBER(I453),DATEDIF(I453,TODAY(),"Y")&amp;" Tahun "&amp;DATEDIF(I453,TODAY(),"YM")&amp;" Bulan "&amp;DATEDIF(I453,TODAY(),"MD")&amp;" Hari","")</f>
        <v>12 Tahun 6 Bulan 12 Hari</v>
      </c>
    </row>
    <row r="454" spans="1:10">
      <c r="A454" s="105">
        <f t="shared" si="20"/>
        <v>450</v>
      </c>
      <c r="B454" s="106" t="s">
        <v>5342</v>
      </c>
      <c r="C454" s="119">
        <v>141671</v>
      </c>
      <c r="D454" s="108" t="s">
        <v>9</v>
      </c>
      <c r="E454" s="108" t="s">
        <v>102</v>
      </c>
      <c r="F454" s="108" t="s">
        <v>1082</v>
      </c>
      <c r="G454" s="108" t="s">
        <v>1167</v>
      </c>
      <c r="H454" s="105" t="s">
        <v>112</v>
      </c>
      <c r="I454" s="109">
        <v>41730</v>
      </c>
      <c r="J454" s="105" t="str">
        <f t="shared" ca="1" si="21"/>
        <v>12 Tahun 6 Bulan 12 Hari</v>
      </c>
    </row>
    <row r="455" spans="1:10" s="137" customFormat="1">
      <c r="A455" s="105">
        <f t="shared" si="20"/>
        <v>451</v>
      </c>
      <c r="B455" s="130" t="s">
        <v>638</v>
      </c>
      <c r="C455" s="149">
        <v>83119340</v>
      </c>
      <c r="D455" s="132" t="s">
        <v>9</v>
      </c>
      <c r="E455" s="132" t="s">
        <v>39</v>
      </c>
      <c r="F455" s="132" t="s">
        <v>1082</v>
      </c>
      <c r="G455" s="132" t="s">
        <v>1083</v>
      </c>
      <c r="H455" s="129" t="s">
        <v>115</v>
      </c>
      <c r="I455" s="139">
        <v>40840</v>
      </c>
      <c r="J455" s="129" t="str">
        <f t="shared" ca="1" si="19"/>
        <v>14 Tahun 11 Bulan 19 Hari</v>
      </c>
    </row>
    <row r="456" spans="1:10">
      <c r="A456" s="105">
        <f t="shared" si="20"/>
        <v>452</v>
      </c>
      <c r="B456" s="106" t="s">
        <v>636</v>
      </c>
      <c r="C456" s="119">
        <v>142959</v>
      </c>
      <c r="D456" s="108" t="s">
        <v>9</v>
      </c>
      <c r="E456" s="108" t="s">
        <v>95</v>
      </c>
      <c r="F456" s="108" t="s">
        <v>1082</v>
      </c>
      <c r="G456" s="108" t="s">
        <v>1083</v>
      </c>
      <c r="H456" s="105" t="s">
        <v>115</v>
      </c>
      <c r="I456" s="109">
        <v>41780</v>
      </c>
      <c r="J456" s="105" t="str">
        <f ca="1">IF(ISNUMBER(I456),DATEDIF(I456,TODAY(),"Y")&amp;" Tahun "&amp;DATEDIF(I456,TODAY(),"YM")&amp;" Bulan "&amp;DATEDIF(I456,TODAY(),"MD")&amp;" Hari","")</f>
        <v>12 Tahun 4 Bulan 22 Hari</v>
      </c>
    </row>
    <row r="457" spans="1:10">
      <c r="A457" s="105">
        <f t="shared" si="20"/>
        <v>453</v>
      </c>
      <c r="B457" s="106" t="s">
        <v>641</v>
      </c>
      <c r="C457" s="119">
        <v>140533</v>
      </c>
      <c r="D457" s="108" t="s">
        <v>9</v>
      </c>
      <c r="E457" s="108" t="s">
        <v>95</v>
      </c>
      <c r="F457" s="108" t="s">
        <v>1082</v>
      </c>
      <c r="G457" s="108" t="s">
        <v>1083</v>
      </c>
      <c r="H457" s="105" t="s">
        <v>115</v>
      </c>
      <c r="I457" s="109">
        <v>41660</v>
      </c>
      <c r="J457" s="105" t="str">
        <f t="shared" ref="J457:J546" ca="1" si="22">IF(ISNUMBER(I457),DATEDIF(I457,TODAY(),"Y")&amp;" Tahun "&amp;DATEDIF(I457,TODAY(),"YM")&amp;" Bulan "&amp;DATEDIF(I457,TODAY(),"MD")&amp;" Hari","")</f>
        <v>12 Tahun 8 Bulan 22 Hari</v>
      </c>
    </row>
    <row r="458" spans="1:10">
      <c r="A458" s="105">
        <f t="shared" si="20"/>
        <v>454</v>
      </c>
      <c r="B458" s="106" t="s">
        <v>642</v>
      </c>
      <c r="C458" s="119">
        <v>83119337</v>
      </c>
      <c r="D458" s="108" t="s">
        <v>9</v>
      </c>
      <c r="E458" s="108" t="s">
        <v>95</v>
      </c>
      <c r="F458" s="108" t="s">
        <v>1082</v>
      </c>
      <c r="G458" s="108" t="s">
        <v>1083</v>
      </c>
      <c r="H458" s="105" t="s">
        <v>115</v>
      </c>
      <c r="I458" s="109">
        <v>40826</v>
      </c>
      <c r="J458" s="105" t="str">
        <f t="shared" ca="1" si="22"/>
        <v>15 Tahun 0 Bulan 3 Hari</v>
      </c>
    </row>
    <row r="459" spans="1:10">
      <c r="A459" s="105">
        <f t="shared" si="20"/>
        <v>455</v>
      </c>
      <c r="B459" s="106" t="s">
        <v>643</v>
      </c>
      <c r="C459" s="119">
        <v>83119336</v>
      </c>
      <c r="D459" s="108" t="s">
        <v>9</v>
      </c>
      <c r="E459" s="108" t="s">
        <v>95</v>
      </c>
      <c r="F459" s="108" t="s">
        <v>1082</v>
      </c>
      <c r="G459" s="108" t="s">
        <v>1083</v>
      </c>
      <c r="H459" s="105" t="s">
        <v>115</v>
      </c>
      <c r="I459" s="109">
        <v>40840</v>
      </c>
      <c r="J459" s="105" t="str">
        <f t="shared" ca="1" si="22"/>
        <v>14 Tahun 11 Bulan 19 Hari</v>
      </c>
    </row>
    <row r="460" spans="1:10">
      <c r="A460" s="105">
        <f t="shared" si="20"/>
        <v>456</v>
      </c>
      <c r="B460" s="106" t="s">
        <v>644</v>
      </c>
      <c r="C460" s="119">
        <v>83119339</v>
      </c>
      <c r="D460" s="108" t="s">
        <v>9</v>
      </c>
      <c r="E460" s="108" t="s">
        <v>95</v>
      </c>
      <c r="F460" s="108" t="s">
        <v>1082</v>
      </c>
      <c r="G460" s="108" t="s">
        <v>1083</v>
      </c>
      <c r="H460" s="105" t="s">
        <v>115</v>
      </c>
      <c r="I460" s="109">
        <v>40827</v>
      </c>
      <c r="J460" s="105" t="str">
        <f t="shared" ca="1" si="22"/>
        <v>15 Tahun 0 Bulan 2 Hari</v>
      </c>
    </row>
    <row r="461" spans="1:10">
      <c r="A461" s="105">
        <f t="shared" si="20"/>
        <v>457</v>
      </c>
      <c r="B461" s="106" t="s">
        <v>645</v>
      </c>
      <c r="C461" s="119">
        <v>135668</v>
      </c>
      <c r="D461" s="108" t="s">
        <v>9</v>
      </c>
      <c r="E461" s="108" t="s">
        <v>95</v>
      </c>
      <c r="F461" s="108" t="s">
        <v>1082</v>
      </c>
      <c r="G461" s="108" t="s">
        <v>1083</v>
      </c>
      <c r="H461" s="105" t="s">
        <v>115</v>
      </c>
      <c r="I461" s="109">
        <v>41603</v>
      </c>
      <c r="J461" s="105" t="str">
        <f t="shared" ca="1" si="22"/>
        <v>12 Tahun 10 Bulan 18 Hari</v>
      </c>
    </row>
    <row r="462" spans="1:10">
      <c r="A462" s="105">
        <f t="shared" si="20"/>
        <v>458</v>
      </c>
      <c r="B462" s="105" t="s">
        <v>1159</v>
      </c>
      <c r="C462" s="105">
        <v>83104988</v>
      </c>
      <c r="D462" s="108" t="s">
        <v>11</v>
      </c>
      <c r="E462" s="108" t="s">
        <v>84</v>
      </c>
      <c r="F462" s="108" t="s">
        <v>1082</v>
      </c>
      <c r="G462" s="108" t="s">
        <v>1083</v>
      </c>
      <c r="H462" s="105" t="s">
        <v>116</v>
      </c>
      <c r="I462" s="109">
        <v>40498</v>
      </c>
      <c r="J462" s="105" t="str">
        <f t="shared" ref="J462:J464" ca="1" si="23">IF(ISNUMBER(I462),DATEDIF(I462,TODAY(),"Y")&amp;" Tahun "&amp;DATEDIF(I462,TODAY(),"YM")&amp;" Bulan "&amp;DATEDIF(I462,TODAY(),"MD")&amp;" Hari","")</f>
        <v>15 Tahun 10 Bulan 27 Hari</v>
      </c>
    </row>
    <row r="463" spans="1:10">
      <c r="A463" s="105">
        <f t="shared" si="20"/>
        <v>459</v>
      </c>
      <c r="B463" s="105" t="s">
        <v>1160</v>
      </c>
      <c r="C463" s="105">
        <v>147959</v>
      </c>
      <c r="D463" s="108" t="s">
        <v>11</v>
      </c>
      <c r="E463" s="108" t="s">
        <v>84</v>
      </c>
      <c r="F463" s="108" t="s">
        <v>1082</v>
      </c>
      <c r="G463" s="108" t="s">
        <v>1083</v>
      </c>
      <c r="H463" s="105" t="s">
        <v>116</v>
      </c>
      <c r="I463" s="109">
        <v>41995</v>
      </c>
      <c r="J463" s="105" t="str">
        <f t="shared" ca="1" si="23"/>
        <v>11 Tahun 9 Bulan 21 Hari</v>
      </c>
    </row>
    <row r="464" spans="1:10">
      <c r="A464" s="105">
        <f t="shared" si="20"/>
        <v>460</v>
      </c>
      <c r="B464" s="105" t="s">
        <v>1161</v>
      </c>
      <c r="C464" s="105">
        <v>145843</v>
      </c>
      <c r="D464" s="108" t="s">
        <v>11</v>
      </c>
      <c r="E464" s="108" t="s">
        <v>84</v>
      </c>
      <c r="F464" s="108" t="s">
        <v>1082</v>
      </c>
      <c r="G464" s="108" t="s">
        <v>1083</v>
      </c>
      <c r="H464" s="105" t="s">
        <v>116</v>
      </c>
      <c r="I464" s="109">
        <v>41939</v>
      </c>
      <c r="J464" s="105" t="str">
        <f t="shared" ca="1" si="23"/>
        <v>11 Tahun 11 Bulan 16 Hari</v>
      </c>
    </row>
    <row r="465" spans="1:10" s="137" customFormat="1">
      <c r="A465" s="105">
        <f t="shared" si="20"/>
        <v>461</v>
      </c>
      <c r="B465" s="130" t="s">
        <v>1162</v>
      </c>
      <c r="C465" s="149">
        <v>131864</v>
      </c>
      <c r="D465" s="132" t="s">
        <v>12</v>
      </c>
      <c r="E465" s="132" t="s">
        <v>63</v>
      </c>
      <c r="F465" s="132" t="s">
        <v>1082</v>
      </c>
      <c r="G465" s="132" t="s">
        <v>1083</v>
      </c>
      <c r="H465" s="129" t="s">
        <v>116</v>
      </c>
      <c r="I465" s="139">
        <v>41410</v>
      </c>
      <c r="J465" s="129" t="str">
        <f t="shared" ca="1" si="22"/>
        <v>13 Tahun 4 Bulan 27 Hari</v>
      </c>
    </row>
    <row r="466" spans="1:10">
      <c r="A466" s="105">
        <f t="shared" si="20"/>
        <v>462</v>
      </c>
      <c r="B466" s="106" t="s">
        <v>648</v>
      </c>
      <c r="C466" s="119">
        <v>143744</v>
      </c>
      <c r="D466" s="108" t="s">
        <v>12</v>
      </c>
      <c r="E466" s="108" t="s">
        <v>84</v>
      </c>
      <c r="F466" s="108" t="s">
        <v>1082</v>
      </c>
      <c r="G466" s="108" t="s">
        <v>1083</v>
      </c>
      <c r="H466" s="105" t="s">
        <v>116</v>
      </c>
      <c r="I466" s="109">
        <v>41836</v>
      </c>
      <c r="J466" s="105" t="str">
        <f t="shared" ca="1" si="22"/>
        <v>12 Tahun 2 Bulan 27 Hari</v>
      </c>
    </row>
    <row r="467" spans="1:10">
      <c r="A467" s="105">
        <f t="shared" si="20"/>
        <v>463</v>
      </c>
      <c r="B467" s="106" t="s">
        <v>649</v>
      </c>
      <c r="C467" s="119">
        <v>143748</v>
      </c>
      <c r="D467" s="108" t="s">
        <v>12</v>
      </c>
      <c r="E467" s="108" t="s">
        <v>84</v>
      </c>
      <c r="F467" s="108" t="s">
        <v>1082</v>
      </c>
      <c r="G467" s="108" t="s">
        <v>1083</v>
      </c>
      <c r="H467" s="105" t="s">
        <v>116</v>
      </c>
      <c r="I467" s="109">
        <v>41836</v>
      </c>
      <c r="J467" s="105" t="str">
        <f t="shared" ca="1" si="22"/>
        <v>12 Tahun 2 Bulan 27 Hari</v>
      </c>
    </row>
    <row r="468" spans="1:10">
      <c r="A468" s="105">
        <f t="shared" si="20"/>
        <v>464</v>
      </c>
      <c r="B468" s="106" t="s">
        <v>650</v>
      </c>
      <c r="C468" s="119">
        <v>143745</v>
      </c>
      <c r="D468" s="108" t="s">
        <v>12</v>
      </c>
      <c r="E468" s="108" t="s">
        <v>84</v>
      </c>
      <c r="F468" s="108" t="s">
        <v>1082</v>
      </c>
      <c r="G468" s="108" t="s">
        <v>1083</v>
      </c>
      <c r="H468" s="105" t="s">
        <v>116</v>
      </c>
      <c r="I468" s="109">
        <v>41836</v>
      </c>
      <c r="J468" s="105" t="str">
        <f t="shared" ca="1" si="22"/>
        <v>12 Tahun 2 Bulan 27 Hari</v>
      </c>
    </row>
    <row r="469" spans="1:10">
      <c r="A469" s="105">
        <f t="shared" si="20"/>
        <v>465</v>
      </c>
      <c r="B469" s="106" t="s">
        <v>651</v>
      </c>
      <c r="C469" s="119">
        <v>143743</v>
      </c>
      <c r="D469" s="108" t="s">
        <v>12</v>
      </c>
      <c r="E469" s="108" t="s">
        <v>84</v>
      </c>
      <c r="F469" s="108" t="s">
        <v>1082</v>
      </c>
      <c r="G469" s="108" t="s">
        <v>1083</v>
      </c>
      <c r="H469" s="105" t="s">
        <v>116</v>
      </c>
      <c r="I469" s="109">
        <v>41836</v>
      </c>
      <c r="J469" s="105" t="str">
        <f t="shared" ca="1" si="22"/>
        <v>12 Tahun 2 Bulan 27 Hari</v>
      </c>
    </row>
    <row r="470" spans="1:10">
      <c r="A470" s="105">
        <f t="shared" si="20"/>
        <v>466</v>
      </c>
      <c r="B470" s="106" t="s">
        <v>652</v>
      </c>
      <c r="C470" s="119">
        <v>145725</v>
      </c>
      <c r="D470" s="108" t="s">
        <v>12</v>
      </c>
      <c r="E470" s="108" t="s">
        <v>84</v>
      </c>
      <c r="F470" s="108" t="s">
        <v>1082</v>
      </c>
      <c r="G470" s="108" t="s">
        <v>1083</v>
      </c>
      <c r="H470" s="105" t="s">
        <v>116</v>
      </c>
      <c r="I470" s="109">
        <v>44581</v>
      </c>
      <c r="J470" s="105" t="str">
        <f t="shared" ca="1" si="22"/>
        <v>4 Tahun 8 Bulan 23 Hari</v>
      </c>
    </row>
    <row r="471" spans="1:10">
      <c r="A471" s="105">
        <f t="shared" si="20"/>
        <v>467</v>
      </c>
      <c r="B471" s="106" t="s">
        <v>1163</v>
      </c>
      <c r="C471" s="119">
        <v>201451</v>
      </c>
      <c r="D471" s="108" t="s">
        <v>12</v>
      </c>
      <c r="E471" s="108" t="s">
        <v>84</v>
      </c>
      <c r="F471" s="108" t="s">
        <v>1082</v>
      </c>
      <c r="G471" s="108" t="s">
        <v>1083</v>
      </c>
      <c r="H471" s="105" t="s">
        <v>116</v>
      </c>
      <c r="I471" s="109">
        <v>1</v>
      </c>
      <c r="J471" s="105" t="str">
        <f t="shared" ca="1" si="22"/>
        <v>126 Tahun 9 Bulan 12 Hari</v>
      </c>
    </row>
    <row r="472" spans="1:10" s="137" customFormat="1">
      <c r="A472" s="105">
        <f t="shared" si="20"/>
        <v>468</v>
      </c>
      <c r="B472" s="130" t="s">
        <v>660</v>
      </c>
      <c r="C472" s="142">
        <v>240881</v>
      </c>
      <c r="D472" s="132" t="s">
        <v>12</v>
      </c>
      <c r="E472" s="132" t="s">
        <v>40</v>
      </c>
      <c r="F472" s="132" t="s">
        <v>1084</v>
      </c>
      <c r="G472" s="132" t="s">
        <v>1085</v>
      </c>
      <c r="H472" s="129" t="s">
        <v>115</v>
      </c>
      <c r="I472" s="139">
        <v>45463</v>
      </c>
      <c r="J472" s="129" t="str">
        <f ca="1">IF(ISNUMBER(I472),DATEDIF(I472,TODAY(),"Y")&amp;" Tahun "&amp;DATEDIF(I472,TODAY(),"YM")&amp;" Bulan "&amp;DATEDIF(I472,TODAY(),"MD")&amp;" Hari","")</f>
        <v>2 Tahun 3 Bulan 23 Hari</v>
      </c>
    </row>
    <row r="473" spans="1:10">
      <c r="A473" s="105">
        <f t="shared" si="20"/>
        <v>469</v>
      </c>
      <c r="B473" s="108" t="s">
        <v>653</v>
      </c>
      <c r="C473" s="110">
        <v>83117673</v>
      </c>
      <c r="D473" s="108" t="s">
        <v>12</v>
      </c>
      <c r="E473" s="108" t="s">
        <v>95</v>
      </c>
      <c r="F473" s="108" t="s">
        <v>1082</v>
      </c>
      <c r="G473" s="108" t="s">
        <v>1083</v>
      </c>
      <c r="H473" s="105" t="s">
        <v>115</v>
      </c>
      <c r="I473" s="109">
        <v>40725</v>
      </c>
      <c r="J473" s="105" t="str">
        <f t="shared" ca="1" si="22"/>
        <v>15 Tahun 3 Bulan 12 Hari</v>
      </c>
    </row>
    <row r="474" spans="1:10">
      <c r="A474" s="105">
        <f t="shared" si="20"/>
        <v>470</v>
      </c>
      <c r="B474" s="108" t="s">
        <v>654</v>
      </c>
      <c r="C474" s="110">
        <v>147850</v>
      </c>
      <c r="D474" s="108" t="s">
        <v>12</v>
      </c>
      <c r="E474" s="108" t="s">
        <v>95</v>
      </c>
      <c r="F474" s="108" t="s">
        <v>1082</v>
      </c>
      <c r="G474" s="108" t="s">
        <v>1083</v>
      </c>
      <c r="H474" s="105" t="s">
        <v>115</v>
      </c>
      <c r="I474" s="109">
        <v>41935</v>
      </c>
      <c r="J474" s="105" t="str">
        <f t="shared" ca="1" si="22"/>
        <v>11 Tahun 11 Bulan 20 Hari</v>
      </c>
    </row>
    <row r="475" spans="1:10">
      <c r="A475" s="105">
        <f t="shared" si="20"/>
        <v>471</v>
      </c>
      <c r="B475" s="108" t="s">
        <v>655</v>
      </c>
      <c r="C475" s="110">
        <v>146328</v>
      </c>
      <c r="D475" s="108" t="s">
        <v>12</v>
      </c>
      <c r="E475" s="108" t="s">
        <v>95</v>
      </c>
      <c r="F475" s="108" t="s">
        <v>1082</v>
      </c>
      <c r="G475" s="108" t="s">
        <v>1083</v>
      </c>
      <c r="H475" s="105" t="s">
        <v>115</v>
      </c>
      <c r="I475" s="109">
        <v>41935</v>
      </c>
      <c r="J475" s="105" t="str">
        <f t="shared" ca="1" si="22"/>
        <v>11 Tahun 11 Bulan 20 Hari</v>
      </c>
    </row>
    <row r="476" spans="1:10">
      <c r="A476" s="105">
        <f t="shared" si="20"/>
        <v>472</v>
      </c>
      <c r="B476" s="108" t="s">
        <v>656</v>
      </c>
      <c r="C476" s="110">
        <v>83117649</v>
      </c>
      <c r="D476" s="108" t="s">
        <v>12</v>
      </c>
      <c r="E476" s="108" t="s">
        <v>95</v>
      </c>
      <c r="F476" s="108" t="s">
        <v>1082</v>
      </c>
      <c r="G476" s="108" t="s">
        <v>1083</v>
      </c>
      <c r="H476" s="105" t="s">
        <v>115</v>
      </c>
      <c r="I476" s="109">
        <v>40725</v>
      </c>
      <c r="J476" s="105" t="str">
        <f t="shared" ca="1" si="22"/>
        <v>15 Tahun 3 Bulan 12 Hari</v>
      </c>
    </row>
    <row r="477" spans="1:10">
      <c r="A477" s="105">
        <f t="shared" si="20"/>
        <v>473</v>
      </c>
      <c r="B477" s="106" t="s">
        <v>657</v>
      </c>
      <c r="C477" s="284">
        <v>83117667</v>
      </c>
      <c r="D477" s="108" t="s">
        <v>12</v>
      </c>
      <c r="E477" s="108" t="s">
        <v>95</v>
      </c>
      <c r="F477" s="108" t="s">
        <v>1084</v>
      </c>
      <c r="G477" s="108" t="s">
        <v>1083</v>
      </c>
      <c r="H477" s="105" t="s">
        <v>115</v>
      </c>
      <c r="I477" s="109">
        <v>40725</v>
      </c>
      <c r="J477" s="105" t="str">
        <f t="shared" ca="1" si="22"/>
        <v>15 Tahun 3 Bulan 12 Hari</v>
      </c>
    </row>
    <row r="478" spans="1:10">
      <c r="A478" s="105">
        <f t="shared" si="20"/>
        <v>474</v>
      </c>
      <c r="B478" s="106" t="s">
        <v>658</v>
      </c>
      <c r="C478" s="284">
        <v>84130089</v>
      </c>
      <c r="D478" s="108" t="s">
        <v>12</v>
      </c>
      <c r="E478" s="108" t="s">
        <v>95</v>
      </c>
      <c r="F478" s="108" t="s">
        <v>1084</v>
      </c>
      <c r="G478" s="108" t="s">
        <v>1083</v>
      </c>
      <c r="H478" s="105" t="s">
        <v>115</v>
      </c>
      <c r="I478" s="109">
        <v>41275</v>
      </c>
      <c r="J478" s="105" t="str">
        <f t="shared" ca="1" si="22"/>
        <v>13 Tahun 9 Bulan 12 Hari</v>
      </c>
    </row>
    <row r="479" spans="1:10">
      <c r="A479" s="105">
        <f t="shared" si="20"/>
        <v>475</v>
      </c>
      <c r="B479" s="106" t="s">
        <v>659</v>
      </c>
      <c r="C479" s="284">
        <v>145063</v>
      </c>
      <c r="D479" s="108" t="s">
        <v>12</v>
      </c>
      <c r="E479" s="108" t="s">
        <v>95</v>
      </c>
      <c r="F479" s="108" t="s">
        <v>1084</v>
      </c>
      <c r="G479" s="108" t="s">
        <v>1083</v>
      </c>
      <c r="H479" s="105" t="s">
        <v>115</v>
      </c>
      <c r="I479" s="109">
        <v>41887</v>
      </c>
      <c r="J479" s="105" t="str">
        <f t="shared" ca="1" si="22"/>
        <v>12 Tahun 1 Bulan 8 Hari</v>
      </c>
    </row>
    <row r="480" spans="1:10">
      <c r="A480" s="105">
        <f t="shared" si="20"/>
        <v>476</v>
      </c>
      <c r="B480" s="106" t="s">
        <v>1164</v>
      </c>
      <c r="C480" s="284">
        <v>242414</v>
      </c>
      <c r="D480" s="108" t="s">
        <v>12</v>
      </c>
      <c r="E480" s="108" t="s">
        <v>95</v>
      </c>
      <c r="F480" s="108" t="s">
        <v>1084</v>
      </c>
      <c r="G480" s="108" t="s">
        <v>1083</v>
      </c>
      <c r="H480" s="105" t="s">
        <v>115</v>
      </c>
      <c r="I480" s="109">
        <v>45621</v>
      </c>
      <c r="J480" s="105" t="str">
        <f t="shared" ca="1" si="22"/>
        <v>1 Tahun 10 Bulan 18 Hari</v>
      </c>
    </row>
    <row r="481" spans="1:10">
      <c r="A481" s="105">
        <f t="shared" si="20"/>
        <v>477</v>
      </c>
      <c r="B481" s="106" t="s">
        <v>663</v>
      </c>
      <c r="C481" s="284">
        <v>250409</v>
      </c>
      <c r="D481" s="108" t="s">
        <v>12</v>
      </c>
      <c r="E481" s="108" t="s">
        <v>95</v>
      </c>
      <c r="F481" s="108" t="s">
        <v>1084</v>
      </c>
      <c r="G481" s="108" t="s">
        <v>1085</v>
      </c>
      <c r="H481" s="105" t="s">
        <v>115</v>
      </c>
      <c r="I481" s="109">
        <v>45720</v>
      </c>
      <c r="J481" s="105" t="str">
        <f t="shared" ca="1" si="22"/>
        <v>1 Tahun 7 Bulan 9 Hari</v>
      </c>
    </row>
    <row r="482" spans="1:10">
      <c r="A482" s="105">
        <f t="shared" si="20"/>
        <v>478</v>
      </c>
      <c r="B482" s="106" t="s">
        <v>1166</v>
      </c>
      <c r="C482" s="376">
        <v>142710</v>
      </c>
      <c r="D482" s="108" t="s">
        <v>18</v>
      </c>
      <c r="E482" s="108" t="s">
        <v>84</v>
      </c>
      <c r="F482" s="108" t="s">
        <v>1082</v>
      </c>
      <c r="G482" s="108" t="s">
        <v>1167</v>
      </c>
      <c r="H482" s="105" t="s">
        <v>112</v>
      </c>
      <c r="I482" s="128">
        <v>44075</v>
      </c>
      <c r="J482" s="105" t="str">
        <f t="shared" ca="1" si="22"/>
        <v>6 Tahun 1 Bulan 12 Hari</v>
      </c>
    </row>
    <row r="483" spans="1:10">
      <c r="A483" s="105">
        <f t="shared" si="20"/>
        <v>479</v>
      </c>
      <c r="B483" s="106" t="s">
        <v>1168</v>
      </c>
      <c r="C483" s="376">
        <v>150639</v>
      </c>
      <c r="D483" s="108" t="s">
        <v>18</v>
      </c>
      <c r="E483" s="108" t="s">
        <v>84</v>
      </c>
      <c r="F483" s="108" t="s">
        <v>1082</v>
      </c>
      <c r="G483" s="108" t="s">
        <v>1083</v>
      </c>
      <c r="H483" s="105" t="s">
        <v>112</v>
      </c>
      <c r="I483" s="109">
        <v>42044</v>
      </c>
      <c r="J483" s="105" t="str">
        <f t="shared" ca="1" si="22"/>
        <v>11 Tahun 8 Bulan 4 Hari</v>
      </c>
    </row>
    <row r="484" spans="1:10">
      <c r="A484" s="105">
        <f t="shared" si="20"/>
        <v>480</v>
      </c>
      <c r="B484" s="106" t="s">
        <v>1169</v>
      </c>
      <c r="C484" s="376">
        <v>142711</v>
      </c>
      <c r="D484" s="108" t="s">
        <v>18</v>
      </c>
      <c r="E484" s="108" t="s">
        <v>84</v>
      </c>
      <c r="F484" s="108" t="s">
        <v>1082</v>
      </c>
      <c r="G484" s="108" t="s">
        <v>1083</v>
      </c>
      <c r="H484" s="105" t="s">
        <v>112</v>
      </c>
      <c r="I484" s="109">
        <v>41775</v>
      </c>
      <c r="J484" s="105" t="str">
        <f t="shared" ca="1" si="22"/>
        <v>12 Tahun 4 Bulan 27 Hari</v>
      </c>
    </row>
    <row r="485" spans="1:10" s="137" customFormat="1">
      <c r="A485" s="105">
        <f t="shared" si="20"/>
        <v>481</v>
      </c>
      <c r="B485" s="132" t="s">
        <v>576</v>
      </c>
      <c r="C485" s="148">
        <v>141441</v>
      </c>
      <c r="D485" s="132" t="s">
        <v>19</v>
      </c>
      <c r="E485" s="108" t="s">
        <v>84</v>
      </c>
      <c r="F485" s="132" t="s">
        <v>1082</v>
      </c>
      <c r="G485" s="132" t="s">
        <v>1083</v>
      </c>
      <c r="H485" s="129" t="s">
        <v>112</v>
      </c>
      <c r="I485" s="139">
        <v>41715</v>
      </c>
      <c r="J485" s="129" t="str">
        <f ca="1">IF(ISNUMBER(I485),DATEDIF(I485,TODAY(),"Y")&amp;" Tahun "&amp;DATEDIF(I485,TODAY(),"YM")&amp;" Bulan "&amp;DATEDIF(I485,TODAY(),"MD")&amp;" Hari","")</f>
        <v>12 Tahun 6 Bulan 26 Hari</v>
      </c>
    </row>
    <row r="486" spans="1:10">
      <c r="A486" s="105">
        <f t="shared" si="20"/>
        <v>482</v>
      </c>
      <c r="B486" s="106" t="s">
        <v>622</v>
      </c>
      <c r="C486" s="284">
        <v>146656</v>
      </c>
      <c r="D486" s="108" t="s">
        <v>19</v>
      </c>
      <c r="E486" s="108" t="s">
        <v>84</v>
      </c>
      <c r="F486" s="108" t="s">
        <v>1084</v>
      </c>
      <c r="G486" s="108" t="s">
        <v>1083</v>
      </c>
      <c r="H486" s="105" t="s">
        <v>112</v>
      </c>
      <c r="I486" s="109">
        <v>41944</v>
      </c>
      <c r="J486" s="105" t="str">
        <f ca="1">IF(ISNUMBER(I486),DATEDIF(I486,TODAY(),"Y")&amp;" Tahun "&amp;DATEDIF(I486,TODAY(),"YM")&amp;" Bulan "&amp;DATEDIF(I486,TODAY(),"MD")&amp;" Hari","")</f>
        <v>11 Tahun 11 Bulan 12 Hari</v>
      </c>
    </row>
    <row r="487" spans="1:10" s="137" customFormat="1">
      <c r="A487" s="105">
        <f t="shared" si="20"/>
        <v>483</v>
      </c>
      <c r="B487" s="132" t="s">
        <v>184</v>
      </c>
      <c r="C487" s="148">
        <v>83123713</v>
      </c>
      <c r="D487" s="132" t="s">
        <v>13</v>
      </c>
      <c r="E487" s="132" t="s">
        <v>106</v>
      </c>
      <c r="F487" s="132" t="s">
        <v>1082</v>
      </c>
      <c r="G487" s="132" t="s">
        <v>1083</v>
      </c>
      <c r="H487" s="129" t="s">
        <v>112</v>
      </c>
      <c r="I487" s="139">
        <v>41172</v>
      </c>
      <c r="J487" s="129" t="str">
        <f t="shared" ca="1" si="22"/>
        <v>14 Tahun 0 Bulan 23 Hari</v>
      </c>
    </row>
    <row r="488" spans="1:10">
      <c r="A488" s="105">
        <f t="shared" si="20"/>
        <v>484</v>
      </c>
      <c r="B488" s="108" t="s">
        <v>1170</v>
      </c>
      <c r="C488" s="379">
        <v>132911</v>
      </c>
      <c r="D488" s="108" t="s">
        <v>13</v>
      </c>
      <c r="E488" s="108" t="s">
        <v>84</v>
      </c>
      <c r="F488" s="108" t="s">
        <v>1082</v>
      </c>
      <c r="G488" s="108" t="s">
        <v>1083</v>
      </c>
      <c r="H488" s="105" t="s">
        <v>112</v>
      </c>
      <c r="I488" s="109">
        <v>41456</v>
      </c>
      <c r="J488" s="105" t="str">
        <f t="shared" ca="1" si="22"/>
        <v>13 Tahun 3 Bulan 12 Hari</v>
      </c>
    </row>
    <row r="489" spans="1:10">
      <c r="A489" s="105">
        <f t="shared" si="20"/>
        <v>485</v>
      </c>
      <c r="B489" s="108" t="s">
        <v>1171</v>
      </c>
      <c r="C489" s="379">
        <v>83122936</v>
      </c>
      <c r="D489" s="108" t="s">
        <v>13</v>
      </c>
      <c r="E489" s="108" t="s">
        <v>84</v>
      </c>
      <c r="F489" s="108" t="s">
        <v>1082</v>
      </c>
      <c r="G489" s="108" t="s">
        <v>1083</v>
      </c>
      <c r="H489" s="105" t="s">
        <v>112</v>
      </c>
      <c r="I489" s="109">
        <v>41120</v>
      </c>
      <c r="J489" s="105" t="str">
        <f t="shared" ca="1" si="22"/>
        <v>14 Tahun 2 Bulan 13 Hari</v>
      </c>
    </row>
    <row r="490" spans="1:10">
      <c r="A490" s="105">
        <f t="shared" si="20"/>
        <v>486</v>
      </c>
      <c r="B490" s="108" t="s">
        <v>1172</v>
      </c>
      <c r="C490" s="379">
        <v>83122937</v>
      </c>
      <c r="D490" s="108" t="s">
        <v>13</v>
      </c>
      <c r="E490" s="108" t="s">
        <v>84</v>
      </c>
      <c r="F490" s="108" t="s">
        <v>1082</v>
      </c>
      <c r="G490" s="108" t="s">
        <v>1083</v>
      </c>
      <c r="H490" s="105" t="s">
        <v>112</v>
      </c>
      <c r="I490" s="109">
        <v>41120</v>
      </c>
      <c r="J490" s="105" t="str">
        <f t="shared" ca="1" si="22"/>
        <v>14 Tahun 2 Bulan 13 Hari</v>
      </c>
    </row>
    <row r="491" spans="1:10">
      <c r="A491" s="105">
        <f t="shared" si="20"/>
        <v>487</v>
      </c>
      <c r="B491" s="108" t="s">
        <v>1173</v>
      </c>
      <c r="C491" s="379">
        <v>83115978</v>
      </c>
      <c r="D491" s="108" t="s">
        <v>13</v>
      </c>
      <c r="E491" s="108" t="s">
        <v>84</v>
      </c>
      <c r="F491" s="108" t="s">
        <v>1082</v>
      </c>
      <c r="G491" s="108" t="s">
        <v>1083</v>
      </c>
      <c r="H491" s="105" t="s">
        <v>112</v>
      </c>
      <c r="I491" s="109">
        <v>40588</v>
      </c>
      <c r="J491" s="105" t="str">
        <f t="shared" ca="1" si="22"/>
        <v>15 Tahun 7 Bulan 29 Hari</v>
      </c>
    </row>
    <row r="492" spans="1:10" s="137" customFormat="1">
      <c r="A492" s="105">
        <f t="shared" si="20"/>
        <v>488</v>
      </c>
      <c r="B492" s="132" t="s">
        <v>666</v>
      </c>
      <c r="C492" s="149">
        <v>143965</v>
      </c>
      <c r="D492" s="132" t="s">
        <v>15</v>
      </c>
      <c r="E492" s="132" t="s">
        <v>104</v>
      </c>
      <c r="F492" s="132" t="s">
        <v>1082</v>
      </c>
      <c r="G492" s="132" t="s">
        <v>1083</v>
      </c>
      <c r="H492" s="129" t="s">
        <v>116</v>
      </c>
      <c r="I492" s="139">
        <v>41836</v>
      </c>
      <c r="J492" s="129" t="str">
        <f t="shared" ca="1" si="22"/>
        <v>12 Tahun 2 Bulan 27 Hari</v>
      </c>
    </row>
    <row r="493" spans="1:10">
      <c r="A493" s="105">
        <f t="shared" si="20"/>
        <v>489</v>
      </c>
      <c r="B493" s="108" t="s">
        <v>1174</v>
      </c>
      <c r="C493" s="119">
        <v>83102125</v>
      </c>
      <c r="D493" s="108" t="s">
        <v>15</v>
      </c>
      <c r="E493" s="108" t="s">
        <v>84</v>
      </c>
      <c r="F493" s="108" t="s">
        <v>1082</v>
      </c>
      <c r="G493" s="108" t="s">
        <v>1083</v>
      </c>
      <c r="H493" s="105" t="s">
        <v>116</v>
      </c>
      <c r="I493" s="109">
        <v>40282</v>
      </c>
      <c r="J493" s="105" t="str">
        <f t="shared" ca="1" si="22"/>
        <v>16 Tahun 5 Bulan 29 Hari</v>
      </c>
    </row>
    <row r="494" spans="1:10">
      <c r="A494" s="105">
        <f t="shared" si="20"/>
        <v>490</v>
      </c>
      <c r="B494" s="108" t="s">
        <v>1175</v>
      </c>
      <c r="C494" s="119">
        <v>83130394</v>
      </c>
      <c r="D494" s="108" t="s">
        <v>15</v>
      </c>
      <c r="E494" s="108" t="s">
        <v>84</v>
      </c>
      <c r="F494" s="108" t="s">
        <v>1082</v>
      </c>
      <c r="G494" s="108" t="s">
        <v>1083</v>
      </c>
      <c r="H494" s="105" t="s">
        <v>116</v>
      </c>
      <c r="I494" s="109">
        <v>41307</v>
      </c>
      <c r="J494" s="105" t="str">
        <f t="shared" ca="1" si="22"/>
        <v>13 Tahun 8 Bulan 11 Hari</v>
      </c>
    </row>
    <row r="495" spans="1:10">
      <c r="A495" s="105">
        <f t="shared" si="20"/>
        <v>491</v>
      </c>
      <c r="B495" s="108" t="s">
        <v>1176</v>
      </c>
      <c r="C495" s="119">
        <v>135415</v>
      </c>
      <c r="D495" s="108" t="s">
        <v>15</v>
      </c>
      <c r="E495" s="108" t="s">
        <v>84</v>
      </c>
      <c r="F495" s="108" t="s">
        <v>1082</v>
      </c>
      <c r="G495" s="108" t="s">
        <v>1083</v>
      </c>
      <c r="H495" s="105" t="s">
        <v>116</v>
      </c>
      <c r="I495" s="109">
        <v>41603</v>
      </c>
      <c r="J495" s="105" t="str">
        <f t="shared" ca="1" si="22"/>
        <v>12 Tahun 10 Bulan 18 Hari</v>
      </c>
    </row>
    <row r="496" spans="1:10">
      <c r="A496" s="105">
        <f t="shared" si="20"/>
        <v>492</v>
      </c>
      <c r="B496" s="106" t="s">
        <v>1177</v>
      </c>
      <c r="C496" s="112">
        <v>83074619</v>
      </c>
      <c r="D496" s="108" t="s">
        <v>15</v>
      </c>
      <c r="E496" s="108" t="s">
        <v>84</v>
      </c>
      <c r="F496" s="108" t="s">
        <v>1082</v>
      </c>
      <c r="G496" s="108" t="s">
        <v>1083</v>
      </c>
      <c r="H496" s="105" t="s">
        <v>116</v>
      </c>
      <c r="I496" s="109">
        <v>39183</v>
      </c>
      <c r="J496" s="105" t="str">
        <f ca="1">IF(ISNUMBER(I496),DATEDIF(I496,TODAY(),"Y")&amp;" Tahun "&amp;DATEDIF(I496,TODAY(),"YM")&amp;" Bulan "&amp;DATEDIF(I496,TODAY(),"MD")&amp;" Hari","")</f>
        <v>19 Tahun 6 Bulan 2 Hari</v>
      </c>
    </row>
    <row r="497" spans="1:10" s="137" customFormat="1">
      <c r="A497" s="105">
        <f t="shared" si="20"/>
        <v>493</v>
      </c>
      <c r="B497" s="132" t="s">
        <v>1178</v>
      </c>
      <c r="C497" s="149">
        <v>83123157</v>
      </c>
      <c r="D497" s="132" t="s">
        <v>14</v>
      </c>
      <c r="E497" s="132" t="s">
        <v>70</v>
      </c>
      <c r="F497" s="132" t="s">
        <v>1082</v>
      </c>
      <c r="G497" s="132" t="s">
        <v>1083</v>
      </c>
      <c r="H497" s="129" t="s">
        <v>116</v>
      </c>
      <c r="I497" s="139">
        <v>41122</v>
      </c>
      <c r="J497" s="129" t="str">
        <f t="shared" ca="1" si="22"/>
        <v>14 Tahun 2 Bulan 12 Hari</v>
      </c>
    </row>
    <row r="498" spans="1:10">
      <c r="A498" s="105">
        <f t="shared" si="20"/>
        <v>494</v>
      </c>
      <c r="B498" s="105" t="s">
        <v>1180</v>
      </c>
      <c r="C498" s="105">
        <v>83118305</v>
      </c>
      <c r="D498" s="108" t="s">
        <v>14</v>
      </c>
      <c r="E498" s="108" t="s">
        <v>84</v>
      </c>
      <c r="F498" s="108" t="s">
        <v>1082</v>
      </c>
      <c r="G498" s="108" t="s">
        <v>1083</v>
      </c>
      <c r="H498" s="105" t="s">
        <v>116</v>
      </c>
      <c r="I498" s="109">
        <v>40794</v>
      </c>
      <c r="J498" s="105" t="str">
        <f t="shared" ca="1" si="22"/>
        <v>15 Tahun 1 Bulan 5 Hari</v>
      </c>
    </row>
    <row r="499" spans="1:10">
      <c r="A499" s="105">
        <f t="shared" si="20"/>
        <v>495</v>
      </c>
      <c r="B499" s="105" t="s">
        <v>1181</v>
      </c>
      <c r="C499" s="105">
        <v>87074719</v>
      </c>
      <c r="D499" s="108" t="s">
        <v>14</v>
      </c>
      <c r="E499" s="108" t="s">
        <v>84</v>
      </c>
      <c r="F499" s="108" t="s">
        <v>1082</v>
      </c>
      <c r="G499" s="108" t="s">
        <v>1083</v>
      </c>
      <c r="H499" s="105" t="s">
        <v>116</v>
      </c>
      <c r="I499" s="109">
        <v>39206</v>
      </c>
      <c r="J499" s="105" t="str">
        <f t="shared" ca="1" si="22"/>
        <v>19 Tahun 5 Bulan 9 Hari</v>
      </c>
    </row>
    <row r="500" spans="1:10">
      <c r="A500" s="105">
        <f t="shared" si="20"/>
        <v>496</v>
      </c>
      <c r="B500" s="105" t="s">
        <v>1182</v>
      </c>
      <c r="C500" s="105">
        <v>83102598</v>
      </c>
      <c r="D500" s="108" t="s">
        <v>14</v>
      </c>
      <c r="E500" s="108" t="s">
        <v>84</v>
      </c>
      <c r="F500" s="108" t="s">
        <v>1082</v>
      </c>
      <c r="G500" s="108" t="s">
        <v>1083</v>
      </c>
      <c r="H500" s="105" t="s">
        <v>116</v>
      </c>
      <c r="I500" s="109">
        <v>40311</v>
      </c>
      <c r="J500" s="105" t="str">
        <f t="shared" ca="1" si="22"/>
        <v>16 Tahun 5 Bulan 0 Hari</v>
      </c>
    </row>
    <row r="501" spans="1:10">
      <c r="A501" s="105">
        <f t="shared" si="20"/>
        <v>497</v>
      </c>
      <c r="B501" s="105" t="s">
        <v>1183</v>
      </c>
      <c r="C501" s="105">
        <v>83117855</v>
      </c>
      <c r="D501" s="108" t="s">
        <v>14</v>
      </c>
      <c r="E501" s="108" t="s">
        <v>84</v>
      </c>
      <c r="F501" s="108" t="s">
        <v>1082</v>
      </c>
      <c r="G501" s="108" t="s">
        <v>1083</v>
      </c>
      <c r="H501" s="105" t="s">
        <v>116</v>
      </c>
      <c r="I501" s="109">
        <v>40749</v>
      </c>
      <c r="J501" s="105" t="str">
        <f t="shared" ca="1" si="22"/>
        <v>15 Tahun 2 Bulan 18 Hari</v>
      </c>
    </row>
    <row r="502" spans="1:10" s="137" customFormat="1">
      <c r="A502" s="105">
        <f t="shared" si="20"/>
        <v>498</v>
      </c>
      <c r="B502" s="132" t="s">
        <v>116</v>
      </c>
      <c r="C502" s="150">
        <v>83086608</v>
      </c>
      <c r="D502" s="132" t="s">
        <v>16</v>
      </c>
      <c r="E502" s="130" t="s">
        <v>92</v>
      </c>
      <c r="F502" s="132" t="s">
        <v>1082</v>
      </c>
      <c r="G502" s="132" t="s">
        <v>1083</v>
      </c>
      <c r="H502" s="129" t="s">
        <v>114</v>
      </c>
      <c r="I502" s="139">
        <v>39527</v>
      </c>
      <c r="J502" s="129" t="str">
        <f t="shared" ca="1" si="22"/>
        <v>18 Tahun 6 Bulan 23 Hari</v>
      </c>
    </row>
    <row r="503" spans="1:10" s="137" customFormat="1">
      <c r="A503" s="105">
        <f t="shared" si="20"/>
        <v>499</v>
      </c>
      <c r="B503" s="132" t="s">
        <v>668</v>
      </c>
      <c r="C503" s="150">
        <v>83123141</v>
      </c>
      <c r="D503" s="132" t="s">
        <v>16</v>
      </c>
      <c r="E503" s="132" t="s">
        <v>71</v>
      </c>
      <c r="F503" s="132" t="s">
        <v>1082</v>
      </c>
      <c r="G503" s="132" t="s">
        <v>1083</v>
      </c>
      <c r="H503" s="129" t="s">
        <v>116</v>
      </c>
      <c r="I503" s="139">
        <v>41122</v>
      </c>
      <c r="J503" s="129" t="str">
        <f t="shared" ca="1" si="22"/>
        <v>14 Tahun 2 Bulan 12 Hari</v>
      </c>
    </row>
    <row r="504" spans="1:10">
      <c r="A504" s="105">
        <f t="shared" si="20"/>
        <v>500</v>
      </c>
      <c r="B504" s="108" t="s">
        <v>670</v>
      </c>
      <c r="C504" s="285">
        <v>83123151</v>
      </c>
      <c r="D504" s="108" t="s">
        <v>16</v>
      </c>
      <c r="E504" s="108" t="s">
        <v>84</v>
      </c>
      <c r="F504" s="108" t="s">
        <v>1082</v>
      </c>
      <c r="G504" s="108" t="s">
        <v>1083</v>
      </c>
      <c r="H504" s="105" t="s">
        <v>116</v>
      </c>
      <c r="I504" s="109">
        <v>41122</v>
      </c>
      <c r="J504" s="105" t="str">
        <f t="shared" ca="1" si="22"/>
        <v>14 Tahun 2 Bulan 12 Hari</v>
      </c>
    </row>
    <row r="505" spans="1:10">
      <c r="A505" s="105">
        <f t="shared" si="20"/>
        <v>501</v>
      </c>
      <c r="B505" s="108" t="s">
        <v>671</v>
      </c>
      <c r="C505" s="285">
        <v>143960</v>
      </c>
      <c r="D505" s="108" t="s">
        <v>16</v>
      </c>
      <c r="E505" s="108" t="s">
        <v>84</v>
      </c>
      <c r="F505" s="108" t="s">
        <v>1082</v>
      </c>
      <c r="G505" s="108" t="s">
        <v>1083</v>
      </c>
      <c r="H505" s="105" t="s">
        <v>116</v>
      </c>
      <c r="I505" s="109">
        <v>41836</v>
      </c>
      <c r="J505" s="105" t="str">
        <f t="shared" ca="1" si="22"/>
        <v>12 Tahun 2 Bulan 27 Hari</v>
      </c>
    </row>
    <row r="506" spans="1:10">
      <c r="A506" s="105">
        <f t="shared" si="20"/>
        <v>502</v>
      </c>
      <c r="B506" s="108" t="s">
        <v>672</v>
      </c>
      <c r="C506" s="285">
        <v>83123152</v>
      </c>
      <c r="D506" s="108" t="s">
        <v>16</v>
      </c>
      <c r="E506" s="108" t="s">
        <v>84</v>
      </c>
      <c r="F506" s="108" t="s">
        <v>1082</v>
      </c>
      <c r="G506" s="108" t="s">
        <v>1083</v>
      </c>
      <c r="H506" s="105" t="s">
        <v>116</v>
      </c>
      <c r="I506" s="109">
        <v>41122</v>
      </c>
      <c r="J506" s="105" t="str">
        <f t="shared" ca="1" si="22"/>
        <v>14 Tahun 2 Bulan 12 Hari</v>
      </c>
    </row>
    <row r="507" spans="1:10">
      <c r="A507" s="105">
        <f t="shared" si="20"/>
        <v>503</v>
      </c>
      <c r="B507" s="108" t="s">
        <v>1184</v>
      </c>
      <c r="C507" s="285">
        <v>84099753</v>
      </c>
      <c r="D507" s="108" t="s">
        <v>16</v>
      </c>
      <c r="E507" s="108" t="s">
        <v>84</v>
      </c>
      <c r="F507" s="108" t="s">
        <v>1082</v>
      </c>
      <c r="G507" s="108" t="s">
        <v>1083</v>
      </c>
      <c r="H507" s="105" t="s">
        <v>116</v>
      </c>
      <c r="I507" s="109">
        <v>39939</v>
      </c>
      <c r="J507" s="105" t="str">
        <f t="shared" ca="1" si="22"/>
        <v>17 Tahun 5 Bulan 7 Hari</v>
      </c>
    </row>
    <row r="508" spans="1:10">
      <c r="A508" s="105">
        <f t="shared" si="20"/>
        <v>504</v>
      </c>
      <c r="B508" s="108" t="s">
        <v>673</v>
      </c>
      <c r="C508" s="285">
        <v>83123159</v>
      </c>
      <c r="D508" s="108" t="s">
        <v>16</v>
      </c>
      <c r="E508" s="108" t="s">
        <v>84</v>
      </c>
      <c r="F508" s="108" t="s">
        <v>1082</v>
      </c>
      <c r="G508" s="108" t="s">
        <v>1083</v>
      </c>
      <c r="H508" s="105" t="s">
        <v>116</v>
      </c>
      <c r="I508" s="109">
        <v>41122</v>
      </c>
      <c r="J508" s="105" t="str">
        <f t="shared" ca="1" si="22"/>
        <v>14 Tahun 2 Bulan 12 Hari</v>
      </c>
    </row>
    <row r="509" spans="1:10" s="137" customFormat="1">
      <c r="A509" s="105">
        <f t="shared" si="20"/>
        <v>505</v>
      </c>
      <c r="B509" s="132" t="s">
        <v>674</v>
      </c>
      <c r="C509" s="151">
        <v>143968</v>
      </c>
      <c r="D509" s="132" t="s">
        <v>16</v>
      </c>
      <c r="E509" s="132" t="s">
        <v>72</v>
      </c>
      <c r="F509" s="132" t="s">
        <v>1082</v>
      </c>
      <c r="G509" s="132" t="s">
        <v>1083</v>
      </c>
      <c r="H509" s="129" t="s">
        <v>116</v>
      </c>
      <c r="I509" s="139">
        <v>41836</v>
      </c>
      <c r="J509" s="129" t="str">
        <f t="shared" ca="1" si="22"/>
        <v>12 Tahun 2 Bulan 27 Hari</v>
      </c>
    </row>
    <row r="510" spans="1:10">
      <c r="A510" s="105">
        <f t="shared" si="20"/>
        <v>506</v>
      </c>
      <c r="B510" s="108" t="s">
        <v>189</v>
      </c>
      <c r="C510" s="285">
        <v>83123143</v>
      </c>
      <c r="D510" s="108" t="s">
        <v>16</v>
      </c>
      <c r="E510" s="108" t="s">
        <v>84</v>
      </c>
      <c r="F510" s="108" t="s">
        <v>1082</v>
      </c>
      <c r="G510" s="108" t="s">
        <v>1083</v>
      </c>
      <c r="H510" s="105" t="s">
        <v>116</v>
      </c>
      <c r="I510" s="109">
        <v>41122</v>
      </c>
      <c r="J510" s="105" t="str">
        <f t="shared" ca="1" si="22"/>
        <v>14 Tahun 2 Bulan 12 Hari</v>
      </c>
    </row>
    <row r="511" spans="1:10">
      <c r="A511" s="105">
        <f t="shared" si="20"/>
        <v>507</v>
      </c>
      <c r="B511" s="108" t="s">
        <v>190</v>
      </c>
      <c r="C511" s="380">
        <v>83123140</v>
      </c>
      <c r="D511" s="108" t="s">
        <v>16</v>
      </c>
      <c r="E511" s="108" t="s">
        <v>84</v>
      </c>
      <c r="F511" s="108" t="s">
        <v>1082</v>
      </c>
      <c r="G511" s="108" t="s">
        <v>1083</v>
      </c>
      <c r="H511" s="105" t="s">
        <v>116</v>
      </c>
      <c r="I511" s="109">
        <v>41122</v>
      </c>
      <c r="J511" s="105" t="str">
        <f t="shared" ca="1" si="22"/>
        <v>14 Tahun 2 Bulan 12 Hari</v>
      </c>
    </row>
    <row r="512" spans="1:10">
      <c r="A512" s="105">
        <f t="shared" si="20"/>
        <v>508</v>
      </c>
      <c r="B512" s="108" t="s">
        <v>191</v>
      </c>
      <c r="C512" s="380">
        <v>143956</v>
      </c>
      <c r="D512" s="108" t="s">
        <v>16</v>
      </c>
      <c r="E512" s="108" t="s">
        <v>84</v>
      </c>
      <c r="F512" s="108" t="s">
        <v>1082</v>
      </c>
      <c r="G512" s="108" t="s">
        <v>1083</v>
      </c>
      <c r="H512" s="105" t="s">
        <v>116</v>
      </c>
      <c r="I512" s="109">
        <v>41836</v>
      </c>
      <c r="J512" s="105" t="str">
        <f t="shared" ca="1" si="22"/>
        <v>12 Tahun 2 Bulan 27 Hari</v>
      </c>
    </row>
    <row r="513" spans="1:10" s="137" customFormat="1">
      <c r="A513" s="105">
        <f t="shared" si="20"/>
        <v>509</v>
      </c>
      <c r="B513" s="132" t="s">
        <v>676</v>
      </c>
      <c r="C513" s="152">
        <v>83123160</v>
      </c>
      <c r="D513" s="132" t="s">
        <v>16</v>
      </c>
      <c r="E513" s="132" t="s">
        <v>73</v>
      </c>
      <c r="F513" s="132" t="s">
        <v>1082</v>
      </c>
      <c r="G513" s="132" t="s">
        <v>1083</v>
      </c>
      <c r="H513" s="129" t="s">
        <v>116</v>
      </c>
      <c r="I513" s="139">
        <v>41122</v>
      </c>
      <c r="J513" s="129" t="str">
        <f t="shared" ca="1" si="22"/>
        <v>14 Tahun 2 Bulan 12 Hari</v>
      </c>
    </row>
    <row r="514" spans="1:10">
      <c r="A514" s="105">
        <f t="shared" si="20"/>
        <v>510</v>
      </c>
      <c r="B514" s="108" t="s">
        <v>677</v>
      </c>
      <c r="C514" s="380">
        <v>83123148</v>
      </c>
      <c r="D514" s="108" t="s">
        <v>16</v>
      </c>
      <c r="E514" s="108" t="s">
        <v>84</v>
      </c>
      <c r="F514" s="108" t="s">
        <v>1082</v>
      </c>
      <c r="G514" s="108" t="s">
        <v>1083</v>
      </c>
      <c r="H514" s="105" t="s">
        <v>116</v>
      </c>
      <c r="I514" s="109">
        <v>34430</v>
      </c>
      <c r="J514" s="105" t="str">
        <f t="shared" ca="1" si="22"/>
        <v>32 Tahun 6 Bulan 7 Hari</v>
      </c>
    </row>
    <row r="515" spans="1:10">
      <c r="A515" s="105">
        <f t="shared" si="20"/>
        <v>511</v>
      </c>
      <c r="B515" s="108" t="s">
        <v>678</v>
      </c>
      <c r="C515" s="381">
        <v>143966</v>
      </c>
      <c r="D515" s="108" t="s">
        <v>16</v>
      </c>
      <c r="E515" s="108" t="s">
        <v>84</v>
      </c>
      <c r="F515" s="108" t="s">
        <v>1082</v>
      </c>
      <c r="G515" s="108" t="s">
        <v>1083</v>
      </c>
      <c r="H515" s="105" t="s">
        <v>116</v>
      </c>
      <c r="I515" s="109">
        <v>41836</v>
      </c>
      <c r="J515" s="105" t="str">
        <f t="shared" ca="1" si="22"/>
        <v>12 Tahun 2 Bulan 27 Hari</v>
      </c>
    </row>
    <row r="516" spans="1:10">
      <c r="A516" s="105">
        <f t="shared" si="20"/>
        <v>512</v>
      </c>
      <c r="B516" s="108" t="s">
        <v>679</v>
      </c>
      <c r="C516" s="380">
        <v>83123144</v>
      </c>
      <c r="D516" s="108" t="s">
        <v>16</v>
      </c>
      <c r="E516" s="108" t="s">
        <v>84</v>
      </c>
      <c r="F516" s="108" t="s">
        <v>1082</v>
      </c>
      <c r="G516" s="108" t="s">
        <v>1083</v>
      </c>
      <c r="H516" s="105" t="s">
        <v>116</v>
      </c>
      <c r="I516" s="109">
        <v>41122</v>
      </c>
      <c r="J516" s="105" t="str">
        <f t="shared" ca="1" si="22"/>
        <v>14 Tahun 2 Bulan 12 Hari</v>
      </c>
    </row>
    <row r="517" spans="1:10">
      <c r="A517" s="105">
        <f t="shared" ref="A517:A580" si="24">ROW(A513)</f>
        <v>513</v>
      </c>
      <c r="B517" s="108" t="s">
        <v>680</v>
      </c>
      <c r="C517" s="380">
        <v>222340</v>
      </c>
      <c r="D517" s="108" t="s">
        <v>16</v>
      </c>
      <c r="E517" s="108" t="s">
        <v>84</v>
      </c>
      <c r="F517" s="108" t="s">
        <v>1082</v>
      </c>
      <c r="G517" s="108" t="s">
        <v>1083</v>
      </c>
      <c r="H517" s="105" t="s">
        <v>116</v>
      </c>
      <c r="I517" s="109">
        <v>44785</v>
      </c>
      <c r="J517" s="105" t="str">
        <f t="shared" ca="1" si="22"/>
        <v>4 Tahun 2 Bulan 1 Hari</v>
      </c>
    </row>
    <row r="518" spans="1:10" s="137" customFormat="1">
      <c r="A518" s="105">
        <f t="shared" si="24"/>
        <v>514</v>
      </c>
      <c r="B518" s="132" t="s">
        <v>192</v>
      </c>
      <c r="C518" s="152">
        <v>83123145</v>
      </c>
      <c r="D518" s="132" t="s">
        <v>16</v>
      </c>
      <c r="E518" s="132" t="s">
        <v>74</v>
      </c>
      <c r="F518" s="132" t="s">
        <v>1082</v>
      </c>
      <c r="G518" s="132" t="s">
        <v>1083</v>
      </c>
      <c r="H518" s="129" t="s">
        <v>116</v>
      </c>
      <c r="I518" s="139">
        <v>41122</v>
      </c>
      <c r="J518" s="129" t="str">
        <f t="shared" ca="1" si="22"/>
        <v>14 Tahun 2 Bulan 12 Hari</v>
      </c>
    </row>
    <row r="519" spans="1:10">
      <c r="A519" s="105">
        <f t="shared" si="24"/>
        <v>515</v>
      </c>
      <c r="B519" s="108" t="s">
        <v>193</v>
      </c>
      <c r="C519" s="285">
        <v>145147</v>
      </c>
      <c r="D519" s="108" t="s">
        <v>16</v>
      </c>
      <c r="E519" s="108" t="s">
        <v>84</v>
      </c>
      <c r="F519" s="108" t="s">
        <v>1082</v>
      </c>
      <c r="G519" s="108" t="s">
        <v>1083</v>
      </c>
      <c r="H519" s="105" t="s">
        <v>116</v>
      </c>
      <c r="I519" s="109">
        <v>41898</v>
      </c>
      <c r="J519" s="105" t="str">
        <f t="shared" ca="1" si="22"/>
        <v>12 Tahun 0 Bulan 27 Hari</v>
      </c>
    </row>
    <row r="520" spans="1:10">
      <c r="A520" s="105">
        <f t="shared" si="24"/>
        <v>516</v>
      </c>
      <c r="B520" s="108" t="s">
        <v>194</v>
      </c>
      <c r="C520" s="381">
        <v>143964</v>
      </c>
      <c r="D520" s="108" t="s">
        <v>16</v>
      </c>
      <c r="E520" s="108" t="s">
        <v>84</v>
      </c>
      <c r="F520" s="108" t="s">
        <v>1082</v>
      </c>
      <c r="G520" s="108" t="s">
        <v>1083</v>
      </c>
      <c r="H520" s="105" t="s">
        <v>116</v>
      </c>
      <c r="I520" s="109">
        <v>41836</v>
      </c>
      <c r="J520" s="105" t="str">
        <f t="shared" ca="1" si="22"/>
        <v>12 Tahun 2 Bulan 27 Hari</v>
      </c>
    </row>
    <row r="521" spans="1:10">
      <c r="A521" s="105">
        <f t="shared" si="24"/>
        <v>517</v>
      </c>
      <c r="B521" s="108" t="s">
        <v>681</v>
      </c>
      <c r="C521" s="285">
        <v>143961</v>
      </c>
      <c r="D521" s="108" t="s">
        <v>16</v>
      </c>
      <c r="E521" s="108" t="s">
        <v>84</v>
      </c>
      <c r="F521" s="108" t="s">
        <v>1082</v>
      </c>
      <c r="G521" s="108" t="s">
        <v>1083</v>
      </c>
      <c r="H521" s="105" t="s">
        <v>116</v>
      </c>
      <c r="I521" s="109">
        <v>41836</v>
      </c>
      <c r="J521" s="105" t="str">
        <f t="shared" ca="1" si="22"/>
        <v>12 Tahun 2 Bulan 27 Hari</v>
      </c>
    </row>
    <row r="522" spans="1:10">
      <c r="A522" s="105">
        <f t="shared" si="24"/>
        <v>518</v>
      </c>
      <c r="B522" s="108" t="s">
        <v>1185</v>
      </c>
      <c r="C522" s="285">
        <v>83099621</v>
      </c>
      <c r="D522" s="108" t="s">
        <v>16</v>
      </c>
      <c r="E522" s="108" t="s">
        <v>84</v>
      </c>
      <c r="F522" s="108" t="s">
        <v>1082</v>
      </c>
      <c r="G522" s="108" t="s">
        <v>1083</v>
      </c>
      <c r="H522" s="105" t="s">
        <v>116</v>
      </c>
      <c r="I522" s="109">
        <v>39889</v>
      </c>
      <c r="J522" s="105" t="str">
        <f t="shared" ca="1" si="22"/>
        <v>17 Tahun 6 Bulan 26 Hari</v>
      </c>
    </row>
    <row r="523" spans="1:10">
      <c r="A523" s="105">
        <f t="shared" si="24"/>
        <v>519</v>
      </c>
      <c r="B523" s="108" t="s">
        <v>1186</v>
      </c>
      <c r="C523" s="285">
        <v>134729</v>
      </c>
      <c r="D523" s="108" t="s">
        <v>16</v>
      </c>
      <c r="E523" s="108" t="s">
        <v>84</v>
      </c>
      <c r="F523" s="108" t="s">
        <v>1082</v>
      </c>
      <c r="G523" s="108" t="s">
        <v>1083</v>
      </c>
      <c r="H523" s="105" t="s">
        <v>116</v>
      </c>
      <c r="I523" s="109">
        <v>41527</v>
      </c>
      <c r="J523" s="105" t="str">
        <f t="shared" ca="1" si="22"/>
        <v>13 Tahun 1 Bulan 3 Hari</v>
      </c>
    </row>
    <row r="524" spans="1:10">
      <c r="A524" s="105">
        <f t="shared" si="24"/>
        <v>520</v>
      </c>
      <c r="B524" s="106" t="s">
        <v>1187</v>
      </c>
      <c r="C524" s="284">
        <v>134119</v>
      </c>
      <c r="D524" s="108" t="s">
        <v>16</v>
      </c>
      <c r="E524" s="108" t="s">
        <v>102</v>
      </c>
      <c r="F524" s="108" t="s">
        <v>1082</v>
      </c>
      <c r="G524" s="108" t="s">
        <v>1083</v>
      </c>
      <c r="H524" s="105" t="s">
        <v>116</v>
      </c>
      <c r="I524" s="109">
        <v>41534</v>
      </c>
      <c r="J524" s="105" t="str">
        <f t="shared" ca="1" si="22"/>
        <v>13 Tahun 0 Bulan 26 Hari</v>
      </c>
    </row>
    <row r="525" spans="1:10">
      <c r="A525" s="105">
        <f t="shared" si="24"/>
        <v>521</v>
      </c>
      <c r="B525" s="108" t="s">
        <v>1188</v>
      </c>
      <c r="C525" s="285">
        <v>142105</v>
      </c>
      <c r="D525" s="108" t="s">
        <v>16</v>
      </c>
      <c r="E525" s="108" t="s">
        <v>20</v>
      </c>
      <c r="F525" s="108" t="s">
        <v>1082</v>
      </c>
      <c r="G525" s="108" t="s">
        <v>1083</v>
      </c>
      <c r="H525" s="105" t="s">
        <v>113</v>
      </c>
      <c r="I525" s="109">
        <v>41699</v>
      </c>
      <c r="J525" s="105" t="str">
        <f t="shared" ca="1" si="22"/>
        <v>12 Tahun 7 Bulan 12 Hari</v>
      </c>
    </row>
    <row r="526" spans="1:10">
      <c r="A526" s="105">
        <f t="shared" si="24"/>
        <v>522</v>
      </c>
      <c r="B526" s="108" t="s">
        <v>1189</v>
      </c>
      <c r="C526" s="285">
        <v>134099</v>
      </c>
      <c r="D526" s="108" t="s">
        <v>16</v>
      </c>
      <c r="E526" s="108" t="s">
        <v>20</v>
      </c>
      <c r="F526" s="108" t="s">
        <v>1082</v>
      </c>
      <c r="G526" s="108" t="s">
        <v>1083</v>
      </c>
      <c r="H526" s="105" t="s">
        <v>113</v>
      </c>
      <c r="I526" s="109">
        <v>41526</v>
      </c>
      <c r="J526" s="105" t="str">
        <f t="shared" ca="1" si="22"/>
        <v>13 Tahun 1 Bulan 4 Hari</v>
      </c>
    </row>
    <row r="527" spans="1:10">
      <c r="A527" s="105">
        <f t="shared" si="24"/>
        <v>523</v>
      </c>
      <c r="B527" s="108" t="s">
        <v>1190</v>
      </c>
      <c r="C527" s="285">
        <v>143957</v>
      </c>
      <c r="D527" s="108" t="s">
        <v>16</v>
      </c>
      <c r="E527" s="108" t="s">
        <v>20</v>
      </c>
      <c r="F527" s="108" t="s">
        <v>1082</v>
      </c>
      <c r="G527" s="108" t="s">
        <v>1083</v>
      </c>
      <c r="H527" s="105" t="s">
        <v>113</v>
      </c>
      <c r="I527" s="109">
        <v>41836</v>
      </c>
      <c r="J527" s="105" t="str">
        <f ca="1">IF(ISNUMBER(I527),DATEDIF(I527,TODAY(),"Y")&amp;" Tahun "&amp;DATEDIF(I527,TODAY(),"YM")&amp;" Bulan "&amp;DATEDIF(I527,TODAY(),"MD")&amp;" Hari","")</f>
        <v>12 Tahun 2 Bulan 27 Hari</v>
      </c>
    </row>
    <row r="528" spans="1:10" s="137" customFormat="1">
      <c r="A528" s="105">
        <f t="shared" si="24"/>
        <v>524</v>
      </c>
      <c r="B528" s="132" t="s">
        <v>682</v>
      </c>
      <c r="C528" s="153">
        <v>83104426</v>
      </c>
      <c r="D528" s="132" t="s">
        <v>16</v>
      </c>
      <c r="E528" s="132" t="s">
        <v>41</v>
      </c>
      <c r="F528" s="132" t="s">
        <v>1082</v>
      </c>
      <c r="G528" s="132" t="s">
        <v>1083</v>
      </c>
      <c r="H528" s="129" t="s">
        <v>115</v>
      </c>
      <c r="I528" s="139">
        <v>40479</v>
      </c>
      <c r="J528" s="129" t="str">
        <f t="shared" ca="1" si="22"/>
        <v>15 Tahun 11 Bulan 15 Hari</v>
      </c>
    </row>
    <row r="529" spans="1:10" s="137" customFormat="1">
      <c r="A529" s="105">
        <f t="shared" si="24"/>
        <v>525</v>
      </c>
      <c r="B529" s="132" t="s">
        <v>683</v>
      </c>
      <c r="C529" s="154">
        <v>83117269</v>
      </c>
      <c r="D529" s="132" t="s">
        <v>16</v>
      </c>
      <c r="E529" s="132" t="s">
        <v>42</v>
      </c>
      <c r="F529" s="132" t="s">
        <v>1082</v>
      </c>
      <c r="G529" s="132" t="s">
        <v>1083</v>
      </c>
      <c r="H529" s="129" t="s">
        <v>115</v>
      </c>
      <c r="I529" s="139">
        <v>40677</v>
      </c>
      <c r="J529" s="129" t="str">
        <f t="shared" ca="1" si="22"/>
        <v>15 Tahun 4 Bulan 29 Hari</v>
      </c>
    </row>
    <row r="530" spans="1:10" s="137" customFormat="1">
      <c r="A530" s="105">
        <f t="shared" si="24"/>
        <v>526</v>
      </c>
      <c r="B530" s="130" t="s">
        <v>685</v>
      </c>
      <c r="C530" s="142">
        <v>83117279</v>
      </c>
      <c r="D530" s="132" t="s">
        <v>16</v>
      </c>
      <c r="E530" s="132" t="s">
        <v>43</v>
      </c>
      <c r="F530" s="132" t="s">
        <v>1084</v>
      </c>
      <c r="G530" s="132" t="s">
        <v>1083</v>
      </c>
      <c r="H530" s="129" t="s">
        <v>115</v>
      </c>
      <c r="I530" s="139">
        <v>40688</v>
      </c>
      <c r="J530" s="129" t="str">
        <f t="shared" ca="1" si="22"/>
        <v>15 Tahun 4 Bulan 18 Hari</v>
      </c>
    </row>
    <row r="531" spans="1:10">
      <c r="A531" s="105">
        <f t="shared" si="24"/>
        <v>527</v>
      </c>
      <c r="B531" s="108" t="s">
        <v>687</v>
      </c>
      <c r="C531" s="120">
        <v>83099034</v>
      </c>
      <c r="D531" s="108" t="s">
        <v>16</v>
      </c>
      <c r="E531" s="108" t="s">
        <v>95</v>
      </c>
      <c r="F531" s="108" t="s">
        <v>1082</v>
      </c>
      <c r="G531" s="108" t="s">
        <v>1083</v>
      </c>
      <c r="H531" s="105" t="s">
        <v>115</v>
      </c>
      <c r="I531" s="109">
        <v>39825</v>
      </c>
      <c r="J531" s="105" t="str">
        <f t="shared" ca="1" si="22"/>
        <v>17 Tahun 9 Bulan 1 Hari</v>
      </c>
    </row>
    <row r="532" spans="1:10">
      <c r="A532" s="105">
        <f t="shared" si="24"/>
        <v>528</v>
      </c>
      <c r="B532" s="108" t="s">
        <v>688</v>
      </c>
      <c r="C532" s="120">
        <v>83117506</v>
      </c>
      <c r="D532" s="108" t="s">
        <v>16</v>
      </c>
      <c r="E532" s="108" t="s">
        <v>95</v>
      </c>
      <c r="F532" s="108" t="s">
        <v>1082</v>
      </c>
      <c r="G532" s="108" t="s">
        <v>1083</v>
      </c>
      <c r="H532" s="105" t="s">
        <v>115</v>
      </c>
      <c r="I532" s="109">
        <v>40722</v>
      </c>
      <c r="J532" s="105" t="str">
        <f t="shared" ca="1" si="22"/>
        <v>15 Tahun 3 Bulan 15 Hari</v>
      </c>
    </row>
    <row r="533" spans="1:10">
      <c r="A533" s="105">
        <f t="shared" si="24"/>
        <v>529</v>
      </c>
      <c r="B533" s="108" t="s">
        <v>689</v>
      </c>
      <c r="C533" s="120">
        <v>83117264</v>
      </c>
      <c r="D533" s="108" t="s">
        <v>16</v>
      </c>
      <c r="E533" s="108" t="s">
        <v>95</v>
      </c>
      <c r="F533" s="108" t="s">
        <v>1082</v>
      </c>
      <c r="G533" s="108" t="s">
        <v>1083</v>
      </c>
      <c r="H533" s="105" t="s">
        <v>115</v>
      </c>
      <c r="I533" s="109">
        <v>40677</v>
      </c>
      <c r="J533" s="105" t="str">
        <f t="shared" ca="1" si="22"/>
        <v>15 Tahun 4 Bulan 29 Hari</v>
      </c>
    </row>
    <row r="534" spans="1:10">
      <c r="A534" s="105">
        <f t="shared" si="24"/>
        <v>530</v>
      </c>
      <c r="B534" s="108" t="s">
        <v>690</v>
      </c>
      <c r="C534" s="120">
        <v>83117266</v>
      </c>
      <c r="D534" s="108" t="s">
        <v>16</v>
      </c>
      <c r="E534" s="108" t="s">
        <v>95</v>
      </c>
      <c r="F534" s="108" t="s">
        <v>1082</v>
      </c>
      <c r="G534" s="108" t="s">
        <v>1083</v>
      </c>
      <c r="H534" s="105" t="s">
        <v>115</v>
      </c>
      <c r="I534" s="109">
        <v>40677</v>
      </c>
      <c r="J534" s="105" t="str">
        <f t="shared" ca="1" si="22"/>
        <v>15 Tahun 4 Bulan 29 Hari</v>
      </c>
    </row>
    <row r="535" spans="1:10">
      <c r="A535" s="105">
        <f t="shared" si="24"/>
        <v>531</v>
      </c>
      <c r="B535" s="108" t="s">
        <v>691</v>
      </c>
      <c r="C535" s="120">
        <v>136038</v>
      </c>
      <c r="D535" s="108" t="s">
        <v>16</v>
      </c>
      <c r="E535" s="108" t="s">
        <v>95</v>
      </c>
      <c r="F535" s="108" t="s">
        <v>1082</v>
      </c>
      <c r="G535" s="108" t="s">
        <v>1083</v>
      </c>
      <c r="H535" s="105" t="s">
        <v>115</v>
      </c>
      <c r="I535" s="109">
        <v>41631</v>
      </c>
      <c r="J535" s="105" t="str">
        <f t="shared" ca="1" si="22"/>
        <v>12 Tahun 9 Bulan 20 Hari</v>
      </c>
    </row>
    <row r="536" spans="1:10">
      <c r="A536" s="105">
        <f t="shared" si="24"/>
        <v>532</v>
      </c>
      <c r="B536" s="108" t="s">
        <v>692</v>
      </c>
      <c r="C536" s="120">
        <v>148188</v>
      </c>
      <c r="D536" s="108" t="s">
        <v>16</v>
      </c>
      <c r="E536" s="108" t="s">
        <v>95</v>
      </c>
      <c r="F536" s="108" t="s">
        <v>1082</v>
      </c>
      <c r="G536" s="108" t="s">
        <v>1083</v>
      </c>
      <c r="H536" s="105" t="s">
        <v>115</v>
      </c>
      <c r="I536" s="109">
        <v>42004</v>
      </c>
      <c r="J536" s="105" t="str">
        <f t="shared" ca="1" si="22"/>
        <v>11 Tahun 9 Bulan 12 Hari</v>
      </c>
    </row>
    <row r="537" spans="1:10">
      <c r="A537" s="105">
        <f t="shared" si="24"/>
        <v>533</v>
      </c>
      <c r="B537" s="108" t="s">
        <v>693</v>
      </c>
      <c r="C537" s="120">
        <v>148190</v>
      </c>
      <c r="D537" s="108" t="s">
        <v>16</v>
      </c>
      <c r="E537" s="108" t="s">
        <v>95</v>
      </c>
      <c r="F537" s="108" t="s">
        <v>1082</v>
      </c>
      <c r="G537" s="108" t="s">
        <v>1083</v>
      </c>
      <c r="H537" s="105" t="s">
        <v>115</v>
      </c>
      <c r="I537" s="109">
        <v>42002</v>
      </c>
      <c r="J537" s="105" t="str">
        <f t="shared" ca="1" si="22"/>
        <v>11 Tahun 9 Bulan 14 Hari</v>
      </c>
    </row>
    <row r="538" spans="1:10">
      <c r="A538" s="105">
        <f t="shared" si="24"/>
        <v>534</v>
      </c>
      <c r="B538" s="108" t="s">
        <v>694</v>
      </c>
      <c r="C538" s="120">
        <v>148192</v>
      </c>
      <c r="D538" s="108" t="s">
        <v>16</v>
      </c>
      <c r="E538" s="108" t="s">
        <v>95</v>
      </c>
      <c r="F538" s="108" t="s">
        <v>1082</v>
      </c>
      <c r="G538" s="108" t="s">
        <v>1083</v>
      </c>
      <c r="H538" s="105" t="s">
        <v>115</v>
      </c>
      <c r="I538" s="109">
        <v>42002</v>
      </c>
      <c r="J538" s="105" t="str">
        <f t="shared" ca="1" si="22"/>
        <v>11 Tahun 9 Bulan 14 Hari</v>
      </c>
    </row>
    <row r="539" spans="1:10">
      <c r="A539" s="105">
        <f t="shared" si="24"/>
        <v>535</v>
      </c>
      <c r="B539" s="108" t="s">
        <v>695</v>
      </c>
      <c r="C539" s="120">
        <v>148194</v>
      </c>
      <c r="D539" s="108" t="s">
        <v>16</v>
      </c>
      <c r="E539" s="108" t="s">
        <v>95</v>
      </c>
      <c r="F539" s="108" t="s">
        <v>1082</v>
      </c>
      <c r="G539" s="108" t="s">
        <v>1083</v>
      </c>
      <c r="H539" s="105" t="s">
        <v>115</v>
      </c>
      <c r="I539" s="109">
        <v>42002</v>
      </c>
      <c r="J539" s="105" t="str">
        <f t="shared" ca="1" si="22"/>
        <v>11 Tahun 9 Bulan 14 Hari</v>
      </c>
    </row>
    <row r="540" spans="1:10">
      <c r="A540" s="105">
        <f t="shared" si="24"/>
        <v>536</v>
      </c>
      <c r="B540" s="108" t="s">
        <v>696</v>
      </c>
      <c r="C540" s="120">
        <v>148195</v>
      </c>
      <c r="D540" s="108" t="s">
        <v>16</v>
      </c>
      <c r="E540" s="108" t="s">
        <v>95</v>
      </c>
      <c r="F540" s="108" t="s">
        <v>1082</v>
      </c>
      <c r="G540" s="108" t="s">
        <v>1083</v>
      </c>
      <c r="H540" s="105" t="s">
        <v>115</v>
      </c>
      <c r="I540" s="109">
        <v>42002</v>
      </c>
      <c r="J540" s="105" t="str">
        <f t="shared" ca="1" si="22"/>
        <v>11 Tahun 9 Bulan 14 Hari</v>
      </c>
    </row>
    <row r="541" spans="1:10">
      <c r="A541" s="105">
        <f t="shared" si="24"/>
        <v>537</v>
      </c>
      <c r="B541" s="108" t="s">
        <v>697</v>
      </c>
      <c r="C541" s="120">
        <v>148200</v>
      </c>
      <c r="D541" s="108" t="s">
        <v>16</v>
      </c>
      <c r="E541" s="108" t="s">
        <v>95</v>
      </c>
      <c r="F541" s="108" t="s">
        <v>1082</v>
      </c>
      <c r="G541" s="108" t="s">
        <v>1083</v>
      </c>
      <c r="H541" s="105" t="s">
        <v>115</v>
      </c>
      <c r="I541" s="109">
        <v>42002</v>
      </c>
      <c r="J541" s="105" t="str">
        <f t="shared" ca="1" si="22"/>
        <v>11 Tahun 9 Bulan 14 Hari</v>
      </c>
    </row>
    <row r="542" spans="1:10">
      <c r="A542" s="105">
        <f t="shared" si="24"/>
        <v>538</v>
      </c>
      <c r="B542" s="108" t="s">
        <v>698</v>
      </c>
      <c r="C542" s="120">
        <v>148201</v>
      </c>
      <c r="D542" s="108" t="s">
        <v>16</v>
      </c>
      <c r="E542" s="108" t="s">
        <v>95</v>
      </c>
      <c r="F542" s="108" t="s">
        <v>1082</v>
      </c>
      <c r="G542" s="108" t="s">
        <v>1083</v>
      </c>
      <c r="H542" s="105" t="s">
        <v>115</v>
      </c>
      <c r="I542" s="109">
        <v>42002</v>
      </c>
      <c r="J542" s="105" t="str">
        <f t="shared" ca="1" si="22"/>
        <v>11 Tahun 9 Bulan 14 Hari</v>
      </c>
    </row>
    <row r="543" spans="1:10">
      <c r="A543" s="105">
        <f t="shared" si="24"/>
        <v>539</v>
      </c>
      <c r="B543" s="108" t="s">
        <v>699</v>
      </c>
      <c r="C543" s="120">
        <v>148208</v>
      </c>
      <c r="D543" s="108" t="s">
        <v>16</v>
      </c>
      <c r="E543" s="108" t="s">
        <v>95</v>
      </c>
      <c r="F543" s="108" t="s">
        <v>1082</v>
      </c>
      <c r="G543" s="108" t="s">
        <v>1083</v>
      </c>
      <c r="H543" s="105" t="s">
        <v>115</v>
      </c>
      <c r="I543" s="109">
        <v>42002</v>
      </c>
      <c r="J543" s="105" t="str">
        <f t="shared" ca="1" si="22"/>
        <v>11 Tahun 9 Bulan 14 Hari</v>
      </c>
    </row>
    <row r="544" spans="1:10">
      <c r="A544" s="105">
        <f t="shared" si="24"/>
        <v>540</v>
      </c>
      <c r="B544" s="108" t="s">
        <v>700</v>
      </c>
      <c r="C544" s="121">
        <v>162487</v>
      </c>
      <c r="D544" s="108" t="s">
        <v>16</v>
      </c>
      <c r="E544" s="108" t="s">
        <v>95</v>
      </c>
      <c r="F544" s="108" t="s">
        <v>1082</v>
      </c>
      <c r="G544" s="108" t="s">
        <v>1083</v>
      </c>
      <c r="H544" s="105" t="s">
        <v>115</v>
      </c>
      <c r="I544" s="109">
        <v>42671</v>
      </c>
      <c r="J544" s="105" t="str">
        <f t="shared" ca="1" si="22"/>
        <v>9 Tahun 11 Bulan 15 Hari</v>
      </c>
    </row>
    <row r="545" spans="1:10">
      <c r="A545" s="105">
        <f t="shared" si="24"/>
        <v>541</v>
      </c>
      <c r="B545" s="108" t="s">
        <v>701</v>
      </c>
      <c r="C545" s="120">
        <v>162490</v>
      </c>
      <c r="D545" s="108" t="s">
        <v>16</v>
      </c>
      <c r="E545" s="108" t="s">
        <v>95</v>
      </c>
      <c r="F545" s="108" t="s">
        <v>1082</v>
      </c>
      <c r="G545" s="108" t="s">
        <v>1083</v>
      </c>
      <c r="H545" s="105" t="s">
        <v>115</v>
      </c>
      <c r="I545" s="109">
        <v>42671</v>
      </c>
      <c r="J545" s="105" t="str">
        <f t="shared" ca="1" si="22"/>
        <v>9 Tahun 11 Bulan 15 Hari</v>
      </c>
    </row>
    <row r="546" spans="1:10">
      <c r="A546" s="105">
        <f t="shared" si="24"/>
        <v>542</v>
      </c>
      <c r="B546" s="108" t="s">
        <v>702</v>
      </c>
      <c r="C546" s="120">
        <v>162491</v>
      </c>
      <c r="D546" s="108" t="s">
        <v>16</v>
      </c>
      <c r="E546" s="108" t="s">
        <v>95</v>
      </c>
      <c r="F546" s="108" t="s">
        <v>1082</v>
      </c>
      <c r="G546" s="108" t="s">
        <v>1083</v>
      </c>
      <c r="H546" s="105" t="s">
        <v>115</v>
      </c>
      <c r="I546" s="109">
        <v>42671</v>
      </c>
      <c r="J546" s="105" t="str">
        <f t="shared" ca="1" si="22"/>
        <v>9 Tahun 11 Bulan 15 Hari</v>
      </c>
    </row>
    <row r="547" spans="1:10">
      <c r="A547" s="105">
        <f t="shared" si="24"/>
        <v>543</v>
      </c>
      <c r="B547" s="108" t="s">
        <v>703</v>
      </c>
      <c r="C547" s="120">
        <v>162493</v>
      </c>
      <c r="D547" s="108" t="s">
        <v>16</v>
      </c>
      <c r="E547" s="108" t="s">
        <v>95</v>
      </c>
      <c r="F547" s="108" t="s">
        <v>1082</v>
      </c>
      <c r="G547" s="108" t="s">
        <v>1083</v>
      </c>
      <c r="H547" s="105" t="s">
        <v>115</v>
      </c>
      <c r="I547" s="109">
        <v>42671</v>
      </c>
      <c r="J547" s="105" t="str">
        <f t="shared" ref="J547:J612" ca="1" si="25">IF(ISNUMBER(I547),DATEDIF(I547,TODAY(),"Y")&amp;" Tahun "&amp;DATEDIF(I547,TODAY(),"YM")&amp;" Bulan "&amp;DATEDIF(I547,TODAY(),"MD")&amp;" Hari","")</f>
        <v>9 Tahun 11 Bulan 15 Hari</v>
      </c>
    </row>
    <row r="548" spans="1:10">
      <c r="A548" s="105">
        <f t="shared" si="24"/>
        <v>544</v>
      </c>
      <c r="B548" s="108" t="s">
        <v>704</v>
      </c>
      <c r="C548" s="120">
        <v>162494</v>
      </c>
      <c r="D548" s="108" t="s">
        <v>16</v>
      </c>
      <c r="E548" s="108" t="s">
        <v>95</v>
      </c>
      <c r="F548" s="108" t="s">
        <v>1082</v>
      </c>
      <c r="G548" s="108" t="s">
        <v>1083</v>
      </c>
      <c r="H548" s="105" t="s">
        <v>115</v>
      </c>
      <c r="I548" s="109">
        <v>42671</v>
      </c>
      <c r="J548" s="105" t="str">
        <f t="shared" ca="1" si="25"/>
        <v>9 Tahun 11 Bulan 15 Hari</v>
      </c>
    </row>
    <row r="549" spans="1:10">
      <c r="A549" s="105">
        <f t="shared" si="24"/>
        <v>545</v>
      </c>
      <c r="B549" s="108" t="s">
        <v>705</v>
      </c>
      <c r="C549" s="120">
        <v>162495</v>
      </c>
      <c r="D549" s="108" t="s">
        <v>16</v>
      </c>
      <c r="E549" s="108" t="s">
        <v>95</v>
      </c>
      <c r="F549" s="108" t="s">
        <v>1082</v>
      </c>
      <c r="G549" s="108" t="s">
        <v>1083</v>
      </c>
      <c r="H549" s="105" t="s">
        <v>115</v>
      </c>
      <c r="I549" s="109">
        <v>42671</v>
      </c>
      <c r="J549" s="105" t="str">
        <f t="shared" ca="1" si="25"/>
        <v>9 Tahun 11 Bulan 15 Hari</v>
      </c>
    </row>
    <row r="550" spans="1:10">
      <c r="A550" s="105">
        <f t="shared" si="24"/>
        <v>546</v>
      </c>
      <c r="B550" s="108" t="s">
        <v>706</v>
      </c>
      <c r="C550" s="120">
        <v>162497</v>
      </c>
      <c r="D550" s="108" t="s">
        <v>16</v>
      </c>
      <c r="E550" s="108" t="s">
        <v>95</v>
      </c>
      <c r="F550" s="108" t="s">
        <v>1082</v>
      </c>
      <c r="G550" s="108" t="s">
        <v>1083</v>
      </c>
      <c r="H550" s="105" t="s">
        <v>115</v>
      </c>
      <c r="I550" s="109">
        <v>42671</v>
      </c>
      <c r="J550" s="105" t="str">
        <f t="shared" ca="1" si="25"/>
        <v>9 Tahun 11 Bulan 15 Hari</v>
      </c>
    </row>
    <row r="551" spans="1:10">
      <c r="A551" s="105">
        <f t="shared" si="24"/>
        <v>547</v>
      </c>
      <c r="B551" s="108" t="s">
        <v>707</v>
      </c>
      <c r="C551" s="120">
        <v>162503</v>
      </c>
      <c r="D551" s="108" t="s">
        <v>16</v>
      </c>
      <c r="E551" s="108" t="s">
        <v>95</v>
      </c>
      <c r="F551" s="108" t="s">
        <v>1082</v>
      </c>
      <c r="G551" s="108" t="s">
        <v>1083</v>
      </c>
      <c r="H551" s="105" t="s">
        <v>115</v>
      </c>
      <c r="I551" s="109">
        <v>42671</v>
      </c>
      <c r="J551" s="105" t="str">
        <f t="shared" ca="1" si="25"/>
        <v>9 Tahun 11 Bulan 15 Hari</v>
      </c>
    </row>
    <row r="552" spans="1:10">
      <c r="A552" s="105">
        <f t="shared" si="24"/>
        <v>548</v>
      </c>
      <c r="B552" s="108" t="s">
        <v>708</v>
      </c>
      <c r="C552" s="120">
        <v>162506</v>
      </c>
      <c r="D552" s="108" t="s">
        <v>16</v>
      </c>
      <c r="E552" s="108" t="s">
        <v>95</v>
      </c>
      <c r="F552" s="108" t="s">
        <v>1082</v>
      </c>
      <c r="G552" s="108" t="s">
        <v>1083</v>
      </c>
      <c r="H552" s="105" t="s">
        <v>115</v>
      </c>
      <c r="I552" s="109">
        <v>42671</v>
      </c>
      <c r="J552" s="105" t="str">
        <f t="shared" ca="1" si="25"/>
        <v>9 Tahun 11 Bulan 15 Hari</v>
      </c>
    </row>
    <row r="553" spans="1:10">
      <c r="A553" s="105">
        <f t="shared" si="24"/>
        <v>549</v>
      </c>
      <c r="B553" s="108" t="s">
        <v>195</v>
      </c>
      <c r="C553" s="120">
        <v>162510</v>
      </c>
      <c r="D553" s="108" t="s">
        <v>16</v>
      </c>
      <c r="E553" s="108" t="s">
        <v>95</v>
      </c>
      <c r="F553" s="108" t="s">
        <v>1082</v>
      </c>
      <c r="G553" s="108" t="s">
        <v>1083</v>
      </c>
      <c r="H553" s="105" t="s">
        <v>115</v>
      </c>
      <c r="I553" s="109">
        <v>42671</v>
      </c>
      <c r="J553" s="105" t="str">
        <f t="shared" ca="1" si="25"/>
        <v>9 Tahun 11 Bulan 15 Hari</v>
      </c>
    </row>
    <row r="554" spans="1:10">
      <c r="A554" s="105">
        <f t="shared" si="24"/>
        <v>550</v>
      </c>
      <c r="B554" s="108" t="s">
        <v>709</v>
      </c>
      <c r="C554" s="120">
        <v>162511</v>
      </c>
      <c r="D554" s="108" t="s">
        <v>16</v>
      </c>
      <c r="E554" s="108" t="s">
        <v>95</v>
      </c>
      <c r="F554" s="108" t="s">
        <v>1082</v>
      </c>
      <c r="G554" s="108" t="s">
        <v>1083</v>
      </c>
      <c r="H554" s="105" t="s">
        <v>115</v>
      </c>
      <c r="I554" s="109">
        <v>42671</v>
      </c>
      <c r="J554" s="105" t="str">
        <f t="shared" ca="1" si="25"/>
        <v>9 Tahun 11 Bulan 15 Hari</v>
      </c>
    </row>
    <row r="555" spans="1:10">
      <c r="A555" s="105">
        <f t="shared" si="24"/>
        <v>551</v>
      </c>
      <c r="B555" s="108" t="s">
        <v>710</v>
      </c>
      <c r="C555" s="120">
        <v>162512</v>
      </c>
      <c r="D555" s="108" t="s">
        <v>16</v>
      </c>
      <c r="E555" s="108" t="s">
        <v>95</v>
      </c>
      <c r="F555" s="108" t="s">
        <v>1082</v>
      </c>
      <c r="G555" s="108" t="s">
        <v>1083</v>
      </c>
      <c r="H555" s="105" t="s">
        <v>115</v>
      </c>
      <c r="I555" s="109">
        <v>42671</v>
      </c>
      <c r="J555" s="105" t="str">
        <f t="shared" ca="1" si="25"/>
        <v>9 Tahun 11 Bulan 15 Hari</v>
      </c>
    </row>
    <row r="556" spans="1:10">
      <c r="A556" s="105">
        <f t="shared" si="24"/>
        <v>552</v>
      </c>
      <c r="B556" s="108" t="s">
        <v>711</v>
      </c>
      <c r="C556" s="120">
        <v>162515</v>
      </c>
      <c r="D556" s="108" t="s">
        <v>16</v>
      </c>
      <c r="E556" s="108" t="s">
        <v>95</v>
      </c>
      <c r="F556" s="108" t="s">
        <v>1082</v>
      </c>
      <c r="G556" s="108" t="s">
        <v>1083</v>
      </c>
      <c r="H556" s="105" t="s">
        <v>115</v>
      </c>
      <c r="I556" s="109">
        <v>42671</v>
      </c>
      <c r="J556" s="105" t="str">
        <f t="shared" ca="1" si="25"/>
        <v>9 Tahun 11 Bulan 15 Hari</v>
      </c>
    </row>
    <row r="557" spans="1:10">
      <c r="A557" s="105">
        <f t="shared" si="24"/>
        <v>553</v>
      </c>
      <c r="B557" s="108" t="s">
        <v>712</v>
      </c>
      <c r="C557" s="120">
        <v>162516</v>
      </c>
      <c r="D557" s="108" t="s">
        <v>16</v>
      </c>
      <c r="E557" s="108" t="s">
        <v>95</v>
      </c>
      <c r="F557" s="108" t="s">
        <v>1082</v>
      </c>
      <c r="G557" s="108" t="s">
        <v>1083</v>
      </c>
      <c r="H557" s="105" t="s">
        <v>115</v>
      </c>
      <c r="I557" s="109">
        <v>42671</v>
      </c>
      <c r="J557" s="105" t="str">
        <f t="shared" ca="1" si="25"/>
        <v>9 Tahun 11 Bulan 15 Hari</v>
      </c>
    </row>
    <row r="558" spans="1:10" s="137" customFormat="1">
      <c r="A558" s="105">
        <f t="shared" si="24"/>
        <v>554</v>
      </c>
      <c r="B558" s="130" t="s">
        <v>713</v>
      </c>
      <c r="C558" s="142">
        <v>83117277</v>
      </c>
      <c r="D558" s="132" t="s">
        <v>16</v>
      </c>
      <c r="E558" s="132" t="s">
        <v>44</v>
      </c>
      <c r="F558" s="132" t="s">
        <v>1084</v>
      </c>
      <c r="G558" s="132" t="s">
        <v>1083</v>
      </c>
      <c r="H558" s="129" t="s">
        <v>115</v>
      </c>
      <c r="I558" s="139">
        <v>40677</v>
      </c>
      <c r="J558" s="129" t="str">
        <f t="shared" ca="1" si="25"/>
        <v>15 Tahun 4 Bulan 29 Hari</v>
      </c>
    </row>
    <row r="559" spans="1:10">
      <c r="A559" s="105">
        <f t="shared" si="24"/>
        <v>555</v>
      </c>
      <c r="B559" s="106" t="s">
        <v>715</v>
      </c>
      <c r="C559" s="284">
        <v>83117271</v>
      </c>
      <c r="D559" s="108" t="s">
        <v>16</v>
      </c>
      <c r="E559" s="108" t="s">
        <v>95</v>
      </c>
      <c r="F559" s="108" t="s">
        <v>1084</v>
      </c>
      <c r="G559" s="108" t="s">
        <v>1083</v>
      </c>
      <c r="H559" s="105" t="s">
        <v>115</v>
      </c>
      <c r="I559" s="109">
        <v>40677</v>
      </c>
      <c r="J559" s="105" t="str">
        <f t="shared" ca="1" si="25"/>
        <v>15 Tahun 4 Bulan 29 Hari</v>
      </c>
    </row>
    <row r="560" spans="1:10">
      <c r="A560" s="105">
        <f t="shared" si="24"/>
        <v>556</v>
      </c>
      <c r="B560" s="106" t="s">
        <v>716</v>
      </c>
      <c r="C560" s="284">
        <v>83117268</v>
      </c>
      <c r="D560" s="108" t="s">
        <v>16</v>
      </c>
      <c r="E560" s="108" t="s">
        <v>95</v>
      </c>
      <c r="F560" s="108" t="s">
        <v>1084</v>
      </c>
      <c r="G560" s="108" t="s">
        <v>1083</v>
      </c>
      <c r="H560" s="105" t="s">
        <v>115</v>
      </c>
      <c r="I560" s="109">
        <v>40677</v>
      </c>
      <c r="J560" s="105" t="str">
        <f t="shared" ca="1" si="25"/>
        <v>15 Tahun 4 Bulan 29 Hari</v>
      </c>
    </row>
    <row r="561" spans="1:10">
      <c r="A561" s="105">
        <f t="shared" si="24"/>
        <v>557</v>
      </c>
      <c r="B561" s="106" t="s">
        <v>717</v>
      </c>
      <c r="C561" s="284">
        <v>83117505</v>
      </c>
      <c r="D561" s="108" t="s">
        <v>16</v>
      </c>
      <c r="E561" s="108" t="s">
        <v>95</v>
      </c>
      <c r="F561" s="108" t="s">
        <v>1084</v>
      </c>
      <c r="G561" s="108" t="s">
        <v>1083</v>
      </c>
      <c r="H561" s="105" t="s">
        <v>115</v>
      </c>
      <c r="I561" s="109">
        <v>40722</v>
      </c>
      <c r="J561" s="105" t="str">
        <f t="shared" ca="1" si="25"/>
        <v>15 Tahun 3 Bulan 15 Hari</v>
      </c>
    </row>
    <row r="562" spans="1:10">
      <c r="A562" s="105">
        <f t="shared" si="24"/>
        <v>558</v>
      </c>
      <c r="B562" s="106" t="s">
        <v>196</v>
      </c>
      <c r="C562" s="284">
        <v>162489</v>
      </c>
      <c r="D562" s="108" t="s">
        <v>16</v>
      </c>
      <c r="E562" s="108" t="s">
        <v>95</v>
      </c>
      <c r="F562" s="108" t="s">
        <v>1084</v>
      </c>
      <c r="G562" s="108" t="s">
        <v>1083</v>
      </c>
      <c r="H562" s="105" t="s">
        <v>115</v>
      </c>
      <c r="I562" s="109">
        <v>42671</v>
      </c>
      <c r="J562" s="105" t="str">
        <f t="shared" ca="1" si="25"/>
        <v>9 Tahun 11 Bulan 15 Hari</v>
      </c>
    </row>
    <row r="563" spans="1:10">
      <c r="A563" s="105">
        <f t="shared" si="24"/>
        <v>559</v>
      </c>
      <c r="B563" s="106" t="s">
        <v>718</v>
      </c>
      <c r="C563" s="284">
        <v>148204</v>
      </c>
      <c r="D563" s="108" t="s">
        <v>16</v>
      </c>
      <c r="E563" s="108" t="s">
        <v>95</v>
      </c>
      <c r="F563" s="108" t="s">
        <v>1084</v>
      </c>
      <c r="G563" s="108" t="s">
        <v>1083</v>
      </c>
      <c r="H563" s="105" t="s">
        <v>115</v>
      </c>
      <c r="I563" s="109">
        <v>42002</v>
      </c>
      <c r="J563" s="105" t="str">
        <f t="shared" ca="1" si="25"/>
        <v>11 Tahun 9 Bulan 14 Hari</v>
      </c>
    </row>
    <row r="564" spans="1:10">
      <c r="A564" s="105">
        <f t="shared" si="24"/>
        <v>560</v>
      </c>
      <c r="B564" s="106" t="s">
        <v>719</v>
      </c>
      <c r="C564" s="284">
        <v>83121091</v>
      </c>
      <c r="D564" s="108" t="s">
        <v>16</v>
      </c>
      <c r="E564" s="108" t="s">
        <v>95</v>
      </c>
      <c r="F564" s="108" t="s">
        <v>1084</v>
      </c>
      <c r="G564" s="108" t="s">
        <v>1083</v>
      </c>
      <c r="H564" s="105" t="s">
        <v>115</v>
      </c>
      <c r="I564" s="109">
        <v>41008</v>
      </c>
      <c r="J564" s="105" t="str">
        <f t="shared" ca="1" si="25"/>
        <v>14 Tahun 6 Bulan 4 Hari</v>
      </c>
    </row>
    <row r="565" spans="1:10">
      <c r="A565" s="105">
        <f t="shared" si="24"/>
        <v>561</v>
      </c>
      <c r="B565" s="106" t="s">
        <v>720</v>
      </c>
      <c r="C565" s="284">
        <v>83117504</v>
      </c>
      <c r="D565" s="108" t="s">
        <v>16</v>
      </c>
      <c r="E565" s="108" t="s">
        <v>95</v>
      </c>
      <c r="F565" s="108" t="s">
        <v>1084</v>
      </c>
      <c r="G565" s="108" t="s">
        <v>1083</v>
      </c>
      <c r="H565" s="105" t="s">
        <v>115</v>
      </c>
      <c r="I565" s="109">
        <v>40722</v>
      </c>
      <c r="J565" s="105" t="str">
        <f t="shared" ca="1" si="25"/>
        <v>15 Tahun 3 Bulan 15 Hari</v>
      </c>
    </row>
    <row r="566" spans="1:10">
      <c r="A566" s="105">
        <f t="shared" si="24"/>
        <v>562</v>
      </c>
      <c r="B566" s="106" t="s">
        <v>721</v>
      </c>
      <c r="C566" s="284">
        <v>83117808</v>
      </c>
      <c r="D566" s="108" t="s">
        <v>16</v>
      </c>
      <c r="E566" s="108" t="s">
        <v>95</v>
      </c>
      <c r="F566" s="108" t="s">
        <v>1084</v>
      </c>
      <c r="G566" s="108" t="s">
        <v>1083</v>
      </c>
      <c r="H566" s="105" t="s">
        <v>115</v>
      </c>
      <c r="I566" s="109">
        <v>40738</v>
      </c>
      <c r="J566" s="105" t="str">
        <f t="shared" ca="1" si="25"/>
        <v>15 Tahun 2 Bulan 29 Hari</v>
      </c>
    </row>
    <row r="567" spans="1:10">
      <c r="A567" s="105">
        <f t="shared" si="24"/>
        <v>563</v>
      </c>
      <c r="B567" s="106" t="s">
        <v>722</v>
      </c>
      <c r="C567" s="284">
        <v>162505</v>
      </c>
      <c r="D567" s="108" t="s">
        <v>16</v>
      </c>
      <c r="E567" s="108" t="s">
        <v>95</v>
      </c>
      <c r="F567" s="108" t="s">
        <v>1084</v>
      </c>
      <c r="G567" s="108" t="s">
        <v>1083</v>
      </c>
      <c r="H567" s="105" t="s">
        <v>115</v>
      </c>
      <c r="I567" s="109">
        <v>42671</v>
      </c>
      <c r="J567" s="105" t="str">
        <f t="shared" ca="1" si="25"/>
        <v>9 Tahun 11 Bulan 15 Hari</v>
      </c>
    </row>
    <row r="568" spans="1:10">
      <c r="A568" s="105">
        <f t="shared" si="24"/>
        <v>564</v>
      </c>
      <c r="B568" s="106" t="s">
        <v>723</v>
      </c>
      <c r="C568" s="284">
        <v>162499</v>
      </c>
      <c r="D568" s="108" t="s">
        <v>16</v>
      </c>
      <c r="E568" s="108" t="s">
        <v>95</v>
      </c>
      <c r="F568" s="108" t="s">
        <v>1084</v>
      </c>
      <c r="G568" s="108" t="s">
        <v>1083</v>
      </c>
      <c r="H568" s="105" t="s">
        <v>115</v>
      </c>
      <c r="I568" s="109">
        <v>42671</v>
      </c>
      <c r="J568" s="105" t="str">
        <f t="shared" ca="1" si="25"/>
        <v>9 Tahun 11 Bulan 15 Hari</v>
      </c>
    </row>
    <row r="569" spans="1:10">
      <c r="A569" s="105">
        <f t="shared" si="24"/>
        <v>565</v>
      </c>
      <c r="B569" s="106" t="s">
        <v>724</v>
      </c>
      <c r="C569" s="284">
        <v>83117278</v>
      </c>
      <c r="D569" s="108" t="s">
        <v>16</v>
      </c>
      <c r="E569" s="108" t="s">
        <v>95</v>
      </c>
      <c r="F569" s="108" t="s">
        <v>1084</v>
      </c>
      <c r="G569" s="108" t="s">
        <v>1083</v>
      </c>
      <c r="H569" s="105" t="s">
        <v>115</v>
      </c>
      <c r="I569" s="109">
        <v>40683</v>
      </c>
      <c r="J569" s="105" t="str">
        <f t="shared" ca="1" si="25"/>
        <v>15 Tahun 4 Bulan 23 Hari</v>
      </c>
    </row>
    <row r="570" spans="1:10">
      <c r="A570" s="105">
        <f t="shared" si="24"/>
        <v>566</v>
      </c>
      <c r="B570" s="106" t="s">
        <v>725</v>
      </c>
      <c r="C570" s="284">
        <v>162496</v>
      </c>
      <c r="D570" s="108" t="s">
        <v>16</v>
      </c>
      <c r="E570" s="108" t="s">
        <v>95</v>
      </c>
      <c r="F570" s="108" t="s">
        <v>1084</v>
      </c>
      <c r="G570" s="108" t="s">
        <v>1083</v>
      </c>
      <c r="H570" s="105" t="s">
        <v>115</v>
      </c>
      <c r="I570" s="109">
        <v>42671</v>
      </c>
      <c r="J570" s="105" t="str">
        <f t="shared" ca="1" si="25"/>
        <v>9 Tahun 11 Bulan 15 Hari</v>
      </c>
    </row>
    <row r="571" spans="1:10">
      <c r="A571" s="105">
        <f t="shared" si="24"/>
        <v>567</v>
      </c>
      <c r="B571" s="106" t="s">
        <v>726</v>
      </c>
      <c r="C571" s="284">
        <v>148212</v>
      </c>
      <c r="D571" s="108" t="s">
        <v>16</v>
      </c>
      <c r="E571" s="108" t="s">
        <v>95</v>
      </c>
      <c r="F571" s="108" t="s">
        <v>1084</v>
      </c>
      <c r="G571" s="108" t="s">
        <v>1083</v>
      </c>
      <c r="H571" s="105" t="s">
        <v>115</v>
      </c>
      <c r="I571" s="109">
        <v>42002</v>
      </c>
      <c r="J571" s="105" t="str">
        <f t="shared" ca="1" si="25"/>
        <v>11 Tahun 9 Bulan 14 Hari</v>
      </c>
    </row>
    <row r="572" spans="1:10">
      <c r="A572" s="105">
        <f t="shared" si="24"/>
        <v>568</v>
      </c>
      <c r="B572" s="106" t="s">
        <v>727</v>
      </c>
      <c r="C572" s="284">
        <v>148205</v>
      </c>
      <c r="D572" s="108" t="s">
        <v>16</v>
      </c>
      <c r="E572" s="108" t="s">
        <v>95</v>
      </c>
      <c r="F572" s="108" t="s">
        <v>1084</v>
      </c>
      <c r="G572" s="108" t="s">
        <v>1083</v>
      </c>
      <c r="H572" s="105" t="s">
        <v>115</v>
      </c>
      <c r="I572" s="109">
        <v>42002</v>
      </c>
      <c r="J572" s="105" t="str">
        <f t="shared" ca="1" si="25"/>
        <v>11 Tahun 9 Bulan 14 Hari</v>
      </c>
    </row>
    <row r="573" spans="1:10">
      <c r="A573" s="105">
        <f t="shared" si="24"/>
        <v>569</v>
      </c>
      <c r="B573" s="106" t="s">
        <v>728</v>
      </c>
      <c r="C573" s="284">
        <v>148207</v>
      </c>
      <c r="D573" s="108" t="s">
        <v>16</v>
      </c>
      <c r="E573" s="108" t="s">
        <v>95</v>
      </c>
      <c r="F573" s="108" t="s">
        <v>1084</v>
      </c>
      <c r="G573" s="108" t="s">
        <v>1083</v>
      </c>
      <c r="H573" s="105" t="s">
        <v>115</v>
      </c>
      <c r="I573" s="109">
        <v>42002</v>
      </c>
      <c r="J573" s="105" t="str">
        <f t="shared" ca="1" si="25"/>
        <v>11 Tahun 9 Bulan 14 Hari</v>
      </c>
    </row>
    <row r="574" spans="1:10">
      <c r="A574" s="105">
        <f t="shared" si="24"/>
        <v>570</v>
      </c>
      <c r="B574" s="106" t="s">
        <v>729</v>
      </c>
      <c r="C574" s="284">
        <v>162508</v>
      </c>
      <c r="D574" s="108" t="s">
        <v>16</v>
      </c>
      <c r="E574" s="108" t="s">
        <v>95</v>
      </c>
      <c r="F574" s="108" t="s">
        <v>1084</v>
      </c>
      <c r="G574" s="108" t="s">
        <v>1083</v>
      </c>
      <c r="H574" s="105" t="s">
        <v>115</v>
      </c>
      <c r="I574" s="109">
        <v>42671</v>
      </c>
      <c r="J574" s="105" t="str">
        <f t="shared" ca="1" si="25"/>
        <v>9 Tahun 11 Bulan 15 Hari</v>
      </c>
    </row>
    <row r="575" spans="1:10">
      <c r="A575" s="105">
        <f t="shared" si="24"/>
        <v>571</v>
      </c>
      <c r="B575" s="106" t="s">
        <v>730</v>
      </c>
      <c r="C575" s="284">
        <v>162500</v>
      </c>
      <c r="D575" s="108" t="s">
        <v>16</v>
      </c>
      <c r="E575" s="108" t="s">
        <v>95</v>
      </c>
      <c r="F575" s="108" t="s">
        <v>1084</v>
      </c>
      <c r="G575" s="108" t="s">
        <v>1083</v>
      </c>
      <c r="H575" s="105" t="s">
        <v>115</v>
      </c>
      <c r="I575" s="109">
        <v>42671</v>
      </c>
      <c r="J575" s="105" t="str">
        <f t="shared" ca="1" si="25"/>
        <v>9 Tahun 11 Bulan 15 Hari</v>
      </c>
    </row>
    <row r="576" spans="1:10">
      <c r="A576" s="105">
        <f t="shared" si="24"/>
        <v>572</v>
      </c>
      <c r="B576" s="106" t="s">
        <v>731</v>
      </c>
      <c r="C576" s="284">
        <v>148198</v>
      </c>
      <c r="D576" s="108" t="s">
        <v>16</v>
      </c>
      <c r="E576" s="108" t="s">
        <v>95</v>
      </c>
      <c r="F576" s="108" t="s">
        <v>1084</v>
      </c>
      <c r="G576" s="108" t="s">
        <v>1083</v>
      </c>
      <c r="H576" s="105" t="s">
        <v>115</v>
      </c>
      <c r="I576" s="109">
        <v>42002</v>
      </c>
      <c r="J576" s="105" t="str">
        <f t="shared" ca="1" si="25"/>
        <v>11 Tahun 9 Bulan 14 Hari</v>
      </c>
    </row>
    <row r="577" spans="1:10">
      <c r="A577" s="105">
        <f t="shared" si="24"/>
        <v>573</v>
      </c>
      <c r="B577" s="106" t="s">
        <v>732</v>
      </c>
      <c r="C577" s="284">
        <v>148196</v>
      </c>
      <c r="D577" s="108" t="s">
        <v>16</v>
      </c>
      <c r="E577" s="108" t="s">
        <v>95</v>
      </c>
      <c r="F577" s="108" t="s">
        <v>1084</v>
      </c>
      <c r="G577" s="108" t="s">
        <v>1083</v>
      </c>
      <c r="H577" s="105" t="s">
        <v>115</v>
      </c>
      <c r="I577" s="109">
        <v>42002</v>
      </c>
      <c r="J577" s="105" t="str">
        <f t="shared" ca="1" si="25"/>
        <v>11 Tahun 9 Bulan 14 Hari</v>
      </c>
    </row>
    <row r="578" spans="1:10">
      <c r="A578" s="105">
        <f t="shared" si="24"/>
        <v>574</v>
      </c>
      <c r="B578" s="106" t="s">
        <v>733</v>
      </c>
      <c r="C578" s="284">
        <v>162507</v>
      </c>
      <c r="D578" s="108" t="s">
        <v>16</v>
      </c>
      <c r="E578" s="108" t="s">
        <v>95</v>
      </c>
      <c r="F578" s="108" t="s">
        <v>1084</v>
      </c>
      <c r="G578" s="108" t="s">
        <v>1083</v>
      </c>
      <c r="H578" s="105" t="s">
        <v>115</v>
      </c>
      <c r="I578" s="109">
        <v>42671</v>
      </c>
      <c r="J578" s="105" t="str">
        <f t="shared" ca="1" si="25"/>
        <v>9 Tahun 11 Bulan 15 Hari</v>
      </c>
    </row>
    <row r="579" spans="1:10">
      <c r="A579" s="105">
        <f t="shared" si="24"/>
        <v>575</v>
      </c>
      <c r="B579" s="106" t="s">
        <v>734</v>
      </c>
      <c r="C579" s="284">
        <v>162513</v>
      </c>
      <c r="D579" s="108" t="s">
        <v>16</v>
      </c>
      <c r="E579" s="108" t="s">
        <v>95</v>
      </c>
      <c r="F579" s="108" t="s">
        <v>1084</v>
      </c>
      <c r="G579" s="108" t="s">
        <v>1083</v>
      </c>
      <c r="H579" s="105" t="s">
        <v>115</v>
      </c>
      <c r="I579" s="109">
        <v>42671</v>
      </c>
      <c r="J579" s="105" t="str">
        <f t="shared" ca="1" si="25"/>
        <v>9 Tahun 11 Bulan 15 Hari</v>
      </c>
    </row>
    <row r="580" spans="1:10">
      <c r="A580" s="105">
        <f t="shared" si="24"/>
        <v>576</v>
      </c>
      <c r="B580" s="106" t="s">
        <v>735</v>
      </c>
      <c r="C580" s="284">
        <v>83121092</v>
      </c>
      <c r="D580" s="108" t="s">
        <v>16</v>
      </c>
      <c r="E580" s="108" t="s">
        <v>95</v>
      </c>
      <c r="F580" s="108" t="s">
        <v>1084</v>
      </c>
      <c r="G580" s="108" t="s">
        <v>1083</v>
      </c>
      <c r="H580" s="105" t="s">
        <v>115</v>
      </c>
      <c r="I580" s="109">
        <v>41008</v>
      </c>
      <c r="J580" s="105" t="str">
        <f t="shared" ca="1" si="25"/>
        <v>14 Tahun 6 Bulan 4 Hari</v>
      </c>
    </row>
    <row r="581" spans="1:10">
      <c r="A581" s="105">
        <f t="shared" ref="A581:A644" si="26">ROW(A577)</f>
        <v>577</v>
      </c>
      <c r="B581" s="106" t="s">
        <v>197</v>
      </c>
      <c r="C581" s="284">
        <v>83117274</v>
      </c>
      <c r="D581" s="108" t="s">
        <v>16</v>
      </c>
      <c r="E581" s="108" t="s">
        <v>95</v>
      </c>
      <c r="F581" s="108" t="s">
        <v>1084</v>
      </c>
      <c r="G581" s="108" t="s">
        <v>1083</v>
      </c>
      <c r="H581" s="105" t="s">
        <v>115</v>
      </c>
      <c r="I581" s="109">
        <v>40674</v>
      </c>
      <c r="J581" s="105" t="str">
        <f t="shared" ca="1" si="25"/>
        <v>15 Tahun 5 Bulan 2 Hari</v>
      </c>
    </row>
    <row r="582" spans="1:10">
      <c r="A582" s="105">
        <f t="shared" si="26"/>
        <v>578</v>
      </c>
      <c r="B582" s="106" t="s">
        <v>736</v>
      </c>
      <c r="C582" s="284">
        <v>162501</v>
      </c>
      <c r="D582" s="108" t="s">
        <v>16</v>
      </c>
      <c r="E582" s="108" t="s">
        <v>95</v>
      </c>
      <c r="F582" s="108" t="s">
        <v>1084</v>
      </c>
      <c r="G582" s="108" t="s">
        <v>1083</v>
      </c>
      <c r="H582" s="105" t="s">
        <v>115</v>
      </c>
      <c r="I582" s="109">
        <v>42671</v>
      </c>
      <c r="J582" s="105" t="str">
        <f t="shared" ca="1" si="25"/>
        <v>9 Tahun 11 Bulan 15 Hari</v>
      </c>
    </row>
    <row r="583" spans="1:10">
      <c r="A583" s="105">
        <f t="shared" si="26"/>
        <v>579</v>
      </c>
      <c r="B583" s="106" t="s">
        <v>737</v>
      </c>
      <c r="C583" s="284">
        <v>162509</v>
      </c>
      <c r="D583" s="108" t="s">
        <v>16</v>
      </c>
      <c r="E583" s="108" t="s">
        <v>95</v>
      </c>
      <c r="F583" s="108" t="s">
        <v>1084</v>
      </c>
      <c r="G583" s="108" t="s">
        <v>1083</v>
      </c>
      <c r="H583" s="105" t="s">
        <v>115</v>
      </c>
      <c r="I583" s="109">
        <v>42671</v>
      </c>
      <c r="J583" s="105" t="str">
        <f t="shared" ca="1" si="25"/>
        <v>9 Tahun 11 Bulan 15 Hari</v>
      </c>
    </row>
    <row r="584" spans="1:10">
      <c r="A584" s="105">
        <f t="shared" si="26"/>
        <v>580</v>
      </c>
      <c r="B584" s="106" t="s">
        <v>738</v>
      </c>
      <c r="C584" s="284">
        <v>148193</v>
      </c>
      <c r="D584" s="108" t="s">
        <v>16</v>
      </c>
      <c r="E584" s="108" t="s">
        <v>95</v>
      </c>
      <c r="F584" s="108" t="s">
        <v>1084</v>
      </c>
      <c r="G584" s="108" t="s">
        <v>1083</v>
      </c>
      <c r="H584" s="105" t="s">
        <v>115</v>
      </c>
      <c r="I584" s="109">
        <v>42002</v>
      </c>
      <c r="J584" s="105" t="str">
        <f t="shared" ca="1" si="25"/>
        <v>11 Tahun 9 Bulan 14 Hari</v>
      </c>
    </row>
    <row r="585" spans="1:10">
      <c r="A585" s="105">
        <f t="shared" si="26"/>
        <v>581</v>
      </c>
      <c r="B585" s="106" t="s">
        <v>739</v>
      </c>
      <c r="C585" s="284">
        <v>162498</v>
      </c>
      <c r="D585" s="108" t="s">
        <v>16</v>
      </c>
      <c r="E585" s="108" t="s">
        <v>95</v>
      </c>
      <c r="F585" s="108" t="s">
        <v>1084</v>
      </c>
      <c r="G585" s="108" t="s">
        <v>1083</v>
      </c>
      <c r="H585" s="105" t="s">
        <v>115</v>
      </c>
      <c r="I585" s="109">
        <v>42671</v>
      </c>
      <c r="J585" s="105" t="str">
        <f t="shared" ca="1" si="25"/>
        <v>9 Tahun 11 Bulan 15 Hari</v>
      </c>
    </row>
    <row r="586" spans="1:10">
      <c r="A586" s="105">
        <f t="shared" si="26"/>
        <v>582</v>
      </c>
      <c r="B586" s="106" t="s">
        <v>740</v>
      </c>
      <c r="C586" s="284">
        <v>148191</v>
      </c>
      <c r="D586" s="108" t="s">
        <v>16</v>
      </c>
      <c r="E586" s="108" t="s">
        <v>95</v>
      </c>
      <c r="F586" s="108" t="s">
        <v>1084</v>
      </c>
      <c r="G586" s="108" t="s">
        <v>1083</v>
      </c>
      <c r="H586" s="105" t="s">
        <v>115</v>
      </c>
      <c r="I586" s="109">
        <v>42002</v>
      </c>
      <c r="J586" s="105" t="str">
        <f t="shared" ca="1" si="25"/>
        <v>11 Tahun 9 Bulan 14 Hari</v>
      </c>
    </row>
    <row r="587" spans="1:10">
      <c r="A587" s="105">
        <f t="shared" si="26"/>
        <v>583</v>
      </c>
      <c r="B587" s="106" t="s">
        <v>741</v>
      </c>
      <c r="C587" s="284">
        <v>148199</v>
      </c>
      <c r="D587" s="108" t="s">
        <v>16</v>
      </c>
      <c r="E587" s="108" t="s">
        <v>95</v>
      </c>
      <c r="F587" s="108" t="s">
        <v>1084</v>
      </c>
      <c r="G587" s="108" t="s">
        <v>1083</v>
      </c>
      <c r="H587" s="105" t="s">
        <v>115</v>
      </c>
      <c r="I587" s="109">
        <v>42002</v>
      </c>
      <c r="J587" s="105" t="str">
        <f t="shared" ca="1" si="25"/>
        <v>11 Tahun 9 Bulan 14 Hari</v>
      </c>
    </row>
    <row r="588" spans="1:10">
      <c r="A588" s="105">
        <f t="shared" si="26"/>
        <v>584</v>
      </c>
      <c r="B588" s="106" t="s">
        <v>742</v>
      </c>
      <c r="C588" s="284">
        <v>162504</v>
      </c>
      <c r="D588" s="108" t="s">
        <v>16</v>
      </c>
      <c r="E588" s="108" t="s">
        <v>95</v>
      </c>
      <c r="F588" s="108" t="s">
        <v>1084</v>
      </c>
      <c r="G588" s="108" t="s">
        <v>1083</v>
      </c>
      <c r="H588" s="105" t="s">
        <v>115</v>
      </c>
      <c r="I588" s="109">
        <v>42671</v>
      </c>
      <c r="J588" s="105" t="str">
        <f t="shared" ca="1" si="25"/>
        <v>9 Tahun 11 Bulan 15 Hari</v>
      </c>
    </row>
    <row r="589" spans="1:10" s="137" customFormat="1">
      <c r="A589" s="105">
        <f t="shared" si="26"/>
        <v>585</v>
      </c>
      <c r="B589" s="132" t="s">
        <v>743</v>
      </c>
      <c r="C589" s="141">
        <v>84087806</v>
      </c>
      <c r="D589" s="132" t="s">
        <v>17</v>
      </c>
      <c r="E589" s="132" t="s">
        <v>76</v>
      </c>
      <c r="F589" s="132" t="s">
        <v>1082</v>
      </c>
      <c r="G589" s="132" t="s">
        <v>1083</v>
      </c>
      <c r="H589" s="129" t="s">
        <v>116</v>
      </c>
      <c r="I589" s="139">
        <v>39679</v>
      </c>
      <c r="J589" s="129" t="str">
        <f t="shared" ca="1" si="25"/>
        <v>18 Tahun 1 Bulan 24 Hari</v>
      </c>
    </row>
    <row r="590" spans="1:10" s="137" customFormat="1">
      <c r="A590" s="105">
        <f t="shared" si="26"/>
        <v>586</v>
      </c>
      <c r="B590" s="132" t="s">
        <v>744</v>
      </c>
      <c r="C590" s="141">
        <v>83123693</v>
      </c>
      <c r="D590" s="132" t="s">
        <v>17</v>
      </c>
      <c r="E590" s="132" t="s">
        <v>78</v>
      </c>
      <c r="F590" s="132" t="s">
        <v>1082</v>
      </c>
      <c r="G590" s="132" t="s">
        <v>1083</v>
      </c>
      <c r="H590" s="129" t="s">
        <v>116</v>
      </c>
      <c r="I590" s="139">
        <v>41183</v>
      </c>
      <c r="J590" s="129" t="str">
        <f t="shared" ca="1" si="25"/>
        <v>14 Tahun 0 Bulan 12 Hari</v>
      </c>
    </row>
    <row r="591" spans="1:10" s="137" customFormat="1">
      <c r="A591" s="105">
        <f t="shared" si="26"/>
        <v>587</v>
      </c>
      <c r="B591" s="132" t="s">
        <v>746</v>
      </c>
      <c r="C591" s="141">
        <v>83123695</v>
      </c>
      <c r="D591" s="132" t="s">
        <v>17</v>
      </c>
      <c r="E591" s="132" t="s">
        <v>79</v>
      </c>
      <c r="F591" s="132" t="s">
        <v>1082</v>
      </c>
      <c r="G591" s="132" t="s">
        <v>1083</v>
      </c>
      <c r="H591" s="129" t="s">
        <v>116</v>
      </c>
      <c r="I591" s="139">
        <v>41172</v>
      </c>
      <c r="J591" s="129" t="str">
        <f t="shared" ca="1" si="25"/>
        <v>14 Tahun 0 Bulan 23 Hari</v>
      </c>
    </row>
    <row r="592" spans="1:10" s="137" customFormat="1">
      <c r="A592" s="105">
        <f t="shared" si="26"/>
        <v>588</v>
      </c>
      <c r="B592" s="132" t="s">
        <v>748</v>
      </c>
      <c r="C592" s="141">
        <v>84087817</v>
      </c>
      <c r="D592" s="132" t="s">
        <v>17</v>
      </c>
      <c r="E592" s="132" t="s">
        <v>77</v>
      </c>
      <c r="F592" s="132" t="s">
        <v>1082</v>
      </c>
      <c r="G592" s="132" t="s">
        <v>1083</v>
      </c>
      <c r="H592" s="129" t="s">
        <v>116</v>
      </c>
      <c r="I592" s="139">
        <v>39679</v>
      </c>
      <c r="J592" s="129" t="str">
        <f t="shared" ca="1" si="25"/>
        <v>18 Tahun 1 Bulan 24 Hari</v>
      </c>
    </row>
    <row r="593" spans="1:10">
      <c r="A593" s="105">
        <f t="shared" si="26"/>
        <v>589</v>
      </c>
      <c r="B593" s="108" t="s">
        <v>749</v>
      </c>
      <c r="C593" s="110">
        <v>83123706</v>
      </c>
      <c r="D593" s="108" t="s">
        <v>17</v>
      </c>
      <c r="E593" s="108" t="s">
        <v>84</v>
      </c>
      <c r="F593" s="108" t="s">
        <v>1082</v>
      </c>
      <c r="G593" s="108" t="s">
        <v>1083</v>
      </c>
      <c r="H593" s="105" t="s">
        <v>116</v>
      </c>
      <c r="I593" s="109">
        <v>41183</v>
      </c>
      <c r="J593" s="105" t="str">
        <f t="shared" ca="1" si="25"/>
        <v>14 Tahun 0 Bulan 12 Hari</v>
      </c>
    </row>
    <row r="594" spans="1:10">
      <c r="A594" s="105">
        <f t="shared" si="26"/>
        <v>590</v>
      </c>
      <c r="B594" s="108" t="s">
        <v>750</v>
      </c>
      <c r="C594" s="110">
        <v>83123694</v>
      </c>
      <c r="D594" s="108" t="s">
        <v>17</v>
      </c>
      <c r="E594" s="108" t="s">
        <v>84</v>
      </c>
      <c r="F594" s="108" t="s">
        <v>1082</v>
      </c>
      <c r="G594" s="108" t="s">
        <v>1083</v>
      </c>
      <c r="H594" s="105" t="s">
        <v>116</v>
      </c>
      <c r="I594" s="109">
        <v>41172</v>
      </c>
      <c r="J594" s="105" t="str">
        <f t="shared" ca="1" si="25"/>
        <v>14 Tahun 0 Bulan 23 Hari</v>
      </c>
    </row>
    <row r="595" spans="1:10">
      <c r="A595" s="105">
        <f t="shared" si="26"/>
        <v>591</v>
      </c>
      <c r="B595" s="108" t="s">
        <v>751</v>
      </c>
      <c r="C595" s="110">
        <v>83123701</v>
      </c>
      <c r="D595" s="108" t="s">
        <v>17</v>
      </c>
      <c r="E595" s="108" t="s">
        <v>84</v>
      </c>
      <c r="F595" s="108" t="s">
        <v>1082</v>
      </c>
      <c r="G595" s="108" t="s">
        <v>1083</v>
      </c>
      <c r="H595" s="105" t="s">
        <v>116</v>
      </c>
      <c r="I595" s="109">
        <v>41172</v>
      </c>
      <c r="J595" s="105" t="str">
        <f t="shared" ca="1" si="25"/>
        <v>14 Tahun 0 Bulan 23 Hari</v>
      </c>
    </row>
    <row r="596" spans="1:10">
      <c r="A596" s="105">
        <f t="shared" si="26"/>
        <v>592</v>
      </c>
      <c r="B596" s="108" t="s">
        <v>752</v>
      </c>
      <c r="C596" s="110">
        <v>143402</v>
      </c>
      <c r="D596" s="108" t="s">
        <v>17</v>
      </c>
      <c r="E596" s="108" t="s">
        <v>84</v>
      </c>
      <c r="F596" s="108" t="s">
        <v>1082</v>
      </c>
      <c r="G596" s="108" t="s">
        <v>1083</v>
      </c>
      <c r="H596" s="105" t="s">
        <v>116</v>
      </c>
      <c r="I596" s="109">
        <v>41802</v>
      </c>
      <c r="J596" s="105" t="str">
        <f t="shared" ca="1" si="25"/>
        <v>12 Tahun 4 Bulan 1 Hari</v>
      </c>
    </row>
    <row r="597" spans="1:10">
      <c r="A597" s="105">
        <f t="shared" si="26"/>
        <v>593</v>
      </c>
      <c r="B597" s="108" t="s">
        <v>754</v>
      </c>
      <c r="C597" s="110">
        <v>83123700</v>
      </c>
      <c r="D597" s="108" t="s">
        <v>17</v>
      </c>
      <c r="E597" s="108" t="s">
        <v>84</v>
      </c>
      <c r="F597" s="108" t="s">
        <v>1082</v>
      </c>
      <c r="G597" s="108" t="s">
        <v>1083</v>
      </c>
      <c r="H597" s="105" t="s">
        <v>116</v>
      </c>
      <c r="I597" s="109">
        <v>41183</v>
      </c>
      <c r="J597" s="105" t="str">
        <f t="shared" ca="1" si="25"/>
        <v>14 Tahun 0 Bulan 12 Hari</v>
      </c>
    </row>
    <row r="598" spans="1:10">
      <c r="A598" s="105">
        <f t="shared" si="26"/>
        <v>594</v>
      </c>
      <c r="B598" s="108" t="s">
        <v>755</v>
      </c>
      <c r="C598" s="110">
        <v>83123697</v>
      </c>
      <c r="D598" s="108" t="s">
        <v>17</v>
      </c>
      <c r="E598" s="108" t="s">
        <v>84</v>
      </c>
      <c r="F598" s="108" t="s">
        <v>1082</v>
      </c>
      <c r="G598" s="108" t="s">
        <v>1083</v>
      </c>
      <c r="H598" s="105" t="s">
        <v>116</v>
      </c>
      <c r="I598" s="109">
        <v>41183</v>
      </c>
      <c r="J598" s="105" t="str">
        <f t="shared" ca="1" si="25"/>
        <v>14 Tahun 0 Bulan 12 Hari</v>
      </c>
    </row>
    <row r="599" spans="1:10">
      <c r="A599" s="105">
        <f t="shared" si="26"/>
        <v>595</v>
      </c>
      <c r="B599" s="108" t="s">
        <v>756</v>
      </c>
      <c r="C599" s="110">
        <v>143398</v>
      </c>
      <c r="D599" s="108" t="s">
        <v>17</v>
      </c>
      <c r="E599" s="108" t="s">
        <v>84</v>
      </c>
      <c r="F599" s="108" t="s">
        <v>1082</v>
      </c>
      <c r="G599" s="108" t="s">
        <v>1083</v>
      </c>
      <c r="H599" s="105" t="s">
        <v>116</v>
      </c>
      <c r="I599" s="109">
        <v>41802</v>
      </c>
      <c r="J599" s="105" t="str">
        <f t="shared" ca="1" si="25"/>
        <v>12 Tahun 4 Bulan 1 Hari</v>
      </c>
    </row>
    <row r="600" spans="1:10">
      <c r="A600" s="105">
        <f t="shared" si="26"/>
        <v>596</v>
      </c>
      <c r="B600" s="108" t="s">
        <v>757</v>
      </c>
      <c r="C600" s="110">
        <v>143409</v>
      </c>
      <c r="D600" s="108" t="s">
        <v>17</v>
      </c>
      <c r="E600" s="108" t="s">
        <v>84</v>
      </c>
      <c r="F600" s="108" t="s">
        <v>1082</v>
      </c>
      <c r="G600" s="108" t="s">
        <v>1083</v>
      </c>
      <c r="H600" s="105" t="s">
        <v>116</v>
      </c>
      <c r="I600" s="109">
        <v>41802</v>
      </c>
      <c r="J600" s="105" t="str">
        <f t="shared" ca="1" si="25"/>
        <v>12 Tahun 4 Bulan 1 Hari</v>
      </c>
    </row>
    <row r="601" spans="1:10">
      <c r="A601" s="105">
        <f t="shared" si="26"/>
        <v>597</v>
      </c>
      <c r="B601" s="108" t="s">
        <v>758</v>
      </c>
      <c r="C601" s="110">
        <v>83123699</v>
      </c>
      <c r="D601" s="108" t="s">
        <v>17</v>
      </c>
      <c r="E601" s="108" t="s">
        <v>84</v>
      </c>
      <c r="F601" s="108" t="s">
        <v>1082</v>
      </c>
      <c r="G601" s="108" t="s">
        <v>1083</v>
      </c>
      <c r="H601" s="105" t="s">
        <v>116</v>
      </c>
      <c r="I601" s="109">
        <v>41183</v>
      </c>
      <c r="J601" s="105" t="str">
        <f t="shared" ca="1" si="25"/>
        <v>14 Tahun 0 Bulan 12 Hari</v>
      </c>
    </row>
    <row r="602" spans="1:10">
      <c r="A602" s="105">
        <f t="shared" si="26"/>
        <v>598</v>
      </c>
      <c r="B602" s="108" t="s">
        <v>759</v>
      </c>
      <c r="C602" s="382">
        <v>83123703</v>
      </c>
      <c r="D602" s="108" t="s">
        <v>17</v>
      </c>
      <c r="E602" s="108" t="s">
        <v>84</v>
      </c>
      <c r="F602" s="108" t="s">
        <v>1082</v>
      </c>
      <c r="G602" s="108" t="s">
        <v>1083</v>
      </c>
      <c r="H602" s="105" t="s">
        <v>116</v>
      </c>
      <c r="I602" s="109">
        <v>41183</v>
      </c>
      <c r="J602" s="105" t="str">
        <f t="shared" ca="1" si="25"/>
        <v>14 Tahun 0 Bulan 12 Hari</v>
      </c>
    </row>
    <row r="603" spans="1:10">
      <c r="A603" s="105">
        <f t="shared" si="26"/>
        <v>599</v>
      </c>
      <c r="B603" s="108" t="s">
        <v>760</v>
      </c>
      <c r="C603" s="110">
        <v>83123698</v>
      </c>
      <c r="D603" s="108" t="s">
        <v>17</v>
      </c>
      <c r="E603" s="108" t="s">
        <v>84</v>
      </c>
      <c r="F603" s="108" t="s">
        <v>1082</v>
      </c>
      <c r="G603" s="108" t="s">
        <v>1083</v>
      </c>
      <c r="H603" s="105" t="s">
        <v>116</v>
      </c>
      <c r="I603" s="109">
        <v>41183</v>
      </c>
      <c r="J603" s="105" t="str">
        <f t="shared" ca="1" si="25"/>
        <v>14 Tahun 0 Bulan 12 Hari</v>
      </c>
    </row>
    <row r="604" spans="1:10">
      <c r="A604" s="105">
        <f t="shared" si="26"/>
        <v>600</v>
      </c>
      <c r="B604" s="108" t="s">
        <v>761</v>
      </c>
      <c r="C604" s="110">
        <v>84087843</v>
      </c>
      <c r="D604" s="108" t="s">
        <v>17</v>
      </c>
      <c r="E604" s="108" t="s">
        <v>84</v>
      </c>
      <c r="F604" s="108" t="s">
        <v>1082</v>
      </c>
      <c r="G604" s="108" t="s">
        <v>1083</v>
      </c>
      <c r="H604" s="105" t="s">
        <v>116</v>
      </c>
      <c r="I604" s="109">
        <v>39679</v>
      </c>
      <c r="J604" s="105" t="str">
        <f t="shared" ca="1" si="25"/>
        <v>18 Tahun 1 Bulan 24 Hari</v>
      </c>
    </row>
    <row r="605" spans="1:10">
      <c r="A605" s="105">
        <f t="shared" si="26"/>
        <v>601</v>
      </c>
      <c r="B605" s="108" t="s">
        <v>1191</v>
      </c>
      <c r="C605" s="110">
        <v>84124080</v>
      </c>
      <c r="D605" s="108" t="s">
        <v>17</v>
      </c>
      <c r="E605" s="108" t="s">
        <v>84</v>
      </c>
      <c r="F605" s="108" t="s">
        <v>1082</v>
      </c>
      <c r="G605" s="108" t="s">
        <v>1083</v>
      </c>
      <c r="H605" s="105" t="s">
        <v>116</v>
      </c>
      <c r="I605" s="109">
        <v>41197</v>
      </c>
      <c r="J605" s="105" t="str">
        <f t="shared" ca="1" si="25"/>
        <v>13 Tahun 11 Bulan 28 Hari</v>
      </c>
    </row>
    <row r="606" spans="1:10">
      <c r="A606" s="105">
        <f t="shared" si="26"/>
        <v>602</v>
      </c>
      <c r="B606" s="108" t="s">
        <v>1192</v>
      </c>
      <c r="C606" s="110">
        <v>143659</v>
      </c>
      <c r="D606" s="108" t="s">
        <v>17</v>
      </c>
      <c r="E606" s="108" t="s">
        <v>84</v>
      </c>
      <c r="F606" s="108" t="s">
        <v>1082</v>
      </c>
      <c r="G606" s="108" t="s">
        <v>1083</v>
      </c>
      <c r="H606" s="105" t="s">
        <v>116</v>
      </c>
      <c r="I606" s="109">
        <v>41824</v>
      </c>
      <c r="J606" s="105" t="str">
        <f t="shared" ca="1" si="25"/>
        <v>12 Tahun 3 Bulan 9 Hari</v>
      </c>
    </row>
    <row r="607" spans="1:10">
      <c r="A607" s="105">
        <f t="shared" si="26"/>
        <v>603</v>
      </c>
      <c r="B607" s="108" t="s">
        <v>1193</v>
      </c>
      <c r="C607" s="110">
        <v>83090515</v>
      </c>
      <c r="D607" s="108" t="s">
        <v>17</v>
      </c>
      <c r="E607" s="108" t="s">
        <v>84</v>
      </c>
      <c r="F607" s="108" t="s">
        <v>1082</v>
      </c>
      <c r="G607" s="108" t="s">
        <v>1083</v>
      </c>
      <c r="H607" s="105" t="s">
        <v>116</v>
      </c>
      <c r="I607" s="109">
        <v>40057</v>
      </c>
      <c r="J607" s="105" t="str">
        <f t="shared" ca="1" si="25"/>
        <v>17 Tahun 1 Bulan 12 Hari</v>
      </c>
    </row>
    <row r="608" spans="1:10" s="137" customFormat="1">
      <c r="A608" s="105">
        <f t="shared" si="26"/>
        <v>604</v>
      </c>
      <c r="B608" s="132" t="s">
        <v>763</v>
      </c>
      <c r="C608" s="142">
        <v>83117886</v>
      </c>
      <c r="D608" s="132" t="s">
        <v>17</v>
      </c>
      <c r="E608" s="132" t="s">
        <v>45</v>
      </c>
      <c r="F608" s="132" t="s">
        <v>1084</v>
      </c>
      <c r="G608" s="132" t="s">
        <v>1083</v>
      </c>
      <c r="H608" s="129" t="s">
        <v>115</v>
      </c>
      <c r="I608" s="139">
        <v>39630</v>
      </c>
      <c r="J608" s="129" t="str">
        <f ca="1">IF(ISNUMBER(I608),DATEDIF(I608,TODAY(),"Y")&amp;" Tahun "&amp;DATEDIF(I608,TODAY(),"YM")&amp;" Bulan "&amp;DATEDIF(I608,TODAY(),"MD")&amp;" Hari","")</f>
        <v>18 Tahun 3 Bulan 12 Hari</v>
      </c>
    </row>
    <row r="609" spans="1:10" s="137" customFormat="1">
      <c r="A609" s="105">
        <f t="shared" si="26"/>
        <v>605</v>
      </c>
      <c r="B609" s="132" t="s">
        <v>762</v>
      </c>
      <c r="C609" s="155">
        <v>83117892</v>
      </c>
      <c r="D609" s="132" t="s">
        <v>17</v>
      </c>
      <c r="E609" s="132" t="s">
        <v>46</v>
      </c>
      <c r="F609" s="132" t="s">
        <v>1082</v>
      </c>
      <c r="G609" s="132" t="s">
        <v>1083</v>
      </c>
      <c r="H609" s="129" t="s">
        <v>115</v>
      </c>
      <c r="I609" s="139">
        <v>39630</v>
      </c>
      <c r="J609" s="129" t="str">
        <f t="shared" ca="1" si="25"/>
        <v>18 Tahun 3 Bulan 12 Hari</v>
      </c>
    </row>
    <row r="610" spans="1:10" s="137" customFormat="1">
      <c r="A610" s="105">
        <f t="shared" si="26"/>
        <v>606</v>
      </c>
      <c r="B610" s="132" t="s">
        <v>765</v>
      </c>
      <c r="C610" s="142">
        <v>83117915</v>
      </c>
      <c r="D610" s="132" t="s">
        <v>17</v>
      </c>
      <c r="E610" s="132" t="s">
        <v>47</v>
      </c>
      <c r="F610" s="132" t="s">
        <v>1084</v>
      </c>
      <c r="G610" s="132" t="s">
        <v>1083</v>
      </c>
      <c r="H610" s="129" t="s">
        <v>115</v>
      </c>
      <c r="I610" s="139">
        <v>39630</v>
      </c>
      <c r="J610" s="129" t="str">
        <f t="shared" ca="1" si="25"/>
        <v>18 Tahun 3 Bulan 12 Hari</v>
      </c>
    </row>
    <row r="611" spans="1:10" s="137" customFormat="1">
      <c r="A611" s="105">
        <f t="shared" si="26"/>
        <v>607</v>
      </c>
      <c r="B611" s="132" t="s">
        <v>198</v>
      </c>
      <c r="C611" s="142">
        <v>83117941</v>
      </c>
      <c r="D611" s="132" t="s">
        <v>17</v>
      </c>
      <c r="E611" s="132" t="s">
        <v>48</v>
      </c>
      <c r="F611" s="132" t="s">
        <v>1084</v>
      </c>
      <c r="G611" s="132" t="s">
        <v>1083</v>
      </c>
      <c r="H611" s="129" t="s">
        <v>115</v>
      </c>
      <c r="I611" s="139">
        <v>39644</v>
      </c>
      <c r="J611" s="129" t="str">
        <f t="shared" ca="1" si="25"/>
        <v>18 Tahun 2 Bulan 28 Hari</v>
      </c>
    </row>
    <row r="612" spans="1:10">
      <c r="A612" s="105">
        <f t="shared" si="26"/>
        <v>608</v>
      </c>
      <c r="B612" s="108" t="s">
        <v>766</v>
      </c>
      <c r="C612" s="285">
        <v>83103335</v>
      </c>
      <c r="D612" s="108" t="s">
        <v>17</v>
      </c>
      <c r="E612" s="108" t="s">
        <v>95</v>
      </c>
      <c r="F612" s="108" t="s">
        <v>1082</v>
      </c>
      <c r="G612" s="108" t="s">
        <v>1083</v>
      </c>
      <c r="H612" s="105" t="s">
        <v>115</v>
      </c>
      <c r="I612" s="109">
        <v>40391</v>
      </c>
      <c r="J612" s="105" t="str">
        <f t="shared" ca="1" si="25"/>
        <v>16 Tahun 2 Bulan 12 Hari</v>
      </c>
    </row>
    <row r="613" spans="1:10">
      <c r="A613" s="105">
        <f t="shared" si="26"/>
        <v>609</v>
      </c>
      <c r="B613" s="108" t="s">
        <v>767</v>
      </c>
      <c r="C613" s="383">
        <v>141588</v>
      </c>
      <c r="D613" s="108" t="s">
        <v>17</v>
      </c>
      <c r="E613" s="108" t="s">
        <v>95</v>
      </c>
      <c r="F613" s="108" t="s">
        <v>1082</v>
      </c>
      <c r="G613" s="108" t="s">
        <v>1083</v>
      </c>
      <c r="H613" s="105" t="s">
        <v>115</v>
      </c>
      <c r="I613" s="109">
        <v>41710</v>
      </c>
      <c r="J613" s="105" t="str">
        <f t="shared" ref="J613:J644" ca="1" si="27">IF(ISNUMBER(I613),DATEDIF(I613,TODAY(),"Y")&amp;" Tahun "&amp;DATEDIF(I613,TODAY(),"YM")&amp;" Bulan "&amp;DATEDIF(I613,TODAY(),"MD")&amp;" Hari","")</f>
        <v>12 Tahun 7 Bulan 1 Hari</v>
      </c>
    </row>
    <row r="614" spans="1:10">
      <c r="A614" s="105">
        <f t="shared" si="26"/>
        <v>610</v>
      </c>
      <c r="B614" s="108" t="s">
        <v>768</v>
      </c>
      <c r="C614" s="285">
        <v>83117938</v>
      </c>
      <c r="D614" s="108" t="s">
        <v>17</v>
      </c>
      <c r="E614" s="108" t="s">
        <v>95</v>
      </c>
      <c r="F614" s="108" t="s">
        <v>1082</v>
      </c>
      <c r="G614" s="108" t="s">
        <v>1083</v>
      </c>
      <c r="H614" s="105" t="s">
        <v>115</v>
      </c>
      <c r="I614" s="109">
        <v>39630</v>
      </c>
      <c r="J614" s="105" t="str">
        <f t="shared" ca="1" si="27"/>
        <v>18 Tahun 3 Bulan 12 Hari</v>
      </c>
    </row>
    <row r="615" spans="1:10">
      <c r="A615" s="105">
        <f t="shared" si="26"/>
        <v>611</v>
      </c>
      <c r="B615" s="108" t="s">
        <v>769</v>
      </c>
      <c r="C615" s="110">
        <v>145752</v>
      </c>
      <c r="D615" s="108" t="s">
        <v>17</v>
      </c>
      <c r="E615" s="108" t="s">
        <v>95</v>
      </c>
      <c r="F615" s="108" t="s">
        <v>1082</v>
      </c>
      <c r="G615" s="108" t="s">
        <v>1083</v>
      </c>
      <c r="H615" s="105" t="s">
        <v>115</v>
      </c>
      <c r="I615" s="109">
        <v>41901</v>
      </c>
      <c r="J615" s="105" t="str">
        <f t="shared" ca="1" si="27"/>
        <v>12 Tahun 0 Bulan 24 Hari</v>
      </c>
    </row>
    <row r="616" spans="1:10">
      <c r="A616" s="105">
        <f t="shared" si="26"/>
        <v>612</v>
      </c>
      <c r="B616" s="108" t="s">
        <v>770</v>
      </c>
      <c r="C616" s="110">
        <v>141589</v>
      </c>
      <c r="D616" s="108" t="s">
        <v>17</v>
      </c>
      <c r="E616" s="108" t="s">
        <v>95</v>
      </c>
      <c r="F616" s="108" t="s">
        <v>1082</v>
      </c>
      <c r="G616" s="108" t="s">
        <v>1083</v>
      </c>
      <c r="H616" s="105" t="s">
        <v>115</v>
      </c>
      <c r="I616" s="109">
        <v>41710</v>
      </c>
      <c r="J616" s="105" t="str">
        <f t="shared" ca="1" si="27"/>
        <v>12 Tahun 7 Bulan 1 Hari</v>
      </c>
    </row>
    <row r="617" spans="1:10">
      <c r="A617" s="105">
        <f t="shared" si="26"/>
        <v>613</v>
      </c>
      <c r="B617" s="108" t="s">
        <v>751</v>
      </c>
      <c r="C617" s="384">
        <v>83103336</v>
      </c>
      <c r="D617" s="108" t="s">
        <v>17</v>
      </c>
      <c r="E617" s="108" t="s">
        <v>95</v>
      </c>
      <c r="F617" s="108" t="s">
        <v>1082</v>
      </c>
      <c r="G617" s="108" t="s">
        <v>1083</v>
      </c>
      <c r="H617" s="105" t="s">
        <v>115</v>
      </c>
      <c r="I617" s="109">
        <v>40391</v>
      </c>
      <c r="J617" s="105" t="str">
        <f t="shared" ca="1" si="27"/>
        <v>16 Tahun 2 Bulan 12 Hari</v>
      </c>
    </row>
    <row r="618" spans="1:10">
      <c r="A618" s="105">
        <f t="shared" si="26"/>
        <v>614</v>
      </c>
      <c r="B618" s="108" t="s">
        <v>771</v>
      </c>
      <c r="C618" s="384">
        <v>141587</v>
      </c>
      <c r="D618" s="108" t="s">
        <v>17</v>
      </c>
      <c r="E618" s="108" t="s">
        <v>95</v>
      </c>
      <c r="F618" s="108" t="s">
        <v>1082</v>
      </c>
      <c r="G618" s="108" t="s">
        <v>1083</v>
      </c>
      <c r="H618" s="105" t="s">
        <v>115</v>
      </c>
      <c r="I618" s="109">
        <v>41710</v>
      </c>
      <c r="J618" s="105" t="str">
        <f t="shared" ca="1" si="27"/>
        <v>12 Tahun 7 Bulan 1 Hari</v>
      </c>
    </row>
    <row r="619" spans="1:10">
      <c r="A619" s="105">
        <f t="shared" si="26"/>
        <v>615</v>
      </c>
      <c r="B619" s="108" t="s">
        <v>772</v>
      </c>
      <c r="C619" s="383">
        <v>132387</v>
      </c>
      <c r="D619" s="108" t="s">
        <v>17</v>
      </c>
      <c r="E619" s="108" t="s">
        <v>95</v>
      </c>
      <c r="F619" s="108" t="s">
        <v>1082</v>
      </c>
      <c r="G619" s="108" t="s">
        <v>1083</v>
      </c>
      <c r="H619" s="105" t="s">
        <v>115</v>
      </c>
      <c r="I619" s="109">
        <v>41440</v>
      </c>
      <c r="J619" s="105" t="str">
        <f t="shared" ca="1" si="27"/>
        <v>13 Tahun 3 Bulan 28 Hari</v>
      </c>
    </row>
    <row r="620" spans="1:10">
      <c r="A620" s="105">
        <f t="shared" si="26"/>
        <v>616</v>
      </c>
      <c r="B620" s="108" t="s">
        <v>773</v>
      </c>
      <c r="C620" s="384">
        <v>141580</v>
      </c>
      <c r="D620" s="108" t="s">
        <v>17</v>
      </c>
      <c r="E620" s="108" t="s">
        <v>95</v>
      </c>
      <c r="F620" s="108" t="s">
        <v>1082</v>
      </c>
      <c r="G620" s="108" t="s">
        <v>1083</v>
      </c>
      <c r="H620" s="105" t="s">
        <v>115</v>
      </c>
      <c r="I620" s="109">
        <v>41710</v>
      </c>
      <c r="J620" s="105" t="str">
        <f t="shared" ca="1" si="27"/>
        <v>12 Tahun 7 Bulan 1 Hari</v>
      </c>
    </row>
    <row r="621" spans="1:10">
      <c r="A621" s="105">
        <f t="shared" si="26"/>
        <v>617</v>
      </c>
      <c r="B621" s="108" t="s">
        <v>774</v>
      </c>
      <c r="C621" s="285">
        <v>84123768</v>
      </c>
      <c r="D621" s="108" t="s">
        <v>17</v>
      </c>
      <c r="E621" s="108" t="s">
        <v>95</v>
      </c>
      <c r="F621" s="108" t="s">
        <v>1082</v>
      </c>
      <c r="G621" s="108" t="s">
        <v>1083</v>
      </c>
      <c r="H621" s="105" t="s">
        <v>115</v>
      </c>
      <c r="I621" s="109">
        <v>41167</v>
      </c>
      <c r="J621" s="105" t="str">
        <f t="shared" ca="1" si="27"/>
        <v>14 Tahun 0 Bulan 28 Hari</v>
      </c>
    </row>
    <row r="622" spans="1:10">
      <c r="A622" s="105">
        <f t="shared" si="26"/>
        <v>618</v>
      </c>
      <c r="B622" s="108" t="s">
        <v>775</v>
      </c>
      <c r="C622" s="384">
        <v>141583</v>
      </c>
      <c r="D622" s="108" t="s">
        <v>17</v>
      </c>
      <c r="E622" s="108" t="s">
        <v>95</v>
      </c>
      <c r="F622" s="108" t="s">
        <v>1082</v>
      </c>
      <c r="G622" s="108" t="s">
        <v>1083</v>
      </c>
      <c r="H622" s="105" t="s">
        <v>115</v>
      </c>
      <c r="I622" s="109">
        <v>41710</v>
      </c>
      <c r="J622" s="105" t="str">
        <f t="shared" ca="1" si="27"/>
        <v>12 Tahun 7 Bulan 1 Hari</v>
      </c>
    </row>
    <row r="623" spans="1:10">
      <c r="A623" s="105">
        <f t="shared" si="26"/>
        <v>619</v>
      </c>
      <c r="B623" s="108" t="s">
        <v>776</v>
      </c>
      <c r="C623" s="384">
        <v>141579</v>
      </c>
      <c r="D623" s="108" t="s">
        <v>17</v>
      </c>
      <c r="E623" s="108" t="s">
        <v>95</v>
      </c>
      <c r="F623" s="108" t="s">
        <v>1082</v>
      </c>
      <c r="G623" s="108" t="s">
        <v>1083</v>
      </c>
      <c r="H623" s="105" t="s">
        <v>115</v>
      </c>
      <c r="I623" s="109">
        <v>41710</v>
      </c>
      <c r="J623" s="105" t="str">
        <f t="shared" ca="1" si="27"/>
        <v>12 Tahun 7 Bulan 1 Hari</v>
      </c>
    </row>
    <row r="624" spans="1:10">
      <c r="A624" s="105">
        <f t="shared" si="26"/>
        <v>620</v>
      </c>
      <c r="B624" s="108" t="s">
        <v>777</v>
      </c>
      <c r="C624" s="285">
        <v>83101972</v>
      </c>
      <c r="D624" s="108" t="s">
        <v>17</v>
      </c>
      <c r="E624" s="108" t="s">
        <v>95</v>
      </c>
      <c r="F624" s="108" t="s">
        <v>1082</v>
      </c>
      <c r="G624" s="108" t="s">
        <v>1083</v>
      </c>
      <c r="H624" s="105" t="s">
        <v>115</v>
      </c>
      <c r="I624" s="109">
        <v>40249</v>
      </c>
      <c r="J624" s="105" t="str">
        <f t="shared" ca="1" si="27"/>
        <v>16 Tahun 7 Bulan 1 Hari</v>
      </c>
    </row>
    <row r="625" spans="1:10">
      <c r="A625" s="105">
        <f t="shared" si="26"/>
        <v>621</v>
      </c>
      <c r="B625" s="108" t="s">
        <v>778</v>
      </c>
      <c r="C625" s="382">
        <v>83117885</v>
      </c>
      <c r="D625" s="108" t="s">
        <v>17</v>
      </c>
      <c r="E625" s="108" t="s">
        <v>95</v>
      </c>
      <c r="F625" s="108" t="s">
        <v>1082</v>
      </c>
      <c r="G625" s="108" t="s">
        <v>1083</v>
      </c>
      <c r="H625" s="105" t="s">
        <v>115</v>
      </c>
      <c r="I625" s="109">
        <v>39630</v>
      </c>
      <c r="J625" s="105" t="str">
        <f t="shared" ca="1" si="27"/>
        <v>18 Tahun 3 Bulan 12 Hari</v>
      </c>
    </row>
    <row r="626" spans="1:10">
      <c r="A626" s="105">
        <f t="shared" si="26"/>
        <v>622</v>
      </c>
      <c r="B626" s="108" t="s">
        <v>779</v>
      </c>
      <c r="C626" s="110">
        <v>83119567</v>
      </c>
      <c r="D626" s="108" t="s">
        <v>17</v>
      </c>
      <c r="E626" s="108" t="s">
        <v>95</v>
      </c>
      <c r="F626" s="108" t="s">
        <v>1082</v>
      </c>
      <c r="G626" s="108" t="s">
        <v>1083</v>
      </c>
      <c r="H626" s="105" t="s">
        <v>115</v>
      </c>
      <c r="I626" s="109">
        <v>40848</v>
      </c>
      <c r="J626" s="105" t="str">
        <f t="shared" ca="1" si="27"/>
        <v>14 Tahun 11 Bulan 12 Hari</v>
      </c>
    </row>
    <row r="627" spans="1:10">
      <c r="A627" s="105">
        <f t="shared" si="26"/>
        <v>623</v>
      </c>
      <c r="B627" s="108" t="s">
        <v>780</v>
      </c>
      <c r="C627" s="284">
        <v>83117914</v>
      </c>
      <c r="D627" s="108" t="s">
        <v>17</v>
      </c>
      <c r="E627" s="108" t="s">
        <v>95</v>
      </c>
      <c r="F627" s="108" t="s">
        <v>1084</v>
      </c>
      <c r="G627" s="108" t="s">
        <v>1083</v>
      </c>
      <c r="H627" s="105" t="s">
        <v>115</v>
      </c>
      <c r="I627" s="109">
        <v>39630</v>
      </c>
      <c r="J627" s="105" t="str">
        <f t="shared" ca="1" si="27"/>
        <v>18 Tahun 3 Bulan 12 Hari</v>
      </c>
    </row>
    <row r="628" spans="1:10">
      <c r="A628" s="105">
        <f t="shared" si="26"/>
        <v>624</v>
      </c>
      <c r="B628" s="108" t="s">
        <v>782</v>
      </c>
      <c r="C628" s="284">
        <v>84123769</v>
      </c>
      <c r="D628" s="108" t="s">
        <v>17</v>
      </c>
      <c r="E628" s="108" t="s">
        <v>95</v>
      </c>
      <c r="F628" s="108" t="s">
        <v>1084</v>
      </c>
      <c r="G628" s="108" t="s">
        <v>1083</v>
      </c>
      <c r="H628" s="105" t="s">
        <v>115</v>
      </c>
      <c r="I628" s="109">
        <v>41167</v>
      </c>
      <c r="J628" s="105" t="str">
        <f t="shared" ca="1" si="27"/>
        <v>14 Tahun 0 Bulan 28 Hari</v>
      </c>
    </row>
    <row r="629" spans="1:10">
      <c r="A629" s="105">
        <f t="shared" si="26"/>
        <v>625</v>
      </c>
      <c r="B629" s="108" t="s">
        <v>783</v>
      </c>
      <c r="C629" s="284">
        <v>84123770</v>
      </c>
      <c r="D629" s="108" t="s">
        <v>17</v>
      </c>
      <c r="E629" s="108" t="s">
        <v>95</v>
      </c>
      <c r="F629" s="108" t="s">
        <v>1084</v>
      </c>
      <c r="G629" s="108" t="s">
        <v>1083</v>
      </c>
      <c r="H629" s="105" t="s">
        <v>115</v>
      </c>
      <c r="I629" s="109">
        <v>41167</v>
      </c>
      <c r="J629" s="105" t="str">
        <f t="shared" ca="1" si="27"/>
        <v>14 Tahun 0 Bulan 28 Hari</v>
      </c>
    </row>
    <row r="630" spans="1:10">
      <c r="A630" s="105">
        <f t="shared" si="26"/>
        <v>626</v>
      </c>
      <c r="B630" s="108" t="s">
        <v>784</v>
      </c>
      <c r="C630" s="284">
        <v>141581</v>
      </c>
      <c r="D630" s="108" t="s">
        <v>17</v>
      </c>
      <c r="E630" s="108" t="s">
        <v>95</v>
      </c>
      <c r="F630" s="108" t="s">
        <v>1084</v>
      </c>
      <c r="G630" s="108" t="s">
        <v>1083</v>
      </c>
      <c r="H630" s="105" t="s">
        <v>115</v>
      </c>
      <c r="I630" s="109">
        <v>41710</v>
      </c>
      <c r="J630" s="105" t="str">
        <f t="shared" ca="1" si="27"/>
        <v>12 Tahun 7 Bulan 1 Hari</v>
      </c>
    </row>
    <row r="631" spans="1:10">
      <c r="A631" s="105">
        <f t="shared" si="26"/>
        <v>627</v>
      </c>
      <c r="B631" s="108" t="s">
        <v>785</v>
      </c>
      <c r="C631" s="284">
        <v>83103330</v>
      </c>
      <c r="D631" s="108" t="s">
        <v>17</v>
      </c>
      <c r="E631" s="108" t="s">
        <v>95</v>
      </c>
      <c r="F631" s="108" t="s">
        <v>1084</v>
      </c>
      <c r="G631" s="108" t="s">
        <v>1083</v>
      </c>
      <c r="H631" s="105" t="s">
        <v>115</v>
      </c>
      <c r="I631" s="109">
        <v>40391</v>
      </c>
      <c r="J631" s="105" t="str">
        <f t="shared" ca="1" si="27"/>
        <v>16 Tahun 2 Bulan 12 Hari</v>
      </c>
    </row>
    <row r="632" spans="1:10">
      <c r="A632" s="105">
        <f t="shared" si="26"/>
        <v>628</v>
      </c>
      <c r="B632" s="108" t="s">
        <v>1194</v>
      </c>
      <c r="C632" s="284">
        <v>141590</v>
      </c>
      <c r="D632" s="108" t="s">
        <v>17</v>
      </c>
      <c r="E632" s="108" t="s">
        <v>95</v>
      </c>
      <c r="F632" s="108" t="s">
        <v>1084</v>
      </c>
      <c r="G632" s="108" t="s">
        <v>1083</v>
      </c>
      <c r="H632" s="105" t="s">
        <v>115</v>
      </c>
      <c r="I632" s="109">
        <v>41710</v>
      </c>
      <c r="J632" s="105" t="str">
        <f t="shared" ca="1" si="27"/>
        <v>12 Tahun 7 Bulan 1 Hari</v>
      </c>
    </row>
    <row r="633" spans="1:10">
      <c r="A633" s="105">
        <f t="shared" si="26"/>
        <v>629</v>
      </c>
      <c r="B633" s="108" t="s">
        <v>787</v>
      </c>
      <c r="C633" s="284">
        <v>83117899</v>
      </c>
      <c r="D633" s="108" t="s">
        <v>17</v>
      </c>
      <c r="E633" s="108" t="s">
        <v>95</v>
      </c>
      <c r="F633" s="108" t="s">
        <v>1084</v>
      </c>
      <c r="G633" s="108" t="s">
        <v>1083</v>
      </c>
      <c r="H633" s="105" t="s">
        <v>115</v>
      </c>
      <c r="I633" s="109">
        <v>39630</v>
      </c>
      <c r="J633" s="105" t="str">
        <f t="shared" ca="1" si="27"/>
        <v>18 Tahun 3 Bulan 12 Hari</v>
      </c>
    </row>
    <row r="634" spans="1:10">
      <c r="A634" s="105">
        <f t="shared" si="26"/>
        <v>630</v>
      </c>
      <c r="B634" s="108" t="s">
        <v>788</v>
      </c>
      <c r="C634" s="284">
        <v>84130582</v>
      </c>
      <c r="D634" s="108" t="s">
        <v>17</v>
      </c>
      <c r="E634" s="108" t="s">
        <v>95</v>
      </c>
      <c r="F634" s="108" t="s">
        <v>1084</v>
      </c>
      <c r="G634" s="108" t="s">
        <v>1083</v>
      </c>
      <c r="H634" s="105" t="s">
        <v>115</v>
      </c>
      <c r="I634" s="109">
        <v>41306</v>
      </c>
      <c r="J634" s="105" t="str">
        <f t="shared" ca="1" si="27"/>
        <v>13 Tahun 8 Bulan 12 Hari</v>
      </c>
    </row>
    <row r="635" spans="1:10">
      <c r="A635" s="105">
        <f t="shared" si="26"/>
        <v>631</v>
      </c>
      <c r="B635" s="108" t="s">
        <v>789</v>
      </c>
      <c r="C635" s="284">
        <v>83118004</v>
      </c>
      <c r="D635" s="108" t="s">
        <v>17</v>
      </c>
      <c r="E635" s="108" t="s">
        <v>95</v>
      </c>
      <c r="F635" s="108" t="s">
        <v>1084</v>
      </c>
      <c r="G635" s="108" t="s">
        <v>1083</v>
      </c>
      <c r="H635" s="105" t="s">
        <v>115</v>
      </c>
      <c r="I635" s="109">
        <v>40739</v>
      </c>
      <c r="J635" s="105" t="str">
        <f t="shared" ca="1" si="27"/>
        <v>15 Tahun 2 Bulan 28 Hari</v>
      </c>
    </row>
    <row r="636" spans="1:10">
      <c r="A636" s="105">
        <f t="shared" si="26"/>
        <v>632</v>
      </c>
      <c r="B636" s="108" t="s">
        <v>790</v>
      </c>
      <c r="C636" s="284">
        <v>83103340</v>
      </c>
      <c r="D636" s="108" t="s">
        <v>17</v>
      </c>
      <c r="E636" s="108" t="s">
        <v>95</v>
      </c>
      <c r="F636" s="108" t="s">
        <v>1084</v>
      </c>
      <c r="G636" s="108" t="s">
        <v>1083</v>
      </c>
      <c r="H636" s="105" t="s">
        <v>115</v>
      </c>
      <c r="I636" s="109">
        <v>40391</v>
      </c>
      <c r="J636" s="105" t="str">
        <f t="shared" ca="1" si="27"/>
        <v>16 Tahun 2 Bulan 12 Hari</v>
      </c>
    </row>
    <row r="637" spans="1:10">
      <c r="A637" s="105">
        <f t="shared" si="26"/>
        <v>633</v>
      </c>
      <c r="B637" s="108" t="s">
        <v>791</v>
      </c>
      <c r="C637" s="284">
        <v>83117910</v>
      </c>
      <c r="D637" s="108" t="s">
        <v>17</v>
      </c>
      <c r="E637" s="108" t="s">
        <v>95</v>
      </c>
      <c r="F637" s="108" t="s">
        <v>1084</v>
      </c>
      <c r="G637" s="108" t="s">
        <v>1083</v>
      </c>
      <c r="H637" s="105" t="s">
        <v>115</v>
      </c>
      <c r="I637" s="109">
        <v>26656</v>
      </c>
      <c r="J637" s="105" t="str">
        <f t="shared" ca="1" si="27"/>
        <v>53 Tahun 9 Bulan 20 Hari</v>
      </c>
    </row>
    <row r="638" spans="1:10">
      <c r="A638" s="105">
        <f t="shared" si="26"/>
        <v>634</v>
      </c>
      <c r="B638" s="108" t="s">
        <v>792</v>
      </c>
      <c r="C638" s="284">
        <v>84124082</v>
      </c>
      <c r="D638" s="108" t="s">
        <v>17</v>
      </c>
      <c r="E638" s="108" t="s">
        <v>95</v>
      </c>
      <c r="F638" s="108" t="s">
        <v>1084</v>
      </c>
      <c r="G638" s="108" t="s">
        <v>1083</v>
      </c>
      <c r="H638" s="105" t="s">
        <v>115</v>
      </c>
      <c r="I638" s="109">
        <v>41197</v>
      </c>
      <c r="J638" s="105" t="str">
        <f t="shared" ca="1" si="27"/>
        <v>13 Tahun 11 Bulan 28 Hari</v>
      </c>
    </row>
    <row r="639" spans="1:10">
      <c r="A639" s="105">
        <f t="shared" si="26"/>
        <v>635</v>
      </c>
      <c r="B639" s="108" t="s">
        <v>793</v>
      </c>
      <c r="C639" s="284">
        <v>84117918</v>
      </c>
      <c r="D639" s="108" t="s">
        <v>17</v>
      </c>
      <c r="E639" s="108" t="s">
        <v>95</v>
      </c>
      <c r="F639" s="108" t="s">
        <v>1084</v>
      </c>
      <c r="G639" s="108" t="s">
        <v>1083</v>
      </c>
      <c r="H639" s="105" t="s">
        <v>115</v>
      </c>
      <c r="I639" s="109">
        <v>39630</v>
      </c>
      <c r="J639" s="105" t="str">
        <f t="shared" ca="1" si="27"/>
        <v>18 Tahun 3 Bulan 12 Hari</v>
      </c>
    </row>
    <row r="640" spans="1:10">
      <c r="A640" s="105">
        <f t="shared" si="26"/>
        <v>636</v>
      </c>
      <c r="B640" s="108" t="s">
        <v>794</v>
      </c>
      <c r="C640" s="284">
        <v>84123771</v>
      </c>
      <c r="D640" s="108" t="s">
        <v>17</v>
      </c>
      <c r="E640" s="108" t="s">
        <v>95</v>
      </c>
      <c r="F640" s="108" t="s">
        <v>1084</v>
      </c>
      <c r="G640" s="108" t="s">
        <v>1083</v>
      </c>
      <c r="H640" s="105" t="s">
        <v>115</v>
      </c>
      <c r="I640" s="109">
        <v>41167</v>
      </c>
      <c r="J640" s="105" t="str">
        <f t="shared" ca="1" si="27"/>
        <v>14 Tahun 0 Bulan 28 Hari</v>
      </c>
    </row>
    <row r="641" spans="1:10">
      <c r="A641" s="105">
        <f t="shared" si="26"/>
        <v>637</v>
      </c>
      <c r="B641" s="108" t="s">
        <v>796</v>
      </c>
      <c r="C641" s="284">
        <v>132386</v>
      </c>
      <c r="D641" s="108" t="s">
        <v>17</v>
      </c>
      <c r="E641" s="108" t="s">
        <v>95</v>
      </c>
      <c r="F641" s="108" t="s">
        <v>1084</v>
      </c>
      <c r="G641" s="108" t="s">
        <v>1083</v>
      </c>
      <c r="H641" s="105" t="s">
        <v>115</v>
      </c>
      <c r="I641" s="109">
        <v>41440</v>
      </c>
      <c r="J641" s="105" t="str">
        <f t="shared" ca="1" si="27"/>
        <v>13 Tahun 3 Bulan 28 Hari</v>
      </c>
    </row>
    <row r="642" spans="1:10">
      <c r="A642" s="105">
        <f t="shared" si="26"/>
        <v>638</v>
      </c>
      <c r="B642" s="108" t="s">
        <v>199</v>
      </c>
      <c r="C642" s="284">
        <v>84124081</v>
      </c>
      <c r="D642" s="108" t="s">
        <v>17</v>
      </c>
      <c r="E642" s="108" t="s">
        <v>95</v>
      </c>
      <c r="F642" s="108" t="s">
        <v>1084</v>
      </c>
      <c r="G642" s="108" t="s">
        <v>1083</v>
      </c>
      <c r="H642" s="105" t="s">
        <v>115</v>
      </c>
      <c r="I642" s="109">
        <v>41197</v>
      </c>
      <c r="J642" s="105" t="str">
        <f t="shared" ca="1" si="27"/>
        <v>13 Tahun 11 Bulan 28 Hari</v>
      </c>
    </row>
    <row r="643" spans="1:10">
      <c r="A643" s="105">
        <f t="shared" si="26"/>
        <v>639</v>
      </c>
      <c r="B643" s="108" t="s">
        <v>797</v>
      </c>
      <c r="C643" s="284">
        <v>141585</v>
      </c>
      <c r="D643" s="108" t="s">
        <v>17</v>
      </c>
      <c r="E643" s="108" t="s">
        <v>95</v>
      </c>
      <c r="F643" s="108" t="s">
        <v>1084</v>
      </c>
      <c r="G643" s="108" t="s">
        <v>1083</v>
      </c>
      <c r="H643" s="105" t="s">
        <v>115</v>
      </c>
      <c r="I643" s="109">
        <v>33751</v>
      </c>
      <c r="J643" s="105" t="str">
        <f t="shared" ca="1" si="27"/>
        <v>34 Tahun 4 Bulan 16 Hari</v>
      </c>
    </row>
    <row r="644" spans="1:10">
      <c r="A644" s="105">
        <f t="shared" si="26"/>
        <v>640</v>
      </c>
      <c r="B644" s="108" t="s">
        <v>891</v>
      </c>
      <c r="C644" s="284">
        <v>251635</v>
      </c>
      <c r="D644" s="108" t="s">
        <v>17</v>
      </c>
      <c r="E644" s="108" t="s">
        <v>95</v>
      </c>
      <c r="F644" s="108" t="s">
        <v>1084</v>
      </c>
      <c r="G644" s="108" t="s">
        <v>1083</v>
      </c>
      <c r="H644" s="105" t="s">
        <v>115</v>
      </c>
      <c r="I644" s="109">
        <v>36541</v>
      </c>
      <c r="J644" s="105" t="str">
        <f t="shared" ca="1" si="27"/>
        <v>26 Tahun 8 Bulan 27 Hari</v>
      </c>
    </row>
    <row r="645" spans="1:10">
      <c r="A645" s="105">
        <f t="shared" ref="A645" si="28">ROW(A641)</f>
        <v>641</v>
      </c>
      <c r="B645" s="105" t="s">
        <v>1179</v>
      </c>
      <c r="C645" s="105">
        <v>83122380</v>
      </c>
      <c r="D645" s="108" t="s">
        <v>1440</v>
      </c>
      <c r="E645" s="108" t="s">
        <v>84</v>
      </c>
      <c r="F645" s="108" t="s">
        <v>1082</v>
      </c>
      <c r="G645" s="108" t="s">
        <v>1083</v>
      </c>
      <c r="H645" s="105" t="s">
        <v>116</v>
      </c>
      <c r="I645" s="109">
        <v>41078</v>
      </c>
      <c r="J645" s="105" t="str">
        <f ca="1">IF(ISNUMBER(I645),DATEDIF(I645,TODAY(),"Y")&amp;" Tahun "&amp;DATEDIF(I645,TODAY(),"YM")&amp;" Bulan "&amp;DATEDIF(I645,TODAY(),"MD")&amp;" Hari","")</f>
        <v>14 Tahun 3 Bulan 25 Hari</v>
      </c>
    </row>
    <row r="651" spans="1:10">
      <c r="E651" s="368" t="s">
        <v>1195</v>
      </c>
    </row>
  </sheetData>
  <autoFilter ref="A4:J645"/>
  <mergeCells count="1">
    <mergeCell ref="A1:H2"/>
  </mergeCells>
  <conditionalFormatting sqref="C16">
    <cfRule type="duplicateValues" dxfId="22" priority="57"/>
  </conditionalFormatting>
  <conditionalFormatting sqref="C27">
    <cfRule type="duplicateValues" dxfId="21" priority="56"/>
  </conditionalFormatting>
  <conditionalFormatting sqref="C92">
    <cfRule type="duplicateValues" dxfId="20" priority="55"/>
  </conditionalFormatting>
  <conditionalFormatting sqref="C95">
    <cfRule type="duplicateValues" dxfId="19" priority="53"/>
  </conditionalFormatting>
  <conditionalFormatting sqref="C99">
    <cfRule type="duplicateValues" dxfId="18" priority="46"/>
  </conditionalFormatting>
  <conditionalFormatting sqref="C100">
    <cfRule type="duplicateValues" dxfId="17" priority="45"/>
  </conditionalFormatting>
  <conditionalFormatting sqref="C101">
    <cfRule type="duplicateValues" dxfId="16" priority="41"/>
  </conditionalFormatting>
  <conditionalFormatting sqref="C104">
    <cfRule type="duplicateValues" dxfId="15" priority="35"/>
  </conditionalFormatting>
  <conditionalFormatting sqref="C105">
    <cfRule type="duplicateValues" dxfId="14" priority="34"/>
  </conditionalFormatting>
  <conditionalFormatting sqref="C106">
    <cfRule type="duplicateValues" dxfId="13" priority="31"/>
  </conditionalFormatting>
  <conditionalFormatting sqref="C111">
    <cfRule type="duplicateValues" dxfId="12" priority="29"/>
  </conditionalFormatting>
  <conditionalFormatting sqref="C115">
    <cfRule type="duplicateValues" dxfId="11" priority="28"/>
  </conditionalFormatting>
  <conditionalFormatting sqref="C119">
    <cfRule type="duplicateValues" dxfId="10" priority="18"/>
  </conditionalFormatting>
  <conditionalFormatting sqref="C120">
    <cfRule type="duplicateValues" dxfId="9" priority="16"/>
  </conditionalFormatting>
  <conditionalFormatting sqref="C122">
    <cfRule type="duplicateValues" dxfId="8" priority="15"/>
  </conditionalFormatting>
  <conditionalFormatting sqref="C24">
    <cfRule type="duplicateValues" dxfId="7" priority="14"/>
  </conditionalFormatting>
  <conditionalFormatting sqref="C135">
    <cfRule type="duplicateValues" dxfId="6" priority="12"/>
  </conditionalFormatting>
  <conditionalFormatting sqref="C136">
    <cfRule type="duplicateValues" dxfId="5" priority="8"/>
  </conditionalFormatting>
  <conditionalFormatting sqref="C137">
    <cfRule type="duplicateValues" dxfId="4" priority="7"/>
  </conditionalFormatting>
  <conditionalFormatting sqref="C144">
    <cfRule type="duplicateValues" dxfId="3" priority="1"/>
  </conditionalFormatting>
  <conditionalFormatting sqref="C30">
    <cfRule type="duplicateValues" dxfId="2" priority="59"/>
  </conditionalFormatting>
  <pageMargins left="0.25" right="0.25" top="0.32" bottom="0.3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77"/>
  <sheetViews>
    <sheetView showGridLines="0" workbookViewId="0">
      <pane ySplit="1" topLeftCell="A73" activePane="bottomLeft" state="frozen"/>
      <selection pane="bottomLeft" activeCell="I24" sqref="I24"/>
    </sheetView>
  </sheetViews>
  <sheetFormatPr defaultColWidth="9" defaultRowHeight="12.75"/>
  <cols>
    <col min="1" max="1" width="3.7109375" style="156" bestFit="1" customWidth="1"/>
    <col min="2" max="2" width="28.5703125" style="156" bestFit="1" customWidth="1"/>
    <col min="3" max="3" width="10.140625" style="156" bestFit="1" customWidth="1"/>
    <col min="4" max="4" width="10" style="156" customWidth="1"/>
    <col min="5" max="5" width="19" style="156" bestFit="1" customWidth="1"/>
    <col min="6" max="6" width="39.140625" style="156" bestFit="1" customWidth="1"/>
    <col min="7" max="16384" width="9" style="156"/>
  </cols>
  <sheetData>
    <row r="1" spans="1:6" s="167" customFormat="1">
      <c r="A1" s="144" t="s">
        <v>1077</v>
      </c>
      <c r="B1" s="144" t="s">
        <v>120</v>
      </c>
      <c r="C1" s="144" t="s">
        <v>119</v>
      </c>
      <c r="D1" s="144" t="s">
        <v>121</v>
      </c>
      <c r="E1" s="144" t="s">
        <v>107</v>
      </c>
      <c r="F1" s="166" t="s">
        <v>122</v>
      </c>
    </row>
    <row r="2" spans="1:6">
      <c r="A2" s="157">
        <v>1</v>
      </c>
      <c r="B2" s="158" t="s">
        <v>1196</v>
      </c>
      <c r="C2" s="158" t="s">
        <v>1197</v>
      </c>
      <c r="D2" s="157" t="s">
        <v>1198</v>
      </c>
      <c r="E2" s="158" t="s">
        <v>1199</v>
      </c>
      <c r="F2" s="168" t="s">
        <v>1200</v>
      </c>
    </row>
    <row r="3" spans="1:6">
      <c r="A3" s="157">
        <v>2</v>
      </c>
      <c r="B3" s="158" t="s">
        <v>1201</v>
      </c>
      <c r="C3" s="158" t="s">
        <v>1202</v>
      </c>
      <c r="D3" s="157" t="s">
        <v>1198</v>
      </c>
      <c r="E3" s="158" t="s">
        <v>1199</v>
      </c>
      <c r="F3" s="169" t="s">
        <v>1200</v>
      </c>
    </row>
    <row r="4" spans="1:6">
      <c r="A4" s="157">
        <v>3</v>
      </c>
      <c r="B4" s="158" t="s">
        <v>1203</v>
      </c>
      <c r="C4" s="158" t="s">
        <v>1204</v>
      </c>
      <c r="D4" s="157" t="s">
        <v>1198</v>
      </c>
      <c r="E4" s="158" t="s">
        <v>1205</v>
      </c>
      <c r="F4" s="169" t="s">
        <v>1200</v>
      </c>
    </row>
    <row r="5" spans="1:6">
      <c r="A5" s="157">
        <v>4</v>
      </c>
      <c r="B5" s="158" t="s">
        <v>1206</v>
      </c>
      <c r="C5" s="158" t="s">
        <v>1207</v>
      </c>
      <c r="D5" s="157" t="s">
        <v>1198</v>
      </c>
      <c r="E5" s="158" t="s">
        <v>1205</v>
      </c>
      <c r="F5" s="169" t="s">
        <v>1200</v>
      </c>
    </row>
    <row r="6" spans="1:6">
      <c r="A6" s="157">
        <v>5</v>
      </c>
      <c r="B6" s="158" t="s">
        <v>1208</v>
      </c>
      <c r="C6" s="158" t="s">
        <v>1209</v>
      </c>
      <c r="D6" s="157" t="s">
        <v>1198</v>
      </c>
      <c r="E6" s="158" t="s">
        <v>1205</v>
      </c>
      <c r="F6" s="169" t="s">
        <v>1200</v>
      </c>
    </row>
    <row r="7" spans="1:6">
      <c r="A7" s="157">
        <v>6</v>
      </c>
      <c r="B7" s="158" t="s">
        <v>1210</v>
      </c>
      <c r="C7" s="158" t="s">
        <v>1211</v>
      </c>
      <c r="D7" s="157" t="s">
        <v>1198</v>
      </c>
      <c r="E7" s="158" t="s">
        <v>1205</v>
      </c>
      <c r="F7" s="169" t="s">
        <v>1200</v>
      </c>
    </row>
    <row r="8" spans="1:6">
      <c r="A8" s="157">
        <v>7</v>
      </c>
      <c r="B8" s="158" t="s">
        <v>1212</v>
      </c>
      <c r="C8" s="158" t="s">
        <v>1213</v>
      </c>
      <c r="D8" s="157" t="s">
        <v>1198</v>
      </c>
      <c r="E8" s="158" t="s">
        <v>1205</v>
      </c>
      <c r="F8" s="169" t="s">
        <v>1200</v>
      </c>
    </row>
    <row r="9" spans="1:6">
      <c r="A9" s="157">
        <v>8</v>
      </c>
      <c r="B9" s="158" t="s">
        <v>1214</v>
      </c>
      <c r="C9" s="158" t="s">
        <v>1215</v>
      </c>
      <c r="D9" s="157" t="s">
        <v>1198</v>
      </c>
      <c r="E9" s="158" t="s">
        <v>1205</v>
      </c>
      <c r="F9" s="169" t="s">
        <v>1200</v>
      </c>
    </row>
    <row r="10" spans="1:6">
      <c r="A10" s="157">
        <v>9</v>
      </c>
      <c r="B10" s="158" t="s">
        <v>1216</v>
      </c>
      <c r="C10" s="158" t="s">
        <v>1217</v>
      </c>
      <c r="D10" s="157" t="s">
        <v>1198</v>
      </c>
      <c r="E10" s="158" t="s">
        <v>1205</v>
      </c>
      <c r="F10" s="169" t="s">
        <v>1200</v>
      </c>
    </row>
    <row r="11" spans="1:6">
      <c r="A11" s="157">
        <v>10</v>
      </c>
      <c r="B11" s="158" t="s">
        <v>1218</v>
      </c>
      <c r="C11" s="158" t="s">
        <v>1219</v>
      </c>
      <c r="D11" s="157" t="s">
        <v>1198</v>
      </c>
      <c r="E11" s="158" t="s">
        <v>1205</v>
      </c>
      <c r="F11" s="169" t="s">
        <v>1200</v>
      </c>
    </row>
    <row r="12" spans="1:6">
      <c r="A12" s="157">
        <v>11</v>
      </c>
      <c r="B12" s="158" t="s">
        <v>1220</v>
      </c>
      <c r="C12" s="158" t="s">
        <v>1221</v>
      </c>
      <c r="D12" s="157" t="s">
        <v>1198</v>
      </c>
      <c r="E12" s="158" t="s">
        <v>1205</v>
      </c>
      <c r="F12" s="169" t="s">
        <v>1200</v>
      </c>
    </row>
    <row r="13" spans="1:6">
      <c r="A13" s="157">
        <v>12</v>
      </c>
      <c r="B13" s="158" t="s">
        <v>1222</v>
      </c>
      <c r="C13" s="158" t="s">
        <v>1223</v>
      </c>
      <c r="D13" s="157" t="s">
        <v>1198</v>
      </c>
      <c r="E13" s="158" t="s">
        <v>1205</v>
      </c>
      <c r="F13" s="169" t="s">
        <v>1200</v>
      </c>
    </row>
    <row r="14" spans="1:6">
      <c r="A14" s="157">
        <v>13</v>
      </c>
      <c r="B14" s="158" t="s">
        <v>1224</v>
      </c>
      <c r="C14" s="158" t="s">
        <v>1225</v>
      </c>
      <c r="D14" s="157" t="s">
        <v>1198</v>
      </c>
      <c r="E14" s="158" t="s">
        <v>1205</v>
      </c>
      <c r="F14" s="169" t="s">
        <v>1200</v>
      </c>
    </row>
    <row r="15" spans="1:6">
      <c r="A15" s="157">
        <v>14</v>
      </c>
      <c r="B15" s="158" t="s">
        <v>1226</v>
      </c>
      <c r="C15" s="158" t="s">
        <v>1227</v>
      </c>
      <c r="D15" s="157" t="s">
        <v>1198</v>
      </c>
      <c r="E15" s="158" t="s">
        <v>1205</v>
      </c>
      <c r="F15" s="169" t="s">
        <v>1200</v>
      </c>
    </row>
    <row r="16" spans="1:6">
      <c r="A16" s="157">
        <v>15</v>
      </c>
      <c r="B16" s="158" t="s">
        <v>1228</v>
      </c>
      <c r="C16" s="158" t="s">
        <v>1229</v>
      </c>
      <c r="D16" s="157" t="s">
        <v>1198</v>
      </c>
      <c r="E16" s="158" t="s">
        <v>1205</v>
      </c>
      <c r="F16" s="169" t="s">
        <v>1200</v>
      </c>
    </row>
    <row r="17" spans="1:6">
      <c r="A17" s="157">
        <v>16</v>
      </c>
      <c r="B17" s="158" t="s">
        <v>1230</v>
      </c>
      <c r="C17" s="158" t="s">
        <v>1231</v>
      </c>
      <c r="D17" s="157" t="s">
        <v>1198</v>
      </c>
      <c r="E17" s="158" t="s">
        <v>1205</v>
      </c>
      <c r="F17" s="169" t="s">
        <v>1200</v>
      </c>
    </row>
    <row r="18" spans="1:6">
      <c r="A18" s="157">
        <v>17</v>
      </c>
      <c r="B18" s="158" t="s">
        <v>1232</v>
      </c>
      <c r="C18" s="158" t="s">
        <v>1233</v>
      </c>
      <c r="D18" s="157" t="s">
        <v>1198</v>
      </c>
      <c r="E18" s="158" t="s">
        <v>1205</v>
      </c>
      <c r="F18" s="169" t="s">
        <v>1200</v>
      </c>
    </row>
    <row r="19" spans="1:6">
      <c r="A19" s="157">
        <v>18</v>
      </c>
      <c r="B19" s="158" t="s">
        <v>1234</v>
      </c>
      <c r="C19" s="158" t="s">
        <v>1235</v>
      </c>
      <c r="D19" s="157" t="s">
        <v>1198</v>
      </c>
      <c r="E19" s="158" t="s">
        <v>1205</v>
      </c>
      <c r="F19" s="169" t="s">
        <v>1200</v>
      </c>
    </row>
    <row r="20" spans="1:6">
      <c r="A20" s="157">
        <v>19</v>
      </c>
      <c r="B20" s="158" t="s">
        <v>1236</v>
      </c>
      <c r="C20" s="158" t="s">
        <v>1237</v>
      </c>
      <c r="D20" s="157" t="s">
        <v>1198</v>
      </c>
      <c r="E20" s="158" t="s">
        <v>1205</v>
      </c>
      <c r="F20" s="169" t="s">
        <v>1200</v>
      </c>
    </row>
    <row r="21" spans="1:6">
      <c r="A21" s="157">
        <v>20</v>
      </c>
      <c r="B21" s="158" t="s">
        <v>1238</v>
      </c>
      <c r="C21" s="158" t="s">
        <v>1239</v>
      </c>
      <c r="D21" s="157" t="s">
        <v>1198</v>
      </c>
      <c r="E21" s="158" t="s">
        <v>1205</v>
      </c>
      <c r="F21" s="169" t="s">
        <v>1200</v>
      </c>
    </row>
    <row r="22" spans="1:6">
      <c r="A22" s="157">
        <v>21</v>
      </c>
      <c r="B22" s="158" t="s">
        <v>1240</v>
      </c>
      <c r="C22" s="158" t="s">
        <v>1241</v>
      </c>
      <c r="D22" s="157" t="s">
        <v>1198</v>
      </c>
      <c r="E22" s="158" t="s">
        <v>1205</v>
      </c>
      <c r="F22" s="169" t="s">
        <v>1200</v>
      </c>
    </row>
    <row r="23" spans="1:6">
      <c r="A23" s="157">
        <v>22</v>
      </c>
      <c r="B23" s="158" t="s">
        <v>1242</v>
      </c>
      <c r="C23" s="158" t="s">
        <v>1243</v>
      </c>
      <c r="D23" s="157" t="s">
        <v>1198</v>
      </c>
      <c r="E23" s="158" t="s">
        <v>1205</v>
      </c>
      <c r="F23" s="169" t="s">
        <v>1200</v>
      </c>
    </row>
    <row r="24" spans="1:6">
      <c r="A24" s="157">
        <v>23</v>
      </c>
      <c r="B24" s="158" t="s">
        <v>1244</v>
      </c>
      <c r="C24" s="158" t="s">
        <v>1245</v>
      </c>
      <c r="D24" s="157" t="s">
        <v>1198</v>
      </c>
      <c r="E24" s="158" t="s">
        <v>1205</v>
      </c>
      <c r="F24" s="169" t="s">
        <v>1200</v>
      </c>
    </row>
    <row r="25" spans="1:6">
      <c r="A25" s="157">
        <v>24</v>
      </c>
      <c r="B25" s="158" t="s">
        <v>1246</v>
      </c>
      <c r="C25" s="158" t="s">
        <v>1247</v>
      </c>
      <c r="D25" s="157" t="s">
        <v>1198</v>
      </c>
      <c r="E25" s="158" t="s">
        <v>1205</v>
      </c>
      <c r="F25" s="169" t="s">
        <v>1200</v>
      </c>
    </row>
    <row r="26" spans="1:6">
      <c r="A26" s="157">
        <v>25</v>
      </c>
      <c r="B26" s="158" t="s">
        <v>1248</v>
      </c>
      <c r="C26" s="158" t="s">
        <v>1249</v>
      </c>
      <c r="D26" s="157" t="s">
        <v>1198</v>
      </c>
      <c r="E26" s="158" t="s">
        <v>1205</v>
      </c>
      <c r="F26" s="169" t="s">
        <v>1200</v>
      </c>
    </row>
    <row r="27" spans="1:6">
      <c r="A27" s="157">
        <v>26</v>
      </c>
      <c r="B27" s="158" t="s">
        <v>1250</v>
      </c>
      <c r="C27" s="158" t="s">
        <v>1251</v>
      </c>
      <c r="D27" s="157" t="s">
        <v>1198</v>
      </c>
      <c r="E27" s="158" t="s">
        <v>1205</v>
      </c>
      <c r="F27" s="169" t="s">
        <v>1200</v>
      </c>
    </row>
    <row r="28" spans="1:6">
      <c r="A28" s="157">
        <v>27</v>
      </c>
      <c r="B28" s="158" t="s">
        <v>1252</v>
      </c>
      <c r="C28" s="158" t="s">
        <v>1253</v>
      </c>
      <c r="D28" s="157" t="s">
        <v>1198</v>
      </c>
      <c r="E28" s="158" t="s">
        <v>1205</v>
      </c>
      <c r="F28" s="169" t="s">
        <v>1200</v>
      </c>
    </row>
    <row r="29" spans="1:6">
      <c r="A29" s="157">
        <v>28</v>
      </c>
      <c r="B29" s="158" t="s">
        <v>1254</v>
      </c>
      <c r="C29" s="158" t="s">
        <v>1255</v>
      </c>
      <c r="D29" s="157" t="s">
        <v>1198</v>
      </c>
      <c r="E29" s="158" t="s">
        <v>1205</v>
      </c>
      <c r="F29" s="169" t="s">
        <v>1200</v>
      </c>
    </row>
    <row r="30" spans="1:6">
      <c r="A30" s="157">
        <v>29</v>
      </c>
      <c r="B30" s="158" t="s">
        <v>1256</v>
      </c>
      <c r="C30" s="158" t="s">
        <v>1257</v>
      </c>
      <c r="D30" s="157" t="s">
        <v>1198</v>
      </c>
      <c r="E30" s="158" t="s">
        <v>1205</v>
      </c>
      <c r="F30" s="169" t="s">
        <v>1200</v>
      </c>
    </row>
    <row r="31" spans="1:6">
      <c r="A31" s="157">
        <v>30</v>
      </c>
      <c r="B31" s="158" t="s">
        <v>1258</v>
      </c>
      <c r="C31" s="159" t="s">
        <v>1259</v>
      </c>
      <c r="D31" s="157" t="s">
        <v>1198</v>
      </c>
      <c r="E31" s="158" t="s">
        <v>1205</v>
      </c>
      <c r="F31" s="169" t="s">
        <v>1200</v>
      </c>
    </row>
    <row r="32" spans="1:6">
      <c r="A32" s="157">
        <v>31</v>
      </c>
      <c r="B32" s="158" t="s">
        <v>1260</v>
      </c>
      <c r="C32" s="158" t="s">
        <v>1261</v>
      </c>
      <c r="D32" s="157" t="s">
        <v>1198</v>
      </c>
      <c r="E32" s="158" t="s">
        <v>1205</v>
      </c>
      <c r="F32" s="169" t="s">
        <v>1200</v>
      </c>
    </row>
    <row r="33" spans="1:6">
      <c r="A33" s="157">
        <v>32</v>
      </c>
      <c r="B33" s="158" t="s">
        <v>1262</v>
      </c>
      <c r="C33" s="158" t="s">
        <v>1263</v>
      </c>
      <c r="D33" s="157" t="s">
        <v>1198</v>
      </c>
      <c r="E33" s="158" t="s">
        <v>1205</v>
      </c>
      <c r="F33" s="169" t="s">
        <v>1200</v>
      </c>
    </row>
    <row r="34" spans="1:6">
      <c r="A34" s="157">
        <v>33</v>
      </c>
      <c r="B34" s="158" t="s">
        <v>1264</v>
      </c>
      <c r="C34" s="158" t="s">
        <v>1265</v>
      </c>
      <c r="D34" s="157" t="s">
        <v>1198</v>
      </c>
      <c r="E34" s="158" t="s">
        <v>1205</v>
      </c>
      <c r="F34" s="169" t="s">
        <v>1200</v>
      </c>
    </row>
    <row r="35" spans="1:6">
      <c r="A35" s="157">
        <v>34</v>
      </c>
      <c r="B35" s="158" t="s">
        <v>1266</v>
      </c>
      <c r="C35" s="158" t="s">
        <v>1267</v>
      </c>
      <c r="D35" s="157" t="s">
        <v>1198</v>
      </c>
      <c r="E35" s="158" t="s">
        <v>1205</v>
      </c>
      <c r="F35" s="169" t="s">
        <v>1200</v>
      </c>
    </row>
    <row r="36" spans="1:6">
      <c r="A36" s="157">
        <v>35</v>
      </c>
      <c r="B36" s="158" t="s">
        <v>1268</v>
      </c>
      <c r="C36" s="159" t="s">
        <v>1269</v>
      </c>
      <c r="D36" s="157" t="s">
        <v>1198</v>
      </c>
      <c r="E36" s="158" t="s">
        <v>1205</v>
      </c>
      <c r="F36" s="169" t="s">
        <v>1200</v>
      </c>
    </row>
    <row r="37" spans="1:6">
      <c r="A37" s="157">
        <v>36</v>
      </c>
      <c r="B37" s="160" t="s">
        <v>1270</v>
      </c>
      <c r="C37" s="160" t="s">
        <v>1271</v>
      </c>
      <c r="D37" s="157" t="s">
        <v>1198</v>
      </c>
      <c r="E37" s="158" t="s">
        <v>1272</v>
      </c>
      <c r="F37" s="169" t="s">
        <v>1273</v>
      </c>
    </row>
    <row r="38" spans="1:6">
      <c r="A38" s="157">
        <v>37</v>
      </c>
      <c r="B38" s="160" t="s">
        <v>1274</v>
      </c>
      <c r="C38" s="160" t="s">
        <v>1275</v>
      </c>
      <c r="D38" s="157" t="s">
        <v>1198</v>
      </c>
      <c r="E38" s="158" t="s">
        <v>1272</v>
      </c>
      <c r="F38" s="169" t="s">
        <v>1273</v>
      </c>
    </row>
    <row r="39" spans="1:6">
      <c r="A39" s="157">
        <v>38</v>
      </c>
      <c r="B39" s="160" t="s">
        <v>1276</v>
      </c>
      <c r="C39" s="160" t="s">
        <v>1277</v>
      </c>
      <c r="D39" s="157" t="s">
        <v>1198</v>
      </c>
      <c r="E39" s="158" t="s">
        <v>1272</v>
      </c>
      <c r="F39" s="169" t="s">
        <v>1273</v>
      </c>
    </row>
    <row r="40" spans="1:6">
      <c r="A40" s="157">
        <v>39</v>
      </c>
      <c r="B40" s="160" t="s">
        <v>1278</v>
      </c>
      <c r="C40" s="160" t="s">
        <v>1279</v>
      </c>
      <c r="D40" s="157" t="s">
        <v>1198</v>
      </c>
      <c r="E40" s="158" t="s">
        <v>1272</v>
      </c>
      <c r="F40" s="169" t="s">
        <v>1273</v>
      </c>
    </row>
    <row r="41" spans="1:6">
      <c r="A41" s="157">
        <v>40</v>
      </c>
      <c r="B41" s="160" t="s">
        <v>1280</v>
      </c>
      <c r="C41" s="160" t="s">
        <v>1281</v>
      </c>
      <c r="D41" s="157" t="s">
        <v>1198</v>
      </c>
      <c r="E41" s="158" t="s">
        <v>1272</v>
      </c>
      <c r="F41" s="169" t="s">
        <v>1273</v>
      </c>
    </row>
    <row r="42" spans="1:6">
      <c r="A42" s="157">
        <v>41</v>
      </c>
      <c r="B42" s="160" t="s">
        <v>1282</v>
      </c>
      <c r="C42" s="160" t="s">
        <v>1283</v>
      </c>
      <c r="D42" s="157" t="s">
        <v>1198</v>
      </c>
      <c r="E42" s="158" t="s">
        <v>1272</v>
      </c>
      <c r="F42" s="169" t="s">
        <v>1273</v>
      </c>
    </row>
    <row r="43" spans="1:6">
      <c r="A43" s="157">
        <v>42</v>
      </c>
      <c r="B43" s="160" t="s">
        <v>1284</v>
      </c>
      <c r="C43" s="160" t="s">
        <v>1285</v>
      </c>
      <c r="D43" s="157" t="s">
        <v>1198</v>
      </c>
      <c r="E43" s="158" t="s">
        <v>1272</v>
      </c>
      <c r="F43" s="169" t="s">
        <v>1273</v>
      </c>
    </row>
    <row r="44" spans="1:6">
      <c r="A44" s="157">
        <v>43</v>
      </c>
      <c r="B44" s="160" t="s">
        <v>1286</v>
      </c>
      <c r="C44" s="160" t="s">
        <v>1287</v>
      </c>
      <c r="D44" s="157" t="s">
        <v>1198</v>
      </c>
      <c r="E44" s="158" t="s">
        <v>1272</v>
      </c>
      <c r="F44" s="169" t="s">
        <v>1273</v>
      </c>
    </row>
    <row r="45" spans="1:6">
      <c r="A45" s="157">
        <v>44</v>
      </c>
      <c r="B45" s="160" t="s">
        <v>1288</v>
      </c>
      <c r="C45" s="160" t="s">
        <v>1289</v>
      </c>
      <c r="D45" s="157" t="s">
        <v>1198</v>
      </c>
      <c r="E45" s="158" t="s">
        <v>1272</v>
      </c>
      <c r="F45" s="169" t="s">
        <v>1273</v>
      </c>
    </row>
    <row r="46" spans="1:6">
      <c r="A46" s="157">
        <v>45</v>
      </c>
      <c r="B46" s="160" t="s">
        <v>1290</v>
      </c>
      <c r="C46" s="160" t="s">
        <v>1291</v>
      </c>
      <c r="D46" s="157" t="s">
        <v>1198</v>
      </c>
      <c r="E46" s="158" t="s">
        <v>1272</v>
      </c>
      <c r="F46" s="169" t="s">
        <v>1273</v>
      </c>
    </row>
    <row r="47" spans="1:6">
      <c r="A47" s="157">
        <v>46</v>
      </c>
      <c r="B47" s="160" t="s">
        <v>1292</v>
      </c>
      <c r="C47" s="160" t="s">
        <v>1293</v>
      </c>
      <c r="D47" s="157" t="s">
        <v>1198</v>
      </c>
      <c r="E47" s="158" t="s">
        <v>1272</v>
      </c>
      <c r="F47" s="169" t="s">
        <v>1273</v>
      </c>
    </row>
    <row r="48" spans="1:6">
      <c r="A48" s="157">
        <v>47</v>
      </c>
      <c r="B48" s="160" t="s">
        <v>1294</v>
      </c>
      <c r="C48" s="160" t="s">
        <v>1295</v>
      </c>
      <c r="D48" s="157" t="s">
        <v>1198</v>
      </c>
      <c r="E48" s="158" t="s">
        <v>1296</v>
      </c>
      <c r="F48" s="169" t="s">
        <v>1273</v>
      </c>
    </row>
    <row r="49" spans="1:6">
      <c r="A49" s="157">
        <v>48</v>
      </c>
      <c r="B49" s="160" t="s">
        <v>1297</v>
      </c>
      <c r="C49" s="160" t="s">
        <v>1298</v>
      </c>
      <c r="D49" s="157" t="s">
        <v>1198</v>
      </c>
      <c r="E49" s="158" t="s">
        <v>1296</v>
      </c>
      <c r="F49" s="169" t="s">
        <v>1273</v>
      </c>
    </row>
    <row r="50" spans="1:6">
      <c r="A50" s="157">
        <v>49</v>
      </c>
      <c r="B50" s="160" t="s">
        <v>1299</v>
      </c>
      <c r="C50" s="160" t="s">
        <v>1300</v>
      </c>
      <c r="D50" s="157" t="s">
        <v>1198</v>
      </c>
      <c r="E50" s="158" t="s">
        <v>1272</v>
      </c>
      <c r="F50" s="169" t="s">
        <v>1273</v>
      </c>
    </row>
    <row r="51" spans="1:6">
      <c r="A51" s="157">
        <v>50</v>
      </c>
      <c r="B51" s="160" t="s">
        <v>1301</v>
      </c>
      <c r="C51" s="160" t="s">
        <v>1302</v>
      </c>
      <c r="D51" s="157" t="s">
        <v>1198</v>
      </c>
      <c r="E51" s="158" t="s">
        <v>1272</v>
      </c>
      <c r="F51" s="169" t="s">
        <v>1273</v>
      </c>
    </row>
    <row r="52" spans="1:6">
      <c r="A52" s="157">
        <v>51</v>
      </c>
      <c r="B52" s="160" t="s">
        <v>1303</v>
      </c>
      <c r="C52" s="160" t="s">
        <v>1304</v>
      </c>
      <c r="D52" s="157" t="s">
        <v>1198</v>
      </c>
      <c r="E52" s="158" t="s">
        <v>1272</v>
      </c>
      <c r="F52" s="169" t="s">
        <v>1273</v>
      </c>
    </row>
    <row r="53" spans="1:6">
      <c r="A53" s="157">
        <v>52</v>
      </c>
      <c r="B53" s="160" t="s">
        <v>1305</v>
      </c>
      <c r="C53" s="160" t="s">
        <v>1306</v>
      </c>
      <c r="D53" s="157" t="s">
        <v>1198</v>
      </c>
      <c r="E53" s="158" t="s">
        <v>1272</v>
      </c>
      <c r="F53" s="169" t="s">
        <v>1273</v>
      </c>
    </row>
    <row r="54" spans="1:6">
      <c r="A54" s="157">
        <v>53</v>
      </c>
      <c r="B54" s="160" t="s">
        <v>1307</v>
      </c>
      <c r="C54" s="160" t="s">
        <v>1308</v>
      </c>
      <c r="D54" s="157" t="s">
        <v>1198</v>
      </c>
      <c r="E54" s="158" t="s">
        <v>1272</v>
      </c>
      <c r="F54" s="169" t="s">
        <v>1273</v>
      </c>
    </row>
    <row r="55" spans="1:6">
      <c r="A55" s="157">
        <v>54</v>
      </c>
      <c r="B55" s="160" t="s">
        <v>1309</v>
      </c>
      <c r="C55" s="160" t="s">
        <v>1310</v>
      </c>
      <c r="D55" s="157" t="s">
        <v>1198</v>
      </c>
      <c r="E55" s="158" t="s">
        <v>1272</v>
      </c>
      <c r="F55" s="169" t="s">
        <v>1273</v>
      </c>
    </row>
    <row r="56" spans="1:6">
      <c r="A56" s="157">
        <v>55</v>
      </c>
      <c r="B56" s="160" t="s">
        <v>1311</v>
      </c>
      <c r="C56" s="160" t="s">
        <v>1312</v>
      </c>
      <c r="D56" s="157" t="s">
        <v>1198</v>
      </c>
      <c r="E56" s="158" t="s">
        <v>1272</v>
      </c>
      <c r="F56" s="169" t="s">
        <v>1273</v>
      </c>
    </row>
    <row r="57" spans="1:6">
      <c r="A57" s="157">
        <v>56</v>
      </c>
      <c r="B57" s="160" t="s">
        <v>1313</v>
      </c>
      <c r="C57" s="160" t="s">
        <v>1314</v>
      </c>
      <c r="D57" s="157" t="s">
        <v>1198</v>
      </c>
      <c r="E57" s="158" t="s">
        <v>1272</v>
      </c>
      <c r="F57" s="169" t="s">
        <v>1273</v>
      </c>
    </row>
    <row r="58" spans="1:6">
      <c r="A58" s="157">
        <v>57</v>
      </c>
      <c r="B58" s="158" t="s">
        <v>1315</v>
      </c>
      <c r="C58" s="158" t="s">
        <v>1316</v>
      </c>
      <c r="D58" s="157" t="s">
        <v>1198</v>
      </c>
      <c r="E58" s="158" t="s">
        <v>1272</v>
      </c>
      <c r="F58" s="169" t="s">
        <v>1273</v>
      </c>
    </row>
    <row r="59" spans="1:6">
      <c r="A59" s="157">
        <v>58</v>
      </c>
      <c r="B59" s="158" t="s">
        <v>1317</v>
      </c>
      <c r="C59" s="158" t="s">
        <v>1318</v>
      </c>
      <c r="D59" s="157" t="s">
        <v>1198</v>
      </c>
      <c r="E59" s="158" t="s">
        <v>1272</v>
      </c>
      <c r="F59" s="169" t="s">
        <v>1273</v>
      </c>
    </row>
    <row r="60" spans="1:6">
      <c r="A60" s="157">
        <v>59</v>
      </c>
      <c r="B60" s="158" t="s">
        <v>1319</v>
      </c>
      <c r="C60" s="158" t="s">
        <v>1320</v>
      </c>
      <c r="D60" s="157" t="s">
        <v>1198</v>
      </c>
      <c r="E60" s="158" t="s">
        <v>1272</v>
      </c>
      <c r="F60" s="169" t="s">
        <v>1273</v>
      </c>
    </row>
    <row r="61" spans="1:6">
      <c r="A61" s="157">
        <v>60</v>
      </c>
      <c r="B61" s="158" t="s">
        <v>1321</v>
      </c>
      <c r="C61" s="158" t="s">
        <v>1322</v>
      </c>
      <c r="D61" s="157" t="s">
        <v>1198</v>
      </c>
      <c r="E61" s="158" t="s">
        <v>1272</v>
      </c>
      <c r="F61" s="169" t="s">
        <v>1273</v>
      </c>
    </row>
    <row r="62" spans="1:6">
      <c r="A62" s="157">
        <v>61</v>
      </c>
      <c r="B62" s="158" t="s">
        <v>1323</v>
      </c>
      <c r="C62" s="158" t="s">
        <v>1324</v>
      </c>
      <c r="D62" s="157" t="s">
        <v>1198</v>
      </c>
      <c r="E62" s="158" t="s">
        <v>1272</v>
      </c>
      <c r="F62" s="169" t="s">
        <v>1273</v>
      </c>
    </row>
    <row r="63" spans="1:6">
      <c r="A63" s="157">
        <v>62</v>
      </c>
      <c r="B63" s="158" t="s">
        <v>1325</v>
      </c>
      <c r="C63" s="158" t="s">
        <v>1326</v>
      </c>
      <c r="D63" s="157" t="s">
        <v>1198</v>
      </c>
      <c r="E63" s="158" t="s">
        <v>1272</v>
      </c>
      <c r="F63" s="169" t="s">
        <v>1273</v>
      </c>
    </row>
    <row r="64" spans="1:6">
      <c r="A64" s="157">
        <v>63</v>
      </c>
      <c r="B64" s="158" t="s">
        <v>1327</v>
      </c>
      <c r="C64" s="158" t="s">
        <v>1328</v>
      </c>
      <c r="D64" s="157" t="s">
        <v>1198</v>
      </c>
      <c r="E64" s="158" t="s">
        <v>1272</v>
      </c>
      <c r="F64" s="169" t="s">
        <v>1273</v>
      </c>
    </row>
    <row r="65" spans="1:6">
      <c r="A65" s="157">
        <v>64</v>
      </c>
      <c r="B65" s="158" t="s">
        <v>1329</v>
      </c>
      <c r="C65" s="158" t="s">
        <v>1330</v>
      </c>
      <c r="D65" s="157" t="s">
        <v>1198</v>
      </c>
      <c r="E65" s="158" t="s">
        <v>1272</v>
      </c>
      <c r="F65" s="169" t="s">
        <v>1273</v>
      </c>
    </row>
    <row r="66" spans="1:6">
      <c r="A66" s="157">
        <v>65</v>
      </c>
      <c r="B66" s="158" t="s">
        <v>1331</v>
      </c>
      <c r="C66" s="158" t="s">
        <v>1332</v>
      </c>
      <c r="D66" s="157" t="s">
        <v>1198</v>
      </c>
      <c r="E66" s="160" t="s">
        <v>1333</v>
      </c>
      <c r="F66" s="169" t="s">
        <v>1273</v>
      </c>
    </row>
    <row r="67" spans="1:6">
      <c r="A67" s="157">
        <v>66</v>
      </c>
      <c r="B67" s="158" t="s">
        <v>1334</v>
      </c>
      <c r="C67" s="158" t="s">
        <v>1335</v>
      </c>
      <c r="D67" s="157" t="s">
        <v>1198</v>
      </c>
      <c r="E67" s="160" t="s">
        <v>1336</v>
      </c>
      <c r="F67" s="169" t="s">
        <v>1273</v>
      </c>
    </row>
    <row r="68" spans="1:6">
      <c r="A68" s="157">
        <v>67</v>
      </c>
      <c r="B68" s="158" t="s">
        <v>1337</v>
      </c>
      <c r="C68" s="158" t="s">
        <v>1338</v>
      </c>
      <c r="D68" s="157" t="s">
        <v>1198</v>
      </c>
      <c r="E68" s="160" t="s">
        <v>1339</v>
      </c>
      <c r="F68" s="169" t="s">
        <v>1273</v>
      </c>
    </row>
    <row r="69" spans="1:6">
      <c r="A69" s="157">
        <v>68</v>
      </c>
      <c r="B69" s="158" t="s">
        <v>1340</v>
      </c>
      <c r="C69" s="158" t="s">
        <v>1335</v>
      </c>
      <c r="D69" s="157" t="s">
        <v>1198</v>
      </c>
      <c r="E69" s="160" t="s">
        <v>1341</v>
      </c>
      <c r="F69" s="169" t="s">
        <v>1273</v>
      </c>
    </row>
    <row r="70" spans="1:6">
      <c r="A70" s="157">
        <v>69</v>
      </c>
      <c r="B70" s="158" t="s">
        <v>1342</v>
      </c>
      <c r="C70" s="158" t="s">
        <v>1343</v>
      </c>
      <c r="D70" s="157" t="s">
        <v>1198</v>
      </c>
      <c r="E70" s="160" t="s">
        <v>1344</v>
      </c>
      <c r="F70" s="169" t="s">
        <v>1273</v>
      </c>
    </row>
    <row r="71" spans="1:6">
      <c r="A71" s="157">
        <v>70</v>
      </c>
      <c r="B71" s="158" t="s">
        <v>1345</v>
      </c>
      <c r="C71" s="158" t="s">
        <v>1346</v>
      </c>
      <c r="D71" s="157" t="s">
        <v>1198</v>
      </c>
      <c r="E71" s="160" t="s">
        <v>1339</v>
      </c>
      <c r="F71" s="169" t="s">
        <v>1273</v>
      </c>
    </row>
    <row r="72" spans="1:6">
      <c r="A72" s="157">
        <v>71</v>
      </c>
      <c r="B72" s="158" t="s">
        <v>1347</v>
      </c>
      <c r="C72" s="158" t="s">
        <v>1348</v>
      </c>
      <c r="D72" s="157" t="s">
        <v>1198</v>
      </c>
      <c r="E72" s="160" t="s">
        <v>1344</v>
      </c>
      <c r="F72" s="169" t="s">
        <v>1273</v>
      </c>
    </row>
    <row r="73" spans="1:6">
      <c r="A73" s="157">
        <v>72</v>
      </c>
      <c r="B73" s="158" t="s">
        <v>1349</v>
      </c>
      <c r="C73" s="158" t="s">
        <v>1350</v>
      </c>
      <c r="D73" s="157" t="s">
        <v>1198</v>
      </c>
      <c r="E73" s="160" t="s">
        <v>1339</v>
      </c>
      <c r="F73" s="170" t="s">
        <v>1273</v>
      </c>
    </row>
    <row r="74" spans="1:6">
      <c r="A74" s="157">
        <v>73</v>
      </c>
      <c r="B74" s="158" t="s">
        <v>1351</v>
      </c>
      <c r="C74" s="158" t="s">
        <v>1352</v>
      </c>
      <c r="D74" s="157" t="s">
        <v>1198</v>
      </c>
      <c r="E74" s="160" t="s">
        <v>1341</v>
      </c>
      <c r="F74" s="171" t="s">
        <v>1273</v>
      </c>
    </row>
    <row r="75" spans="1:6">
      <c r="A75" s="157">
        <v>74</v>
      </c>
      <c r="B75" s="158" t="s">
        <v>1353</v>
      </c>
      <c r="C75" s="158" t="s">
        <v>1354</v>
      </c>
      <c r="D75" s="157" t="s">
        <v>1198</v>
      </c>
      <c r="E75" s="160" t="s">
        <v>1344</v>
      </c>
      <c r="F75" s="171" t="s">
        <v>1273</v>
      </c>
    </row>
    <row r="76" spans="1:6">
      <c r="A76" s="157">
        <v>75</v>
      </c>
      <c r="B76" s="158" t="s">
        <v>1355</v>
      </c>
      <c r="C76" s="158" t="s">
        <v>1356</v>
      </c>
      <c r="D76" s="157" t="s">
        <v>1198</v>
      </c>
      <c r="E76" s="160" t="s">
        <v>1344</v>
      </c>
      <c r="F76" s="171" t="s">
        <v>1273</v>
      </c>
    </row>
    <row r="77" spans="1:6">
      <c r="A77" s="157">
        <v>76</v>
      </c>
      <c r="B77" s="158" t="s">
        <v>1357</v>
      </c>
      <c r="C77" s="158" t="s">
        <v>1358</v>
      </c>
      <c r="D77" s="157" t="s">
        <v>1198</v>
      </c>
      <c r="E77" s="160" t="s">
        <v>1344</v>
      </c>
      <c r="F77" s="168" t="s">
        <v>1273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E29"/>
  <sheetViews>
    <sheetView showGridLines="0" workbookViewId="0">
      <pane ySplit="1" topLeftCell="A2" activePane="bottomLeft" state="frozen"/>
      <selection pane="bottomLeft" activeCell="E7" sqref="E7"/>
    </sheetView>
  </sheetViews>
  <sheetFormatPr defaultColWidth="9.140625" defaultRowHeight="14.25"/>
  <cols>
    <col min="1" max="1" width="4.5703125" style="165" bestFit="1" customWidth="1"/>
    <col min="2" max="2" width="52.42578125" style="165" bestFit="1" customWidth="1"/>
    <col min="3" max="3" width="11.85546875" style="165" bestFit="1" customWidth="1"/>
    <col min="4" max="4" width="11.28515625" style="165" customWidth="1"/>
    <col min="5" max="5" width="36.7109375" style="165" bestFit="1" customWidth="1"/>
    <col min="6" max="16384" width="9.140625" style="161"/>
  </cols>
  <sheetData>
    <row r="1" spans="1:5" s="163" customFormat="1" ht="15">
      <c r="A1" s="162" t="s">
        <v>1077</v>
      </c>
      <c r="B1" s="162" t="s">
        <v>120</v>
      </c>
      <c r="C1" s="162" t="s">
        <v>119</v>
      </c>
      <c r="D1" s="162" t="s">
        <v>121</v>
      </c>
      <c r="E1" s="162" t="s">
        <v>107</v>
      </c>
    </row>
    <row r="2" spans="1:5">
      <c r="A2" s="100">
        <v>1</v>
      </c>
      <c r="B2" s="164" t="s">
        <v>1359</v>
      </c>
      <c r="C2" s="164" t="s">
        <v>1360</v>
      </c>
      <c r="D2" s="100" t="s">
        <v>1361</v>
      </c>
      <c r="E2" s="164" t="s">
        <v>1362</v>
      </c>
    </row>
    <row r="3" spans="1:5">
      <c r="A3" s="100">
        <v>2</v>
      </c>
      <c r="B3" s="164" t="s">
        <v>1363</v>
      </c>
      <c r="C3" s="164" t="s">
        <v>1364</v>
      </c>
      <c r="D3" s="100" t="s">
        <v>1361</v>
      </c>
      <c r="E3" s="164" t="s">
        <v>1365</v>
      </c>
    </row>
    <row r="4" spans="1:5">
      <c r="A4" s="100">
        <v>3</v>
      </c>
      <c r="B4" s="164" t="s">
        <v>1366</v>
      </c>
      <c r="C4" s="164" t="s">
        <v>1367</v>
      </c>
      <c r="D4" s="100" t="s">
        <v>1361</v>
      </c>
      <c r="E4" s="164" t="s">
        <v>1368</v>
      </c>
    </row>
    <row r="5" spans="1:5">
      <c r="A5" s="100">
        <v>4</v>
      </c>
      <c r="B5" s="164" t="s">
        <v>1369</v>
      </c>
      <c r="C5" s="164" t="s">
        <v>1370</v>
      </c>
      <c r="D5" s="100" t="s">
        <v>1361</v>
      </c>
      <c r="E5" s="164" t="s">
        <v>1368</v>
      </c>
    </row>
    <row r="6" spans="1:5">
      <c r="A6" s="100">
        <v>5</v>
      </c>
      <c r="B6" s="164" t="s">
        <v>1371</v>
      </c>
      <c r="C6" s="164" t="s">
        <v>1372</v>
      </c>
      <c r="D6" s="100" t="s">
        <v>1361</v>
      </c>
      <c r="E6" s="164" t="s">
        <v>1368</v>
      </c>
    </row>
    <row r="7" spans="1:5">
      <c r="A7" s="100">
        <v>6</v>
      </c>
      <c r="B7" s="164" t="s">
        <v>1373</v>
      </c>
      <c r="C7" s="164" t="s">
        <v>1374</v>
      </c>
      <c r="D7" s="100" t="s">
        <v>1361</v>
      </c>
      <c r="E7" s="164" t="s">
        <v>1375</v>
      </c>
    </row>
    <row r="8" spans="1:5">
      <c r="A8" s="100">
        <v>7</v>
      </c>
      <c r="B8" s="164" t="s">
        <v>1376</v>
      </c>
      <c r="C8" s="164" t="s">
        <v>1377</v>
      </c>
      <c r="D8" s="100" t="s">
        <v>1361</v>
      </c>
      <c r="E8" s="164" t="s">
        <v>1368</v>
      </c>
    </row>
    <row r="9" spans="1:5">
      <c r="A9" s="100">
        <v>8</v>
      </c>
      <c r="B9" s="164" t="s">
        <v>202</v>
      </c>
      <c r="C9" s="164" t="s">
        <v>1378</v>
      </c>
      <c r="D9" s="100" t="s">
        <v>1361</v>
      </c>
      <c r="E9" s="164" t="s">
        <v>1368</v>
      </c>
    </row>
    <row r="10" spans="1:5">
      <c r="A10" s="100">
        <v>9</v>
      </c>
      <c r="B10" s="164" t="s">
        <v>1379</v>
      </c>
      <c r="C10" s="164" t="s">
        <v>1380</v>
      </c>
      <c r="D10" s="100" t="s">
        <v>1361</v>
      </c>
      <c r="E10" s="164" t="s">
        <v>1365</v>
      </c>
    </row>
    <row r="11" spans="1:5">
      <c r="A11" s="100">
        <v>10</v>
      </c>
      <c r="B11" s="164" t="s">
        <v>1381</v>
      </c>
      <c r="C11" s="164" t="s">
        <v>1382</v>
      </c>
      <c r="D11" s="100" t="s">
        <v>1361</v>
      </c>
      <c r="E11" s="164" t="s">
        <v>1368</v>
      </c>
    </row>
    <row r="12" spans="1:5">
      <c r="A12" s="100">
        <v>11</v>
      </c>
      <c r="B12" s="164" t="s">
        <v>1383</v>
      </c>
      <c r="C12" s="164" t="s">
        <v>1384</v>
      </c>
      <c r="D12" s="100" t="s">
        <v>1361</v>
      </c>
      <c r="E12" s="164" t="s">
        <v>1368</v>
      </c>
    </row>
    <row r="13" spans="1:5">
      <c r="A13" s="100">
        <v>12</v>
      </c>
      <c r="B13" s="164" t="s">
        <v>1385</v>
      </c>
      <c r="C13" s="164" t="s">
        <v>1386</v>
      </c>
      <c r="D13" s="100" t="s">
        <v>1361</v>
      </c>
      <c r="E13" s="164" t="s">
        <v>1375</v>
      </c>
    </row>
    <row r="14" spans="1:5">
      <c r="A14" s="100">
        <v>13</v>
      </c>
      <c r="B14" s="164" t="s">
        <v>1387</v>
      </c>
      <c r="C14" s="164" t="s">
        <v>1388</v>
      </c>
      <c r="D14" s="100" t="s">
        <v>1361</v>
      </c>
      <c r="E14" s="164" t="s">
        <v>1375</v>
      </c>
    </row>
    <row r="15" spans="1:5">
      <c r="A15" s="100">
        <v>14</v>
      </c>
      <c r="B15" s="164" t="s">
        <v>1389</v>
      </c>
      <c r="C15" s="164" t="s">
        <v>1390</v>
      </c>
      <c r="D15" s="100" t="s">
        <v>1361</v>
      </c>
      <c r="E15" s="164" t="s">
        <v>1368</v>
      </c>
    </row>
    <row r="16" spans="1:5">
      <c r="A16" s="100">
        <v>15</v>
      </c>
      <c r="B16" s="164" t="s">
        <v>201</v>
      </c>
      <c r="C16" s="164" t="s">
        <v>1391</v>
      </c>
      <c r="D16" s="100" t="s">
        <v>1361</v>
      </c>
      <c r="E16" s="164" t="s">
        <v>1368</v>
      </c>
    </row>
    <row r="17" spans="1:5">
      <c r="A17" s="100">
        <v>16</v>
      </c>
      <c r="B17" s="164" t="s">
        <v>1392</v>
      </c>
      <c r="C17" s="164" t="s">
        <v>1393</v>
      </c>
      <c r="D17" s="100" t="s">
        <v>1361</v>
      </c>
      <c r="E17" s="164" t="s">
        <v>1365</v>
      </c>
    </row>
    <row r="18" spans="1:5">
      <c r="A18" s="100">
        <v>17</v>
      </c>
      <c r="B18" s="164" t="s">
        <v>1394</v>
      </c>
      <c r="C18" s="164" t="s">
        <v>1395</v>
      </c>
      <c r="D18" s="100" t="s">
        <v>1361</v>
      </c>
      <c r="E18" s="164" t="s">
        <v>1368</v>
      </c>
    </row>
    <row r="19" spans="1:5">
      <c r="A19" s="100">
        <v>18</v>
      </c>
      <c r="B19" s="164" t="s">
        <v>1396</v>
      </c>
      <c r="C19" s="164" t="s">
        <v>1397</v>
      </c>
      <c r="D19" s="100" t="s">
        <v>1361</v>
      </c>
      <c r="E19" s="164" t="s">
        <v>1368</v>
      </c>
    </row>
    <row r="20" spans="1:5">
      <c r="A20" s="100">
        <v>19</v>
      </c>
      <c r="B20" s="164" t="s">
        <v>1398</v>
      </c>
      <c r="C20" s="164" t="s">
        <v>1399</v>
      </c>
      <c r="D20" s="100" t="s">
        <v>1361</v>
      </c>
      <c r="E20" s="164" t="s">
        <v>1400</v>
      </c>
    </row>
    <row r="21" spans="1:5">
      <c r="A21" s="100">
        <v>20</v>
      </c>
      <c r="B21" s="164" t="s">
        <v>1401</v>
      </c>
      <c r="C21" s="164" t="s">
        <v>1402</v>
      </c>
      <c r="D21" s="100" t="s">
        <v>1361</v>
      </c>
      <c r="E21" s="164" t="s">
        <v>1375</v>
      </c>
    </row>
    <row r="22" spans="1:5">
      <c r="A22" s="100">
        <v>21</v>
      </c>
      <c r="B22" s="164" t="s">
        <v>1403</v>
      </c>
      <c r="C22" s="164" t="s">
        <v>1404</v>
      </c>
      <c r="D22" s="100" t="s">
        <v>1361</v>
      </c>
      <c r="E22" s="164" t="s">
        <v>1368</v>
      </c>
    </row>
    <row r="23" spans="1:5">
      <c r="A23" s="100">
        <v>22</v>
      </c>
      <c r="B23" s="164" t="s">
        <v>1405</v>
      </c>
      <c r="C23" s="164" t="s">
        <v>1406</v>
      </c>
      <c r="D23" s="100" t="s">
        <v>1361</v>
      </c>
      <c r="E23" s="164" t="s">
        <v>1365</v>
      </c>
    </row>
    <row r="24" spans="1:5">
      <c r="A24" s="100">
        <v>23</v>
      </c>
      <c r="B24" s="164" t="s">
        <v>1407</v>
      </c>
      <c r="C24" s="164" t="s">
        <v>1408</v>
      </c>
      <c r="D24" s="100" t="s">
        <v>1361</v>
      </c>
      <c r="E24" s="164" t="s">
        <v>1400</v>
      </c>
    </row>
    <row r="25" spans="1:5">
      <c r="A25" s="100">
        <v>24</v>
      </c>
      <c r="B25" s="164" t="s">
        <v>1409</v>
      </c>
      <c r="C25" s="164" t="s">
        <v>1410</v>
      </c>
      <c r="D25" s="100" t="s">
        <v>1361</v>
      </c>
      <c r="E25" s="164" t="s">
        <v>1368</v>
      </c>
    </row>
    <row r="26" spans="1:5">
      <c r="A26" s="100">
        <v>25</v>
      </c>
      <c r="B26" s="164" t="s">
        <v>1411</v>
      </c>
      <c r="C26" s="164" t="s">
        <v>1412</v>
      </c>
      <c r="D26" s="100" t="s">
        <v>1361</v>
      </c>
      <c r="E26" s="164" t="s">
        <v>1368</v>
      </c>
    </row>
    <row r="27" spans="1:5">
      <c r="A27" s="100">
        <v>26</v>
      </c>
      <c r="B27" s="164" t="s">
        <v>1413</v>
      </c>
      <c r="C27" s="164" t="s">
        <v>1414</v>
      </c>
      <c r="D27" s="100" t="s">
        <v>1361</v>
      </c>
      <c r="E27" s="164" t="s">
        <v>1368</v>
      </c>
    </row>
    <row r="28" spans="1:5">
      <c r="A28" s="100">
        <v>27</v>
      </c>
      <c r="B28" s="164" t="s">
        <v>1158</v>
      </c>
      <c r="C28" s="164" t="s">
        <v>1415</v>
      </c>
      <c r="D28" s="100" t="s">
        <v>1361</v>
      </c>
      <c r="E28" s="164" t="s">
        <v>1368</v>
      </c>
    </row>
    <row r="29" spans="1:5">
      <c r="A29" s="100">
        <v>28</v>
      </c>
      <c r="B29" s="164" t="s">
        <v>1416</v>
      </c>
      <c r="C29" s="164" t="s">
        <v>1417</v>
      </c>
      <c r="D29" s="100" t="s">
        <v>1361</v>
      </c>
      <c r="E29" s="164" t="s">
        <v>1368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H80"/>
  <sheetViews>
    <sheetView showGridLines="0" topLeftCell="A61" workbookViewId="0">
      <selection activeCell="A74" sqref="A74:G80"/>
    </sheetView>
  </sheetViews>
  <sheetFormatPr defaultColWidth="9.140625" defaultRowHeight="14.25"/>
  <cols>
    <col min="1" max="1" width="4.28515625" style="199" bestFit="1" customWidth="1"/>
    <col min="2" max="2" width="35.28515625" style="199" bestFit="1" customWidth="1"/>
    <col min="3" max="3" width="10.140625" style="199" bestFit="1" customWidth="1"/>
    <col min="4" max="4" width="12.85546875" style="199" customWidth="1"/>
    <col min="5" max="5" width="36.7109375" style="199" bestFit="1" customWidth="1"/>
    <col min="6" max="6" width="25.85546875" style="199" bestFit="1" customWidth="1"/>
    <col min="7" max="7" width="33.42578125" style="199" bestFit="1" customWidth="1"/>
    <col min="8" max="8" width="129.5703125" style="199" bestFit="1" customWidth="1"/>
    <col min="9" max="16384" width="9.140625" style="199"/>
  </cols>
  <sheetData>
    <row r="1" spans="1:7" ht="15">
      <c r="A1" s="201" t="s">
        <v>1077</v>
      </c>
      <c r="B1" s="201" t="s">
        <v>120</v>
      </c>
      <c r="C1" s="201" t="s">
        <v>119</v>
      </c>
      <c r="D1" s="201" t="s">
        <v>121</v>
      </c>
      <c r="E1" s="201" t="s">
        <v>107</v>
      </c>
      <c r="F1" s="202" t="s">
        <v>1418</v>
      </c>
      <c r="G1" s="202" t="s">
        <v>1419</v>
      </c>
    </row>
    <row r="2" spans="1:7">
      <c r="A2" s="196">
        <v>1</v>
      </c>
      <c r="B2" s="196" t="s">
        <v>1420</v>
      </c>
      <c r="C2" s="196">
        <v>145363</v>
      </c>
      <c r="D2" s="196" t="s">
        <v>1421</v>
      </c>
      <c r="E2" s="196" t="s">
        <v>20</v>
      </c>
      <c r="F2" s="197" t="s">
        <v>1422</v>
      </c>
      <c r="G2" s="198" t="s">
        <v>1423</v>
      </c>
    </row>
    <row r="3" spans="1:7">
      <c r="A3" s="196">
        <v>2</v>
      </c>
      <c r="B3" s="196" t="s">
        <v>1424</v>
      </c>
      <c r="C3" s="196">
        <v>83123545</v>
      </c>
      <c r="D3" s="196" t="s">
        <v>1425</v>
      </c>
      <c r="E3" s="196" t="s">
        <v>84</v>
      </c>
      <c r="F3" s="197" t="s">
        <v>1426</v>
      </c>
      <c r="G3" s="198" t="s">
        <v>1423</v>
      </c>
    </row>
    <row r="4" spans="1:7">
      <c r="A4" s="196">
        <v>3</v>
      </c>
      <c r="B4" s="196" t="s">
        <v>1427</v>
      </c>
      <c r="C4" s="196">
        <v>194135</v>
      </c>
      <c r="D4" s="196" t="s">
        <v>1425</v>
      </c>
      <c r="E4" s="196" t="s">
        <v>84</v>
      </c>
      <c r="F4" s="197" t="s">
        <v>1428</v>
      </c>
      <c r="G4" s="198" t="s">
        <v>1423</v>
      </c>
    </row>
    <row r="5" spans="1:7">
      <c r="A5" s="196">
        <v>4</v>
      </c>
      <c r="B5" s="196" t="s">
        <v>1429</v>
      </c>
      <c r="C5" s="196">
        <v>194134</v>
      </c>
      <c r="D5" s="196" t="s">
        <v>1425</v>
      </c>
      <c r="E5" s="196" t="s">
        <v>84</v>
      </c>
      <c r="F5" s="197" t="s">
        <v>1428</v>
      </c>
      <c r="G5" s="198" t="s">
        <v>1423</v>
      </c>
    </row>
    <row r="6" spans="1:7">
      <c r="A6" s="196">
        <v>5</v>
      </c>
      <c r="B6" s="196" t="s">
        <v>1430</v>
      </c>
      <c r="C6" s="196">
        <v>191358</v>
      </c>
      <c r="D6" s="196" t="s">
        <v>2</v>
      </c>
      <c r="E6" s="196" t="s">
        <v>84</v>
      </c>
      <c r="F6" s="197" t="s">
        <v>1431</v>
      </c>
      <c r="G6" s="198" t="s">
        <v>1432</v>
      </c>
    </row>
    <row r="7" spans="1:7">
      <c r="A7" s="196">
        <v>6</v>
      </c>
      <c r="B7" s="196" t="s">
        <v>1433</v>
      </c>
      <c r="C7" s="196">
        <v>143119</v>
      </c>
      <c r="D7" s="196" t="s">
        <v>11</v>
      </c>
      <c r="E7" s="196" t="s">
        <v>84</v>
      </c>
      <c r="F7" s="197" t="s">
        <v>1431</v>
      </c>
      <c r="G7" s="198" t="s">
        <v>1432</v>
      </c>
    </row>
    <row r="8" spans="1:7">
      <c r="A8" s="196">
        <v>7</v>
      </c>
      <c r="B8" s="196" t="s">
        <v>1434</v>
      </c>
      <c r="C8" s="196">
        <v>83102210</v>
      </c>
      <c r="D8" s="196" t="s">
        <v>1421</v>
      </c>
      <c r="E8" s="196" t="s">
        <v>84</v>
      </c>
      <c r="F8" s="197" t="s">
        <v>1435</v>
      </c>
      <c r="G8" s="198" t="s">
        <v>1423</v>
      </c>
    </row>
    <row r="9" spans="1:7">
      <c r="A9" s="196">
        <v>8</v>
      </c>
      <c r="B9" s="196" t="s">
        <v>1436</v>
      </c>
      <c r="C9" s="196">
        <v>152668</v>
      </c>
      <c r="D9" s="196" t="s">
        <v>1421</v>
      </c>
      <c r="E9" s="196" t="s">
        <v>84</v>
      </c>
      <c r="F9" s="197" t="s">
        <v>1437</v>
      </c>
      <c r="G9" s="198" t="s">
        <v>1423</v>
      </c>
    </row>
    <row r="10" spans="1:7">
      <c r="A10" s="196">
        <v>9</v>
      </c>
      <c r="B10" s="196" t="s">
        <v>1438</v>
      </c>
      <c r="C10" s="196">
        <v>83122941</v>
      </c>
      <c r="D10" s="196" t="s">
        <v>1421</v>
      </c>
      <c r="E10" s="196" t="s">
        <v>84</v>
      </c>
      <c r="F10" s="197" t="s">
        <v>1437</v>
      </c>
      <c r="G10" s="198" t="s">
        <v>1432</v>
      </c>
    </row>
    <row r="11" spans="1:7">
      <c r="A11" s="196">
        <v>10</v>
      </c>
      <c r="B11" s="196" t="s">
        <v>1439</v>
      </c>
      <c r="C11" s="196">
        <v>152467</v>
      </c>
      <c r="D11" s="196" t="s">
        <v>1440</v>
      </c>
      <c r="E11" s="196" t="s">
        <v>84</v>
      </c>
      <c r="F11" s="197" t="s">
        <v>1441</v>
      </c>
      <c r="G11" s="198" t="s">
        <v>1423</v>
      </c>
    </row>
    <row r="12" spans="1:7">
      <c r="A12" s="196">
        <v>11</v>
      </c>
      <c r="B12" s="196" t="s">
        <v>1442</v>
      </c>
      <c r="C12" s="196">
        <v>83124041</v>
      </c>
      <c r="D12" s="196" t="s">
        <v>1443</v>
      </c>
      <c r="E12" s="196" t="s">
        <v>84</v>
      </c>
      <c r="F12" s="197" t="s">
        <v>1444</v>
      </c>
      <c r="G12" s="198" t="s">
        <v>1432</v>
      </c>
    </row>
    <row r="13" spans="1:7">
      <c r="A13" s="196">
        <v>12</v>
      </c>
      <c r="B13" s="196" t="s">
        <v>1445</v>
      </c>
      <c r="C13" s="196">
        <v>192525</v>
      </c>
      <c r="D13" s="196" t="s">
        <v>1446</v>
      </c>
      <c r="E13" s="196" t="s">
        <v>84</v>
      </c>
      <c r="F13" s="197" t="s">
        <v>1447</v>
      </c>
      <c r="G13" s="198" t="s">
        <v>1423</v>
      </c>
    </row>
    <row r="14" spans="1:7">
      <c r="A14" s="196">
        <v>13</v>
      </c>
      <c r="B14" s="196" t="s">
        <v>1448</v>
      </c>
      <c r="C14" s="196">
        <v>83040031</v>
      </c>
      <c r="D14" s="196" t="s">
        <v>1421</v>
      </c>
      <c r="E14" s="198" t="s">
        <v>95</v>
      </c>
      <c r="F14" s="197" t="s">
        <v>1447</v>
      </c>
      <c r="G14" s="198" t="s">
        <v>1423</v>
      </c>
    </row>
    <row r="15" spans="1:7">
      <c r="A15" s="196">
        <v>14</v>
      </c>
      <c r="B15" s="196" t="s">
        <v>1449</v>
      </c>
      <c r="C15" s="196">
        <v>145267</v>
      </c>
      <c r="D15" s="196" t="s">
        <v>1450</v>
      </c>
      <c r="E15" s="196" t="s">
        <v>84</v>
      </c>
      <c r="F15" s="197" t="s">
        <v>1451</v>
      </c>
      <c r="G15" s="198" t="s">
        <v>1423</v>
      </c>
    </row>
    <row r="16" spans="1:7">
      <c r="A16" s="196">
        <v>15</v>
      </c>
      <c r="B16" s="196" t="s">
        <v>1452</v>
      </c>
      <c r="C16" s="196">
        <v>142242</v>
      </c>
      <c r="D16" s="196" t="s">
        <v>1421</v>
      </c>
      <c r="E16" s="196" t="s">
        <v>84</v>
      </c>
      <c r="F16" s="197" t="s">
        <v>1453</v>
      </c>
      <c r="G16" s="198" t="s">
        <v>1432</v>
      </c>
    </row>
    <row r="17" spans="1:7">
      <c r="A17" s="196">
        <v>16</v>
      </c>
      <c r="B17" s="196" t="s">
        <v>1454</v>
      </c>
      <c r="C17" s="196">
        <v>145339</v>
      </c>
      <c r="D17" s="196" t="s">
        <v>1421</v>
      </c>
      <c r="E17" s="196" t="s">
        <v>84</v>
      </c>
      <c r="F17" s="197" t="s">
        <v>1455</v>
      </c>
      <c r="G17" s="198" t="s">
        <v>1423</v>
      </c>
    </row>
    <row r="18" spans="1:7">
      <c r="A18" s="196">
        <v>17</v>
      </c>
      <c r="B18" s="196" t="s">
        <v>1456</v>
      </c>
      <c r="C18" s="196">
        <v>83122891</v>
      </c>
      <c r="D18" s="196" t="s">
        <v>1421</v>
      </c>
      <c r="E18" s="196" t="s">
        <v>84</v>
      </c>
      <c r="F18" s="197" t="s">
        <v>1457</v>
      </c>
      <c r="G18" s="198" t="s">
        <v>1423</v>
      </c>
    </row>
    <row r="19" spans="1:7">
      <c r="A19" s="196">
        <v>18</v>
      </c>
      <c r="B19" s="196" t="s">
        <v>1458</v>
      </c>
      <c r="C19" s="196">
        <v>147336</v>
      </c>
      <c r="D19" s="196" t="s">
        <v>1421</v>
      </c>
      <c r="E19" s="198" t="s">
        <v>95</v>
      </c>
      <c r="F19" s="197" t="s">
        <v>1459</v>
      </c>
      <c r="G19" s="198" t="s">
        <v>1423</v>
      </c>
    </row>
    <row r="20" spans="1:7">
      <c r="A20" s="196">
        <v>19</v>
      </c>
      <c r="B20" s="200" t="s">
        <v>1460</v>
      </c>
      <c r="C20" s="196">
        <v>142251</v>
      </c>
      <c r="D20" s="196" t="s">
        <v>1421</v>
      </c>
      <c r="E20" s="196" t="s">
        <v>84</v>
      </c>
      <c r="F20" s="197" t="s">
        <v>1461</v>
      </c>
      <c r="G20" s="198" t="s">
        <v>1432</v>
      </c>
    </row>
    <row r="21" spans="1:7">
      <c r="A21" s="196">
        <v>20</v>
      </c>
      <c r="B21" s="196" t="s">
        <v>1462</v>
      </c>
      <c r="C21" s="196">
        <v>143116</v>
      </c>
      <c r="D21" s="196" t="s">
        <v>11</v>
      </c>
      <c r="E21" s="196" t="s">
        <v>84</v>
      </c>
      <c r="F21" s="197" t="s">
        <v>1463</v>
      </c>
      <c r="G21" s="198" t="s">
        <v>1423</v>
      </c>
    </row>
    <row r="22" spans="1:7">
      <c r="A22" s="196">
        <v>21</v>
      </c>
      <c r="B22" s="196" t="s">
        <v>1464</v>
      </c>
      <c r="C22" s="196">
        <v>147321</v>
      </c>
      <c r="D22" s="196" t="s">
        <v>1421</v>
      </c>
      <c r="E22" s="196" t="s">
        <v>95</v>
      </c>
      <c r="F22" s="197" t="s">
        <v>1459</v>
      </c>
      <c r="G22" s="198" t="s">
        <v>1432</v>
      </c>
    </row>
    <row r="23" spans="1:7">
      <c r="A23" s="196">
        <v>22</v>
      </c>
      <c r="B23" s="196" t="s">
        <v>1465</v>
      </c>
      <c r="C23" s="196">
        <v>145070</v>
      </c>
      <c r="D23" s="196" t="s">
        <v>1450</v>
      </c>
      <c r="E23" s="196" t="s">
        <v>84</v>
      </c>
      <c r="F23" s="197" t="s">
        <v>1466</v>
      </c>
      <c r="G23" s="198" t="s">
        <v>1423</v>
      </c>
    </row>
    <row r="24" spans="1:7">
      <c r="A24" s="196">
        <v>23</v>
      </c>
      <c r="B24" s="208" t="s">
        <v>1467</v>
      </c>
      <c r="C24" s="208">
        <v>242206</v>
      </c>
      <c r="D24" s="207" t="s">
        <v>1421</v>
      </c>
      <c r="E24" s="209" t="s">
        <v>95</v>
      </c>
      <c r="F24" s="210" t="s">
        <v>1468</v>
      </c>
      <c r="G24" s="208" t="s">
        <v>1423</v>
      </c>
    </row>
    <row r="25" spans="1:7">
      <c r="A25" s="196">
        <v>24</v>
      </c>
      <c r="B25" s="207" t="s">
        <v>1469</v>
      </c>
      <c r="C25" s="208">
        <v>212846</v>
      </c>
      <c r="D25" s="207" t="s">
        <v>12</v>
      </c>
      <c r="E25" s="211" t="s">
        <v>84</v>
      </c>
      <c r="F25" s="210" t="s">
        <v>1470</v>
      </c>
      <c r="G25" s="208" t="s">
        <v>1423</v>
      </c>
    </row>
    <row r="26" spans="1:7">
      <c r="A26" s="196">
        <v>25</v>
      </c>
      <c r="B26" s="207" t="s">
        <v>1471</v>
      </c>
      <c r="C26" s="207">
        <v>83117978</v>
      </c>
      <c r="D26" s="207" t="s">
        <v>1421</v>
      </c>
      <c r="E26" s="209" t="s">
        <v>95</v>
      </c>
      <c r="F26" s="210" t="s">
        <v>1472</v>
      </c>
      <c r="G26" s="208" t="s">
        <v>1423</v>
      </c>
    </row>
    <row r="27" spans="1:7">
      <c r="A27" s="196">
        <v>26</v>
      </c>
      <c r="B27" s="207" t="s">
        <v>1473</v>
      </c>
      <c r="C27" s="207">
        <v>140610</v>
      </c>
      <c r="D27" s="207" t="s">
        <v>1421</v>
      </c>
      <c r="E27" s="209" t="s">
        <v>95</v>
      </c>
      <c r="F27" s="210" t="s">
        <v>1474</v>
      </c>
      <c r="G27" s="208" t="s">
        <v>1423</v>
      </c>
    </row>
    <row r="28" spans="1:7">
      <c r="A28" s="196">
        <v>27</v>
      </c>
      <c r="B28" s="207" t="s">
        <v>1475</v>
      </c>
      <c r="C28" s="207">
        <v>83123682</v>
      </c>
      <c r="D28" s="207" t="s">
        <v>1476</v>
      </c>
      <c r="E28" s="211" t="s">
        <v>84</v>
      </c>
      <c r="F28" s="210" t="s">
        <v>1477</v>
      </c>
      <c r="G28" s="208" t="s">
        <v>1423</v>
      </c>
    </row>
    <row r="29" spans="1:7">
      <c r="A29" s="196">
        <v>28</v>
      </c>
      <c r="B29" s="207" t="s">
        <v>1478</v>
      </c>
      <c r="C29" s="207">
        <v>141582</v>
      </c>
      <c r="D29" s="207" t="s">
        <v>17</v>
      </c>
      <c r="E29" s="209" t="s">
        <v>95</v>
      </c>
      <c r="F29" s="210" t="s">
        <v>1479</v>
      </c>
      <c r="G29" s="208" t="s">
        <v>1423</v>
      </c>
    </row>
    <row r="30" spans="1:7">
      <c r="A30" s="196">
        <v>29</v>
      </c>
      <c r="B30" s="207" t="s">
        <v>187</v>
      </c>
      <c r="C30" s="210">
        <v>250049</v>
      </c>
      <c r="D30" s="210" t="s">
        <v>12</v>
      </c>
      <c r="E30" s="210" t="s">
        <v>131</v>
      </c>
      <c r="F30" s="208" t="s">
        <v>1480</v>
      </c>
      <c r="G30" s="208" t="s">
        <v>1423</v>
      </c>
    </row>
    <row r="31" spans="1:7">
      <c r="A31" s="196">
        <v>30</v>
      </c>
      <c r="B31" s="207" t="s">
        <v>1481</v>
      </c>
      <c r="C31" s="207">
        <v>83122884</v>
      </c>
      <c r="D31" s="207" t="s">
        <v>1443</v>
      </c>
      <c r="E31" s="211" t="s">
        <v>84</v>
      </c>
      <c r="F31" s="210" t="s">
        <v>1482</v>
      </c>
      <c r="G31" s="208" t="s">
        <v>1423</v>
      </c>
    </row>
    <row r="32" spans="1:7">
      <c r="A32" s="196">
        <v>31</v>
      </c>
      <c r="B32" s="210" t="s">
        <v>177</v>
      </c>
      <c r="C32" s="210">
        <v>83075253</v>
      </c>
      <c r="D32" s="210" t="s">
        <v>5</v>
      </c>
      <c r="E32" s="210" t="s">
        <v>154</v>
      </c>
      <c r="F32" s="212" t="s">
        <v>1483</v>
      </c>
      <c r="G32" s="208" t="s">
        <v>1423</v>
      </c>
    </row>
    <row r="33" spans="1:7">
      <c r="A33" s="196">
        <v>32</v>
      </c>
      <c r="B33" s="210" t="s">
        <v>1484</v>
      </c>
      <c r="C33" s="210">
        <v>145331</v>
      </c>
      <c r="D33" s="210" t="s">
        <v>5</v>
      </c>
      <c r="E33" s="211" t="s">
        <v>84</v>
      </c>
      <c r="F33" s="212" t="s">
        <v>1485</v>
      </c>
      <c r="G33" s="208" t="s">
        <v>1486</v>
      </c>
    </row>
    <row r="34" spans="1:7">
      <c r="A34" s="196">
        <v>33</v>
      </c>
      <c r="B34" s="208" t="s">
        <v>460</v>
      </c>
      <c r="C34" s="208">
        <v>141769</v>
      </c>
      <c r="D34" s="207" t="s">
        <v>1421</v>
      </c>
      <c r="E34" s="209" t="s">
        <v>95</v>
      </c>
      <c r="F34" s="214" t="s">
        <v>1487</v>
      </c>
      <c r="G34" s="208" t="s">
        <v>1423</v>
      </c>
    </row>
    <row r="35" spans="1:7">
      <c r="A35" s="196">
        <v>34</v>
      </c>
      <c r="B35" s="210" t="s">
        <v>1488</v>
      </c>
      <c r="C35" s="210">
        <v>84123766</v>
      </c>
      <c r="D35" s="210" t="s">
        <v>1489</v>
      </c>
      <c r="E35" s="209" t="s">
        <v>95</v>
      </c>
      <c r="F35" s="215" t="s">
        <v>1490</v>
      </c>
      <c r="G35" s="210" t="s">
        <v>1423</v>
      </c>
    </row>
    <row r="36" spans="1:7">
      <c r="A36" s="196">
        <v>35</v>
      </c>
      <c r="B36" s="210" t="s">
        <v>1491</v>
      </c>
      <c r="C36" s="210">
        <v>83103440</v>
      </c>
      <c r="D36" s="210" t="s">
        <v>1492</v>
      </c>
      <c r="E36" s="209" t="s">
        <v>95</v>
      </c>
      <c r="F36" s="215" t="s">
        <v>1493</v>
      </c>
      <c r="G36" s="210" t="s">
        <v>1423</v>
      </c>
    </row>
    <row r="37" spans="1:7">
      <c r="A37" s="196">
        <v>36</v>
      </c>
      <c r="B37" s="210" t="s">
        <v>1494</v>
      </c>
      <c r="C37" s="210">
        <v>145330</v>
      </c>
      <c r="D37" s="210" t="s">
        <v>1421</v>
      </c>
      <c r="E37" s="207" t="s">
        <v>1495</v>
      </c>
      <c r="F37" s="215" t="s">
        <v>1496</v>
      </c>
      <c r="G37" s="210" t="s">
        <v>1423</v>
      </c>
    </row>
    <row r="38" spans="1:7">
      <c r="A38" s="196">
        <v>37</v>
      </c>
      <c r="B38" s="216" t="s">
        <v>277</v>
      </c>
      <c r="C38" s="217">
        <v>200371</v>
      </c>
      <c r="D38" s="210" t="s">
        <v>1421</v>
      </c>
      <c r="E38" s="211" t="s">
        <v>84</v>
      </c>
      <c r="F38" s="218" t="s">
        <v>1497</v>
      </c>
      <c r="G38" s="210" t="s">
        <v>1498</v>
      </c>
    </row>
    <row r="39" spans="1:7">
      <c r="A39" s="196">
        <v>38</v>
      </c>
      <c r="B39" s="216" t="s">
        <v>324</v>
      </c>
      <c r="C39" s="219">
        <v>200377</v>
      </c>
      <c r="D39" s="210" t="s">
        <v>1421</v>
      </c>
      <c r="E39" s="211" t="s">
        <v>84</v>
      </c>
      <c r="F39" s="218" t="s">
        <v>1497</v>
      </c>
      <c r="G39" s="210" t="s">
        <v>1498</v>
      </c>
    </row>
    <row r="40" spans="1:7">
      <c r="A40" s="196">
        <v>39</v>
      </c>
      <c r="B40" s="216" t="s">
        <v>876</v>
      </c>
      <c r="C40" s="220">
        <v>145334</v>
      </c>
      <c r="D40" s="210" t="s">
        <v>1421</v>
      </c>
      <c r="E40" s="200" t="s">
        <v>64</v>
      </c>
      <c r="F40" s="218" t="s">
        <v>1497</v>
      </c>
      <c r="G40" s="210" t="s">
        <v>1498</v>
      </c>
    </row>
    <row r="41" spans="1:7">
      <c r="A41" s="196">
        <v>40</v>
      </c>
      <c r="B41" s="209" t="s">
        <v>1499</v>
      </c>
      <c r="C41" s="209">
        <v>140480</v>
      </c>
      <c r="D41" s="209" t="s">
        <v>7</v>
      </c>
      <c r="E41" s="209" t="s">
        <v>95</v>
      </c>
      <c r="F41" s="221" t="s">
        <v>1497</v>
      </c>
      <c r="G41" s="209" t="s">
        <v>1423</v>
      </c>
    </row>
    <row r="42" spans="1:7">
      <c r="A42" s="196">
        <v>41</v>
      </c>
      <c r="B42" s="222" t="s">
        <v>254</v>
      </c>
      <c r="C42" s="223">
        <v>83086305</v>
      </c>
      <c r="D42" s="211" t="s">
        <v>1421</v>
      </c>
      <c r="E42" s="211" t="s">
        <v>84</v>
      </c>
      <c r="F42" s="224" t="s">
        <v>1500</v>
      </c>
      <c r="G42" s="211" t="s">
        <v>1423</v>
      </c>
    </row>
    <row r="43" spans="1:7">
      <c r="A43" s="196">
        <v>42</v>
      </c>
      <c r="B43" s="222" t="s">
        <v>590</v>
      </c>
      <c r="C43" s="225">
        <v>84088199</v>
      </c>
      <c r="D43" s="222" t="s">
        <v>8</v>
      </c>
      <c r="E43" s="211" t="s">
        <v>95</v>
      </c>
      <c r="F43" s="224" t="s">
        <v>1501</v>
      </c>
      <c r="G43" s="211" t="s">
        <v>1486</v>
      </c>
    </row>
    <row r="44" spans="1:7">
      <c r="A44" s="196">
        <v>43</v>
      </c>
      <c r="B44" s="226" t="s">
        <v>1502</v>
      </c>
      <c r="C44" s="211">
        <v>150929</v>
      </c>
      <c r="D44" s="211" t="s">
        <v>1503</v>
      </c>
      <c r="E44" s="99" t="s">
        <v>1504</v>
      </c>
      <c r="F44" s="224" t="s">
        <v>1505</v>
      </c>
      <c r="G44" s="211" t="s">
        <v>1423</v>
      </c>
    </row>
    <row r="45" spans="1:7">
      <c r="A45" s="196">
        <v>44</v>
      </c>
      <c r="B45" s="226" t="s">
        <v>1506</v>
      </c>
      <c r="C45" s="211">
        <v>242691</v>
      </c>
      <c r="D45" s="211" t="s">
        <v>1503</v>
      </c>
      <c r="E45" s="211" t="s">
        <v>95</v>
      </c>
      <c r="F45" s="224" t="s">
        <v>1507</v>
      </c>
      <c r="G45" s="211" t="s">
        <v>1432</v>
      </c>
    </row>
    <row r="46" spans="1:7">
      <c r="A46" s="196">
        <v>45</v>
      </c>
      <c r="B46" s="226" t="s">
        <v>1508</v>
      </c>
      <c r="C46" s="211">
        <v>135733</v>
      </c>
      <c r="D46" s="211" t="s">
        <v>1</v>
      </c>
      <c r="E46" s="211" t="s">
        <v>95</v>
      </c>
      <c r="F46" s="211" t="s">
        <v>1509</v>
      </c>
      <c r="G46" s="211" t="s">
        <v>1423</v>
      </c>
    </row>
    <row r="47" spans="1:7">
      <c r="A47" s="196">
        <v>46</v>
      </c>
      <c r="B47" s="227" t="s">
        <v>753</v>
      </c>
      <c r="C47" s="227">
        <v>135869</v>
      </c>
      <c r="D47" s="227" t="s">
        <v>1489</v>
      </c>
      <c r="E47" s="211" t="s">
        <v>84</v>
      </c>
      <c r="F47" s="228" t="s">
        <v>1510</v>
      </c>
      <c r="G47" s="227" t="s">
        <v>1511</v>
      </c>
    </row>
    <row r="48" spans="1:7">
      <c r="A48" s="196">
        <v>47</v>
      </c>
      <c r="B48" s="227" t="s">
        <v>1512</v>
      </c>
      <c r="C48" s="227">
        <v>143653</v>
      </c>
      <c r="D48" s="227" t="s">
        <v>1513</v>
      </c>
      <c r="E48" s="211" t="s">
        <v>84</v>
      </c>
      <c r="F48" s="228" t="s">
        <v>1514</v>
      </c>
      <c r="G48" s="227" t="s">
        <v>1423</v>
      </c>
    </row>
    <row r="49" spans="1:7">
      <c r="A49" s="196">
        <v>48</v>
      </c>
      <c r="B49" s="210" t="s">
        <v>1515</v>
      </c>
      <c r="C49" s="210">
        <v>152455</v>
      </c>
      <c r="D49" s="210" t="s">
        <v>1476</v>
      </c>
      <c r="E49" s="211" t="s">
        <v>84</v>
      </c>
      <c r="F49" s="229" t="s">
        <v>1516</v>
      </c>
      <c r="G49" s="210" t="s">
        <v>1498</v>
      </c>
    </row>
    <row r="50" spans="1:7">
      <c r="A50" s="196">
        <v>49</v>
      </c>
      <c r="B50" s="227" t="s">
        <v>1517</v>
      </c>
      <c r="C50" s="227">
        <v>83116269</v>
      </c>
      <c r="D50" s="227" t="s">
        <v>6</v>
      </c>
      <c r="E50" s="211" t="s">
        <v>84</v>
      </c>
      <c r="F50" s="228" t="s">
        <v>1518</v>
      </c>
      <c r="G50" s="227" t="s">
        <v>1432</v>
      </c>
    </row>
    <row r="51" spans="1:7">
      <c r="A51" s="196">
        <v>50</v>
      </c>
      <c r="B51" s="230" t="s">
        <v>238</v>
      </c>
      <c r="C51" s="253">
        <v>173508</v>
      </c>
      <c r="D51" s="211" t="s">
        <v>1519</v>
      </c>
      <c r="E51" s="255" t="s">
        <v>95</v>
      </c>
      <c r="F51" s="227" t="s">
        <v>1520</v>
      </c>
      <c r="G51" s="227" t="s">
        <v>1511</v>
      </c>
    </row>
    <row r="52" spans="1:7">
      <c r="A52" s="196">
        <v>51</v>
      </c>
      <c r="B52" s="226" t="s">
        <v>1158</v>
      </c>
      <c r="C52" s="232">
        <v>145358</v>
      </c>
      <c r="D52" s="257" t="s">
        <v>1361</v>
      </c>
      <c r="E52" s="211" t="s">
        <v>84</v>
      </c>
      <c r="F52" s="224" t="s">
        <v>1521</v>
      </c>
      <c r="G52" s="211" t="s">
        <v>1498</v>
      </c>
    </row>
    <row r="53" spans="1:7">
      <c r="A53" s="196">
        <v>52</v>
      </c>
      <c r="B53" s="226" t="s">
        <v>634</v>
      </c>
      <c r="C53" s="233">
        <v>192507</v>
      </c>
      <c r="D53" s="227" t="s">
        <v>1522</v>
      </c>
      <c r="E53" s="99" t="s">
        <v>62</v>
      </c>
      <c r="F53" s="228" t="s">
        <v>1521</v>
      </c>
      <c r="G53" s="227" t="s">
        <v>1498</v>
      </c>
    </row>
    <row r="54" spans="1:7">
      <c r="A54" s="196">
        <v>53</v>
      </c>
      <c r="B54" s="222" t="s">
        <v>781</v>
      </c>
      <c r="C54" s="254">
        <v>83101970</v>
      </c>
      <c r="D54" s="211" t="s">
        <v>1489</v>
      </c>
      <c r="E54" s="256" t="s">
        <v>95</v>
      </c>
      <c r="F54" s="211" t="s">
        <v>1523</v>
      </c>
      <c r="G54" s="211" t="s">
        <v>1423</v>
      </c>
    </row>
    <row r="55" spans="1:7">
      <c r="A55" s="196">
        <v>54</v>
      </c>
      <c r="B55" s="222" t="s">
        <v>1524</v>
      </c>
      <c r="C55" s="236">
        <v>83122938</v>
      </c>
      <c r="D55" s="258" t="s">
        <v>1</v>
      </c>
      <c r="E55" s="237" t="s">
        <v>95</v>
      </c>
      <c r="F55" s="211" t="s">
        <v>1523</v>
      </c>
      <c r="G55" s="211" t="s">
        <v>1423</v>
      </c>
    </row>
    <row r="56" spans="1:7">
      <c r="A56" s="196">
        <v>55</v>
      </c>
      <c r="B56" s="226" t="s">
        <v>319</v>
      </c>
      <c r="C56" s="238">
        <v>83124744</v>
      </c>
      <c r="D56" s="222" t="s">
        <v>5</v>
      </c>
      <c r="E56" s="237" t="s">
        <v>84</v>
      </c>
      <c r="F56" s="227" t="s">
        <v>1523</v>
      </c>
      <c r="G56" s="227" t="s">
        <v>1423</v>
      </c>
    </row>
    <row r="57" spans="1:7">
      <c r="A57" s="196">
        <v>56</v>
      </c>
      <c r="B57" s="222" t="s">
        <v>1525</v>
      </c>
      <c r="C57" s="239">
        <v>153704</v>
      </c>
      <c r="D57" s="222" t="s">
        <v>16</v>
      </c>
      <c r="E57" s="240" t="s">
        <v>84</v>
      </c>
      <c r="F57" s="211" t="s">
        <v>1526</v>
      </c>
      <c r="G57" s="211" t="s">
        <v>1486</v>
      </c>
    </row>
    <row r="58" spans="1:7">
      <c r="A58" s="196">
        <v>57</v>
      </c>
      <c r="B58" s="241" t="s">
        <v>1527</v>
      </c>
      <c r="C58" s="242">
        <v>153703</v>
      </c>
      <c r="D58" s="241" t="s">
        <v>16</v>
      </c>
      <c r="E58" s="235" t="s">
        <v>84</v>
      </c>
      <c r="F58" s="227" t="s">
        <v>1526</v>
      </c>
      <c r="G58" s="227" t="s">
        <v>1486</v>
      </c>
    </row>
    <row r="59" spans="1:7">
      <c r="A59" s="196">
        <v>58</v>
      </c>
      <c r="B59" s="227" t="s">
        <v>1528</v>
      </c>
      <c r="C59" s="243">
        <v>145060</v>
      </c>
      <c r="D59" s="241" t="s">
        <v>1</v>
      </c>
      <c r="E59" s="241" t="s">
        <v>212</v>
      </c>
      <c r="F59" s="228" t="s">
        <v>1529</v>
      </c>
      <c r="G59" s="227" t="s">
        <v>1530</v>
      </c>
    </row>
    <row r="60" spans="1:7">
      <c r="A60" s="196">
        <v>59</v>
      </c>
      <c r="B60" s="230" t="s">
        <v>567</v>
      </c>
      <c r="C60" s="244">
        <v>154185</v>
      </c>
      <c r="D60" s="227" t="s">
        <v>1503</v>
      </c>
      <c r="E60" s="241" t="s">
        <v>95</v>
      </c>
      <c r="F60" s="228" t="s">
        <v>1531</v>
      </c>
      <c r="G60" s="227" t="s">
        <v>1486</v>
      </c>
    </row>
    <row r="61" spans="1:7">
      <c r="A61" s="196">
        <v>60</v>
      </c>
      <c r="B61" s="226" t="s">
        <v>1532</v>
      </c>
      <c r="C61" s="234">
        <v>142108</v>
      </c>
      <c r="D61" s="222" t="s">
        <v>16</v>
      </c>
      <c r="E61" s="222" t="s">
        <v>95</v>
      </c>
      <c r="F61" s="245" t="s">
        <v>1533</v>
      </c>
      <c r="G61" s="211" t="s">
        <v>1498</v>
      </c>
    </row>
    <row r="62" spans="1:7">
      <c r="A62" s="196">
        <v>61</v>
      </c>
      <c r="B62" s="222" t="s">
        <v>592</v>
      </c>
      <c r="C62" s="246">
        <v>84088209</v>
      </c>
      <c r="D62" s="222" t="s">
        <v>8</v>
      </c>
      <c r="E62" s="222" t="s">
        <v>1534</v>
      </c>
      <c r="F62" s="211" t="s">
        <v>1535</v>
      </c>
      <c r="G62" s="211" t="s">
        <v>1423</v>
      </c>
    </row>
    <row r="63" spans="1:7">
      <c r="A63" s="196">
        <v>62</v>
      </c>
      <c r="B63" s="222" t="s">
        <v>392</v>
      </c>
      <c r="C63" s="223">
        <v>83099400</v>
      </c>
      <c r="D63" s="222" t="s">
        <v>5</v>
      </c>
      <c r="E63" s="222" t="s">
        <v>96</v>
      </c>
      <c r="F63" s="222" t="s">
        <v>1536</v>
      </c>
      <c r="G63" s="211" t="s">
        <v>1530</v>
      </c>
    </row>
    <row r="64" spans="1:7">
      <c r="A64" s="252">
        <v>63</v>
      </c>
      <c r="B64" s="230" t="s">
        <v>504</v>
      </c>
      <c r="C64" s="231">
        <v>221922</v>
      </c>
      <c r="D64" s="241" t="s">
        <v>5</v>
      </c>
      <c r="E64" s="241" t="s">
        <v>95</v>
      </c>
      <c r="F64" s="227" t="s">
        <v>1537</v>
      </c>
      <c r="G64" s="227" t="s">
        <v>1423</v>
      </c>
    </row>
    <row r="65" spans="1:8">
      <c r="A65" s="251">
        <v>64</v>
      </c>
      <c r="B65" s="106" t="s">
        <v>1538</v>
      </c>
      <c r="C65" s="114">
        <v>134121</v>
      </c>
      <c r="D65" s="108" t="s">
        <v>16</v>
      </c>
      <c r="E65" s="108" t="s">
        <v>95</v>
      </c>
      <c r="F65" s="224" t="s">
        <v>1539</v>
      </c>
      <c r="G65" s="211" t="s">
        <v>1432</v>
      </c>
    </row>
    <row r="66" spans="1:8">
      <c r="A66" s="251">
        <v>65</v>
      </c>
      <c r="B66" s="261" t="s">
        <v>421</v>
      </c>
      <c r="C66" s="262">
        <v>134551</v>
      </c>
      <c r="D66" s="261" t="s">
        <v>5</v>
      </c>
      <c r="E66" s="261" t="s">
        <v>95</v>
      </c>
      <c r="F66" s="241" t="s">
        <v>1540</v>
      </c>
      <c r="G66" s="241" t="s">
        <v>1423</v>
      </c>
    </row>
    <row r="67" spans="1:8">
      <c r="A67" s="260">
        <v>66</v>
      </c>
      <c r="B67" s="106" t="s">
        <v>1541</v>
      </c>
      <c r="C67" s="114">
        <v>140707</v>
      </c>
      <c r="D67" s="108" t="s">
        <v>7</v>
      </c>
      <c r="E67" s="108" t="s">
        <v>95</v>
      </c>
      <c r="F67" s="259" t="s">
        <v>1542</v>
      </c>
      <c r="G67" s="222" t="s">
        <v>1423</v>
      </c>
    </row>
    <row r="68" spans="1:8">
      <c r="A68" s="260">
        <v>67</v>
      </c>
      <c r="B68" s="106" t="s">
        <v>225</v>
      </c>
      <c r="C68" s="114">
        <v>145976</v>
      </c>
      <c r="D68" s="108" t="s">
        <v>2</v>
      </c>
      <c r="E68" s="108" t="s">
        <v>95</v>
      </c>
      <c r="F68" s="265" t="s">
        <v>1542</v>
      </c>
      <c r="G68" s="222" t="s">
        <v>1423</v>
      </c>
    </row>
    <row r="69" spans="1:8">
      <c r="A69" s="260">
        <v>68</v>
      </c>
      <c r="B69" s="108" t="s">
        <v>511</v>
      </c>
      <c r="C69" s="110">
        <v>241132</v>
      </c>
      <c r="D69" s="108" t="s">
        <v>5</v>
      </c>
      <c r="E69" s="263" t="s">
        <v>95</v>
      </c>
      <c r="F69" s="222" t="s">
        <v>1543</v>
      </c>
      <c r="G69" s="264" t="s">
        <v>1423</v>
      </c>
    </row>
    <row r="70" spans="1:8">
      <c r="A70" s="260">
        <v>69</v>
      </c>
      <c r="B70" s="108" t="s">
        <v>513</v>
      </c>
      <c r="C70" s="110">
        <v>241135</v>
      </c>
      <c r="D70" s="108" t="s">
        <v>5</v>
      </c>
      <c r="E70" s="263" t="s">
        <v>95</v>
      </c>
      <c r="F70" s="222" t="s">
        <v>1543</v>
      </c>
      <c r="G70" s="264" t="s">
        <v>1423</v>
      </c>
    </row>
    <row r="71" spans="1:8">
      <c r="A71" s="260">
        <v>70</v>
      </c>
      <c r="B71" s="108" t="s">
        <v>378</v>
      </c>
      <c r="C71" s="111">
        <v>83103441</v>
      </c>
      <c r="D71" s="108" t="s">
        <v>5</v>
      </c>
      <c r="E71" s="263" t="s">
        <v>95</v>
      </c>
      <c r="F71" s="222" t="s">
        <v>1543</v>
      </c>
      <c r="G71" s="264" t="s">
        <v>1423</v>
      </c>
    </row>
    <row r="72" spans="1:8">
      <c r="A72" s="267">
        <v>71</v>
      </c>
      <c r="B72" s="268" t="s">
        <v>959</v>
      </c>
      <c r="C72" s="269">
        <v>142274</v>
      </c>
      <c r="D72" s="261" t="s">
        <v>5</v>
      </c>
      <c r="E72" s="270" t="s">
        <v>1495</v>
      </c>
      <c r="F72" s="241" t="s">
        <v>1543</v>
      </c>
      <c r="G72" s="271" t="s">
        <v>1423</v>
      </c>
      <c r="H72" s="165" t="s">
        <v>1544</v>
      </c>
    </row>
    <row r="73" spans="1:8">
      <c r="A73" s="277">
        <v>72</v>
      </c>
      <c r="B73" s="268" t="s">
        <v>1165</v>
      </c>
      <c r="C73" s="278">
        <v>251044</v>
      </c>
      <c r="D73" s="261" t="s">
        <v>12</v>
      </c>
      <c r="E73" s="261" t="s">
        <v>95</v>
      </c>
      <c r="F73" s="265" t="s">
        <v>1545</v>
      </c>
      <c r="G73" s="227" t="s">
        <v>1511</v>
      </c>
    </row>
    <row r="74" spans="1:8" s="274" customFormat="1">
      <c r="A74" s="275">
        <v>73</v>
      </c>
      <c r="B74" s="272" t="s">
        <v>133</v>
      </c>
      <c r="C74" s="273">
        <v>143710</v>
      </c>
      <c r="D74" s="272" t="s">
        <v>2</v>
      </c>
      <c r="E74" s="272" t="s">
        <v>49</v>
      </c>
      <c r="F74" s="276" t="s">
        <v>1546</v>
      </c>
      <c r="G74" s="276" t="s">
        <v>1423</v>
      </c>
    </row>
    <row r="75" spans="1:8">
      <c r="A75" s="251">
        <v>74</v>
      </c>
      <c r="B75" s="280" t="s">
        <v>1091</v>
      </c>
      <c r="C75" s="281">
        <v>135718</v>
      </c>
      <c r="D75" s="282" t="s">
        <v>5</v>
      </c>
      <c r="E75" s="282" t="s">
        <v>97</v>
      </c>
      <c r="F75" s="259" t="s">
        <v>1542</v>
      </c>
      <c r="G75" s="222" t="s">
        <v>1498</v>
      </c>
    </row>
    <row r="76" spans="1:8">
      <c r="A76" s="275">
        <v>75</v>
      </c>
      <c r="B76" s="280" t="s">
        <v>1092</v>
      </c>
      <c r="C76" s="283">
        <v>83116897</v>
      </c>
      <c r="D76" s="282" t="s">
        <v>5</v>
      </c>
      <c r="E76" s="280" t="s">
        <v>101</v>
      </c>
      <c r="F76" s="259" t="s">
        <v>1542</v>
      </c>
      <c r="G76" s="222" t="s">
        <v>1498</v>
      </c>
    </row>
    <row r="77" spans="1:8">
      <c r="A77" s="251">
        <v>76</v>
      </c>
      <c r="B77" s="280" t="s">
        <v>1094</v>
      </c>
      <c r="C77" s="283">
        <v>83103438</v>
      </c>
      <c r="D77" s="282" t="s">
        <v>5</v>
      </c>
      <c r="E77" s="282" t="s">
        <v>100</v>
      </c>
      <c r="F77" s="259" t="s">
        <v>1542</v>
      </c>
      <c r="G77" s="222" t="s">
        <v>1498</v>
      </c>
    </row>
    <row r="78" spans="1:8">
      <c r="A78" s="275">
        <v>77</v>
      </c>
      <c r="B78" s="280" t="s">
        <v>1095</v>
      </c>
      <c r="C78" s="281">
        <v>83119852</v>
      </c>
      <c r="D78" s="282" t="s">
        <v>5</v>
      </c>
      <c r="E78" s="282" t="s">
        <v>99</v>
      </c>
      <c r="F78" s="259" t="s">
        <v>1542</v>
      </c>
      <c r="G78" s="222" t="s">
        <v>1498</v>
      </c>
    </row>
    <row r="79" spans="1:8">
      <c r="A79" s="251">
        <v>78</v>
      </c>
      <c r="B79" s="108" t="s">
        <v>336</v>
      </c>
      <c r="C79" s="111">
        <v>83123905</v>
      </c>
      <c r="D79" s="108" t="s">
        <v>5</v>
      </c>
      <c r="E79" s="106" t="s">
        <v>20</v>
      </c>
      <c r="F79" s="211" t="s">
        <v>1546</v>
      </c>
      <c r="G79" s="211" t="s">
        <v>1423</v>
      </c>
    </row>
    <row r="80" spans="1:8">
      <c r="A80" s="275">
        <v>79</v>
      </c>
      <c r="B80" s="108" t="s">
        <v>583</v>
      </c>
      <c r="C80" s="110">
        <v>183497</v>
      </c>
      <c r="D80" s="108" t="s">
        <v>8</v>
      </c>
      <c r="E80" s="108" t="s">
        <v>84</v>
      </c>
      <c r="F80" s="373">
        <v>46277</v>
      </c>
      <c r="G80" s="222" t="s">
        <v>1423</v>
      </c>
    </row>
  </sheetData>
  <autoFilter ref="A1:G80"/>
  <conditionalFormatting sqref="C78">
    <cfRule type="duplicateValues" dxfId="1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58"/>
  <sheetViews>
    <sheetView showGridLines="0" workbookViewId="0">
      <pane ySplit="1" topLeftCell="A41" activePane="bottomLeft" state="frozen"/>
      <selection pane="bottomLeft" activeCell="E56" sqref="E56"/>
    </sheetView>
  </sheetViews>
  <sheetFormatPr defaultColWidth="9" defaultRowHeight="14.25"/>
  <cols>
    <col min="1" max="1" width="7.28515625" style="165" bestFit="1" customWidth="1"/>
    <col min="2" max="2" width="35.28515625" style="165" bestFit="1" customWidth="1"/>
    <col min="3" max="3" width="12.140625" style="165" bestFit="1" customWidth="1"/>
    <col min="4" max="4" width="15" style="165" bestFit="1" customWidth="1"/>
    <col min="5" max="5" width="61.42578125" style="165" customWidth="1"/>
    <col min="6" max="6" width="25.85546875" style="165" bestFit="1" customWidth="1"/>
    <col min="7" max="7" width="33.42578125" style="165" bestFit="1" customWidth="1"/>
    <col min="8" max="8" width="117.42578125" style="165" bestFit="1" customWidth="1"/>
    <col min="9" max="12" width="9" style="165"/>
    <col min="13" max="13" width="17.85546875" style="165" customWidth="1"/>
    <col min="14" max="14" width="12.140625" style="165" customWidth="1"/>
    <col min="15" max="15" width="7" style="165" customWidth="1"/>
    <col min="16" max="16" width="18" style="165" customWidth="1"/>
    <col min="17" max="17" width="17.5703125" style="165" customWidth="1"/>
    <col min="18" max="18" width="13.42578125" style="165" customWidth="1"/>
    <col min="19" max="20" width="9" style="165"/>
    <col min="21" max="21" width="13.140625" style="165" customWidth="1"/>
    <col min="22" max="22" width="14.5703125" style="165" customWidth="1"/>
    <col min="23" max="23" width="31.140625" style="165" customWidth="1"/>
    <col min="24" max="16384" width="9" style="165"/>
  </cols>
  <sheetData>
    <row r="1" spans="1:7" s="206" customFormat="1" ht="15">
      <c r="A1" s="203" t="s">
        <v>1077</v>
      </c>
      <c r="B1" s="203" t="s">
        <v>120</v>
      </c>
      <c r="C1" s="203" t="s">
        <v>119</v>
      </c>
      <c r="D1" s="203" t="s">
        <v>121</v>
      </c>
      <c r="E1" s="203" t="s">
        <v>107</v>
      </c>
      <c r="F1" s="204" t="s">
        <v>1418</v>
      </c>
      <c r="G1" s="205" t="s">
        <v>1419</v>
      </c>
    </row>
    <row r="2" spans="1:7" s="206" customFormat="1" ht="15">
      <c r="A2" s="207">
        <v>1</v>
      </c>
      <c r="B2" s="208" t="s">
        <v>1467</v>
      </c>
      <c r="C2" s="208">
        <v>242206</v>
      </c>
      <c r="D2" s="207" t="s">
        <v>1421</v>
      </c>
      <c r="E2" s="209" t="s">
        <v>95</v>
      </c>
      <c r="F2" s="210" t="s">
        <v>1468</v>
      </c>
      <c r="G2" s="208" t="s">
        <v>1423</v>
      </c>
    </row>
    <row r="3" spans="1:7" s="206" customFormat="1" ht="15">
      <c r="A3" s="207">
        <v>2</v>
      </c>
      <c r="B3" s="207" t="s">
        <v>1469</v>
      </c>
      <c r="C3" s="208">
        <v>212846</v>
      </c>
      <c r="D3" s="207" t="s">
        <v>12</v>
      </c>
      <c r="E3" s="211" t="s">
        <v>84</v>
      </c>
      <c r="F3" s="210" t="s">
        <v>1470</v>
      </c>
      <c r="G3" s="208" t="s">
        <v>1423</v>
      </c>
    </row>
    <row r="4" spans="1:7" s="206" customFormat="1" ht="15">
      <c r="A4" s="207">
        <v>3</v>
      </c>
      <c r="B4" s="207" t="s">
        <v>1471</v>
      </c>
      <c r="C4" s="207">
        <v>83117978</v>
      </c>
      <c r="D4" s="207" t="s">
        <v>1421</v>
      </c>
      <c r="E4" s="209" t="s">
        <v>95</v>
      </c>
      <c r="F4" s="210" t="s">
        <v>1472</v>
      </c>
      <c r="G4" s="208" t="s">
        <v>1423</v>
      </c>
    </row>
    <row r="5" spans="1:7" s="206" customFormat="1" ht="15">
      <c r="A5" s="207">
        <v>4</v>
      </c>
      <c r="B5" s="207" t="s">
        <v>1473</v>
      </c>
      <c r="C5" s="207">
        <v>140610</v>
      </c>
      <c r="D5" s="207" t="s">
        <v>1421</v>
      </c>
      <c r="E5" s="209" t="s">
        <v>95</v>
      </c>
      <c r="F5" s="210" t="s">
        <v>1474</v>
      </c>
      <c r="G5" s="208" t="s">
        <v>1423</v>
      </c>
    </row>
    <row r="6" spans="1:7" s="206" customFormat="1" ht="15">
      <c r="A6" s="207">
        <v>5</v>
      </c>
      <c r="B6" s="207" t="s">
        <v>1475</v>
      </c>
      <c r="C6" s="207">
        <v>83123682</v>
      </c>
      <c r="D6" s="207" t="s">
        <v>1476</v>
      </c>
      <c r="E6" s="211" t="s">
        <v>84</v>
      </c>
      <c r="F6" s="210" t="s">
        <v>1477</v>
      </c>
      <c r="G6" s="208" t="s">
        <v>1423</v>
      </c>
    </row>
    <row r="7" spans="1:7" s="206" customFormat="1" ht="15">
      <c r="A7" s="207">
        <v>6</v>
      </c>
      <c r="B7" s="207" t="s">
        <v>1478</v>
      </c>
      <c r="C7" s="207">
        <v>141582</v>
      </c>
      <c r="D7" s="207" t="s">
        <v>17</v>
      </c>
      <c r="E7" s="209" t="s">
        <v>95</v>
      </c>
      <c r="F7" s="210" t="s">
        <v>1479</v>
      </c>
      <c r="G7" s="208" t="s">
        <v>1423</v>
      </c>
    </row>
    <row r="8" spans="1:7" s="206" customFormat="1" ht="15">
      <c r="A8" s="207">
        <v>7</v>
      </c>
      <c r="B8" s="207" t="s">
        <v>187</v>
      </c>
      <c r="C8" s="210">
        <v>250049</v>
      </c>
      <c r="D8" s="210" t="s">
        <v>12</v>
      </c>
      <c r="E8" s="210" t="s">
        <v>131</v>
      </c>
      <c r="F8" s="208" t="s">
        <v>1480</v>
      </c>
      <c r="G8" s="208" t="s">
        <v>1423</v>
      </c>
    </row>
    <row r="9" spans="1:7" s="206" customFormat="1" ht="15">
      <c r="A9" s="207">
        <v>8</v>
      </c>
      <c r="B9" s="207" t="s">
        <v>1481</v>
      </c>
      <c r="C9" s="207">
        <v>83122884</v>
      </c>
      <c r="D9" s="207" t="s">
        <v>1443</v>
      </c>
      <c r="E9" s="211" t="s">
        <v>84</v>
      </c>
      <c r="F9" s="210" t="s">
        <v>1482</v>
      </c>
      <c r="G9" s="208" t="s">
        <v>1423</v>
      </c>
    </row>
    <row r="10" spans="1:7" s="213" customFormat="1">
      <c r="A10" s="207">
        <v>9</v>
      </c>
      <c r="B10" s="210" t="s">
        <v>177</v>
      </c>
      <c r="C10" s="210">
        <v>83075253</v>
      </c>
      <c r="D10" s="210" t="s">
        <v>5</v>
      </c>
      <c r="E10" s="210" t="s">
        <v>154</v>
      </c>
      <c r="F10" s="212" t="s">
        <v>1483</v>
      </c>
      <c r="G10" s="208" t="s">
        <v>1423</v>
      </c>
    </row>
    <row r="11" spans="1:7" s="213" customFormat="1">
      <c r="A11" s="207">
        <v>10</v>
      </c>
      <c r="B11" s="210" t="s">
        <v>1484</v>
      </c>
      <c r="C11" s="210">
        <v>145331</v>
      </c>
      <c r="D11" s="210" t="s">
        <v>5</v>
      </c>
      <c r="E11" s="211" t="s">
        <v>84</v>
      </c>
      <c r="F11" s="212" t="s">
        <v>1485</v>
      </c>
      <c r="G11" s="208" t="s">
        <v>1486</v>
      </c>
    </row>
    <row r="12" spans="1:7">
      <c r="A12" s="207">
        <v>11</v>
      </c>
      <c r="B12" s="208" t="s">
        <v>460</v>
      </c>
      <c r="C12" s="208">
        <v>141769</v>
      </c>
      <c r="D12" s="207" t="s">
        <v>1421</v>
      </c>
      <c r="E12" s="209" t="s">
        <v>95</v>
      </c>
      <c r="F12" s="214" t="s">
        <v>1487</v>
      </c>
      <c r="G12" s="208" t="s">
        <v>1423</v>
      </c>
    </row>
    <row r="13" spans="1:7">
      <c r="A13" s="207">
        <v>12</v>
      </c>
      <c r="B13" s="210" t="s">
        <v>1488</v>
      </c>
      <c r="C13" s="210">
        <v>84123766</v>
      </c>
      <c r="D13" s="210" t="s">
        <v>1489</v>
      </c>
      <c r="E13" s="209" t="s">
        <v>95</v>
      </c>
      <c r="F13" s="215" t="s">
        <v>1490</v>
      </c>
      <c r="G13" s="210" t="s">
        <v>1423</v>
      </c>
    </row>
    <row r="14" spans="1:7">
      <c r="A14" s="207">
        <v>13</v>
      </c>
      <c r="B14" s="210" t="s">
        <v>1491</v>
      </c>
      <c r="C14" s="210">
        <v>83103440</v>
      </c>
      <c r="D14" s="210" t="s">
        <v>1492</v>
      </c>
      <c r="E14" s="209" t="s">
        <v>95</v>
      </c>
      <c r="F14" s="215" t="s">
        <v>1493</v>
      </c>
      <c r="G14" s="210" t="s">
        <v>1423</v>
      </c>
    </row>
    <row r="15" spans="1:7">
      <c r="A15" s="207">
        <v>14</v>
      </c>
      <c r="B15" s="210" t="s">
        <v>1494</v>
      </c>
      <c r="C15" s="210">
        <v>145330</v>
      </c>
      <c r="D15" s="210" t="s">
        <v>1421</v>
      </c>
      <c r="E15" s="207" t="s">
        <v>1495</v>
      </c>
      <c r="F15" s="215" t="s">
        <v>1496</v>
      </c>
      <c r="G15" s="210" t="s">
        <v>1423</v>
      </c>
    </row>
    <row r="16" spans="1:7">
      <c r="A16" s="207">
        <v>15</v>
      </c>
      <c r="B16" s="216" t="s">
        <v>277</v>
      </c>
      <c r="C16" s="217">
        <v>200371</v>
      </c>
      <c r="D16" s="210" t="s">
        <v>1421</v>
      </c>
      <c r="E16" s="211" t="s">
        <v>84</v>
      </c>
      <c r="F16" s="218" t="s">
        <v>1497</v>
      </c>
      <c r="G16" s="210" t="s">
        <v>1498</v>
      </c>
    </row>
    <row r="17" spans="1:7">
      <c r="A17" s="207">
        <v>16</v>
      </c>
      <c r="B17" s="216" t="s">
        <v>324</v>
      </c>
      <c r="C17" s="219">
        <v>200377</v>
      </c>
      <c r="D17" s="210" t="s">
        <v>1421</v>
      </c>
      <c r="E17" s="211" t="s">
        <v>84</v>
      </c>
      <c r="F17" s="218" t="s">
        <v>1497</v>
      </c>
      <c r="G17" s="210" t="s">
        <v>1498</v>
      </c>
    </row>
    <row r="18" spans="1:7">
      <c r="A18" s="207">
        <v>17</v>
      </c>
      <c r="B18" s="216" t="s">
        <v>876</v>
      </c>
      <c r="C18" s="220">
        <v>145334</v>
      </c>
      <c r="D18" s="210" t="s">
        <v>1421</v>
      </c>
      <c r="E18" s="200" t="s">
        <v>64</v>
      </c>
      <c r="F18" s="218" t="s">
        <v>1497</v>
      </c>
      <c r="G18" s="210" t="s">
        <v>1498</v>
      </c>
    </row>
    <row r="19" spans="1:7">
      <c r="A19" s="207">
        <v>18</v>
      </c>
      <c r="B19" s="209" t="s">
        <v>1499</v>
      </c>
      <c r="C19" s="209">
        <v>140480</v>
      </c>
      <c r="D19" s="209" t="s">
        <v>7</v>
      </c>
      <c r="E19" s="209" t="s">
        <v>95</v>
      </c>
      <c r="F19" s="221" t="s">
        <v>1497</v>
      </c>
      <c r="G19" s="209" t="s">
        <v>1423</v>
      </c>
    </row>
    <row r="20" spans="1:7">
      <c r="A20" s="207">
        <v>19</v>
      </c>
      <c r="B20" s="222" t="s">
        <v>254</v>
      </c>
      <c r="C20" s="223">
        <v>83086305</v>
      </c>
      <c r="D20" s="211" t="s">
        <v>1421</v>
      </c>
      <c r="E20" s="211" t="s">
        <v>84</v>
      </c>
      <c r="F20" s="224" t="s">
        <v>1500</v>
      </c>
      <c r="G20" s="211" t="s">
        <v>1423</v>
      </c>
    </row>
    <row r="21" spans="1:7">
      <c r="A21" s="207">
        <v>20</v>
      </c>
      <c r="B21" s="222" t="s">
        <v>590</v>
      </c>
      <c r="C21" s="225">
        <v>84088199</v>
      </c>
      <c r="D21" s="222" t="s">
        <v>8</v>
      </c>
      <c r="E21" s="211" t="s">
        <v>95</v>
      </c>
      <c r="F21" s="224" t="s">
        <v>1501</v>
      </c>
      <c r="G21" s="211" t="s">
        <v>1486</v>
      </c>
    </row>
    <row r="22" spans="1:7">
      <c r="A22" s="207">
        <v>21</v>
      </c>
      <c r="B22" s="226" t="s">
        <v>1502</v>
      </c>
      <c r="C22" s="211">
        <v>150929</v>
      </c>
      <c r="D22" s="211" t="s">
        <v>1503</v>
      </c>
      <c r="E22" s="99" t="s">
        <v>1504</v>
      </c>
      <c r="F22" s="224" t="s">
        <v>1505</v>
      </c>
      <c r="G22" s="211" t="s">
        <v>1423</v>
      </c>
    </row>
    <row r="23" spans="1:7">
      <c r="A23" s="207">
        <v>22</v>
      </c>
      <c r="B23" s="226" t="s">
        <v>1506</v>
      </c>
      <c r="C23" s="211">
        <v>242691</v>
      </c>
      <c r="D23" s="211" t="s">
        <v>1503</v>
      </c>
      <c r="E23" s="211" t="s">
        <v>95</v>
      </c>
      <c r="F23" s="224" t="s">
        <v>1507</v>
      </c>
      <c r="G23" s="211" t="s">
        <v>1432</v>
      </c>
    </row>
    <row r="24" spans="1:7">
      <c r="A24" s="207">
        <v>23</v>
      </c>
      <c r="B24" s="226" t="s">
        <v>1508</v>
      </c>
      <c r="C24" s="211">
        <v>135733</v>
      </c>
      <c r="D24" s="211" t="s">
        <v>1</v>
      </c>
      <c r="E24" s="211" t="s">
        <v>95</v>
      </c>
      <c r="F24" s="211" t="s">
        <v>1509</v>
      </c>
      <c r="G24" s="211" t="s">
        <v>1423</v>
      </c>
    </row>
    <row r="25" spans="1:7">
      <c r="A25" s="207">
        <v>24</v>
      </c>
      <c r="B25" s="227" t="s">
        <v>753</v>
      </c>
      <c r="C25" s="227">
        <v>135869</v>
      </c>
      <c r="D25" s="227" t="s">
        <v>1489</v>
      </c>
      <c r="E25" s="211" t="s">
        <v>84</v>
      </c>
      <c r="F25" s="228" t="s">
        <v>1510</v>
      </c>
      <c r="G25" s="227" t="s">
        <v>1511</v>
      </c>
    </row>
    <row r="26" spans="1:7">
      <c r="A26" s="207">
        <v>25</v>
      </c>
      <c r="B26" s="227" t="s">
        <v>1512</v>
      </c>
      <c r="C26" s="227">
        <v>143653</v>
      </c>
      <c r="D26" s="227" t="s">
        <v>1513</v>
      </c>
      <c r="E26" s="211" t="s">
        <v>84</v>
      </c>
      <c r="F26" s="228" t="s">
        <v>1514</v>
      </c>
      <c r="G26" s="227" t="s">
        <v>1423</v>
      </c>
    </row>
    <row r="27" spans="1:7">
      <c r="A27" s="207">
        <v>26</v>
      </c>
      <c r="B27" s="210" t="s">
        <v>1515</v>
      </c>
      <c r="C27" s="210">
        <v>152455</v>
      </c>
      <c r="D27" s="210" t="s">
        <v>1476</v>
      </c>
      <c r="E27" s="211" t="s">
        <v>84</v>
      </c>
      <c r="F27" s="229" t="s">
        <v>1516</v>
      </c>
      <c r="G27" s="210" t="s">
        <v>1498</v>
      </c>
    </row>
    <row r="28" spans="1:7">
      <c r="A28" s="207">
        <v>27</v>
      </c>
      <c r="B28" s="227" t="s">
        <v>1517</v>
      </c>
      <c r="C28" s="227">
        <v>83116269</v>
      </c>
      <c r="D28" s="227" t="s">
        <v>6</v>
      </c>
      <c r="E28" s="211" t="s">
        <v>84</v>
      </c>
      <c r="F28" s="228" t="s">
        <v>1518</v>
      </c>
      <c r="G28" s="227" t="s">
        <v>1432</v>
      </c>
    </row>
    <row r="29" spans="1:7">
      <c r="A29" s="207">
        <v>28</v>
      </c>
      <c r="B29" s="230" t="s">
        <v>238</v>
      </c>
      <c r="C29" s="231">
        <v>173508</v>
      </c>
      <c r="D29" s="227" t="s">
        <v>1519</v>
      </c>
      <c r="E29" s="227" t="s">
        <v>95</v>
      </c>
      <c r="F29" s="227" t="s">
        <v>1520</v>
      </c>
      <c r="G29" s="227" t="s">
        <v>1511</v>
      </c>
    </row>
    <row r="30" spans="1:7">
      <c r="A30" s="207">
        <v>29</v>
      </c>
      <c r="B30" s="226" t="s">
        <v>1158</v>
      </c>
      <c r="C30" s="232">
        <v>145358</v>
      </c>
      <c r="D30" s="211" t="s">
        <v>1361</v>
      </c>
      <c r="E30" s="211" t="s">
        <v>84</v>
      </c>
      <c r="F30" s="224" t="s">
        <v>1521</v>
      </c>
      <c r="G30" s="211" t="s">
        <v>1498</v>
      </c>
    </row>
    <row r="31" spans="1:7">
      <c r="A31" s="207">
        <v>30</v>
      </c>
      <c r="B31" s="226" t="s">
        <v>634</v>
      </c>
      <c r="C31" s="233">
        <v>192507</v>
      </c>
      <c r="D31" s="211" t="s">
        <v>1522</v>
      </c>
      <c r="E31" s="99" t="s">
        <v>62</v>
      </c>
      <c r="F31" s="228" t="s">
        <v>1521</v>
      </c>
      <c r="G31" s="227" t="s">
        <v>1498</v>
      </c>
    </row>
    <row r="32" spans="1:7">
      <c r="A32" s="207">
        <v>31</v>
      </c>
      <c r="B32" s="222" t="s">
        <v>781</v>
      </c>
      <c r="C32" s="234">
        <v>83101970</v>
      </c>
      <c r="D32" s="165" t="s">
        <v>1489</v>
      </c>
      <c r="E32" s="235" t="s">
        <v>95</v>
      </c>
      <c r="F32" s="211" t="s">
        <v>1523</v>
      </c>
      <c r="G32" s="211" t="s">
        <v>1423</v>
      </c>
    </row>
    <row r="33" spans="1:7">
      <c r="A33" s="207">
        <v>32</v>
      </c>
      <c r="B33" s="222" t="s">
        <v>1524</v>
      </c>
      <c r="C33" s="236">
        <v>83122938</v>
      </c>
      <c r="D33" s="222" t="s">
        <v>1</v>
      </c>
      <c r="E33" s="237" t="s">
        <v>95</v>
      </c>
      <c r="F33" s="211" t="s">
        <v>1523</v>
      </c>
      <c r="G33" s="211" t="s">
        <v>1423</v>
      </c>
    </row>
    <row r="34" spans="1:7">
      <c r="A34" s="207">
        <v>33</v>
      </c>
      <c r="B34" s="226" t="s">
        <v>319</v>
      </c>
      <c r="C34" s="238">
        <v>83124744</v>
      </c>
      <c r="D34" s="222" t="s">
        <v>5</v>
      </c>
      <c r="E34" s="237" t="s">
        <v>84</v>
      </c>
      <c r="F34" s="227" t="s">
        <v>1523</v>
      </c>
      <c r="G34" s="227" t="s">
        <v>1423</v>
      </c>
    </row>
    <row r="35" spans="1:7">
      <c r="A35" s="207">
        <v>34</v>
      </c>
      <c r="B35" s="222" t="s">
        <v>1525</v>
      </c>
      <c r="C35" s="239">
        <v>153704</v>
      </c>
      <c r="D35" s="222" t="s">
        <v>16</v>
      </c>
      <c r="E35" s="240" t="s">
        <v>84</v>
      </c>
      <c r="F35" s="211" t="s">
        <v>1526</v>
      </c>
      <c r="G35" s="211" t="s">
        <v>1486</v>
      </c>
    </row>
    <row r="36" spans="1:7">
      <c r="A36" s="207">
        <v>35</v>
      </c>
      <c r="B36" s="241" t="s">
        <v>1527</v>
      </c>
      <c r="C36" s="242">
        <v>153703</v>
      </c>
      <c r="D36" s="241" t="s">
        <v>16</v>
      </c>
      <c r="E36" s="235" t="s">
        <v>84</v>
      </c>
      <c r="F36" s="227" t="s">
        <v>1526</v>
      </c>
      <c r="G36" s="227" t="s">
        <v>1486</v>
      </c>
    </row>
    <row r="37" spans="1:7">
      <c r="A37" s="207">
        <v>36</v>
      </c>
      <c r="B37" s="227" t="s">
        <v>1528</v>
      </c>
      <c r="C37" s="243">
        <v>145060</v>
      </c>
      <c r="D37" s="241" t="s">
        <v>1</v>
      </c>
      <c r="E37" s="241" t="s">
        <v>212</v>
      </c>
      <c r="F37" s="228" t="s">
        <v>1529</v>
      </c>
      <c r="G37" s="227" t="s">
        <v>1530</v>
      </c>
    </row>
    <row r="38" spans="1:7">
      <c r="A38" s="207">
        <v>37</v>
      </c>
      <c r="B38" s="230" t="s">
        <v>567</v>
      </c>
      <c r="C38" s="244">
        <v>154185</v>
      </c>
      <c r="D38" s="227" t="s">
        <v>1503</v>
      </c>
      <c r="E38" s="241" t="s">
        <v>95</v>
      </c>
      <c r="F38" s="228" t="s">
        <v>1531</v>
      </c>
      <c r="G38" s="227" t="s">
        <v>1486</v>
      </c>
    </row>
    <row r="39" spans="1:7">
      <c r="A39" s="207">
        <v>38</v>
      </c>
      <c r="B39" s="226" t="s">
        <v>1532</v>
      </c>
      <c r="C39" s="234">
        <v>142108</v>
      </c>
      <c r="D39" s="222" t="s">
        <v>16</v>
      </c>
      <c r="E39" s="222" t="s">
        <v>95</v>
      </c>
      <c r="F39" s="245" t="s">
        <v>1533</v>
      </c>
      <c r="G39" s="211" t="s">
        <v>1498</v>
      </c>
    </row>
    <row r="40" spans="1:7">
      <c r="A40" s="207">
        <v>39</v>
      </c>
      <c r="B40" s="222" t="s">
        <v>592</v>
      </c>
      <c r="C40" s="246">
        <v>84088209</v>
      </c>
      <c r="D40" s="222" t="s">
        <v>8</v>
      </c>
      <c r="E40" s="222" t="s">
        <v>1534</v>
      </c>
      <c r="F40" s="211" t="s">
        <v>1535</v>
      </c>
      <c r="G40" s="211" t="s">
        <v>1423</v>
      </c>
    </row>
    <row r="41" spans="1:7">
      <c r="A41" s="249">
        <v>40</v>
      </c>
      <c r="B41" s="241" t="s">
        <v>392</v>
      </c>
      <c r="C41" s="250">
        <v>83099400</v>
      </c>
      <c r="D41" s="241" t="s">
        <v>5</v>
      </c>
      <c r="E41" s="241" t="s">
        <v>96</v>
      </c>
      <c r="F41" s="241" t="s">
        <v>1536</v>
      </c>
      <c r="G41" s="227" t="s">
        <v>1530</v>
      </c>
    </row>
    <row r="42" spans="1:7">
      <c r="A42" s="248">
        <v>41</v>
      </c>
      <c r="B42" s="226" t="s">
        <v>504</v>
      </c>
      <c r="C42" s="225">
        <v>221922</v>
      </c>
      <c r="D42" s="222" t="s">
        <v>5</v>
      </c>
      <c r="E42" s="222" t="s">
        <v>95</v>
      </c>
      <c r="F42" s="211" t="s">
        <v>1537</v>
      </c>
      <c r="G42" s="211" t="s">
        <v>1423</v>
      </c>
    </row>
    <row r="43" spans="1:7">
      <c r="A43" s="248">
        <v>42</v>
      </c>
      <c r="B43" s="106" t="s">
        <v>1538</v>
      </c>
      <c r="C43" s="114">
        <v>134121</v>
      </c>
      <c r="D43" s="108" t="s">
        <v>16</v>
      </c>
      <c r="E43" s="108" t="s">
        <v>95</v>
      </c>
      <c r="F43" s="224" t="s">
        <v>1539</v>
      </c>
      <c r="G43" s="211" t="s">
        <v>1432</v>
      </c>
    </row>
    <row r="44" spans="1:7">
      <c r="A44" s="248">
        <v>43</v>
      </c>
      <c r="B44" s="108" t="s">
        <v>421</v>
      </c>
      <c r="C44" s="115">
        <v>134551</v>
      </c>
      <c r="D44" s="108" t="s">
        <v>5</v>
      </c>
      <c r="E44" s="108" t="s">
        <v>95</v>
      </c>
      <c r="F44" s="222" t="s">
        <v>1540</v>
      </c>
      <c r="G44" s="222" t="s">
        <v>1423</v>
      </c>
    </row>
    <row r="45" spans="1:7">
      <c r="A45" s="248">
        <v>44</v>
      </c>
      <c r="B45" s="106" t="s">
        <v>1541</v>
      </c>
      <c r="C45" s="114">
        <v>140707</v>
      </c>
      <c r="D45" s="108" t="s">
        <v>7</v>
      </c>
      <c r="E45" s="108" t="s">
        <v>95</v>
      </c>
      <c r="F45" s="259" t="s">
        <v>1542</v>
      </c>
      <c r="G45" s="222" t="s">
        <v>1423</v>
      </c>
    </row>
    <row r="46" spans="1:7">
      <c r="A46" s="248">
        <v>45</v>
      </c>
      <c r="B46" s="106" t="s">
        <v>225</v>
      </c>
      <c r="C46" s="114">
        <v>145976</v>
      </c>
      <c r="D46" s="108" t="s">
        <v>2</v>
      </c>
      <c r="E46" s="108" t="s">
        <v>95</v>
      </c>
      <c r="F46" s="259" t="s">
        <v>1542</v>
      </c>
      <c r="G46" s="222" t="s">
        <v>1423</v>
      </c>
    </row>
    <row r="47" spans="1:7">
      <c r="A47" s="248">
        <v>46</v>
      </c>
      <c r="B47" s="108" t="s">
        <v>511</v>
      </c>
      <c r="C47" s="110">
        <v>241132</v>
      </c>
      <c r="D47" s="108" t="s">
        <v>5</v>
      </c>
      <c r="E47" s="263" t="s">
        <v>95</v>
      </c>
      <c r="F47" s="222" t="s">
        <v>1543</v>
      </c>
      <c r="G47" s="264" t="s">
        <v>1423</v>
      </c>
    </row>
    <row r="48" spans="1:7">
      <c r="A48" s="248">
        <v>47</v>
      </c>
      <c r="B48" s="108" t="s">
        <v>513</v>
      </c>
      <c r="C48" s="110">
        <v>241135</v>
      </c>
      <c r="D48" s="108" t="s">
        <v>5</v>
      </c>
      <c r="E48" s="263" t="s">
        <v>95</v>
      </c>
      <c r="F48" s="222" t="s">
        <v>1543</v>
      </c>
      <c r="G48" s="264" t="s">
        <v>1423</v>
      </c>
    </row>
    <row r="49" spans="1:8">
      <c r="A49" s="248">
        <v>48</v>
      </c>
      <c r="B49" s="108" t="s">
        <v>378</v>
      </c>
      <c r="C49" s="111">
        <v>83103441</v>
      </c>
      <c r="D49" s="108" t="s">
        <v>5</v>
      </c>
      <c r="E49" s="263" t="s">
        <v>95</v>
      </c>
      <c r="F49" s="222" t="s">
        <v>1543</v>
      </c>
      <c r="G49" s="264" t="s">
        <v>1423</v>
      </c>
    </row>
    <row r="50" spans="1:8" ht="16.5" customHeight="1">
      <c r="A50" s="248">
        <v>49</v>
      </c>
      <c r="B50" s="106" t="s">
        <v>959</v>
      </c>
      <c r="C50" s="107">
        <v>142274</v>
      </c>
      <c r="D50" s="108" t="s">
        <v>5</v>
      </c>
      <c r="E50" s="266" t="s">
        <v>1547</v>
      </c>
      <c r="F50" s="222" t="s">
        <v>1543</v>
      </c>
      <c r="G50" s="264" t="s">
        <v>1423</v>
      </c>
      <c r="H50" s="165" t="s">
        <v>1544</v>
      </c>
    </row>
    <row r="51" spans="1:8">
      <c r="A51" s="279">
        <v>50</v>
      </c>
      <c r="B51" s="268" t="s">
        <v>1165</v>
      </c>
      <c r="C51" s="278">
        <v>251044</v>
      </c>
      <c r="D51" s="261" t="s">
        <v>12</v>
      </c>
      <c r="E51" s="261" t="s">
        <v>95</v>
      </c>
      <c r="F51" s="265" t="s">
        <v>1545</v>
      </c>
      <c r="G51" s="227" t="s">
        <v>1511</v>
      </c>
    </row>
    <row r="52" spans="1:8" s="288" customFormat="1">
      <c r="A52" s="286">
        <v>51</v>
      </c>
      <c r="B52" s="272" t="s">
        <v>133</v>
      </c>
      <c r="C52" s="273">
        <v>143710</v>
      </c>
      <c r="D52" s="272" t="s">
        <v>2</v>
      </c>
      <c r="E52" s="272" t="s">
        <v>49</v>
      </c>
      <c r="F52" s="287" t="s">
        <v>1546</v>
      </c>
      <c r="G52" s="276" t="s">
        <v>1423</v>
      </c>
    </row>
    <row r="53" spans="1:8">
      <c r="A53" s="279">
        <v>52</v>
      </c>
      <c r="B53" s="280" t="s">
        <v>1091</v>
      </c>
      <c r="C53" s="281">
        <v>135718</v>
      </c>
      <c r="D53" s="282" t="s">
        <v>5</v>
      </c>
      <c r="E53" s="282" t="s">
        <v>97</v>
      </c>
      <c r="F53" s="259" t="s">
        <v>1542</v>
      </c>
      <c r="G53" s="222" t="s">
        <v>1498</v>
      </c>
    </row>
    <row r="54" spans="1:8">
      <c r="A54" s="248">
        <v>53</v>
      </c>
      <c r="B54" s="280" t="s">
        <v>1092</v>
      </c>
      <c r="C54" s="283">
        <v>83116897</v>
      </c>
      <c r="D54" s="282" t="s">
        <v>5</v>
      </c>
      <c r="E54" s="280" t="s">
        <v>101</v>
      </c>
      <c r="F54" s="259" t="s">
        <v>1542</v>
      </c>
      <c r="G54" s="222" t="s">
        <v>1498</v>
      </c>
    </row>
    <row r="55" spans="1:8">
      <c r="A55" s="279">
        <v>54</v>
      </c>
      <c r="B55" s="280" t="s">
        <v>1094</v>
      </c>
      <c r="C55" s="283">
        <v>83103438</v>
      </c>
      <c r="D55" s="282" t="s">
        <v>5</v>
      </c>
      <c r="E55" s="282" t="s">
        <v>100</v>
      </c>
      <c r="F55" s="259" t="s">
        <v>1542</v>
      </c>
      <c r="G55" s="222" t="s">
        <v>1498</v>
      </c>
    </row>
    <row r="56" spans="1:8">
      <c r="A56" s="248">
        <v>55</v>
      </c>
      <c r="B56" s="280" t="s">
        <v>1095</v>
      </c>
      <c r="C56" s="281">
        <v>83119852</v>
      </c>
      <c r="D56" s="282" t="s">
        <v>5</v>
      </c>
      <c r="E56" s="282" t="s">
        <v>99</v>
      </c>
      <c r="F56" s="259" t="s">
        <v>1542</v>
      </c>
      <c r="G56" s="222" t="s">
        <v>1498</v>
      </c>
    </row>
    <row r="57" spans="1:8">
      <c r="A57" s="248">
        <v>56</v>
      </c>
      <c r="B57" s="108" t="s">
        <v>336</v>
      </c>
      <c r="C57" s="111">
        <v>83123905</v>
      </c>
      <c r="D57" s="108" t="s">
        <v>5</v>
      </c>
      <c r="E57" s="106" t="s">
        <v>20</v>
      </c>
      <c r="F57" s="211" t="s">
        <v>1546</v>
      </c>
      <c r="G57" s="211" t="s">
        <v>1423</v>
      </c>
    </row>
    <row r="58" spans="1:8">
      <c r="A58" s="248">
        <v>57</v>
      </c>
      <c r="B58" s="108" t="s">
        <v>583</v>
      </c>
      <c r="C58" s="110">
        <v>183497</v>
      </c>
      <c r="D58" s="108" t="s">
        <v>8</v>
      </c>
      <c r="E58" s="108" t="s">
        <v>84</v>
      </c>
      <c r="F58" s="374" t="s">
        <v>5343</v>
      </c>
      <c r="G58" s="222" t="s">
        <v>1423</v>
      </c>
    </row>
  </sheetData>
  <autoFilter ref="A1:G58"/>
  <conditionalFormatting sqref="C56">
    <cfRule type="duplicateValues" dxfId="0" priority="1"/>
  </conditionalFormatting>
  <pageMargins left="0.25" right="0.25" top="0.75" bottom="0.75" header="0.3" footer="0.3"/>
  <pageSetup paperSize="9" scale="6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B1:AN47"/>
  <sheetViews>
    <sheetView showGridLines="0" topLeftCell="A16" zoomScale="120" zoomScaleNormal="120" workbookViewId="0">
      <selection activeCell="N14" sqref="N14"/>
    </sheetView>
  </sheetViews>
  <sheetFormatPr defaultColWidth="9" defaultRowHeight="13.5" customHeight="1"/>
  <cols>
    <col min="1" max="1" width="3.28515625" customWidth="1"/>
    <col min="2" max="2" width="0.85546875" customWidth="1"/>
    <col min="3" max="3" width="4.28515625" customWidth="1"/>
    <col min="4" max="4" width="0.85546875" customWidth="1"/>
    <col min="5" max="5" width="6.85546875" customWidth="1"/>
    <col min="6" max="6" width="6.28515625" customWidth="1"/>
    <col min="7" max="7" width="1" customWidth="1"/>
    <col min="8" max="9" width="6.42578125" customWidth="1"/>
    <col min="10" max="10" width="1" customWidth="1"/>
    <col min="11" max="16" width="4.28515625" customWidth="1"/>
    <col min="17" max="17" width="1" customWidth="1"/>
    <col min="18" max="23" width="4.28515625" customWidth="1"/>
    <col min="24" max="24" width="1" customWidth="1"/>
    <col min="25" max="30" width="4.28515625" customWidth="1"/>
    <col min="31" max="31" width="1" customWidth="1"/>
    <col min="32" max="37" width="4.28515625" customWidth="1"/>
    <col min="38" max="38" width="1" customWidth="1"/>
    <col min="39" max="39" width="21.42578125" customWidth="1"/>
    <col min="40" max="40" width="0.85546875" customWidth="1"/>
    <col min="41" max="41" width="2.140625" customWidth="1"/>
  </cols>
  <sheetData>
    <row r="1" spans="2:40" ht="13.5" customHeight="1" thickBot="1"/>
    <row r="2" spans="2:40" ht="4.9000000000000004" customHeight="1">
      <c r="B2" s="345"/>
      <c r="C2" s="346"/>
      <c r="D2" s="346"/>
      <c r="E2" s="346"/>
      <c r="F2" s="346"/>
      <c r="G2" s="346"/>
      <c r="H2" s="6"/>
      <c r="I2" s="6"/>
      <c r="J2" s="6"/>
      <c r="K2" s="346"/>
      <c r="L2" s="346"/>
      <c r="M2" s="346"/>
      <c r="N2" s="346"/>
      <c r="O2" s="346"/>
      <c r="P2" s="346"/>
      <c r="Q2" s="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6"/>
      <c r="AN2" s="347"/>
    </row>
    <row r="3" spans="2:40" ht="24" customHeight="1">
      <c r="B3" s="348"/>
      <c r="C3" s="401" t="s">
        <v>5323</v>
      </c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349"/>
    </row>
    <row r="4" spans="2:40" ht="4.9000000000000004" customHeight="1">
      <c r="B4" s="348"/>
      <c r="C4" s="350"/>
      <c r="D4" s="350"/>
      <c r="E4" s="350"/>
      <c r="F4" s="350"/>
      <c r="G4" s="350"/>
      <c r="H4" s="319"/>
      <c r="I4" s="319"/>
      <c r="J4" s="319"/>
      <c r="K4" s="350"/>
      <c r="L4" s="350"/>
      <c r="M4" s="350"/>
      <c r="N4" s="350"/>
      <c r="O4" s="350"/>
      <c r="P4" s="350"/>
      <c r="Q4" s="319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  <c r="AC4" s="350"/>
      <c r="AD4" s="350"/>
      <c r="AE4" s="350"/>
      <c r="AF4" s="350"/>
      <c r="AG4" s="350"/>
      <c r="AH4" s="350"/>
      <c r="AI4" s="350"/>
      <c r="AJ4" s="350"/>
      <c r="AK4" s="350"/>
      <c r="AL4" s="350"/>
      <c r="AM4" s="319"/>
      <c r="AN4" s="349"/>
    </row>
    <row r="5" spans="2:40" ht="43.9" customHeight="1">
      <c r="B5" s="348"/>
      <c r="C5" s="394" t="s">
        <v>5326</v>
      </c>
      <c r="D5" s="350"/>
      <c r="E5" s="419" t="s">
        <v>1548</v>
      </c>
      <c r="F5" s="419"/>
      <c r="G5" s="8"/>
      <c r="H5" s="406" t="s">
        <v>1549</v>
      </c>
      <c r="I5" s="407"/>
      <c r="J5" s="22"/>
      <c r="K5" s="408" t="s">
        <v>1550</v>
      </c>
      <c r="L5" s="409"/>
      <c r="M5" s="409"/>
      <c r="N5" s="409"/>
      <c r="O5" s="409"/>
      <c r="P5" s="409"/>
      <c r="Q5" s="23"/>
      <c r="R5" s="410" t="s">
        <v>1551</v>
      </c>
      <c r="S5" s="411"/>
      <c r="T5" s="411"/>
      <c r="U5" s="411"/>
      <c r="V5" s="411"/>
      <c r="W5" s="411"/>
      <c r="X5" s="48"/>
      <c r="Y5" s="412" t="s">
        <v>1552</v>
      </c>
      <c r="Z5" s="413"/>
      <c r="AA5" s="413"/>
      <c r="AB5" s="413"/>
      <c r="AC5" s="413"/>
      <c r="AD5" s="413"/>
      <c r="AE5" s="48"/>
      <c r="AF5" s="415" t="s">
        <v>1553</v>
      </c>
      <c r="AG5" s="416"/>
      <c r="AH5" s="416"/>
      <c r="AI5" s="416"/>
      <c r="AJ5" s="416"/>
      <c r="AK5" s="416"/>
      <c r="AL5" s="58"/>
      <c r="AM5" s="417" t="s">
        <v>1554</v>
      </c>
      <c r="AN5" s="349"/>
    </row>
    <row r="6" spans="2:40" ht="61.15" customHeight="1">
      <c r="B6" s="348"/>
      <c r="C6" s="394"/>
      <c r="D6" s="350"/>
      <c r="E6" s="419"/>
      <c r="F6" s="419"/>
      <c r="G6" s="8"/>
      <c r="H6" s="332" t="s">
        <v>1555</v>
      </c>
      <c r="I6" s="332" t="s">
        <v>1556</v>
      </c>
      <c r="J6" s="22"/>
      <c r="K6" s="333" t="s">
        <v>1557</v>
      </c>
      <c r="L6" s="334" t="s">
        <v>1558</v>
      </c>
      <c r="M6" s="335" t="s">
        <v>5324</v>
      </c>
      <c r="N6" s="336" t="s">
        <v>5325</v>
      </c>
      <c r="O6" s="337" t="s">
        <v>1559</v>
      </c>
      <c r="P6" s="338" t="s">
        <v>1560</v>
      </c>
      <c r="Q6" s="22"/>
      <c r="R6" s="333" t="s">
        <v>1557</v>
      </c>
      <c r="S6" s="334" t="s">
        <v>1558</v>
      </c>
      <c r="T6" s="335" t="s">
        <v>5324</v>
      </c>
      <c r="U6" s="336" t="s">
        <v>5325</v>
      </c>
      <c r="V6" s="337" t="s">
        <v>1559</v>
      </c>
      <c r="W6" s="338" t="s">
        <v>1560</v>
      </c>
      <c r="X6" s="58"/>
      <c r="Y6" s="333" t="s">
        <v>1557</v>
      </c>
      <c r="Z6" s="334" t="s">
        <v>1558</v>
      </c>
      <c r="AA6" s="335" t="s">
        <v>5324</v>
      </c>
      <c r="AB6" s="336" t="s">
        <v>5325</v>
      </c>
      <c r="AC6" s="337" t="s">
        <v>1559</v>
      </c>
      <c r="AD6" s="338" t="s">
        <v>1560</v>
      </c>
      <c r="AE6" s="58"/>
      <c r="AF6" s="333" t="s">
        <v>1557</v>
      </c>
      <c r="AG6" s="334" t="s">
        <v>1558</v>
      </c>
      <c r="AH6" s="335" t="s">
        <v>5324</v>
      </c>
      <c r="AI6" s="336" t="s">
        <v>5325</v>
      </c>
      <c r="AJ6" s="337" t="s">
        <v>1559</v>
      </c>
      <c r="AK6" s="338" t="s">
        <v>1560</v>
      </c>
      <c r="AL6" s="22"/>
      <c r="AM6" s="418"/>
      <c r="AN6" s="349"/>
    </row>
    <row r="7" spans="2:40" ht="4.9000000000000004" customHeight="1">
      <c r="B7" s="348"/>
      <c r="C7" s="350"/>
      <c r="D7" s="350"/>
      <c r="E7" s="350"/>
      <c r="F7" s="9"/>
      <c r="G7" s="321"/>
      <c r="H7" s="10"/>
      <c r="I7" s="10"/>
      <c r="J7" s="320"/>
      <c r="K7" s="24"/>
      <c r="L7" s="24"/>
      <c r="M7" s="24"/>
      <c r="N7" s="24"/>
      <c r="O7" s="24"/>
      <c r="P7" s="24"/>
      <c r="Q7" s="320"/>
      <c r="R7" s="24"/>
      <c r="S7" s="24"/>
      <c r="T7" s="24"/>
      <c r="U7" s="24"/>
      <c r="V7" s="24"/>
      <c r="W7" s="24"/>
      <c r="X7" s="322"/>
      <c r="Y7" s="24"/>
      <c r="Z7" s="24"/>
      <c r="AA7" s="24"/>
      <c r="AB7" s="24"/>
      <c r="AC7" s="24"/>
      <c r="AD7" s="24"/>
      <c r="AE7" s="322"/>
      <c r="AF7" s="24"/>
      <c r="AG7" s="24"/>
      <c r="AH7" s="24"/>
      <c r="AI7" s="24"/>
      <c r="AJ7" s="24"/>
      <c r="AK7" s="24"/>
      <c r="AL7" s="320"/>
      <c r="AM7" s="10"/>
      <c r="AN7" s="349"/>
    </row>
    <row r="8" spans="2:40" ht="13.15" customHeight="1">
      <c r="B8" s="348"/>
      <c r="C8" s="352">
        <v>1</v>
      </c>
      <c r="D8" s="350"/>
      <c r="E8" s="395" t="s">
        <v>5335</v>
      </c>
      <c r="F8" s="358" t="s">
        <v>5</v>
      </c>
      <c r="G8" s="12"/>
      <c r="H8" s="339">
        <v>147</v>
      </c>
      <c r="I8" s="339">
        <v>46</v>
      </c>
      <c r="J8" s="25"/>
      <c r="K8" s="26">
        <v>15</v>
      </c>
      <c r="L8" s="27">
        <v>15</v>
      </c>
      <c r="M8" s="28">
        <v>8</v>
      </c>
      <c r="N8" s="29">
        <v>110</v>
      </c>
      <c r="O8" s="30">
        <v>20</v>
      </c>
      <c r="P8" s="31">
        <v>202</v>
      </c>
      <c r="Q8" s="32"/>
      <c r="R8" s="26">
        <v>10</v>
      </c>
      <c r="S8" s="27">
        <v>8</v>
      </c>
      <c r="T8" s="28">
        <v>3</v>
      </c>
      <c r="U8" s="29">
        <v>97</v>
      </c>
      <c r="V8" s="30">
        <v>14</v>
      </c>
      <c r="W8" s="31">
        <v>184</v>
      </c>
      <c r="X8" s="49"/>
      <c r="Y8" s="26">
        <f t="shared" ref="Y8:AD28" si="0">K8-R8</f>
        <v>5</v>
      </c>
      <c r="Z8" s="27">
        <f t="shared" si="0"/>
        <v>7</v>
      </c>
      <c r="AA8" s="28">
        <f t="shared" si="0"/>
        <v>5</v>
      </c>
      <c r="AB8" s="52">
        <f t="shared" si="0"/>
        <v>13</v>
      </c>
      <c r="AC8" s="30">
        <f t="shared" si="0"/>
        <v>6</v>
      </c>
      <c r="AD8" s="31">
        <f t="shared" si="0"/>
        <v>18</v>
      </c>
      <c r="AE8" s="32"/>
      <c r="AF8" s="54">
        <f t="shared" ref="AF8:AK28" si="1">1.2*Y8</f>
        <v>6</v>
      </c>
      <c r="AG8" s="360">
        <f t="shared" si="1"/>
        <v>8.4</v>
      </c>
      <c r="AH8" s="62">
        <f t="shared" si="1"/>
        <v>6</v>
      </c>
      <c r="AI8" s="361">
        <f t="shared" si="1"/>
        <v>15.6</v>
      </c>
      <c r="AJ8" s="362">
        <f t="shared" si="1"/>
        <v>7.1999999999999993</v>
      </c>
      <c r="AK8" s="63">
        <f t="shared" si="1"/>
        <v>21.599999999999998</v>
      </c>
      <c r="AL8" s="25"/>
      <c r="AM8" s="59"/>
      <c r="AN8" s="349"/>
    </row>
    <row r="9" spans="2:40" ht="13.15" customHeight="1">
      <c r="B9" s="348"/>
      <c r="C9" s="352">
        <v>2</v>
      </c>
      <c r="D9" s="350"/>
      <c r="E9" s="396"/>
      <c r="F9" s="358" t="s">
        <v>7</v>
      </c>
      <c r="G9" s="12"/>
      <c r="H9" s="340">
        <v>12</v>
      </c>
      <c r="I9" s="340">
        <v>2</v>
      </c>
      <c r="J9" s="33"/>
      <c r="K9" s="34"/>
      <c r="L9" s="34"/>
      <c r="M9" s="34"/>
      <c r="N9" s="29">
        <v>8</v>
      </c>
      <c r="O9" s="40">
        <v>3</v>
      </c>
      <c r="P9" s="31">
        <v>14</v>
      </c>
      <c r="Q9" s="35"/>
      <c r="R9" s="34"/>
      <c r="S9" s="34"/>
      <c r="T9" s="34"/>
      <c r="U9" s="29">
        <v>12</v>
      </c>
      <c r="V9" s="34">
        <v>2</v>
      </c>
      <c r="W9" s="31">
        <v>10</v>
      </c>
      <c r="X9" s="49"/>
      <c r="Y9" s="34"/>
      <c r="Z9" s="34"/>
      <c r="AA9" s="34"/>
      <c r="AB9" s="52">
        <f t="shared" si="0"/>
        <v>-4</v>
      </c>
      <c r="AC9" s="30">
        <f t="shared" si="0"/>
        <v>1</v>
      </c>
      <c r="AD9" s="31">
        <f>P9-W9</f>
        <v>4</v>
      </c>
      <c r="AE9" s="35"/>
      <c r="AF9" s="363"/>
      <c r="AG9" s="363"/>
      <c r="AH9" s="363"/>
      <c r="AI9" s="361">
        <f t="shared" si="1"/>
        <v>-4.8</v>
      </c>
      <c r="AJ9" s="362">
        <f t="shared" si="1"/>
        <v>1.2</v>
      </c>
      <c r="AK9" s="63">
        <f>1.2*AD9</f>
        <v>4.8</v>
      </c>
      <c r="AL9" s="33"/>
      <c r="AM9" s="59"/>
      <c r="AN9" s="349"/>
    </row>
    <row r="10" spans="2:40" ht="13.15" customHeight="1">
      <c r="B10" s="348"/>
      <c r="C10" s="352">
        <v>3</v>
      </c>
      <c r="D10" s="350"/>
      <c r="E10" s="397"/>
      <c r="F10" s="358" t="s">
        <v>4</v>
      </c>
      <c r="G10" s="12"/>
      <c r="H10" s="341"/>
      <c r="I10" s="340">
        <v>11</v>
      </c>
      <c r="J10" s="36"/>
      <c r="K10" s="34"/>
      <c r="L10" s="34"/>
      <c r="M10" s="34"/>
      <c r="N10" s="37">
        <v>0</v>
      </c>
      <c r="O10" s="34"/>
      <c r="P10" s="31">
        <v>2</v>
      </c>
      <c r="Q10" s="38"/>
      <c r="R10" s="34"/>
      <c r="S10" s="34"/>
      <c r="T10" s="34"/>
      <c r="U10" s="37">
        <v>0</v>
      </c>
      <c r="V10" s="34"/>
      <c r="W10" s="31">
        <v>2</v>
      </c>
      <c r="X10" s="50"/>
      <c r="Y10" s="34"/>
      <c r="Z10" s="34"/>
      <c r="AA10" s="34"/>
      <c r="AB10" s="52">
        <f t="shared" si="0"/>
        <v>0</v>
      </c>
      <c r="AC10" s="34"/>
      <c r="AD10" s="31">
        <f>P10-W10</f>
        <v>0</v>
      </c>
      <c r="AE10" s="38"/>
      <c r="AF10" s="363"/>
      <c r="AG10" s="363"/>
      <c r="AH10" s="363"/>
      <c r="AI10" s="361">
        <f t="shared" si="1"/>
        <v>0</v>
      </c>
      <c r="AJ10" s="363"/>
      <c r="AK10" s="63">
        <f>1.2*AD10</f>
        <v>0</v>
      </c>
      <c r="AL10" s="36"/>
      <c r="AM10" s="59"/>
      <c r="AN10" s="349"/>
    </row>
    <row r="11" spans="2:40" ht="13.15" customHeight="1">
      <c r="B11" s="348"/>
      <c r="C11" s="352">
        <v>4</v>
      </c>
      <c r="D11" s="350"/>
      <c r="E11" s="395" t="s">
        <v>5336</v>
      </c>
      <c r="F11" s="358" t="s">
        <v>8</v>
      </c>
      <c r="G11" s="12"/>
      <c r="H11" s="340">
        <v>37</v>
      </c>
      <c r="I11" s="340">
        <v>9</v>
      </c>
      <c r="J11" s="33"/>
      <c r="K11" s="34"/>
      <c r="L11" s="34"/>
      <c r="M11" s="34"/>
      <c r="N11" s="29">
        <v>22</v>
      </c>
      <c r="O11" s="39">
        <v>5</v>
      </c>
      <c r="P11" s="31">
        <v>47</v>
      </c>
      <c r="Q11" s="35"/>
      <c r="R11" s="34"/>
      <c r="S11" s="34"/>
      <c r="T11" s="34"/>
      <c r="U11" s="29">
        <v>17</v>
      </c>
      <c r="V11" s="39">
        <v>0</v>
      </c>
      <c r="W11" s="31">
        <v>40</v>
      </c>
      <c r="X11" s="49"/>
      <c r="Y11" s="34"/>
      <c r="Z11" s="34"/>
      <c r="AA11" s="34"/>
      <c r="AB11" s="52">
        <f>N11-U11</f>
        <v>5</v>
      </c>
      <c r="AC11" s="30">
        <f>O11-V11</f>
        <v>5</v>
      </c>
      <c r="AD11" s="31">
        <f>P11-W11</f>
        <v>7</v>
      </c>
      <c r="AE11" s="35"/>
      <c r="AF11" s="363"/>
      <c r="AG11" s="363"/>
      <c r="AH11" s="363"/>
      <c r="AI11" s="361">
        <f>1.2*AB11</f>
        <v>6</v>
      </c>
      <c r="AJ11" s="362">
        <f>1.2*AC11</f>
        <v>6</v>
      </c>
      <c r="AK11" s="63">
        <f>1.2*AD11</f>
        <v>8.4</v>
      </c>
      <c r="AL11" s="33"/>
      <c r="AM11" s="59"/>
      <c r="AN11" s="349"/>
    </row>
    <row r="12" spans="2:40" ht="13.15" customHeight="1">
      <c r="B12" s="348"/>
      <c r="C12" s="352">
        <v>5</v>
      </c>
      <c r="D12" s="350"/>
      <c r="E12" s="396"/>
      <c r="F12" s="358" t="s">
        <v>3</v>
      </c>
      <c r="G12" s="12"/>
      <c r="H12" s="340">
        <v>27</v>
      </c>
      <c r="I12" s="340">
        <v>3</v>
      </c>
      <c r="J12" s="33"/>
      <c r="K12" s="34"/>
      <c r="L12" s="34"/>
      <c r="M12" s="34"/>
      <c r="N12" s="97">
        <v>4</v>
      </c>
      <c r="O12" s="34"/>
      <c r="P12" s="31">
        <v>15</v>
      </c>
      <c r="Q12" s="35"/>
      <c r="R12" s="34"/>
      <c r="S12" s="34"/>
      <c r="T12" s="34"/>
      <c r="U12" s="97">
        <v>2</v>
      </c>
      <c r="V12" s="34"/>
      <c r="W12" s="31">
        <v>6</v>
      </c>
      <c r="X12" s="49"/>
      <c r="Y12" s="34"/>
      <c r="Z12" s="34"/>
      <c r="AA12" s="34"/>
      <c r="AB12" s="96">
        <f>N12-U12</f>
        <v>2</v>
      </c>
      <c r="AC12" s="34"/>
      <c r="AD12" s="31">
        <f>P12-W12</f>
        <v>9</v>
      </c>
      <c r="AE12" s="35"/>
      <c r="AF12" s="363"/>
      <c r="AG12" s="363"/>
      <c r="AH12" s="363"/>
      <c r="AI12" s="364">
        <f>1.2*AB12</f>
        <v>2.4</v>
      </c>
      <c r="AJ12" s="34"/>
      <c r="AK12" s="63">
        <f>1.2*AD12</f>
        <v>10.799999999999999</v>
      </c>
      <c r="AL12" s="33"/>
      <c r="AM12" s="59"/>
      <c r="AN12" s="349"/>
    </row>
    <row r="13" spans="2:40" ht="13.15" customHeight="1">
      <c r="B13" s="348"/>
      <c r="C13" s="352">
        <v>6</v>
      </c>
      <c r="D13" s="350"/>
      <c r="E13" s="396"/>
      <c r="F13" s="358" t="s">
        <v>1564</v>
      </c>
      <c r="G13" s="12"/>
      <c r="H13" s="340">
        <v>28</v>
      </c>
      <c r="I13" s="340">
        <v>4</v>
      </c>
      <c r="J13" s="33"/>
      <c r="K13" s="34"/>
      <c r="L13" s="34"/>
      <c r="M13" s="34"/>
      <c r="N13" s="29">
        <v>5</v>
      </c>
      <c r="O13" s="34"/>
      <c r="P13" s="34"/>
      <c r="Q13" s="35"/>
      <c r="R13" s="34"/>
      <c r="S13" s="34"/>
      <c r="T13" s="34"/>
      <c r="U13" s="29">
        <v>5</v>
      </c>
      <c r="V13" s="34"/>
      <c r="W13" s="51"/>
      <c r="X13" s="49"/>
      <c r="Y13" s="34"/>
      <c r="Z13" s="34"/>
      <c r="AA13" s="34"/>
      <c r="AB13" s="52">
        <f>N13-U13</f>
        <v>0</v>
      </c>
      <c r="AC13" s="34"/>
      <c r="AD13" s="34"/>
      <c r="AE13" s="35"/>
      <c r="AF13" s="363"/>
      <c r="AG13" s="363"/>
      <c r="AH13" s="363"/>
      <c r="AI13" s="361">
        <f>1.2*AB13</f>
        <v>0</v>
      </c>
      <c r="AJ13" s="363"/>
      <c r="AK13" s="299"/>
      <c r="AL13" s="33"/>
      <c r="AM13" s="59"/>
      <c r="AN13" s="349"/>
    </row>
    <row r="14" spans="2:40" ht="13.15" customHeight="1">
      <c r="B14" s="348"/>
      <c r="C14" s="352">
        <v>7</v>
      </c>
      <c r="D14" s="350"/>
      <c r="E14" s="396"/>
      <c r="F14" s="358" t="s">
        <v>18</v>
      </c>
      <c r="G14" s="12"/>
      <c r="H14" s="340">
        <v>17</v>
      </c>
      <c r="I14" s="340">
        <v>4</v>
      </c>
      <c r="J14" s="33"/>
      <c r="K14" s="34"/>
      <c r="L14" s="34"/>
      <c r="M14" s="34"/>
      <c r="N14" s="29">
        <v>4</v>
      </c>
      <c r="O14" s="34"/>
      <c r="P14" s="34"/>
      <c r="Q14" s="35"/>
      <c r="R14" s="34"/>
      <c r="S14" s="34"/>
      <c r="T14" s="34"/>
      <c r="U14" s="29">
        <v>3</v>
      </c>
      <c r="V14" s="34"/>
      <c r="W14" s="51"/>
      <c r="X14" s="49"/>
      <c r="Y14" s="34"/>
      <c r="Z14" s="34"/>
      <c r="AA14" s="34"/>
      <c r="AB14" s="52">
        <f>N14-U14</f>
        <v>1</v>
      </c>
      <c r="AC14" s="34"/>
      <c r="AD14" s="34"/>
      <c r="AE14" s="35"/>
      <c r="AF14" s="363"/>
      <c r="AG14" s="363"/>
      <c r="AH14" s="363"/>
      <c r="AI14" s="361">
        <f>1.2*AB14</f>
        <v>1.2</v>
      </c>
      <c r="AJ14" s="363"/>
      <c r="AK14" s="299"/>
      <c r="AL14" s="33"/>
      <c r="AM14" s="59"/>
      <c r="AN14" s="349"/>
    </row>
    <row r="15" spans="2:40" ht="13.15" customHeight="1">
      <c r="B15" s="348"/>
      <c r="C15" s="352">
        <v>8</v>
      </c>
      <c r="D15" s="350"/>
      <c r="E15" s="397"/>
      <c r="F15" s="358" t="s">
        <v>19</v>
      </c>
      <c r="G15" s="12"/>
      <c r="H15" s="340">
        <v>16</v>
      </c>
      <c r="I15" s="340">
        <v>3</v>
      </c>
      <c r="J15" s="33"/>
      <c r="K15" s="34"/>
      <c r="L15" s="34"/>
      <c r="M15" s="34"/>
      <c r="N15" s="29">
        <v>4</v>
      </c>
      <c r="O15" s="34"/>
      <c r="P15" s="34"/>
      <c r="Q15" s="35"/>
      <c r="R15" s="34"/>
      <c r="S15" s="34"/>
      <c r="T15" s="34"/>
      <c r="U15" s="29">
        <v>2</v>
      </c>
      <c r="V15" s="34"/>
      <c r="W15" s="51"/>
      <c r="X15" s="49"/>
      <c r="Y15" s="34"/>
      <c r="Z15" s="34"/>
      <c r="AA15" s="34"/>
      <c r="AB15" s="52">
        <f>N15-U15</f>
        <v>2</v>
      </c>
      <c r="AC15" s="34"/>
      <c r="AD15" s="34"/>
      <c r="AE15" s="35"/>
      <c r="AF15" s="363"/>
      <c r="AG15" s="363"/>
      <c r="AH15" s="363"/>
      <c r="AI15" s="361">
        <f>1.2*AB15</f>
        <v>2.4</v>
      </c>
      <c r="AJ15" s="363"/>
      <c r="AK15" s="299"/>
      <c r="AL15" s="33"/>
      <c r="AM15" s="59"/>
      <c r="AN15" s="349"/>
    </row>
    <row r="16" spans="2:40" ht="13.15" customHeight="1">
      <c r="B16" s="348"/>
      <c r="C16" s="352">
        <v>9</v>
      </c>
      <c r="D16" s="350"/>
      <c r="E16" s="395" t="s">
        <v>5337</v>
      </c>
      <c r="F16" s="358" t="s">
        <v>16</v>
      </c>
      <c r="G16" s="12"/>
      <c r="H16" s="340">
        <v>74</v>
      </c>
      <c r="I16" s="340">
        <v>13</v>
      </c>
      <c r="J16" s="33"/>
      <c r="K16" s="34"/>
      <c r="L16" s="34"/>
      <c r="M16" s="34"/>
      <c r="N16" s="29">
        <v>32</v>
      </c>
      <c r="O16" s="39">
        <v>5</v>
      </c>
      <c r="P16" s="31">
        <v>65</v>
      </c>
      <c r="Q16" s="35"/>
      <c r="R16" s="34"/>
      <c r="S16" s="34"/>
      <c r="T16" s="34"/>
      <c r="U16" s="98">
        <v>22</v>
      </c>
      <c r="V16" s="39">
        <v>3</v>
      </c>
      <c r="W16" s="31">
        <v>61</v>
      </c>
      <c r="X16" s="49"/>
      <c r="Y16" s="34"/>
      <c r="Z16" s="34"/>
      <c r="AA16" s="34"/>
      <c r="AB16" s="52">
        <f t="shared" si="0"/>
        <v>10</v>
      </c>
      <c r="AC16" s="30">
        <f>O16-V16</f>
        <v>2</v>
      </c>
      <c r="AD16" s="31">
        <f>P16-W16</f>
        <v>4</v>
      </c>
      <c r="AE16" s="35"/>
      <c r="AF16" s="363"/>
      <c r="AG16" s="363"/>
      <c r="AH16" s="363"/>
      <c r="AI16" s="361">
        <f t="shared" si="1"/>
        <v>12</v>
      </c>
      <c r="AJ16" s="362">
        <f>1.2*AC16</f>
        <v>2.4</v>
      </c>
      <c r="AK16" s="63">
        <f>1.2*AD16</f>
        <v>4.8</v>
      </c>
      <c r="AL16" s="33"/>
      <c r="AM16" s="59"/>
      <c r="AN16" s="349"/>
    </row>
    <row r="17" spans="2:40" ht="13.15" customHeight="1">
      <c r="B17" s="348"/>
      <c r="C17" s="352">
        <v>10</v>
      </c>
      <c r="D17" s="350"/>
      <c r="E17" s="396"/>
      <c r="F17" s="358" t="s">
        <v>15</v>
      </c>
      <c r="G17" s="12"/>
      <c r="H17" s="340">
        <v>14</v>
      </c>
      <c r="I17" s="340">
        <v>3</v>
      </c>
      <c r="J17" s="33"/>
      <c r="K17" s="34"/>
      <c r="L17" s="34"/>
      <c r="M17" s="34"/>
      <c r="N17" s="29">
        <v>5</v>
      </c>
      <c r="O17" s="34"/>
      <c r="P17" s="34"/>
      <c r="Q17" s="35"/>
      <c r="R17" s="34"/>
      <c r="S17" s="34"/>
      <c r="T17" s="34"/>
      <c r="U17" s="29">
        <v>5</v>
      </c>
      <c r="V17" s="34"/>
      <c r="W17" s="51"/>
      <c r="X17" s="49"/>
      <c r="Y17" s="34"/>
      <c r="Z17" s="34"/>
      <c r="AA17" s="34"/>
      <c r="AB17" s="52">
        <f t="shared" si="0"/>
        <v>0</v>
      </c>
      <c r="AC17" s="34"/>
      <c r="AD17" s="34"/>
      <c r="AE17" s="35"/>
      <c r="AF17" s="363"/>
      <c r="AG17" s="363"/>
      <c r="AH17" s="363"/>
      <c r="AI17" s="361">
        <f t="shared" si="1"/>
        <v>0</v>
      </c>
      <c r="AJ17" s="363"/>
      <c r="AK17" s="365"/>
      <c r="AL17" s="33"/>
      <c r="AM17" s="59"/>
      <c r="AN17" s="349"/>
    </row>
    <row r="18" spans="2:40" ht="13.15" customHeight="1">
      <c r="B18" s="348"/>
      <c r="C18" s="352">
        <v>11</v>
      </c>
      <c r="D18" s="350"/>
      <c r="E18" s="396"/>
      <c r="F18" s="358" t="s">
        <v>14</v>
      </c>
      <c r="G18" s="12"/>
      <c r="H18" s="340">
        <v>6</v>
      </c>
      <c r="I18" s="340">
        <v>3</v>
      </c>
      <c r="J18" s="33"/>
      <c r="K18" s="34"/>
      <c r="L18" s="34"/>
      <c r="M18" s="34"/>
      <c r="N18" s="29">
        <v>6</v>
      </c>
      <c r="O18" s="34"/>
      <c r="P18" s="34"/>
      <c r="Q18" s="35"/>
      <c r="R18" s="34"/>
      <c r="S18" s="34"/>
      <c r="T18" s="34"/>
      <c r="U18" s="29">
        <v>5</v>
      </c>
      <c r="V18" s="34"/>
      <c r="W18" s="34"/>
      <c r="X18" s="49"/>
      <c r="Y18" s="34"/>
      <c r="Z18" s="34"/>
      <c r="AA18" s="34"/>
      <c r="AB18" s="52">
        <f>N18-U18</f>
        <v>1</v>
      </c>
      <c r="AC18" s="34"/>
      <c r="AD18" s="34"/>
      <c r="AE18" s="35"/>
      <c r="AF18" s="363"/>
      <c r="AG18" s="363"/>
      <c r="AH18" s="363"/>
      <c r="AI18" s="361">
        <f>1.2*AB18</f>
        <v>1.2</v>
      </c>
      <c r="AJ18" s="363"/>
      <c r="AK18" s="365"/>
      <c r="AL18" s="33"/>
      <c r="AM18" s="59"/>
      <c r="AN18" s="349"/>
    </row>
    <row r="19" spans="2:40" ht="13.15" customHeight="1">
      <c r="B19" s="348"/>
      <c r="C19" s="352">
        <v>12</v>
      </c>
      <c r="D19" s="350"/>
      <c r="E19" s="396"/>
      <c r="F19" s="359" t="s">
        <v>5329</v>
      </c>
      <c r="G19" s="12"/>
      <c r="H19" s="340">
        <v>18</v>
      </c>
      <c r="I19" s="340">
        <v>2</v>
      </c>
      <c r="J19" s="33"/>
      <c r="K19" s="34"/>
      <c r="L19" s="34"/>
      <c r="M19" s="34"/>
      <c r="N19" s="342">
        <v>2</v>
      </c>
      <c r="O19" s="34"/>
      <c r="P19" s="34"/>
      <c r="Q19" s="35"/>
      <c r="R19" s="34"/>
      <c r="S19" s="34"/>
      <c r="T19" s="34"/>
      <c r="U19" s="342">
        <v>1</v>
      </c>
      <c r="V19" s="34"/>
      <c r="W19" s="34"/>
      <c r="X19" s="49"/>
      <c r="Y19" s="34"/>
      <c r="Z19" s="34"/>
      <c r="AA19" s="34"/>
      <c r="AB19" s="343">
        <f>N19-U19</f>
        <v>1</v>
      </c>
      <c r="AC19" s="34"/>
      <c r="AD19" s="34"/>
      <c r="AE19" s="35"/>
      <c r="AF19" s="363"/>
      <c r="AG19" s="363"/>
      <c r="AH19" s="363"/>
      <c r="AI19" s="366">
        <f>1.2*AB19</f>
        <v>1.2</v>
      </c>
      <c r="AJ19" s="363"/>
      <c r="AK19" s="365"/>
      <c r="AL19" s="33"/>
      <c r="AM19" s="59"/>
      <c r="AN19" s="349"/>
    </row>
    <row r="20" spans="2:40" ht="13.15" customHeight="1">
      <c r="B20" s="348"/>
      <c r="C20" s="352">
        <v>13</v>
      </c>
      <c r="D20" s="350"/>
      <c r="E20" s="397"/>
      <c r="F20" s="359" t="s">
        <v>5330</v>
      </c>
      <c r="G20" s="12"/>
      <c r="H20" s="340"/>
      <c r="I20" s="340">
        <v>3</v>
      </c>
      <c r="J20" s="33"/>
      <c r="K20" s="34"/>
      <c r="L20" s="34"/>
      <c r="M20" s="34"/>
      <c r="N20" s="342"/>
      <c r="O20" s="34"/>
      <c r="P20" s="34"/>
      <c r="Q20" s="35"/>
      <c r="R20" s="34"/>
      <c r="S20" s="34"/>
      <c r="T20" s="34"/>
      <c r="U20" s="342"/>
      <c r="V20" s="34"/>
      <c r="W20" s="34"/>
      <c r="X20" s="49"/>
      <c r="Y20" s="34"/>
      <c r="Z20" s="34"/>
      <c r="AA20" s="34"/>
      <c r="AB20" s="343"/>
      <c r="AC20" s="34"/>
      <c r="AD20" s="34"/>
      <c r="AE20" s="35"/>
      <c r="AF20" s="363"/>
      <c r="AG20" s="363"/>
      <c r="AH20" s="363"/>
      <c r="AI20" s="366"/>
      <c r="AJ20" s="363"/>
      <c r="AK20" s="365"/>
      <c r="AL20" s="33"/>
      <c r="AM20" s="59" t="s">
        <v>5331</v>
      </c>
      <c r="AN20" s="349"/>
    </row>
    <row r="21" spans="2:40" ht="13.15" customHeight="1">
      <c r="B21" s="348"/>
      <c r="C21" s="352">
        <v>14</v>
      </c>
      <c r="D21" s="350"/>
      <c r="E21" s="395" t="s">
        <v>5338</v>
      </c>
      <c r="F21" s="358" t="s">
        <v>6</v>
      </c>
      <c r="G21" s="12"/>
      <c r="H21" s="340">
        <v>28</v>
      </c>
      <c r="I21" s="340">
        <v>4</v>
      </c>
      <c r="J21" s="33"/>
      <c r="K21" s="34"/>
      <c r="L21" s="34"/>
      <c r="M21" s="34"/>
      <c r="N21" s="29">
        <v>5</v>
      </c>
      <c r="O21" s="34"/>
      <c r="P21" s="31">
        <v>10</v>
      </c>
      <c r="Q21" s="35"/>
      <c r="R21" s="34"/>
      <c r="S21" s="34"/>
      <c r="T21" s="34"/>
      <c r="U21" s="29">
        <v>4</v>
      </c>
      <c r="V21" s="34"/>
      <c r="W21" s="34"/>
      <c r="X21" s="49"/>
      <c r="Y21" s="34"/>
      <c r="Z21" s="34"/>
      <c r="AA21" s="34"/>
      <c r="AB21" s="52">
        <f t="shared" ref="AB21:AB23" si="2">N21-U21</f>
        <v>1</v>
      </c>
      <c r="AC21" s="34"/>
      <c r="AD21" s="31">
        <f>P21-W21</f>
        <v>10</v>
      </c>
      <c r="AE21" s="35"/>
      <c r="AF21" s="363"/>
      <c r="AG21" s="363"/>
      <c r="AH21" s="363"/>
      <c r="AI21" s="361">
        <f t="shared" ref="AI21:AI23" si="3">1.2*AB21</f>
        <v>1.2</v>
      </c>
      <c r="AJ21" s="363"/>
      <c r="AK21" s="63">
        <f>1.2*AD21</f>
        <v>12</v>
      </c>
      <c r="AL21" s="33"/>
      <c r="AM21" s="59"/>
      <c r="AN21" s="349"/>
    </row>
    <row r="22" spans="2:40" ht="13.15" customHeight="1">
      <c r="B22" s="348"/>
      <c r="C22" s="352">
        <v>15</v>
      </c>
      <c r="D22" s="350"/>
      <c r="E22" s="396"/>
      <c r="F22" s="358" t="s">
        <v>11</v>
      </c>
      <c r="G22" s="12"/>
      <c r="H22" s="340">
        <v>17</v>
      </c>
      <c r="I22" s="340">
        <v>6</v>
      </c>
      <c r="J22" s="33"/>
      <c r="K22" s="34"/>
      <c r="L22" s="34"/>
      <c r="M22" s="34"/>
      <c r="N22" s="29">
        <v>9</v>
      </c>
      <c r="O22" s="34"/>
      <c r="P22" s="34"/>
      <c r="Q22" s="35"/>
      <c r="R22" s="34"/>
      <c r="S22" s="34"/>
      <c r="T22" s="34"/>
      <c r="U22" s="29">
        <v>3</v>
      </c>
      <c r="V22" s="34"/>
      <c r="W22" s="34"/>
      <c r="X22" s="49"/>
      <c r="Y22" s="34"/>
      <c r="Z22" s="34"/>
      <c r="AA22" s="34"/>
      <c r="AB22" s="52">
        <f>N22-U22</f>
        <v>6</v>
      </c>
      <c r="AC22" s="34"/>
      <c r="AD22" s="34"/>
      <c r="AE22" s="35"/>
      <c r="AF22" s="363"/>
      <c r="AG22" s="363"/>
      <c r="AH22" s="363"/>
      <c r="AI22" s="361">
        <f>1.2*AB22</f>
        <v>7.1999999999999993</v>
      </c>
      <c r="AJ22" s="363"/>
      <c r="AK22" s="365"/>
      <c r="AL22" s="33"/>
      <c r="AM22" s="59"/>
      <c r="AN22" s="349"/>
    </row>
    <row r="23" spans="2:40" ht="13.15" customHeight="1">
      <c r="B23" s="348"/>
      <c r="C23" s="352">
        <v>16</v>
      </c>
      <c r="D23" s="350"/>
      <c r="E23" s="396"/>
      <c r="F23" s="358" t="s">
        <v>9</v>
      </c>
      <c r="G23" s="12"/>
      <c r="H23" s="340">
        <v>17</v>
      </c>
      <c r="I23" s="340">
        <v>5</v>
      </c>
      <c r="J23" s="33"/>
      <c r="K23" s="34"/>
      <c r="L23" s="34"/>
      <c r="M23" s="34"/>
      <c r="N23" s="29">
        <v>5</v>
      </c>
      <c r="O23" s="34"/>
      <c r="P23" s="31">
        <v>7</v>
      </c>
      <c r="Q23" s="35"/>
      <c r="R23" s="34"/>
      <c r="S23" s="34"/>
      <c r="T23" s="34"/>
      <c r="U23" s="29">
        <v>5</v>
      </c>
      <c r="V23" s="34"/>
      <c r="W23" s="31">
        <v>7</v>
      </c>
      <c r="X23" s="49"/>
      <c r="Y23" s="34"/>
      <c r="Z23" s="34"/>
      <c r="AA23" s="34"/>
      <c r="AB23" s="52">
        <f t="shared" si="2"/>
        <v>0</v>
      </c>
      <c r="AC23" s="34"/>
      <c r="AD23" s="31">
        <f>P23-W23</f>
        <v>0</v>
      </c>
      <c r="AE23" s="35"/>
      <c r="AF23" s="363"/>
      <c r="AG23" s="363"/>
      <c r="AH23" s="363"/>
      <c r="AI23" s="361">
        <f t="shared" si="3"/>
        <v>0</v>
      </c>
      <c r="AJ23" s="363"/>
      <c r="AK23" s="63">
        <f>1.2*AD23</f>
        <v>0</v>
      </c>
      <c r="AL23" s="33"/>
      <c r="AM23" s="59"/>
      <c r="AN23" s="349"/>
    </row>
    <row r="24" spans="2:40" ht="13.15" customHeight="1">
      <c r="B24" s="348"/>
      <c r="C24" s="352">
        <v>17</v>
      </c>
      <c r="D24" s="350"/>
      <c r="E24" s="396"/>
      <c r="F24" s="359" t="s">
        <v>5332</v>
      </c>
      <c r="G24" s="12"/>
      <c r="H24" s="340"/>
      <c r="I24" s="340">
        <v>6</v>
      </c>
      <c r="J24" s="33"/>
      <c r="K24" s="34"/>
      <c r="L24" s="34"/>
      <c r="M24" s="34"/>
      <c r="N24" s="342"/>
      <c r="O24" s="34"/>
      <c r="P24" s="344"/>
      <c r="Q24" s="35"/>
      <c r="R24" s="34"/>
      <c r="S24" s="34"/>
      <c r="T24" s="34"/>
      <c r="U24" s="342"/>
      <c r="V24" s="34"/>
      <c r="W24" s="344"/>
      <c r="X24" s="49"/>
      <c r="Y24" s="34"/>
      <c r="Z24" s="34"/>
      <c r="AA24" s="34"/>
      <c r="AB24" s="343"/>
      <c r="AC24" s="34"/>
      <c r="AD24" s="344"/>
      <c r="AE24" s="35"/>
      <c r="AF24" s="363"/>
      <c r="AG24" s="363"/>
      <c r="AH24" s="363"/>
      <c r="AI24" s="366"/>
      <c r="AJ24" s="363"/>
      <c r="AK24" s="367"/>
      <c r="AL24" s="33"/>
      <c r="AM24" s="59"/>
      <c r="AN24" s="349"/>
    </row>
    <row r="25" spans="2:40" ht="13.15" customHeight="1">
      <c r="B25" s="348"/>
      <c r="C25" s="352">
        <v>18</v>
      </c>
      <c r="D25" s="350"/>
      <c r="E25" s="399" t="s">
        <v>5339</v>
      </c>
      <c r="F25" s="358" t="s">
        <v>17</v>
      </c>
      <c r="G25" s="12"/>
      <c r="H25" s="340">
        <v>60</v>
      </c>
      <c r="I25" s="340">
        <v>24</v>
      </c>
      <c r="J25" s="33"/>
      <c r="K25" s="34"/>
      <c r="L25" s="34"/>
      <c r="M25" s="34"/>
      <c r="N25" s="29">
        <v>32</v>
      </c>
      <c r="O25" s="39">
        <v>5</v>
      </c>
      <c r="P25" s="31">
        <v>59</v>
      </c>
      <c r="Q25" s="35"/>
      <c r="R25" s="34"/>
      <c r="S25" s="34"/>
      <c r="T25" s="34"/>
      <c r="U25" s="29">
        <v>19</v>
      </c>
      <c r="V25" s="39">
        <v>0</v>
      </c>
      <c r="W25" s="31">
        <v>37</v>
      </c>
      <c r="X25" s="49"/>
      <c r="Y25" s="34"/>
      <c r="Z25" s="34"/>
      <c r="AA25" s="34"/>
      <c r="AB25" s="52">
        <f t="shared" si="0"/>
        <v>13</v>
      </c>
      <c r="AC25" s="30">
        <f>O25-V25</f>
        <v>5</v>
      </c>
      <c r="AD25" s="31">
        <f t="shared" ref="AD25:AD31" si="4">P25-W25</f>
        <v>22</v>
      </c>
      <c r="AE25" s="35"/>
      <c r="AF25" s="363"/>
      <c r="AG25" s="363"/>
      <c r="AH25" s="363"/>
      <c r="AI25" s="361">
        <f t="shared" si="1"/>
        <v>15.6</v>
      </c>
      <c r="AJ25" s="362">
        <f>1.2*AC25</f>
        <v>6</v>
      </c>
      <c r="AK25" s="63">
        <f t="shared" ref="AK25:AK31" si="5">1.2*AD25</f>
        <v>26.4</v>
      </c>
      <c r="AL25" s="33"/>
      <c r="AM25" s="59"/>
      <c r="AN25" s="349"/>
    </row>
    <row r="26" spans="2:40" ht="13.15" customHeight="1">
      <c r="B26" s="348"/>
      <c r="C26" s="352">
        <v>19</v>
      </c>
      <c r="D26" s="350"/>
      <c r="E26" s="399"/>
      <c r="F26" s="358" t="s">
        <v>2</v>
      </c>
      <c r="G26" s="12"/>
      <c r="H26" s="340">
        <v>28</v>
      </c>
      <c r="I26" s="340">
        <v>8</v>
      </c>
      <c r="J26" s="33"/>
      <c r="K26" s="34"/>
      <c r="L26" s="34"/>
      <c r="M26" s="34"/>
      <c r="N26" s="97">
        <v>13</v>
      </c>
      <c r="O26" s="34"/>
      <c r="P26" s="31">
        <v>25</v>
      </c>
      <c r="Q26" s="35"/>
      <c r="R26" s="34"/>
      <c r="S26" s="34"/>
      <c r="T26" s="34"/>
      <c r="U26" s="29">
        <v>3</v>
      </c>
      <c r="V26" s="34"/>
      <c r="W26" s="31">
        <v>14</v>
      </c>
      <c r="X26" s="49"/>
      <c r="Y26" s="34"/>
      <c r="Z26" s="34"/>
      <c r="AA26" s="34"/>
      <c r="AB26" s="52">
        <f t="shared" si="0"/>
        <v>10</v>
      </c>
      <c r="AC26" s="34"/>
      <c r="AD26" s="31">
        <f t="shared" si="4"/>
        <v>11</v>
      </c>
      <c r="AE26" s="35"/>
      <c r="AF26" s="363"/>
      <c r="AG26" s="363"/>
      <c r="AH26" s="363"/>
      <c r="AI26" s="361">
        <f t="shared" si="1"/>
        <v>12</v>
      </c>
      <c r="AJ26" s="363"/>
      <c r="AK26" s="63">
        <f t="shared" si="5"/>
        <v>13.2</v>
      </c>
      <c r="AL26" s="33"/>
      <c r="AM26" s="59"/>
      <c r="AN26" s="349"/>
    </row>
    <row r="27" spans="2:40" ht="13.15" customHeight="1">
      <c r="B27" s="348"/>
      <c r="C27" s="352">
        <v>20</v>
      </c>
      <c r="D27" s="350"/>
      <c r="E27" s="399"/>
      <c r="F27" s="358" t="s">
        <v>12</v>
      </c>
      <c r="G27" s="12"/>
      <c r="H27" s="340">
        <v>11</v>
      </c>
      <c r="I27" s="340">
        <v>5</v>
      </c>
      <c r="J27" s="33"/>
      <c r="K27" s="34"/>
      <c r="L27" s="34"/>
      <c r="M27" s="34"/>
      <c r="N27" s="29">
        <v>9</v>
      </c>
      <c r="O27" s="34"/>
      <c r="P27" s="31">
        <v>20</v>
      </c>
      <c r="Q27" s="35"/>
      <c r="R27" s="34"/>
      <c r="S27" s="34"/>
      <c r="T27" s="34"/>
      <c r="U27" s="29">
        <v>7</v>
      </c>
      <c r="V27" s="34"/>
      <c r="W27" s="31">
        <v>10</v>
      </c>
      <c r="X27" s="49"/>
      <c r="Y27" s="34"/>
      <c r="Z27" s="34"/>
      <c r="AA27" s="34"/>
      <c r="AB27" s="52">
        <f t="shared" si="0"/>
        <v>2</v>
      </c>
      <c r="AC27" s="34"/>
      <c r="AD27" s="31">
        <f t="shared" si="4"/>
        <v>10</v>
      </c>
      <c r="AE27" s="35"/>
      <c r="AF27" s="363"/>
      <c r="AG27" s="363"/>
      <c r="AH27" s="363"/>
      <c r="AI27" s="361">
        <f t="shared" si="1"/>
        <v>2.4</v>
      </c>
      <c r="AJ27" s="363"/>
      <c r="AK27" s="63">
        <f t="shared" si="5"/>
        <v>12</v>
      </c>
      <c r="AL27" s="33"/>
      <c r="AM27" s="59"/>
      <c r="AN27" s="349"/>
    </row>
    <row r="28" spans="2:40" ht="13.15" customHeight="1">
      <c r="B28" s="348"/>
      <c r="C28" s="352">
        <v>21</v>
      </c>
      <c r="D28" s="350"/>
      <c r="E28" s="399"/>
      <c r="F28" s="358" t="s">
        <v>1</v>
      </c>
      <c r="G28" s="12"/>
      <c r="H28" s="340">
        <v>8</v>
      </c>
      <c r="I28" s="340">
        <v>2</v>
      </c>
      <c r="J28" s="33"/>
      <c r="K28" s="34"/>
      <c r="L28" s="34"/>
      <c r="M28" s="34"/>
      <c r="N28" s="29">
        <v>5</v>
      </c>
      <c r="O28" s="34"/>
      <c r="P28" s="31">
        <v>4</v>
      </c>
      <c r="Q28" s="35"/>
      <c r="R28" s="34"/>
      <c r="S28" s="34"/>
      <c r="T28" s="34"/>
      <c r="U28" s="29">
        <v>4</v>
      </c>
      <c r="V28" s="34"/>
      <c r="W28" s="31">
        <v>3</v>
      </c>
      <c r="X28" s="49"/>
      <c r="Y28" s="34"/>
      <c r="Z28" s="34"/>
      <c r="AA28" s="34"/>
      <c r="AB28" s="52">
        <f t="shared" si="0"/>
        <v>1</v>
      </c>
      <c r="AC28" s="34"/>
      <c r="AD28" s="31">
        <f t="shared" si="4"/>
        <v>1</v>
      </c>
      <c r="AE28" s="35"/>
      <c r="AF28" s="363"/>
      <c r="AG28" s="363"/>
      <c r="AH28" s="363"/>
      <c r="AI28" s="361">
        <f t="shared" si="1"/>
        <v>1.2</v>
      </c>
      <c r="AJ28" s="363"/>
      <c r="AK28" s="63">
        <f t="shared" si="5"/>
        <v>1.2</v>
      </c>
      <c r="AL28" s="33"/>
      <c r="AM28" s="59"/>
      <c r="AN28" s="349"/>
    </row>
    <row r="29" spans="2:40" ht="13.15" customHeight="1">
      <c r="B29" s="348"/>
      <c r="C29" s="352">
        <v>22</v>
      </c>
      <c r="D29" s="350"/>
      <c r="E29" s="369" t="s">
        <v>5333</v>
      </c>
      <c r="F29" s="358" t="s">
        <v>5327</v>
      </c>
      <c r="G29" s="12"/>
      <c r="H29" s="340"/>
      <c r="I29" s="340"/>
      <c r="J29" s="33"/>
      <c r="K29" s="34"/>
      <c r="L29" s="34"/>
      <c r="M29" s="34"/>
      <c r="N29" s="29">
        <v>18</v>
      </c>
      <c r="O29" s="34"/>
      <c r="P29" s="31">
        <v>60</v>
      </c>
      <c r="Q29" s="35"/>
      <c r="R29" s="34"/>
      <c r="S29" s="34"/>
      <c r="T29" s="34"/>
      <c r="U29" s="29">
        <v>12</v>
      </c>
      <c r="V29" s="34"/>
      <c r="W29" s="31">
        <v>59</v>
      </c>
      <c r="X29" s="49"/>
      <c r="Y29" s="34"/>
      <c r="Z29" s="34"/>
      <c r="AA29" s="34"/>
      <c r="AB29" s="52">
        <f t="shared" ref="AB29:AB30" si="6">N29-U29</f>
        <v>6</v>
      </c>
      <c r="AC29" s="34"/>
      <c r="AD29" s="31">
        <f t="shared" si="4"/>
        <v>1</v>
      </c>
      <c r="AE29" s="35"/>
      <c r="AF29" s="363"/>
      <c r="AG29" s="363"/>
      <c r="AH29" s="363"/>
      <c r="AI29" s="361">
        <f t="shared" ref="AI29:AI30" si="7">1.2*AB29</f>
        <v>7.1999999999999993</v>
      </c>
      <c r="AJ29" s="363"/>
      <c r="AK29" s="63">
        <f t="shared" si="5"/>
        <v>1.2</v>
      </c>
      <c r="AL29" s="324"/>
      <c r="AM29" s="59"/>
      <c r="AN29" s="349"/>
    </row>
    <row r="30" spans="2:40" ht="13.15" customHeight="1">
      <c r="B30" s="348"/>
      <c r="C30" s="352">
        <v>23</v>
      </c>
      <c r="D30" s="350"/>
      <c r="E30" s="395" t="s">
        <v>5334</v>
      </c>
      <c r="F30" s="358" t="s">
        <v>10</v>
      </c>
      <c r="G30" s="12"/>
      <c r="H30" s="340"/>
      <c r="I30" s="340"/>
      <c r="J30" s="33"/>
      <c r="K30" s="34"/>
      <c r="L30" s="34"/>
      <c r="M30" s="34"/>
      <c r="N30" s="97">
        <v>24</v>
      </c>
      <c r="O30" s="34"/>
      <c r="P30" s="31">
        <v>102</v>
      </c>
      <c r="Q30" s="35"/>
      <c r="R30" s="34"/>
      <c r="S30" s="34"/>
      <c r="T30" s="34"/>
      <c r="U30" s="97">
        <v>24</v>
      </c>
      <c r="V30" s="34"/>
      <c r="W30" s="31">
        <v>89</v>
      </c>
      <c r="X30" s="49"/>
      <c r="Y30" s="34"/>
      <c r="Z30" s="34"/>
      <c r="AA30" s="34"/>
      <c r="AB30" s="52">
        <f t="shared" si="6"/>
        <v>0</v>
      </c>
      <c r="AC30" s="34"/>
      <c r="AD30" s="31">
        <f t="shared" si="4"/>
        <v>13</v>
      </c>
      <c r="AE30" s="35"/>
      <c r="AF30" s="363"/>
      <c r="AG30" s="363"/>
      <c r="AH30" s="363"/>
      <c r="AI30" s="361">
        <f t="shared" si="7"/>
        <v>0</v>
      </c>
      <c r="AJ30" s="365"/>
      <c r="AK30" s="63">
        <f t="shared" si="5"/>
        <v>15.6</v>
      </c>
      <c r="AL30" s="324"/>
      <c r="AM30" s="59"/>
      <c r="AN30" s="349"/>
    </row>
    <row r="31" spans="2:40" ht="13.15" customHeight="1">
      <c r="B31" s="348"/>
      <c r="C31" s="352">
        <v>24</v>
      </c>
      <c r="D31" s="350"/>
      <c r="E31" s="397"/>
      <c r="F31" s="358" t="s">
        <v>5328</v>
      </c>
      <c r="G31" s="12"/>
      <c r="H31" s="340"/>
      <c r="I31" s="340"/>
      <c r="J31" s="33"/>
      <c r="K31" s="34"/>
      <c r="L31" s="34"/>
      <c r="M31" s="34"/>
      <c r="N31" s="34"/>
      <c r="O31" s="34"/>
      <c r="P31" s="31">
        <v>6</v>
      </c>
      <c r="Q31" s="35"/>
      <c r="R31" s="34"/>
      <c r="S31" s="34"/>
      <c r="T31" s="34"/>
      <c r="U31" s="34"/>
      <c r="V31" s="34"/>
      <c r="W31" s="31">
        <v>4</v>
      </c>
      <c r="X31" s="49"/>
      <c r="Y31" s="34"/>
      <c r="Z31" s="34"/>
      <c r="AA31" s="34"/>
      <c r="AB31" s="34"/>
      <c r="AC31" s="34"/>
      <c r="AD31" s="31">
        <f t="shared" si="4"/>
        <v>2</v>
      </c>
      <c r="AE31" s="35"/>
      <c r="AF31" s="363"/>
      <c r="AG31" s="363"/>
      <c r="AH31" s="363"/>
      <c r="AI31" s="365"/>
      <c r="AJ31" s="365"/>
      <c r="AK31" s="63">
        <f t="shared" si="5"/>
        <v>2.4</v>
      </c>
      <c r="AL31" s="324"/>
      <c r="AM31" s="59"/>
      <c r="AN31" s="349"/>
    </row>
    <row r="32" spans="2:40" ht="4.9000000000000004" customHeight="1">
      <c r="B32" s="348"/>
      <c r="C32" s="350"/>
      <c r="D32" s="350"/>
      <c r="E32" s="350"/>
      <c r="F32" s="323"/>
      <c r="G32" s="323"/>
      <c r="H32" s="318"/>
      <c r="I32" s="318"/>
      <c r="J32" s="318"/>
      <c r="K32" s="41"/>
      <c r="L32" s="41"/>
      <c r="M32" s="41"/>
      <c r="N32" s="41"/>
      <c r="O32" s="41"/>
      <c r="P32" s="41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24"/>
      <c r="AN32" s="349"/>
    </row>
    <row r="33" spans="2:40" ht="16.149999999999999" customHeight="1">
      <c r="B33" s="348"/>
      <c r="C33" s="400" t="s">
        <v>1565</v>
      </c>
      <c r="D33" s="400"/>
      <c r="E33" s="400"/>
      <c r="F33" s="400"/>
      <c r="G33" s="323"/>
      <c r="H33" s="400">
        <f>SUM(H8:H28)</f>
        <v>565</v>
      </c>
      <c r="I33" s="400">
        <f>SUM(I8:I28)</f>
        <v>166</v>
      </c>
      <c r="J33" s="318"/>
      <c r="K33" s="42">
        <f>SUM(K8:K28)</f>
        <v>15</v>
      </c>
      <c r="L33" s="43">
        <f t="shared" ref="L33:P33" si="8">SUM(L8:L28)</f>
        <v>15</v>
      </c>
      <c r="M33" s="44">
        <f t="shared" si="8"/>
        <v>8</v>
      </c>
      <c r="N33" s="45">
        <f t="shared" si="8"/>
        <v>280</v>
      </c>
      <c r="O33" s="46">
        <f t="shared" si="8"/>
        <v>38</v>
      </c>
      <c r="P33" s="47">
        <f t="shared" si="8"/>
        <v>470</v>
      </c>
      <c r="Q33" s="36"/>
      <c r="R33" s="42">
        <f>SUM(R8:R28)</f>
        <v>10</v>
      </c>
      <c r="S33" s="43">
        <f t="shared" ref="S33:W33" si="9">SUM(S8:S28)</f>
        <v>8</v>
      </c>
      <c r="T33" s="44">
        <f t="shared" si="9"/>
        <v>3</v>
      </c>
      <c r="U33" s="45">
        <f>SUM(U8:U28)</f>
        <v>216</v>
      </c>
      <c r="V33" s="46">
        <f t="shared" si="9"/>
        <v>19</v>
      </c>
      <c r="W33" s="47">
        <f t="shared" si="9"/>
        <v>374</v>
      </c>
      <c r="X33" s="36"/>
      <c r="Y33" s="42">
        <f>SUM(Y8:Y28)</f>
        <v>5</v>
      </c>
      <c r="Z33" s="43">
        <f t="shared" ref="Z33:AD33" si="10">SUM(Z8:Z28)</f>
        <v>7</v>
      </c>
      <c r="AA33" s="44">
        <f t="shared" si="10"/>
        <v>5</v>
      </c>
      <c r="AB33" s="45">
        <f t="shared" si="10"/>
        <v>64</v>
      </c>
      <c r="AC33" s="46">
        <f t="shared" si="10"/>
        <v>19</v>
      </c>
      <c r="AD33" s="47">
        <f t="shared" si="10"/>
        <v>96</v>
      </c>
      <c r="AE33" s="318"/>
      <c r="AF33" s="54">
        <f>SUM(AF8:AF28)</f>
        <v>6</v>
      </c>
      <c r="AG33" s="55">
        <f t="shared" ref="AG33:AK33" si="11">SUM(AG8:AG28)</f>
        <v>8.4</v>
      </c>
      <c r="AH33" s="44">
        <f t="shared" si="11"/>
        <v>6</v>
      </c>
      <c r="AI33" s="45">
        <f t="shared" si="11"/>
        <v>76.800000000000026</v>
      </c>
      <c r="AJ33" s="46">
        <f t="shared" si="11"/>
        <v>22.799999999999997</v>
      </c>
      <c r="AK33" s="47">
        <f t="shared" si="11"/>
        <v>115.19999999999999</v>
      </c>
      <c r="AL33" s="318"/>
      <c r="AM33" s="414"/>
      <c r="AN33" s="349"/>
    </row>
    <row r="34" spans="2:40" ht="4.9000000000000004" customHeight="1">
      <c r="B34" s="348"/>
      <c r="C34" s="400"/>
      <c r="D34" s="400"/>
      <c r="E34" s="400"/>
      <c r="F34" s="400"/>
      <c r="G34" s="323"/>
      <c r="H34" s="400"/>
      <c r="I34" s="400"/>
      <c r="J34" s="318"/>
      <c r="K34" s="41"/>
      <c r="L34" s="41"/>
      <c r="M34" s="41"/>
      <c r="N34" s="41"/>
      <c r="O34" s="41"/>
      <c r="P34" s="41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414"/>
      <c r="AN34" s="349"/>
    </row>
    <row r="35" spans="2:40" ht="24.6" customHeight="1">
      <c r="B35" s="348"/>
      <c r="C35" s="400"/>
      <c r="D35" s="400"/>
      <c r="E35" s="400"/>
      <c r="F35" s="400"/>
      <c r="G35" s="292"/>
      <c r="H35" s="400"/>
      <c r="I35" s="400"/>
      <c r="J35" s="292"/>
      <c r="K35" s="402">
        <f>SUM(K33:P33)</f>
        <v>826</v>
      </c>
      <c r="L35" s="402"/>
      <c r="M35" s="402"/>
      <c r="N35" s="402"/>
      <c r="O35" s="402"/>
      <c r="P35" s="402"/>
      <c r="Q35" s="292"/>
      <c r="R35" s="403">
        <f>SUM(R33:W33)</f>
        <v>630</v>
      </c>
      <c r="S35" s="403"/>
      <c r="T35" s="403"/>
      <c r="U35" s="403"/>
      <c r="V35" s="403"/>
      <c r="W35" s="403"/>
      <c r="X35" s="292"/>
      <c r="Y35" s="404">
        <f>SUM(Y33:AD33)</f>
        <v>196</v>
      </c>
      <c r="Z35" s="404"/>
      <c r="AA35" s="404"/>
      <c r="AB35" s="404"/>
      <c r="AC35" s="404"/>
      <c r="AD35" s="404"/>
      <c r="AE35" s="292"/>
      <c r="AF35" s="405">
        <f>SUM(AF33:AK33)</f>
        <v>235.2</v>
      </c>
      <c r="AG35" s="405"/>
      <c r="AH35" s="405"/>
      <c r="AI35" s="405"/>
      <c r="AJ35" s="405"/>
      <c r="AK35" s="405"/>
      <c r="AL35" s="292"/>
      <c r="AM35" s="414"/>
      <c r="AN35" s="349"/>
    </row>
    <row r="36" spans="2:40" ht="15.75" hidden="1" thickBot="1">
      <c r="B36" s="353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354"/>
      <c r="AB36" s="354"/>
      <c r="AC36" s="354"/>
      <c r="AD36" s="354"/>
      <c r="AE36" s="354"/>
      <c r="AF36" s="354"/>
      <c r="AG36" s="354"/>
      <c r="AH36" s="354"/>
      <c r="AI36" s="354"/>
      <c r="AJ36" s="354"/>
      <c r="AK36" s="354"/>
      <c r="AL36" s="354"/>
      <c r="AM36" s="354"/>
      <c r="AN36" s="355"/>
    </row>
    <row r="37" spans="2:40" ht="13.5" hidden="1" customHeight="1">
      <c r="B37" s="348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350"/>
      <c r="AI37" s="350"/>
      <c r="AJ37" s="350"/>
      <c r="AK37" s="350"/>
      <c r="AL37" s="350"/>
      <c r="AM37" s="350"/>
      <c r="AN37" s="349"/>
    </row>
    <row r="38" spans="2:40" ht="4.9000000000000004" customHeight="1">
      <c r="B38" s="348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49"/>
    </row>
    <row r="39" spans="2:40" ht="19.149999999999999" customHeight="1">
      <c r="B39" s="348"/>
      <c r="C39" s="398" t="s">
        <v>1566</v>
      </c>
      <c r="D39" s="398"/>
      <c r="E39" s="398"/>
      <c r="F39" s="398"/>
      <c r="G39" s="356"/>
      <c r="H39" s="357" t="s">
        <v>5340</v>
      </c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49"/>
    </row>
    <row r="40" spans="2:40" ht="4.9000000000000004" customHeight="1" thickBot="1">
      <c r="B40" s="353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  <c r="AB40" s="354"/>
      <c r="AC40" s="354"/>
      <c r="AD40" s="354"/>
      <c r="AE40" s="354"/>
      <c r="AF40" s="354"/>
      <c r="AG40" s="354"/>
      <c r="AH40" s="354"/>
      <c r="AI40" s="354"/>
      <c r="AJ40" s="354"/>
      <c r="AK40" s="354"/>
      <c r="AL40" s="354"/>
      <c r="AM40" s="354"/>
      <c r="AN40" s="355"/>
    </row>
    <row r="41" spans="2:40" ht="13.5" customHeight="1"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51"/>
      <c r="AB41" s="351"/>
      <c r="AC41" s="351"/>
      <c r="AD41" s="351"/>
      <c r="AE41" s="351"/>
      <c r="AF41" s="351"/>
      <c r="AG41" s="351"/>
      <c r="AH41" s="351"/>
      <c r="AI41" s="351"/>
      <c r="AJ41" s="351"/>
      <c r="AK41" s="351"/>
      <c r="AL41" s="351"/>
      <c r="AM41" s="351"/>
      <c r="AN41" s="351"/>
    </row>
    <row r="42" spans="2:40" ht="13.5" customHeight="1"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51"/>
      <c r="AB42" s="351"/>
      <c r="AC42" s="351"/>
      <c r="AD42" s="351"/>
      <c r="AE42" s="351"/>
      <c r="AF42" s="351"/>
      <c r="AG42" s="351"/>
      <c r="AH42" s="351"/>
      <c r="AI42" s="351"/>
      <c r="AJ42" s="351"/>
      <c r="AK42" s="351"/>
      <c r="AL42" s="351"/>
      <c r="AM42" s="351"/>
      <c r="AN42" s="351"/>
    </row>
    <row r="43" spans="2:40" ht="13.5" customHeight="1"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  <c r="AA43" s="351"/>
      <c r="AB43" s="351"/>
      <c r="AC43" s="351"/>
      <c r="AD43" s="351"/>
      <c r="AE43" s="351"/>
      <c r="AF43" s="351"/>
      <c r="AG43" s="351"/>
      <c r="AH43" s="351"/>
      <c r="AI43" s="351"/>
      <c r="AJ43" s="351"/>
      <c r="AK43" s="351"/>
      <c r="AL43" s="351"/>
      <c r="AM43" s="351"/>
      <c r="AN43" s="351"/>
    </row>
    <row r="44" spans="2:40" ht="13.5" customHeight="1"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351"/>
      <c r="AB44" s="351"/>
      <c r="AC44" s="351"/>
      <c r="AD44" s="351"/>
      <c r="AE44" s="351"/>
      <c r="AF44" s="351"/>
      <c r="AG44" s="351"/>
      <c r="AH44" s="351"/>
      <c r="AI44" s="351"/>
      <c r="AJ44" s="351"/>
      <c r="AK44" s="351"/>
      <c r="AL44" s="351"/>
      <c r="AM44" s="351"/>
      <c r="AN44" s="351"/>
    </row>
    <row r="45" spans="2:40" ht="13.5" customHeight="1"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351"/>
      <c r="AB45" s="351"/>
      <c r="AC45" s="351"/>
      <c r="AD45" s="351"/>
      <c r="AE45" s="351"/>
      <c r="AF45" s="351"/>
      <c r="AG45" s="351"/>
      <c r="AH45" s="351"/>
      <c r="AI45" s="351"/>
      <c r="AJ45" s="351"/>
      <c r="AK45" s="351"/>
      <c r="AL45" s="351"/>
      <c r="AM45" s="351"/>
      <c r="AN45" s="351"/>
    </row>
    <row r="46" spans="2:40" ht="13.5" customHeight="1">
      <c r="B46" s="351"/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  <c r="AA46" s="351"/>
      <c r="AB46" s="351"/>
      <c r="AC46" s="351"/>
      <c r="AD46" s="351"/>
      <c r="AE46" s="351"/>
      <c r="AF46" s="351"/>
      <c r="AG46" s="351"/>
      <c r="AH46" s="351"/>
      <c r="AI46" s="351"/>
      <c r="AJ46" s="351"/>
      <c r="AK46" s="351"/>
      <c r="AL46" s="351"/>
      <c r="AM46" s="351"/>
      <c r="AN46" s="351"/>
    </row>
    <row r="47" spans="2:40" ht="13.5" customHeight="1">
      <c r="B47" s="351"/>
      <c r="C47" s="351"/>
      <c r="D47" s="351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  <c r="AA47" s="351"/>
      <c r="AB47" s="351"/>
      <c r="AC47" s="351"/>
      <c r="AD47" s="351"/>
      <c r="AE47" s="351"/>
      <c r="AF47" s="351"/>
      <c r="AG47" s="351"/>
      <c r="AH47" s="351"/>
      <c r="AI47" s="351"/>
      <c r="AJ47" s="351"/>
      <c r="AK47" s="351"/>
      <c r="AL47" s="351"/>
      <c r="AM47" s="351"/>
      <c r="AN47" s="351"/>
    </row>
  </sheetData>
  <mergeCells count="24">
    <mergeCell ref="C3:AM3"/>
    <mergeCell ref="K35:P35"/>
    <mergeCell ref="R35:W35"/>
    <mergeCell ref="Y35:AD35"/>
    <mergeCell ref="AF35:AK35"/>
    <mergeCell ref="E8:E10"/>
    <mergeCell ref="H33:H35"/>
    <mergeCell ref="I33:I35"/>
    <mergeCell ref="H5:I5"/>
    <mergeCell ref="K5:P5"/>
    <mergeCell ref="R5:W5"/>
    <mergeCell ref="Y5:AD5"/>
    <mergeCell ref="AM33:AM35"/>
    <mergeCell ref="AF5:AK5"/>
    <mergeCell ref="AM5:AM6"/>
    <mergeCell ref="E5:F6"/>
    <mergeCell ref="C5:C6"/>
    <mergeCell ref="E11:E15"/>
    <mergeCell ref="E16:E20"/>
    <mergeCell ref="C39:F39"/>
    <mergeCell ref="E21:E24"/>
    <mergeCell ref="E25:E28"/>
    <mergeCell ref="E30:E31"/>
    <mergeCell ref="C33:F35"/>
  </mergeCells>
  <pageMargins left="0.25" right="0.25" top="0.75" bottom="0.75" header="0.3" footer="0.3"/>
  <pageSetup paperSize="9" scale="85" fitToHeight="0" orientation="landscape" horizontalDpi="0" verticalDpi="0" r:id="rId1"/>
  <ignoredErrors>
    <ignoredError sqref="N3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K37"/>
  <sheetViews>
    <sheetView showGridLines="0" topLeftCell="A10" zoomScale="80" zoomScaleNormal="80" zoomScaleSheetLayoutView="68" workbookViewId="0">
      <selection activeCell="O20" sqref="O20"/>
    </sheetView>
  </sheetViews>
  <sheetFormatPr defaultRowHeight="15"/>
  <cols>
    <col min="1" max="1" width="3.28515625" customWidth="1"/>
    <col min="2" max="2" width="0.85546875" customWidth="1"/>
    <col min="3" max="3" width="6.7109375" customWidth="1"/>
    <col min="4" max="4" width="1" customWidth="1"/>
    <col min="5" max="5" width="4.28515625" customWidth="1"/>
    <col min="6" max="6" width="0.85546875" customWidth="1"/>
    <col min="7" max="7" width="6.42578125" customWidth="1"/>
    <col min="8" max="8" width="8.28515625" customWidth="1"/>
    <col min="9" max="9" width="1" customWidth="1"/>
    <col min="10" max="10" width="6.42578125" bestFit="1" customWidth="1"/>
    <col min="11" max="11" width="6.85546875" bestFit="1" customWidth="1"/>
    <col min="12" max="12" width="1" customWidth="1"/>
    <col min="13" max="15" width="9.42578125" customWidth="1"/>
    <col min="16" max="16" width="1" customWidth="1"/>
    <col min="17" max="27" width="6.28515625" customWidth="1"/>
    <col min="28" max="28" width="1" customWidth="1"/>
    <col min="29" max="29" width="12.7109375" customWidth="1"/>
    <col min="30" max="30" width="9.42578125" customWidth="1"/>
    <col min="31" max="34" width="5.28515625" customWidth="1"/>
    <col min="35" max="35" width="1" customWidth="1"/>
    <col min="36" max="36" width="16.42578125" customWidth="1"/>
    <col min="37" max="37" width="1" customWidth="1"/>
  </cols>
  <sheetData>
    <row r="1" spans="2:37" ht="15.75" thickBot="1"/>
    <row r="2" spans="2:37" ht="4.9000000000000004" customHeight="1">
      <c r="B2" s="4"/>
      <c r="C2" s="6"/>
      <c r="D2" s="6"/>
      <c r="E2" s="5"/>
      <c r="F2" s="5"/>
      <c r="G2" s="5"/>
      <c r="H2" s="5"/>
      <c r="I2" s="5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5"/>
      <c r="AD2" s="5"/>
      <c r="AE2" s="5"/>
      <c r="AF2" s="5"/>
      <c r="AG2" s="5"/>
      <c r="AH2" s="5"/>
      <c r="AI2" s="5"/>
      <c r="AJ2" s="6"/>
      <c r="AK2" s="56"/>
    </row>
    <row r="3" spans="2:37" ht="27" customHeight="1">
      <c r="B3" s="7"/>
      <c r="C3" s="421" t="s">
        <v>1567</v>
      </c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1"/>
      <c r="AJ3" s="421"/>
      <c r="AK3" s="57"/>
    </row>
    <row r="4" spans="2:37" ht="4.9000000000000004" customHeight="1">
      <c r="B4" s="7"/>
      <c r="C4" s="319"/>
      <c r="D4" s="319"/>
      <c r="E4" s="289"/>
      <c r="F4" s="289"/>
      <c r="G4" s="289"/>
      <c r="H4" s="289"/>
      <c r="I4" s="289"/>
      <c r="J4" s="319"/>
      <c r="K4" s="31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319"/>
      <c r="AC4" s="289"/>
      <c r="AD4" s="289"/>
      <c r="AE4" s="289"/>
      <c r="AF4" s="289"/>
      <c r="AG4" s="289"/>
      <c r="AH4" s="289"/>
      <c r="AI4" s="289"/>
      <c r="AJ4" s="319"/>
      <c r="AK4" s="57"/>
    </row>
    <row r="5" spans="2:37" ht="22.15" customHeight="1">
      <c r="B5" s="7"/>
      <c r="C5" s="420" t="s">
        <v>1568</v>
      </c>
      <c r="D5" s="22"/>
      <c r="E5" s="420" t="s">
        <v>121</v>
      </c>
      <c r="F5" s="420"/>
      <c r="G5" s="420"/>
      <c r="H5" s="420"/>
      <c r="I5" s="8"/>
      <c r="J5" s="420" t="s">
        <v>1569</v>
      </c>
      <c r="K5" s="420"/>
      <c r="L5" s="8"/>
      <c r="M5" s="422" t="s">
        <v>1570</v>
      </c>
      <c r="N5" s="422"/>
      <c r="O5" s="423"/>
      <c r="P5" s="48"/>
      <c r="Q5" s="424" t="s">
        <v>1571</v>
      </c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23"/>
      <c r="AC5" s="425" t="s">
        <v>1572</v>
      </c>
      <c r="AD5" s="425"/>
      <c r="AE5" s="425"/>
      <c r="AF5" s="425"/>
      <c r="AG5" s="425"/>
      <c r="AH5" s="425"/>
      <c r="AI5" s="48"/>
      <c r="AJ5" s="420" t="s">
        <v>1573</v>
      </c>
      <c r="AK5" s="57"/>
    </row>
    <row r="6" spans="2:37" ht="30" customHeight="1">
      <c r="B6" s="7"/>
      <c r="C6" s="420"/>
      <c r="D6" s="22"/>
      <c r="E6" s="420"/>
      <c r="F6" s="420"/>
      <c r="G6" s="420"/>
      <c r="H6" s="420"/>
      <c r="I6" s="8"/>
      <c r="J6" s="426" t="s">
        <v>1574</v>
      </c>
      <c r="K6" s="427" t="s">
        <v>1556</v>
      </c>
      <c r="L6" s="8"/>
      <c r="M6" s="446" t="s">
        <v>1575</v>
      </c>
      <c r="N6" s="434" t="s">
        <v>1576</v>
      </c>
      <c r="O6" s="448" t="s">
        <v>1577</v>
      </c>
      <c r="P6" s="48"/>
      <c r="Q6" s="437" t="s">
        <v>1575</v>
      </c>
      <c r="R6" s="438"/>
      <c r="S6" s="438"/>
      <c r="T6" s="439"/>
      <c r="U6" s="440" t="s">
        <v>1576</v>
      </c>
      <c r="V6" s="441"/>
      <c r="W6" s="442"/>
      <c r="X6" s="429" t="s">
        <v>1577</v>
      </c>
      <c r="Y6" s="430"/>
      <c r="Z6" s="430"/>
      <c r="AA6" s="431"/>
      <c r="AB6" s="23"/>
      <c r="AC6" s="432" t="s">
        <v>1578</v>
      </c>
      <c r="AD6" s="434" t="s">
        <v>1576</v>
      </c>
      <c r="AE6" s="436" t="s">
        <v>1577</v>
      </c>
      <c r="AF6" s="436"/>
      <c r="AG6" s="436"/>
      <c r="AH6" s="436"/>
      <c r="AI6" s="48"/>
      <c r="AJ6" s="420"/>
      <c r="AK6" s="57"/>
    </row>
    <row r="7" spans="2:37" ht="15" customHeight="1">
      <c r="B7" s="7"/>
      <c r="C7" s="420"/>
      <c r="D7" s="22"/>
      <c r="E7" s="420"/>
      <c r="F7" s="420"/>
      <c r="G7" s="420"/>
      <c r="H7" s="420"/>
      <c r="I7" s="8"/>
      <c r="J7" s="418"/>
      <c r="K7" s="428"/>
      <c r="L7" s="8"/>
      <c r="M7" s="447"/>
      <c r="N7" s="435"/>
      <c r="O7" s="449"/>
      <c r="P7" s="48"/>
      <c r="Q7" s="172" t="s">
        <v>1579</v>
      </c>
      <c r="R7" s="172" t="s">
        <v>1580</v>
      </c>
      <c r="S7" s="172" t="s">
        <v>1581</v>
      </c>
      <c r="T7" s="173" t="s">
        <v>1582</v>
      </c>
      <c r="U7" s="174" t="s">
        <v>1579</v>
      </c>
      <c r="V7" s="174" t="s">
        <v>1581</v>
      </c>
      <c r="W7" s="175" t="s">
        <v>1582</v>
      </c>
      <c r="X7" s="176" t="s">
        <v>1579</v>
      </c>
      <c r="Y7" s="176" t="s">
        <v>1580</v>
      </c>
      <c r="Z7" s="176" t="s">
        <v>1581</v>
      </c>
      <c r="AA7" s="177" t="s">
        <v>1582</v>
      </c>
      <c r="AB7" s="23"/>
      <c r="AC7" s="433"/>
      <c r="AD7" s="435"/>
      <c r="AE7" s="176" t="s">
        <v>1574</v>
      </c>
      <c r="AF7" s="176" t="s">
        <v>1583</v>
      </c>
      <c r="AG7" s="176" t="s">
        <v>1584</v>
      </c>
      <c r="AH7" s="176" t="s">
        <v>1585</v>
      </c>
      <c r="AI7" s="48"/>
      <c r="AJ7" s="420"/>
      <c r="AK7" s="57"/>
    </row>
    <row r="8" spans="2:37" ht="4.9000000000000004" customHeight="1">
      <c r="B8" s="7"/>
      <c r="C8" s="10"/>
      <c r="D8" s="320"/>
      <c r="E8" s="289"/>
      <c r="F8" s="289"/>
      <c r="G8" s="9"/>
      <c r="H8" s="9"/>
      <c r="I8" s="321"/>
      <c r="J8" s="10"/>
      <c r="K8" s="10"/>
      <c r="L8" s="321"/>
      <c r="M8" s="24"/>
      <c r="N8" s="24"/>
      <c r="O8" s="24"/>
      <c r="P8" s="322"/>
      <c r="Q8" s="24"/>
      <c r="R8" s="24"/>
      <c r="S8" s="24"/>
      <c r="T8" s="24"/>
      <c r="U8" s="24"/>
      <c r="V8" s="24"/>
      <c r="W8" s="24"/>
      <c r="X8" s="178"/>
      <c r="Y8" s="178"/>
      <c r="Z8" s="178"/>
      <c r="AA8" s="179"/>
      <c r="AB8" s="320"/>
      <c r="AC8" s="24"/>
      <c r="AD8" s="24"/>
      <c r="AE8" s="24"/>
      <c r="AF8" s="24"/>
      <c r="AG8" s="24"/>
      <c r="AH8" s="24"/>
      <c r="AI8" s="322"/>
      <c r="AJ8" s="10"/>
      <c r="AK8" s="57"/>
    </row>
    <row r="9" spans="2:37" ht="17.45" customHeight="1">
      <c r="B9" s="7"/>
      <c r="C9" s="13">
        <v>1</v>
      </c>
      <c r="D9" s="25"/>
      <c r="E9" s="450" t="s">
        <v>1561</v>
      </c>
      <c r="F9" s="289"/>
      <c r="G9" s="11" t="s">
        <v>5</v>
      </c>
      <c r="H9" s="11" t="s">
        <v>1586</v>
      </c>
      <c r="I9" s="12"/>
      <c r="J9" s="13">
        <v>147</v>
      </c>
      <c r="K9" s="180">
        <v>65</v>
      </c>
      <c r="L9" s="12"/>
      <c r="M9" s="296">
        <v>86</v>
      </c>
      <c r="N9" s="297">
        <v>14</v>
      </c>
      <c r="O9" s="47">
        <v>173</v>
      </c>
      <c r="P9" s="49"/>
      <c r="Q9" s="184">
        <v>14</v>
      </c>
      <c r="R9" s="184">
        <v>9</v>
      </c>
      <c r="S9" s="184">
        <v>27</v>
      </c>
      <c r="T9" s="184">
        <f>M9-(Q9+R9+S9)</f>
        <v>36</v>
      </c>
      <c r="U9" s="297">
        <v>3</v>
      </c>
      <c r="V9" s="297">
        <v>8</v>
      </c>
      <c r="W9" s="297">
        <f>N9-(U9+V9)</f>
        <v>3</v>
      </c>
      <c r="X9" s="47">
        <v>0</v>
      </c>
      <c r="Y9" s="47">
        <v>61</v>
      </c>
      <c r="Z9" s="47">
        <v>55</v>
      </c>
      <c r="AA9" s="47">
        <f>O9-(X9+Y9+Z9)</f>
        <v>57</v>
      </c>
      <c r="AB9" s="302"/>
      <c r="AC9" s="303" t="s">
        <v>1587</v>
      </c>
      <c r="AD9" s="304" t="s">
        <v>1587</v>
      </c>
      <c r="AE9" s="305" t="s">
        <v>1587</v>
      </c>
      <c r="AF9" s="305" t="s">
        <v>1587</v>
      </c>
      <c r="AG9" s="305" t="s">
        <v>1587</v>
      </c>
      <c r="AH9" s="305" t="s">
        <v>1587</v>
      </c>
      <c r="AI9" s="32"/>
      <c r="AJ9" s="181" t="s">
        <v>1588</v>
      </c>
      <c r="AK9" s="57"/>
    </row>
    <row r="10" spans="2:37" ht="17.45" customHeight="1">
      <c r="B10" s="7"/>
      <c r="C10" s="17">
        <v>2</v>
      </c>
      <c r="D10" s="33"/>
      <c r="E10" s="450"/>
      <c r="F10" s="289"/>
      <c r="G10" s="11" t="s">
        <v>7</v>
      </c>
      <c r="H10" s="11" t="s">
        <v>1589</v>
      </c>
      <c r="I10" s="12"/>
      <c r="J10" s="17">
        <v>12</v>
      </c>
      <c r="K10" s="182">
        <v>2</v>
      </c>
      <c r="L10" s="12"/>
      <c r="M10" s="296">
        <v>8</v>
      </c>
      <c r="N10" s="297">
        <v>2</v>
      </c>
      <c r="O10" s="47">
        <v>8</v>
      </c>
      <c r="P10" s="49"/>
      <c r="Q10" s="306">
        <v>0</v>
      </c>
      <c r="R10" s="184">
        <v>2</v>
      </c>
      <c r="S10" s="184">
        <v>2</v>
      </c>
      <c r="T10" s="184">
        <f t="shared" ref="T10:T28" si="0">M10-(Q10+R10+S10)</f>
        <v>4</v>
      </c>
      <c r="U10" s="307">
        <v>0</v>
      </c>
      <c r="V10" s="297">
        <v>1</v>
      </c>
      <c r="W10" s="297">
        <f t="shared" ref="W10:W28" si="1">N10-(U10+V10)</f>
        <v>1</v>
      </c>
      <c r="X10" s="294"/>
      <c r="Y10" s="47">
        <v>6</v>
      </c>
      <c r="Z10" s="47">
        <v>2</v>
      </c>
      <c r="AA10" s="47">
        <f t="shared" ref="AA10:AA28" si="2">O10-(X10+Y10+Z10)</f>
        <v>0</v>
      </c>
      <c r="AB10" s="308"/>
      <c r="AC10" s="303" t="s">
        <v>1587</v>
      </c>
      <c r="AD10" s="295" t="s">
        <v>1590</v>
      </c>
      <c r="AE10" s="305" t="s">
        <v>1587</v>
      </c>
      <c r="AF10" s="305" t="s">
        <v>1587</v>
      </c>
      <c r="AG10" s="61"/>
      <c r="AH10" s="61"/>
      <c r="AI10" s="35"/>
      <c r="AJ10" s="181"/>
      <c r="AK10" s="57"/>
    </row>
    <row r="11" spans="2:37" ht="17.45" customHeight="1">
      <c r="B11" s="7"/>
      <c r="C11" s="13">
        <v>3</v>
      </c>
      <c r="D11" s="36"/>
      <c r="E11" s="450"/>
      <c r="F11" s="289"/>
      <c r="G11" s="11" t="s">
        <v>4</v>
      </c>
      <c r="H11" s="11" t="s">
        <v>1591</v>
      </c>
      <c r="I11" s="12"/>
      <c r="J11" s="14"/>
      <c r="K11" s="183"/>
      <c r="L11" s="12"/>
      <c r="M11" s="298"/>
      <c r="N11" s="299"/>
      <c r="O11" s="47">
        <v>2</v>
      </c>
      <c r="P11" s="50"/>
      <c r="Q11" s="184">
        <v>0</v>
      </c>
      <c r="R11" s="306">
        <v>0</v>
      </c>
      <c r="S11" s="306">
        <v>0</v>
      </c>
      <c r="T11" s="184">
        <f t="shared" si="0"/>
        <v>0</v>
      </c>
      <c r="U11" s="309"/>
      <c r="V11" s="309"/>
      <c r="W11" s="297">
        <f t="shared" si="1"/>
        <v>0</v>
      </c>
      <c r="X11" s="294"/>
      <c r="Y11" s="47">
        <v>2</v>
      </c>
      <c r="Z11" s="294"/>
      <c r="AA11" s="47">
        <f t="shared" si="2"/>
        <v>0</v>
      </c>
      <c r="AB11" s="38"/>
      <c r="AC11" s="303" t="s">
        <v>1587</v>
      </c>
      <c r="AD11" s="61"/>
      <c r="AE11" s="61"/>
      <c r="AF11" s="305" t="s">
        <v>1587</v>
      </c>
      <c r="AG11" s="305" t="s">
        <v>1587</v>
      </c>
      <c r="AH11" s="305" t="s">
        <v>1587</v>
      </c>
      <c r="AI11" s="38"/>
      <c r="AJ11" s="181" t="s">
        <v>1592</v>
      </c>
      <c r="AK11" s="57"/>
    </row>
    <row r="12" spans="2:37" ht="17.45" customHeight="1">
      <c r="B12" s="7"/>
      <c r="C12" s="16">
        <v>4</v>
      </c>
      <c r="D12" s="33"/>
      <c r="E12" s="443" t="s">
        <v>1562</v>
      </c>
      <c r="F12" s="289"/>
      <c r="G12" s="185" t="s">
        <v>16</v>
      </c>
      <c r="H12" s="185" t="s">
        <v>1593</v>
      </c>
      <c r="I12" s="12"/>
      <c r="J12" s="16">
        <v>74</v>
      </c>
      <c r="K12" s="186">
        <v>18</v>
      </c>
      <c r="L12" s="12"/>
      <c r="M12" s="296">
        <v>18</v>
      </c>
      <c r="N12" s="297">
        <v>3</v>
      </c>
      <c r="O12" s="47">
        <v>57</v>
      </c>
      <c r="P12" s="49"/>
      <c r="Q12" s="306">
        <v>2</v>
      </c>
      <c r="R12" s="184">
        <v>3</v>
      </c>
      <c r="S12" s="184">
        <v>5</v>
      </c>
      <c r="T12" s="184">
        <f t="shared" si="0"/>
        <v>8</v>
      </c>
      <c r="U12" s="307">
        <v>0</v>
      </c>
      <c r="V12" s="297">
        <v>2</v>
      </c>
      <c r="W12" s="297">
        <f t="shared" si="1"/>
        <v>1</v>
      </c>
      <c r="X12" s="294"/>
      <c r="Y12" s="47">
        <v>16</v>
      </c>
      <c r="Z12" s="47">
        <v>14</v>
      </c>
      <c r="AA12" s="47">
        <f t="shared" si="2"/>
        <v>27</v>
      </c>
      <c r="AB12" s="308"/>
      <c r="AC12" s="310" t="s">
        <v>1587</v>
      </c>
      <c r="AD12" s="311" t="s">
        <v>1590</v>
      </c>
      <c r="AE12" s="312" t="s">
        <v>1587</v>
      </c>
      <c r="AF12" s="312" t="s">
        <v>1587</v>
      </c>
      <c r="AG12" s="312" t="s">
        <v>1587</v>
      </c>
      <c r="AH12" s="312" t="s">
        <v>1587</v>
      </c>
      <c r="AI12" s="35"/>
      <c r="AJ12" s="181" t="s">
        <v>1594</v>
      </c>
      <c r="AK12" s="57"/>
    </row>
    <row r="13" spans="2:37" ht="17.45" customHeight="1">
      <c r="B13" s="7"/>
      <c r="C13" s="13">
        <v>5</v>
      </c>
      <c r="D13" s="33"/>
      <c r="E13" s="444"/>
      <c r="F13" s="289"/>
      <c r="G13" s="15" t="s">
        <v>15</v>
      </c>
      <c r="H13" s="15" t="s">
        <v>1595</v>
      </c>
      <c r="I13" s="12"/>
      <c r="J13" s="16">
        <v>14</v>
      </c>
      <c r="K13" s="186">
        <v>3</v>
      </c>
      <c r="L13" s="12"/>
      <c r="M13" s="296">
        <v>4</v>
      </c>
      <c r="N13" s="299"/>
      <c r="O13" s="300"/>
      <c r="P13" s="49"/>
      <c r="Q13" s="306">
        <v>0</v>
      </c>
      <c r="R13" s="184">
        <v>2</v>
      </c>
      <c r="S13" s="306">
        <v>0</v>
      </c>
      <c r="T13" s="184">
        <f t="shared" si="0"/>
        <v>2</v>
      </c>
      <c r="U13" s="309"/>
      <c r="V13" s="309"/>
      <c r="W13" s="297">
        <f t="shared" si="1"/>
        <v>0</v>
      </c>
      <c r="X13" s="294"/>
      <c r="Y13" s="294"/>
      <c r="Z13" s="294"/>
      <c r="AA13" s="47">
        <f t="shared" si="2"/>
        <v>0</v>
      </c>
      <c r="AB13" s="308"/>
      <c r="AC13" s="303" t="s">
        <v>1587</v>
      </c>
      <c r="AD13" s="61"/>
      <c r="AE13" s="313" t="s">
        <v>1596</v>
      </c>
      <c r="AF13" s="61"/>
      <c r="AG13" s="61"/>
      <c r="AH13" s="61"/>
      <c r="AI13" s="35"/>
      <c r="AJ13" s="181"/>
      <c r="AK13" s="57"/>
    </row>
    <row r="14" spans="2:37" ht="17.45" customHeight="1">
      <c r="B14" s="7"/>
      <c r="C14" s="17">
        <v>6</v>
      </c>
      <c r="D14" s="33"/>
      <c r="E14" s="444"/>
      <c r="F14" s="289"/>
      <c r="G14" s="15" t="s">
        <v>17</v>
      </c>
      <c r="H14" s="15" t="s">
        <v>1597</v>
      </c>
      <c r="I14" s="12"/>
      <c r="J14" s="17">
        <v>58</v>
      </c>
      <c r="K14" s="182">
        <v>18</v>
      </c>
      <c r="L14" s="12"/>
      <c r="M14" s="296">
        <v>15</v>
      </c>
      <c r="N14" s="301" t="s">
        <v>1590</v>
      </c>
      <c r="O14" s="47">
        <v>33</v>
      </c>
      <c r="P14" s="49"/>
      <c r="Q14" s="184">
        <v>1</v>
      </c>
      <c r="R14" s="184">
        <v>2</v>
      </c>
      <c r="S14" s="184">
        <v>5</v>
      </c>
      <c r="T14" s="184">
        <f t="shared" si="0"/>
        <v>7</v>
      </c>
      <c r="U14" s="309"/>
      <c r="V14" s="295" t="s">
        <v>1590</v>
      </c>
      <c r="W14" s="297"/>
      <c r="X14" s="47">
        <v>2</v>
      </c>
      <c r="Y14" s="47">
        <v>10</v>
      </c>
      <c r="Z14" s="47">
        <v>10</v>
      </c>
      <c r="AA14" s="47">
        <f t="shared" si="2"/>
        <v>11</v>
      </c>
      <c r="AB14" s="308"/>
      <c r="AC14" s="303" t="s">
        <v>1587</v>
      </c>
      <c r="AD14" s="61"/>
      <c r="AE14" s="305" t="s">
        <v>1587</v>
      </c>
      <c r="AF14" s="305" t="s">
        <v>1587</v>
      </c>
      <c r="AG14" s="305" t="s">
        <v>1587</v>
      </c>
      <c r="AH14" s="305" t="s">
        <v>1587</v>
      </c>
      <c r="AI14" s="35"/>
      <c r="AJ14" s="181" t="s">
        <v>1592</v>
      </c>
      <c r="AK14" s="57"/>
    </row>
    <row r="15" spans="2:37" ht="17.45" customHeight="1">
      <c r="B15" s="7"/>
      <c r="C15" s="13">
        <v>7</v>
      </c>
      <c r="D15" s="33"/>
      <c r="E15" s="444"/>
      <c r="F15" s="289"/>
      <c r="G15" s="15" t="s">
        <v>2</v>
      </c>
      <c r="H15" s="15" t="s">
        <v>1598</v>
      </c>
      <c r="I15" s="12"/>
      <c r="J15" s="16">
        <v>28</v>
      </c>
      <c r="K15" s="186">
        <v>7</v>
      </c>
      <c r="L15" s="12"/>
      <c r="M15" s="296">
        <v>3</v>
      </c>
      <c r="N15" s="299"/>
      <c r="O15" s="47">
        <v>13</v>
      </c>
      <c r="P15" s="49"/>
      <c r="Q15" s="314">
        <v>0</v>
      </c>
      <c r="R15" s="184">
        <v>0</v>
      </c>
      <c r="S15" s="184">
        <v>2</v>
      </c>
      <c r="T15" s="184">
        <f t="shared" si="0"/>
        <v>1</v>
      </c>
      <c r="U15" s="309"/>
      <c r="V15" s="309"/>
      <c r="W15" s="297">
        <f t="shared" si="1"/>
        <v>0</v>
      </c>
      <c r="X15" s="47">
        <v>1</v>
      </c>
      <c r="Y15" s="47">
        <v>5</v>
      </c>
      <c r="Z15" s="47">
        <v>5</v>
      </c>
      <c r="AA15" s="47">
        <f t="shared" si="2"/>
        <v>2</v>
      </c>
      <c r="AB15" s="308"/>
      <c r="AC15" s="303" t="s">
        <v>1587</v>
      </c>
      <c r="AD15" s="61"/>
      <c r="AE15" s="305" t="s">
        <v>1587</v>
      </c>
      <c r="AF15" s="305" t="s">
        <v>1587</v>
      </c>
      <c r="AG15" s="305" t="s">
        <v>1587</v>
      </c>
      <c r="AH15" s="305" t="s">
        <v>1587</v>
      </c>
      <c r="AI15" s="35"/>
      <c r="AJ15" s="181" t="s">
        <v>1599</v>
      </c>
      <c r="AK15" s="57"/>
    </row>
    <row r="16" spans="2:37" ht="17.45" customHeight="1">
      <c r="B16" s="7"/>
      <c r="C16" s="17">
        <v>8</v>
      </c>
      <c r="D16" s="33"/>
      <c r="E16" s="444"/>
      <c r="F16" s="289"/>
      <c r="G16" s="15" t="s">
        <v>12</v>
      </c>
      <c r="H16" s="15" t="s">
        <v>1600</v>
      </c>
      <c r="I16" s="12"/>
      <c r="J16" s="16">
        <v>11</v>
      </c>
      <c r="K16" s="186">
        <v>6</v>
      </c>
      <c r="L16" s="12"/>
      <c r="M16" s="296">
        <v>6</v>
      </c>
      <c r="N16" s="299"/>
      <c r="O16" s="47">
        <v>9</v>
      </c>
      <c r="P16" s="49"/>
      <c r="Q16" s="184">
        <v>0</v>
      </c>
      <c r="R16" s="184">
        <v>1</v>
      </c>
      <c r="S16" s="184">
        <v>2</v>
      </c>
      <c r="T16" s="184">
        <f t="shared" si="0"/>
        <v>3</v>
      </c>
      <c r="U16" s="309"/>
      <c r="V16" s="309"/>
      <c r="W16" s="297">
        <f t="shared" si="1"/>
        <v>0</v>
      </c>
      <c r="X16" s="47">
        <v>1</v>
      </c>
      <c r="Y16" s="47">
        <v>4</v>
      </c>
      <c r="Z16" s="47">
        <v>2</v>
      </c>
      <c r="AA16" s="47">
        <f t="shared" si="2"/>
        <v>2</v>
      </c>
      <c r="AB16" s="308"/>
      <c r="AC16" s="303" t="s">
        <v>1587</v>
      </c>
      <c r="AD16" s="61"/>
      <c r="AE16" s="305" t="s">
        <v>1587</v>
      </c>
      <c r="AF16" s="305" t="s">
        <v>1587</v>
      </c>
      <c r="AG16" s="305" t="s">
        <v>1587</v>
      </c>
      <c r="AH16" s="305" t="s">
        <v>1587</v>
      </c>
      <c r="AI16" s="35"/>
      <c r="AJ16" s="181" t="s">
        <v>1599</v>
      </c>
      <c r="AK16" s="57"/>
    </row>
    <row r="17" spans="2:37" ht="17.45" customHeight="1">
      <c r="B17" s="7"/>
      <c r="C17" s="13">
        <v>9</v>
      </c>
      <c r="D17" s="33"/>
      <c r="E17" s="444"/>
      <c r="F17" s="289"/>
      <c r="G17" s="15" t="s">
        <v>1</v>
      </c>
      <c r="H17" s="15" t="s">
        <v>1601</v>
      </c>
      <c r="I17" s="12"/>
      <c r="J17" s="16">
        <v>8</v>
      </c>
      <c r="K17" s="186">
        <v>2</v>
      </c>
      <c r="L17" s="12"/>
      <c r="M17" s="296">
        <v>3</v>
      </c>
      <c r="N17" s="299"/>
      <c r="O17" s="47">
        <v>3</v>
      </c>
      <c r="P17" s="49"/>
      <c r="Q17" s="306">
        <v>0</v>
      </c>
      <c r="R17" s="184">
        <v>2</v>
      </c>
      <c r="S17" s="306">
        <v>0</v>
      </c>
      <c r="T17" s="184">
        <f t="shared" si="0"/>
        <v>1</v>
      </c>
      <c r="U17" s="309"/>
      <c r="V17" s="309"/>
      <c r="W17" s="297">
        <f t="shared" si="1"/>
        <v>0</v>
      </c>
      <c r="X17" s="47">
        <v>3</v>
      </c>
      <c r="Y17" s="47">
        <v>0</v>
      </c>
      <c r="Z17" s="47">
        <v>0</v>
      </c>
      <c r="AA17" s="47">
        <f t="shared" si="2"/>
        <v>0</v>
      </c>
      <c r="AB17" s="308"/>
      <c r="AC17" s="303" t="s">
        <v>1587</v>
      </c>
      <c r="AD17" s="61"/>
      <c r="AE17" s="305" t="s">
        <v>1587</v>
      </c>
      <c r="AF17" s="305" t="s">
        <v>1587</v>
      </c>
      <c r="AG17" s="305" t="s">
        <v>1587</v>
      </c>
      <c r="AH17" s="305" t="s">
        <v>1587</v>
      </c>
      <c r="AI17" s="35"/>
      <c r="AJ17" s="181" t="s">
        <v>1592</v>
      </c>
      <c r="AK17" s="57"/>
    </row>
    <row r="18" spans="2:37" ht="17.45" customHeight="1">
      <c r="B18" s="7"/>
      <c r="C18" s="17">
        <v>10</v>
      </c>
      <c r="D18" s="33"/>
      <c r="E18" s="444"/>
      <c r="F18" s="289"/>
      <c r="G18" s="15" t="s">
        <v>14</v>
      </c>
      <c r="H18" s="15" t="s">
        <v>1602</v>
      </c>
      <c r="I18" s="12"/>
      <c r="J18" s="16">
        <v>6</v>
      </c>
      <c r="K18" s="186">
        <v>3</v>
      </c>
      <c r="L18" s="12"/>
      <c r="M18" s="296">
        <v>4</v>
      </c>
      <c r="N18" s="299"/>
      <c r="O18" s="299"/>
      <c r="P18" s="49"/>
      <c r="Q18" s="306">
        <v>0</v>
      </c>
      <c r="R18" s="184">
        <v>2</v>
      </c>
      <c r="S18" s="184">
        <v>0</v>
      </c>
      <c r="T18" s="184">
        <f t="shared" si="0"/>
        <v>2</v>
      </c>
      <c r="U18" s="309"/>
      <c r="V18" s="309"/>
      <c r="W18" s="297">
        <f t="shared" si="1"/>
        <v>0</v>
      </c>
      <c r="X18" s="294"/>
      <c r="Y18" s="294"/>
      <c r="Z18" s="294"/>
      <c r="AA18" s="47">
        <f t="shared" si="2"/>
        <v>0</v>
      </c>
      <c r="AB18" s="308"/>
      <c r="AC18" s="295" t="s">
        <v>1590</v>
      </c>
      <c r="AD18" s="61"/>
      <c r="AE18" s="313" t="s">
        <v>1596</v>
      </c>
      <c r="AF18" s="61"/>
      <c r="AG18" s="61"/>
      <c r="AH18" s="61"/>
      <c r="AI18" s="35"/>
      <c r="AJ18" s="181"/>
      <c r="AK18" s="57"/>
    </row>
    <row r="19" spans="2:37" ht="17.45" customHeight="1">
      <c r="B19" s="7"/>
      <c r="C19" s="13">
        <v>11</v>
      </c>
      <c r="D19" s="33"/>
      <c r="E19" s="445"/>
      <c r="F19" s="289"/>
      <c r="G19" s="15" t="s">
        <v>11</v>
      </c>
      <c r="H19" s="15" t="s">
        <v>1603</v>
      </c>
      <c r="I19" s="12"/>
      <c r="J19" s="16">
        <v>17</v>
      </c>
      <c r="K19" s="186">
        <v>7</v>
      </c>
      <c r="L19" s="12"/>
      <c r="M19" s="296">
        <v>3</v>
      </c>
      <c r="N19" s="299"/>
      <c r="O19" s="299"/>
      <c r="P19" s="49"/>
      <c r="Q19" s="314">
        <v>0</v>
      </c>
      <c r="R19" s="314">
        <v>0</v>
      </c>
      <c r="S19" s="184">
        <v>2</v>
      </c>
      <c r="T19" s="184">
        <f t="shared" si="0"/>
        <v>1</v>
      </c>
      <c r="U19" s="309"/>
      <c r="V19" s="309"/>
      <c r="W19" s="297">
        <f t="shared" si="1"/>
        <v>0</v>
      </c>
      <c r="X19" s="294"/>
      <c r="Y19" s="294"/>
      <c r="Z19" s="294"/>
      <c r="AA19" s="47">
        <f t="shared" si="2"/>
        <v>0</v>
      </c>
      <c r="AB19" s="308"/>
      <c r="AC19" s="295" t="s">
        <v>1590</v>
      </c>
      <c r="AD19" s="61"/>
      <c r="AE19" s="313" t="s">
        <v>1596</v>
      </c>
      <c r="AF19" s="61"/>
      <c r="AG19" s="61"/>
      <c r="AH19" s="61"/>
      <c r="AI19" s="35"/>
      <c r="AJ19" s="181"/>
      <c r="AK19" s="57"/>
    </row>
    <row r="20" spans="2:37" ht="17.45" customHeight="1">
      <c r="B20" s="7"/>
      <c r="C20" s="13"/>
      <c r="D20" s="33"/>
      <c r="E20" s="371"/>
      <c r="F20" s="289"/>
      <c r="G20" s="15" t="s">
        <v>1440</v>
      </c>
      <c r="H20" s="15"/>
      <c r="I20" s="12"/>
      <c r="J20" s="370">
        <v>18</v>
      </c>
      <c r="K20" s="186">
        <v>2</v>
      </c>
      <c r="L20" s="12"/>
      <c r="M20" s="296">
        <v>1</v>
      </c>
      <c r="N20" s="299"/>
      <c r="O20" s="299"/>
      <c r="P20" s="49"/>
      <c r="Q20" s="306">
        <v>1</v>
      </c>
      <c r="R20" s="314">
        <v>0</v>
      </c>
      <c r="S20" s="184">
        <v>0</v>
      </c>
      <c r="T20" s="184">
        <f t="shared" ref="T20" si="3">M20-(Q20+R20+S20)</f>
        <v>0</v>
      </c>
      <c r="U20" s="309"/>
      <c r="V20" s="309"/>
      <c r="W20" s="297">
        <f t="shared" ref="W20" si="4">N20-(U20+V20)</f>
        <v>0</v>
      </c>
      <c r="X20" s="294"/>
      <c r="Y20" s="294"/>
      <c r="Z20" s="294"/>
      <c r="AA20" s="47">
        <f t="shared" ref="AA20" si="5">O20-(X20+Y20+Z20)</f>
        <v>0</v>
      </c>
      <c r="AB20" s="308"/>
      <c r="AC20" s="295"/>
      <c r="AD20" s="61"/>
      <c r="AE20" s="313"/>
      <c r="AF20" s="61"/>
      <c r="AG20" s="61"/>
      <c r="AH20" s="61"/>
      <c r="AI20" s="35"/>
      <c r="AJ20" s="181"/>
      <c r="AK20" s="57"/>
    </row>
    <row r="21" spans="2:37" ht="17.45" customHeight="1">
      <c r="B21" s="7"/>
      <c r="C21" s="17">
        <v>12</v>
      </c>
      <c r="D21" s="33"/>
      <c r="E21" s="451" t="s">
        <v>1563</v>
      </c>
      <c r="F21" s="289"/>
      <c r="G21" s="18" t="s">
        <v>8</v>
      </c>
      <c r="H21" s="18" t="s">
        <v>1604</v>
      </c>
      <c r="I21" s="12"/>
      <c r="J21" s="17">
        <v>37</v>
      </c>
      <c r="K21" s="182">
        <v>13</v>
      </c>
      <c r="L21" s="12"/>
      <c r="M21" s="296">
        <v>13</v>
      </c>
      <c r="N21" s="301" t="s">
        <v>1590</v>
      </c>
      <c r="O21" s="47">
        <v>36</v>
      </c>
      <c r="P21" s="49"/>
      <c r="Q21" s="306">
        <v>0</v>
      </c>
      <c r="R21" s="184">
        <v>3</v>
      </c>
      <c r="S21" s="184">
        <v>6</v>
      </c>
      <c r="T21" s="184">
        <f t="shared" si="0"/>
        <v>4</v>
      </c>
      <c r="U21" s="309"/>
      <c r="V21" s="309" t="s">
        <v>1590</v>
      </c>
      <c r="W21" s="297"/>
      <c r="X21" s="47">
        <v>1</v>
      </c>
      <c r="Y21" s="47">
        <v>6</v>
      </c>
      <c r="Z21" s="47">
        <v>17</v>
      </c>
      <c r="AA21" s="47">
        <f t="shared" si="2"/>
        <v>12</v>
      </c>
      <c r="AB21" s="308"/>
      <c r="AC21" s="303" t="s">
        <v>1587</v>
      </c>
      <c r="AD21" s="295" t="s">
        <v>1590</v>
      </c>
      <c r="AE21" s="305" t="s">
        <v>1587</v>
      </c>
      <c r="AF21" s="305" t="s">
        <v>1587</v>
      </c>
      <c r="AG21" s="305" t="s">
        <v>1587</v>
      </c>
      <c r="AH21" s="305" t="s">
        <v>1587</v>
      </c>
      <c r="AI21" s="35"/>
      <c r="AJ21" s="181" t="s">
        <v>1594</v>
      </c>
      <c r="AK21" s="57"/>
    </row>
    <row r="22" spans="2:37" ht="17.45" customHeight="1">
      <c r="B22" s="7"/>
      <c r="C22" s="13">
        <v>13</v>
      </c>
      <c r="D22" s="25"/>
      <c r="E22" s="452"/>
      <c r="F22" s="289"/>
      <c r="G22" s="18" t="s">
        <v>10</v>
      </c>
      <c r="H22" s="18" t="s">
        <v>1605</v>
      </c>
      <c r="I22" s="12"/>
      <c r="J22" s="17">
        <v>46</v>
      </c>
      <c r="K22" s="182">
        <v>5</v>
      </c>
      <c r="L22" s="12"/>
      <c r="M22" s="296">
        <v>0</v>
      </c>
      <c r="N22" s="14"/>
      <c r="O22" s="300"/>
      <c r="P22" s="49"/>
      <c r="Q22" s="314">
        <v>0</v>
      </c>
      <c r="R22" s="315">
        <v>0</v>
      </c>
      <c r="S22" s="315">
        <v>0</v>
      </c>
      <c r="T22" s="184">
        <f t="shared" si="0"/>
        <v>0</v>
      </c>
      <c r="U22" s="309"/>
      <c r="V22" s="316"/>
      <c r="W22" s="297">
        <f t="shared" si="1"/>
        <v>0</v>
      </c>
      <c r="X22" s="294"/>
      <c r="Y22" s="294"/>
      <c r="Z22" s="294"/>
      <c r="AA22" s="47">
        <f t="shared" si="2"/>
        <v>0</v>
      </c>
      <c r="AB22" s="302"/>
      <c r="AC22" s="303" t="s">
        <v>1587</v>
      </c>
      <c r="AD22" s="60"/>
      <c r="AE22" s="60"/>
      <c r="AF22" s="60"/>
      <c r="AG22" s="60"/>
      <c r="AH22" s="60"/>
      <c r="AI22" s="53"/>
      <c r="AJ22" s="187"/>
      <c r="AK22" s="57"/>
    </row>
    <row r="23" spans="2:37" ht="17.45" customHeight="1">
      <c r="B23" s="7"/>
      <c r="C23" s="17">
        <v>14</v>
      </c>
      <c r="D23" s="33"/>
      <c r="E23" s="452"/>
      <c r="F23" s="289"/>
      <c r="G23" s="18" t="s">
        <v>6</v>
      </c>
      <c r="H23" s="18" t="s">
        <v>1606</v>
      </c>
      <c r="I23" s="12"/>
      <c r="J23" s="16">
        <v>28</v>
      </c>
      <c r="K23" s="186">
        <v>4</v>
      </c>
      <c r="L23" s="12"/>
      <c r="M23" s="296">
        <v>3</v>
      </c>
      <c r="N23" s="299"/>
      <c r="O23" s="299"/>
      <c r="P23" s="49"/>
      <c r="Q23" s="306">
        <v>0</v>
      </c>
      <c r="R23" s="184">
        <v>1</v>
      </c>
      <c r="S23" s="184">
        <v>2</v>
      </c>
      <c r="T23" s="184">
        <f t="shared" si="0"/>
        <v>0</v>
      </c>
      <c r="U23" s="309"/>
      <c r="V23" s="309"/>
      <c r="W23" s="297">
        <f t="shared" si="1"/>
        <v>0</v>
      </c>
      <c r="X23" s="294"/>
      <c r="Y23" s="294"/>
      <c r="Z23" s="294"/>
      <c r="AA23" s="47">
        <f t="shared" si="2"/>
        <v>0</v>
      </c>
      <c r="AB23" s="308"/>
      <c r="AC23" s="303" t="s">
        <v>1587</v>
      </c>
      <c r="AD23" s="61"/>
      <c r="AE23" s="313" t="s">
        <v>1596</v>
      </c>
      <c r="AF23" s="60"/>
      <c r="AG23" s="60"/>
      <c r="AH23" s="60"/>
      <c r="AI23" s="35"/>
      <c r="AJ23" s="181"/>
      <c r="AK23" s="57"/>
    </row>
    <row r="24" spans="2:37" ht="17.45" customHeight="1">
      <c r="B24" s="7"/>
      <c r="C24" s="13">
        <v>15</v>
      </c>
      <c r="D24" s="33"/>
      <c r="E24" s="452"/>
      <c r="F24" s="289"/>
      <c r="G24" s="18" t="s">
        <v>9</v>
      </c>
      <c r="H24" s="18" t="s">
        <v>1607</v>
      </c>
      <c r="I24" s="12"/>
      <c r="J24" s="16">
        <v>17</v>
      </c>
      <c r="K24" s="186">
        <v>5</v>
      </c>
      <c r="L24" s="12"/>
      <c r="M24" s="296">
        <v>4</v>
      </c>
      <c r="N24" s="299"/>
      <c r="O24" s="47">
        <v>6</v>
      </c>
      <c r="P24" s="49"/>
      <c r="Q24" s="306">
        <v>0</v>
      </c>
      <c r="R24" s="184">
        <v>1</v>
      </c>
      <c r="S24" s="184">
        <v>1</v>
      </c>
      <c r="T24" s="184">
        <f t="shared" si="0"/>
        <v>2</v>
      </c>
      <c r="U24" s="309"/>
      <c r="V24" s="309"/>
      <c r="W24" s="297">
        <f t="shared" si="1"/>
        <v>0</v>
      </c>
      <c r="X24" s="47">
        <v>0</v>
      </c>
      <c r="Y24" s="47">
        <v>0</v>
      </c>
      <c r="Z24" s="47">
        <v>7</v>
      </c>
      <c r="AA24" s="47">
        <f t="shared" si="2"/>
        <v>-1</v>
      </c>
      <c r="AB24" s="308"/>
      <c r="AC24" s="303" t="s">
        <v>1587</v>
      </c>
      <c r="AD24" s="61"/>
      <c r="AE24" s="313" t="s">
        <v>1596</v>
      </c>
      <c r="AF24" s="305" t="s">
        <v>1587</v>
      </c>
      <c r="AG24" s="305" t="s">
        <v>1587</v>
      </c>
      <c r="AH24" s="305" t="s">
        <v>1587</v>
      </c>
      <c r="AI24" s="35"/>
      <c r="AJ24" s="181" t="s">
        <v>1592</v>
      </c>
      <c r="AK24" s="57"/>
    </row>
    <row r="25" spans="2:37" ht="17.45" customHeight="1">
      <c r="B25" s="7"/>
      <c r="C25" s="17">
        <v>16</v>
      </c>
      <c r="D25" s="33"/>
      <c r="E25" s="452"/>
      <c r="F25" s="289"/>
      <c r="G25" s="18" t="s">
        <v>1564</v>
      </c>
      <c r="H25" s="18" t="s">
        <v>1608</v>
      </c>
      <c r="I25" s="12"/>
      <c r="J25" s="16">
        <v>28</v>
      </c>
      <c r="K25" s="186">
        <v>4</v>
      </c>
      <c r="L25" s="12"/>
      <c r="M25" s="296">
        <v>4</v>
      </c>
      <c r="N25" s="299"/>
      <c r="O25" s="300"/>
      <c r="P25" s="49"/>
      <c r="Q25" s="314">
        <v>0</v>
      </c>
      <c r="R25" s="184">
        <v>3</v>
      </c>
      <c r="S25" s="184">
        <v>0</v>
      </c>
      <c r="T25" s="184">
        <f t="shared" si="0"/>
        <v>1</v>
      </c>
      <c r="U25" s="309"/>
      <c r="V25" s="309"/>
      <c r="W25" s="297">
        <f t="shared" si="1"/>
        <v>0</v>
      </c>
      <c r="X25" s="294"/>
      <c r="Y25" s="294"/>
      <c r="Z25" s="294"/>
      <c r="AA25" s="47">
        <f t="shared" si="2"/>
        <v>0</v>
      </c>
      <c r="AB25" s="308"/>
      <c r="AC25" s="303" t="s">
        <v>1587</v>
      </c>
      <c r="AD25" s="61"/>
      <c r="AE25" s="313" t="s">
        <v>1596</v>
      </c>
      <c r="AF25" s="61"/>
      <c r="AG25" s="61"/>
      <c r="AH25" s="61"/>
      <c r="AI25" s="35"/>
      <c r="AJ25" s="181"/>
      <c r="AK25" s="57"/>
    </row>
    <row r="26" spans="2:37" ht="17.45" customHeight="1">
      <c r="B26" s="7"/>
      <c r="C26" s="13">
        <v>17</v>
      </c>
      <c r="D26" s="33"/>
      <c r="E26" s="452"/>
      <c r="F26" s="289"/>
      <c r="G26" s="18" t="s">
        <v>18</v>
      </c>
      <c r="H26" s="18" t="s">
        <v>1609</v>
      </c>
      <c r="I26" s="12"/>
      <c r="J26" s="16">
        <v>17</v>
      </c>
      <c r="K26" s="186">
        <v>2</v>
      </c>
      <c r="L26" s="12"/>
      <c r="M26" s="296">
        <v>3</v>
      </c>
      <c r="N26" s="299"/>
      <c r="O26" s="300"/>
      <c r="P26" s="49"/>
      <c r="Q26" s="306">
        <v>0</v>
      </c>
      <c r="R26" s="306">
        <v>2</v>
      </c>
      <c r="S26" s="184">
        <v>0</v>
      </c>
      <c r="T26" s="184">
        <f t="shared" si="0"/>
        <v>1</v>
      </c>
      <c r="U26" s="309"/>
      <c r="V26" s="309"/>
      <c r="W26" s="297">
        <f t="shared" si="1"/>
        <v>0</v>
      </c>
      <c r="X26" s="294"/>
      <c r="Y26" s="294"/>
      <c r="Z26" s="294"/>
      <c r="AA26" s="47">
        <f t="shared" si="2"/>
        <v>0</v>
      </c>
      <c r="AB26" s="317"/>
      <c r="AC26" s="295" t="s">
        <v>1590</v>
      </c>
      <c r="AD26" s="61"/>
      <c r="AE26" s="313" t="s">
        <v>1596</v>
      </c>
      <c r="AF26" s="61"/>
      <c r="AG26" s="61"/>
      <c r="AH26" s="61"/>
      <c r="AI26" s="35"/>
      <c r="AJ26" s="181"/>
      <c r="AK26" s="57"/>
    </row>
    <row r="27" spans="2:37" ht="17.45" customHeight="1">
      <c r="B27" s="7"/>
      <c r="C27" s="17">
        <v>18</v>
      </c>
      <c r="D27" s="33"/>
      <c r="E27" s="452"/>
      <c r="F27" s="289"/>
      <c r="G27" s="18" t="s">
        <v>1425</v>
      </c>
      <c r="H27" s="18"/>
      <c r="I27" s="12"/>
      <c r="J27" s="16">
        <v>16</v>
      </c>
      <c r="K27" s="186">
        <v>2</v>
      </c>
      <c r="L27" s="12"/>
      <c r="M27" s="296">
        <v>2</v>
      </c>
      <c r="N27" s="299"/>
      <c r="O27" s="300"/>
      <c r="P27" s="49"/>
      <c r="Q27" s="306">
        <v>0</v>
      </c>
      <c r="R27" s="306">
        <v>1</v>
      </c>
      <c r="S27" s="184">
        <v>0</v>
      </c>
      <c r="T27" s="184">
        <f t="shared" si="0"/>
        <v>1</v>
      </c>
      <c r="U27" s="309"/>
      <c r="V27" s="309"/>
      <c r="W27" s="297"/>
      <c r="X27" s="294"/>
      <c r="Y27" s="294"/>
      <c r="Z27" s="294"/>
      <c r="AA27" s="47"/>
      <c r="AB27" s="308"/>
      <c r="AC27" s="295"/>
      <c r="AD27" s="61"/>
      <c r="AE27" s="313"/>
      <c r="AF27" s="61"/>
      <c r="AG27" s="61"/>
      <c r="AH27" s="61"/>
      <c r="AI27" s="35"/>
      <c r="AJ27" s="181"/>
      <c r="AK27" s="57"/>
    </row>
    <row r="28" spans="2:37" ht="17.45" customHeight="1">
      <c r="B28" s="7"/>
      <c r="C28" s="13">
        <v>19</v>
      </c>
      <c r="D28" s="33"/>
      <c r="E28" s="453"/>
      <c r="F28" s="289"/>
      <c r="G28" s="18" t="s">
        <v>3</v>
      </c>
      <c r="H28" s="18" t="s">
        <v>1610</v>
      </c>
      <c r="I28" s="12"/>
      <c r="J28" s="16">
        <v>27</v>
      </c>
      <c r="K28" s="186">
        <v>6</v>
      </c>
      <c r="L28" s="12"/>
      <c r="M28" s="296">
        <v>2</v>
      </c>
      <c r="N28" s="299"/>
      <c r="O28" s="47">
        <v>5</v>
      </c>
      <c r="P28" s="49"/>
      <c r="Q28" s="306">
        <v>0</v>
      </c>
      <c r="R28" s="306">
        <v>1</v>
      </c>
      <c r="S28" s="184">
        <v>0</v>
      </c>
      <c r="T28" s="184">
        <f t="shared" si="0"/>
        <v>1</v>
      </c>
      <c r="U28" s="309"/>
      <c r="V28" s="309"/>
      <c r="W28" s="297">
        <f t="shared" si="1"/>
        <v>0</v>
      </c>
      <c r="X28" s="47">
        <v>1</v>
      </c>
      <c r="Y28" s="47">
        <v>3</v>
      </c>
      <c r="Z28" s="47">
        <v>0</v>
      </c>
      <c r="AA28" s="47">
        <f t="shared" si="2"/>
        <v>1</v>
      </c>
      <c r="AB28" s="308"/>
      <c r="AC28" s="61"/>
      <c r="AD28" s="61"/>
      <c r="AE28" s="305" t="s">
        <v>1587</v>
      </c>
      <c r="AF28" s="305" t="s">
        <v>1587</v>
      </c>
      <c r="AG28" s="305" t="s">
        <v>1587</v>
      </c>
      <c r="AH28" s="305" t="s">
        <v>1587</v>
      </c>
      <c r="AI28" s="35"/>
      <c r="AJ28" s="181" t="s">
        <v>1599</v>
      </c>
      <c r="AK28" s="57"/>
    </row>
    <row r="29" spans="2:37" ht="4.9000000000000004" customHeight="1">
      <c r="B29" s="7"/>
      <c r="C29" s="318"/>
      <c r="D29" s="318"/>
      <c r="E29" s="289"/>
      <c r="F29" s="289"/>
      <c r="G29" s="323"/>
      <c r="H29" s="323"/>
      <c r="I29" s="323"/>
      <c r="J29" s="318"/>
      <c r="K29" s="318"/>
      <c r="L29" s="323"/>
      <c r="M29" s="318"/>
      <c r="N29" s="318"/>
      <c r="O29" s="318"/>
      <c r="P29" s="318"/>
      <c r="Q29" s="41"/>
      <c r="R29" s="41"/>
      <c r="S29" s="41"/>
      <c r="T29" s="41"/>
      <c r="U29" s="41"/>
      <c r="V29" s="41"/>
      <c r="W29" s="41"/>
      <c r="X29" s="188"/>
      <c r="Y29" s="188"/>
      <c r="Z29" s="188"/>
      <c r="AA29" s="189"/>
      <c r="AB29" s="318"/>
      <c r="AC29" s="318"/>
      <c r="AD29" s="318"/>
      <c r="AE29" s="318"/>
      <c r="AF29" s="318"/>
      <c r="AG29" s="318"/>
      <c r="AH29" s="318"/>
      <c r="AI29" s="318"/>
      <c r="AJ29" s="324"/>
      <c r="AK29" s="57"/>
    </row>
    <row r="30" spans="2:37" ht="22.15" customHeight="1">
      <c r="B30" s="7"/>
      <c r="C30" s="400" t="s">
        <v>1565</v>
      </c>
      <c r="D30" s="400"/>
      <c r="E30" s="400"/>
      <c r="F30" s="400"/>
      <c r="G30" s="400"/>
      <c r="H30" s="400"/>
      <c r="I30" s="323"/>
      <c r="J30" s="400">
        <f>SUM(J9:J21,J23:J28)</f>
        <v>563</v>
      </c>
      <c r="K30" s="400">
        <f>SUM(K9:K21,K23:K28)</f>
        <v>169</v>
      </c>
      <c r="L30" s="323"/>
      <c r="M30" s="193">
        <f>SUM(M9:M21,M23:M28)</f>
        <v>182</v>
      </c>
      <c r="N30" s="190">
        <f t="shared" ref="N30:O30" si="6">SUM(N9:N21,N23:N28)</f>
        <v>19</v>
      </c>
      <c r="O30" s="191">
        <f t="shared" si="6"/>
        <v>345</v>
      </c>
      <c r="P30" s="192"/>
      <c r="Q30" s="193">
        <f>SUM(Q9:Q21,Q23:Q28)</f>
        <v>18</v>
      </c>
      <c r="R30" s="193">
        <f t="shared" ref="R30:Z30" si="7">SUM(R9:R21,R23:R28)</f>
        <v>35</v>
      </c>
      <c r="S30" s="193">
        <f t="shared" si="7"/>
        <v>54</v>
      </c>
      <c r="T30" s="193">
        <f t="shared" si="7"/>
        <v>75</v>
      </c>
      <c r="U30" s="190">
        <f t="shared" si="7"/>
        <v>3</v>
      </c>
      <c r="V30" s="190">
        <f t="shared" si="7"/>
        <v>11</v>
      </c>
      <c r="W30" s="190">
        <f t="shared" si="7"/>
        <v>5</v>
      </c>
      <c r="X30" s="191">
        <f t="shared" si="7"/>
        <v>9</v>
      </c>
      <c r="Y30" s="191">
        <f t="shared" si="7"/>
        <v>113</v>
      </c>
      <c r="Z30" s="191">
        <f t="shared" si="7"/>
        <v>112</v>
      </c>
      <c r="AA30" s="194">
        <f>SUM(AA9:AA21,AA23:AA28)</f>
        <v>111</v>
      </c>
      <c r="AB30" s="195">
        <f>SUM(AB9:AB28)</f>
        <v>0</v>
      </c>
      <c r="AC30" s="462" t="s">
        <v>1611</v>
      </c>
      <c r="AD30" s="463"/>
      <c r="AE30" s="455" t="s">
        <v>1612</v>
      </c>
      <c r="AF30" s="456"/>
      <c r="AG30" s="456"/>
      <c r="AH30" s="456"/>
      <c r="AI30" s="318"/>
      <c r="AJ30" s="457" t="s">
        <v>1613</v>
      </c>
      <c r="AK30" s="57"/>
    </row>
    <row r="31" spans="2:37" ht="4.9000000000000004" customHeight="1">
      <c r="B31" s="7"/>
      <c r="C31" s="400"/>
      <c r="D31" s="400"/>
      <c r="E31" s="400"/>
      <c r="F31" s="400"/>
      <c r="G31" s="400"/>
      <c r="H31" s="400"/>
      <c r="I31" s="323"/>
      <c r="J31" s="400"/>
      <c r="K31" s="400"/>
      <c r="L31" s="323"/>
      <c r="M31" s="318"/>
      <c r="N31" s="318"/>
      <c r="O31" s="318"/>
      <c r="P31" s="318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18"/>
      <c r="AC31" s="463"/>
      <c r="AD31" s="463"/>
      <c r="AE31" s="456"/>
      <c r="AF31" s="456"/>
      <c r="AG31" s="456"/>
      <c r="AH31" s="456"/>
      <c r="AI31" s="318"/>
      <c r="AJ31" s="458"/>
      <c r="AK31" s="57"/>
    </row>
    <row r="32" spans="2:37" ht="22.15" customHeight="1">
      <c r="B32" s="7"/>
      <c r="C32" s="400"/>
      <c r="D32" s="400"/>
      <c r="E32" s="400"/>
      <c r="F32" s="400"/>
      <c r="G32" s="400"/>
      <c r="H32" s="400"/>
      <c r="I32" s="292"/>
      <c r="J32" s="400"/>
      <c r="K32" s="400"/>
      <c r="L32" s="292"/>
      <c r="M32" s="459">
        <f>SUM(M30:O30)</f>
        <v>546</v>
      </c>
      <c r="N32" s="459"/>
      <c r="O32" s="459"/>
      <c r="P32" s="292"/>
      <c r="Q32" s="460">
        <f>SUM(Q30:AA30)</f>
        <v>546</v>
      </c>
      <c r="R32" s="461"/>
      <c r="S32" s="461"/>
      <c r="T32" s="461"/>
      <c r="U32" s="461"/>
      <c r="V32" s="461"/>
      <c r="W32" s="461"/>
      <c r="X32" s="461"/>
      <c r="Y32" s="461"/>
      <c r="Z32" s="461"/>
      <c r="AA32" s="461"/>
      <c r="AB32" s="292"/>
      <c r="AC32" s="463"/>
      <c r="AD32" s="463"/>
      <c r="AE32" s="456"/>
      <c r="AF32" s="456"/>
      <c r="AG32" s="456"/>
      <c r="AH32" s="456"/>
      <c r="AI32" s="292"/>
      <c r="AJ32" s="458"/>
      <c r="AK32" s="57"/>
    </row>
    <row r="33" spans="2:37" ht="4.9000000000000004" customHeight="1" thickBot="1">
      <c r="B33" s="21"/>
      <c r="C33" s="325"/>
      <c r="D33" s="325"/>
      <c r="E33" s="325"/>
      <c r="F33" s="325"/>
      <c r="G33" s="325"/>
      <c r="H33" s="325"/>
      <c r="I33" s="326"/>
      <c r="J33" s="325"/>
      <c r="K33" s="325"/>
      <c r="L33" s="326"/>
      <c r="M33" s="327"/>
      <c r="N33" s="327"/>
      <c r="O33" s="327"/>
      <c r="P33" s="327"/>
      <c r="Q33" s="328"/>
      <c r="R33" s="328"/>
      <c r="S33" s="328"/>
      <c r="T33" s="328"/>
      <c r="U33" s="328"/>
      <c r="V33" s="328"/>
      <c r="W33" s="328"/>
      <c r="X33" s="328"/>
      <c r="Y33" s="328"/>
      <c r="Z33" s="328"/>
      <c r="AA33" s="328"/>
      <c r="AB33" s="327"/>
      <c r="AC33" s="329"/>
      <c r="AD33" s="329"/>
      <c r="AE33" s="330"/>
      <c r="AF33" s="330"/>
      <c r="AG33" s="330"/>
      <c r="AH33" s="330"/>
      <c r="AI33" s="327"/>
      <c r="AJ33" s="331"/>
      <c r="AK33" s="64"/>
    </row>
    <row r="34" spans="2:37" ht="11.45" customHeight="1">
      <c r="B34" s="289"/>
      <c r="C34" s="292"/>
      <c r="D34" s="292"/>
      <c r="E34" s="292"/>
      <c r="F34" s="292"/>
      <c r="G34" s="292"/>
      <c r="H34" s="292"/>
      <c r="I34" s="19"/>
      <c r="J34" s="292"/>
      <c r="K34" s="292"/>
      <c r="L34" s="19"/>
      <c r="M34" s="20"/>
      <c r="N34" s="20"/>
      <c r="O34" s="20"/>
      <c r="P34" s="20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20"/>
      <c r="AC34" s="291"/>
      <c r="AD34" s="291"/>
      <c r="AE34" s="290"/>
      <c r="AF34" s="290"/>
      <c r="AG34" s="290"/>
      <c r="AH34" s="290"/>
      <c r="AI34" s="20"/>
      <c r="AJ34" s="293"/>
      <c r="AK34" s="289"/>
    </row>
    <row r="35" spans="2:37" ht="20.25">
      <c r="C35" s="454" t="s">
        <v>1566</v>
      </c>
      <c r="D35" s="454"/>
      <c r="E35" s="247" t="s">
        <v>1614</v>
      </c>
      <c r="F35" s="247"/>
      <c r="G35" s="247"/>
      <c r="H35" s="247"/>
      <c r="I35" s="247"/>
      <c r="J35" s="247"/>
      <c r="K35" s="247"/>
      <c r="L35" s="247"/>
      <c r="S35" s="247"/>
    </row>
    <row r="36" spans="2:37" ht="20.25">
      <c r="B36" s="247"/>
      <c r="C36" s="247"/>
      <c r="D36" s="247"/>
      <c r="E36" s="247" t="s">
        <v>5344</v>
      </c>
      <c r="F36" s="247"/>
      <c r="G36" s="247"/>
      <c r="H36" s="247"/>
      <c r="I36" s="247"/>
      <c r="J36" s="247"/>
      <c r="K36" s="247"/>
      <c r="L36" s="247"/>
      <c r="S36" s="247"/>
    </row>
    <row r="37" spans="2:37" ht="20.25"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</row>
  </sheetData>
  <mergeCells count="31">
    <mergeCell ref="AE30:AH32"/>
    <mergeCell ref="AJ30:AJ32"/>
    <mergeCell ref="M32:O32"/>
    <mergeCell ref="Q32:AA32"/>
    <mergeCell ref="AC30:AD32"/>
    <mergeCell ref="E21:E28"/>
    <mergeCell ref="C30:H32"/>
    <mergeCell ref="J30:J32"/>
    <mergeCell ref="K30:K32"/>
    <mergeCell ref="C35:D35"/>
    <mergeCell ref="E12:E19"/>
    <mergeCell ref="M6:M7"/>
    <mergeCell ref="N6:N7"/>
    <mergeCell ref="O6:O7"/>
    <mergeCell ref="E9:E11"/>
    <mergeCell ref="J5:K5"/>
    <mergeCell ref="C3:AJ3"/>
    <mergeCell ref="C5:C7"/>
    <mergeCell ref="E5:H7"/>
    <mergeCell ref="M5:O5"/>
    <mergeCell ref="Q5:AA5"/>
    <mergeCell ref="AC5:AH5"/>
    <mergeCell ref="AJ5:AJ7"/>
    <mergeCell ref="J6:J7"/>
    <mergeCell ref="K6:K7"/>
    <mergeCell ref="X6:AA6"/>
    <mergeCell ref="AC6:AC7"/>
    <mergeCell ref="AD6:AD7"/>
    <mergeCell ref="AE6:AH6"/>
    <mergeCell ref="Q6:T6"/>
    <mergeCell ref="U6:W6"/>
  </mergeCells>
  <pageMargins left="0.25" right="0.25" top="0.75" bottom="0.75" header="0.3" footer="0.3"/>
  <pageSetup paperSize="9" scale="66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B1:AN47"/>
  <sheetViews>
    <sheetView showGridLines="0" topLeftCell="A13" zoomScaleNormal="100" workbookViewId="0">
      <selection activeCell="H29" sqref="H29"/>
    </sheetView>
  </sheetViews>
  <sheetFormatPr defaultColWidth="9" defaultRowHeight="13.5" customHeight="1"/>
  <cols>
    <col min="1" max="1" width="3.28515625" customWidth="1"/>
    <col min="2" max="2" width="0.85546875" customWidth="1"/>
    <col min="3" max="3" width="4.28515625" customWidth="1"/>
    <col min="4" max="4" width="0.85546875" customWidth="1"/>
    <col min="5" max="5" width="6.85546875" customWidth="1"/>
    <col min="6" max="6" width="6.28515625" customWidth="1"/>
    <col min="7" max="7" width="1" customWidth="1"/>
    <col min="8" max="9" width="6.42578125" customWidth="1"/>
    <col min="10" max="10" width="1" customWidth="1"/>
    <col min="11" max="16" width="4.28515625" customWidth="1"/>
    <col min="17" max="17" width="1" customWidth="1"/>
    <col min="18" max="23" width="4.28515625" customWidth="1"/>
    <col min="24" max="24" width="1" customWidth="1"/>
    <col min="25" max="30" width="4.28515625" customWidth="1"/>
    <col min="31" max="31" width="1" customWidth="1"/>
    <col min="32" max="37" width="4.28515625" customWidth="1"/>
    <col min="38" max="38" width="1" customWidth="1"/>
    <col min="39" max="39" width="21.42578125" customWidth="1"/>
    <col min="40" max="40" width="0.85546875" customWidth="1"/>
    <col min="41" max="41" width="2.140625" customWidth="1"/>
  </cols>
  <sheetData>
    <row r="1" spans="2:40" ht="13.5" customHeight="1" thickBot="1"/>
    <row r="2" spans="2:40" ht="4.9000000000000004" customHeight="1">
      <c r="B2" s="345"/>
      <c r="C2" s="346"/>
      <c r="D2" s="346"/>
      <c r="E2" s="346"/>
      <c r="F2" s="346"/>
      <c r="G2" s="346"/>
      <c r="H2" s="6"/>
      <c r="I2" s="6"/>
      <c r="J2" s="6"/>
      <c r="K2" s="346"/>
      <c r="L2" s="346"/>
      <c r="M2" s="346"/>
      <c r="N2" s="346"/>
      <c r="O2" s="346"/>
      <c r="P2" s="346"/>
      <c r="Q2" s="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6"/>
      <c r="AN2" s="347"/>
    </row>
    <row r="3" spans="2:40" ht="24" customHeight="1">
      <c r="B3" s="348"/>
      <c r="C3" s="401" t="s">
        <v>5323</v>
      </c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349"/>
    </row>
    <row r="4" spans="2:40" ht="4.9000000000000004" customHeight="1">
      <c r="B4" s="348"/>
      <c r="C4" s="350"/>
      <c r="D4" s="350"/>
      <c r="E4" s="350"/>
      <c r="F4" s="350"/>
      <c r="G4" s="350"/>
      <c r="H4" s="319"/>
      <c r="I4" s="319"/>
      <c r="J4" s="319"/>
      <c r="K4" s="350"/>
      <c r="L4" s="350"/>
      <c r="M4" s="350"/>
      <c r="N4" s="350"/>
      <c r="O4" s="350"/>
      <c r="P4" s="350"/>
      <c r="Q4" s="319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  <c r="AC4" s="350"/>
      <c r="AD4" s="350"/>
      <c r="AE4" s="350"/>
      <c r="AF4" s="350"/>
      <c r="AG4" s="350"/>
      <c r="AH4" s="350"/>
      <c r="AI4" s="350"/>
      <c r="AJ4" s="350"/>
      <c r="AK4" s="350"/>
      <c r="AL4" s="350"/>
      <c r="AM4" s="319"/>
      <c r="AN4" s="349"/>
    </row>
    <row r="5" spans="2:40" ht="43.9" customHeight="1">
      <c r="B5" s="348"/>
      <c r="C5" s="394" t="s">
        <v>5326</v>
      </c>
      <c r="D5" s="350"/>
      <c r="E5" s="419" t="s">
        <v>1548</v>
      </c>
      <c r="F5" s="419"/>
      <c r="G5" s="8"/>
      <c r="H5" s="406" t="s">
        <v>1549</v>
      </c>
      <c r="I5" s="407"/>
      <c r="J5" s="22"/>
      <c r="K5" s="408" t="s">
        <v>1550</v>
      </c>
      <c r="L5" s="409"/>
      <c r="M5" s="409"/>
      <c r="N5" s="409"/>
      <c r="O5" s="409"/>
      <c r="P5" s="409"/>
      <c r="Q5" s="23"/>
      <c r="R5" s="410" t="s">
        <v>1551</v>
      </c>
      <c r="S5" s="411"/>
      <c r="T5" s="411"/>
      <c r="U5" s="411"/>
      <c r="V5" s="411"/>
      <c r="W5" s="411"/>
      <c r="X5" s="48"/>
      <c r="Y5" s="412" t="s">
        <v>1552</v>
      </c>
      <c r="Z5" s="413"/>
      <c r="AA5" s="413"/>
      <c r="AB5" s="413"/>
      <c r="AC5" s="413"/>
      <c r="AD5" s="413"/>
      <c r="AE5" s="48"/>
      <c r="AF5" s="415" t="s">
        <v>1553</v>
      </c>
      <c r="AG5" s="416"/>
      <c r="AH5" s="416"/>
      <c r="AI5" s="416"/>
      <c r="AJ5" s="416"/>
      <c r="AK5" s="416"/>
      <c r="AL5" s="58"/>
      <c r="AM5" s="417" t="s">
        <v>1554</v>
      </c>
      <c r="AN5" s="349"/>
    </row>
    <row r="6" spans="2:40" ht="61.15" customHeight="1">
      <c r="B6" s="348"/>
      <c r="C6" s="394"/>
      <c r="D6" s="350"/>
      <c r="E6" s="419"/>
      <c r="F6" s="419"/>
      <c r="G6" s="8"/>
      <c r="H6" s="332" t="s">
        <v>1555</v>
      </c>
      <c r="I6" s="332" t="s">
        <v>1556</v>
      </c>
      <c r="J6" s="22"/>
      <c r="K6" s="333" t="s">
        <v>1557</v>
      </c>
      <c r="L6" s="334" t="s">
        <v>1558</v>
      </c>
      <c r="M6" s="335" t="s">
        <v>5324</v>
      </c>
      <c r="N6" s="336" t="s">
        <v>5325</v>
      </c>
      <c r="O6" s="337" t="s">
        <v>1559</v>
      </c>
      <c r="P6" s="338" t="s">
        <v>1560</v>
      </c>
      <c r="Q6" s="22"/>
      <c r="R6" s="333" t="s">
        <v>1557</v>
      </c>
      <c r="S6" s="334" t="s">
        <v>1558</v>
      </c>
      <c r="T6" s="335" t="s">
        <v>5324</v>
      </c>
      <c r="U6" s="336" t="s">
        <v>5325</v>
      </c>
      <c r="V6" s="337" t="s">
        <v>1559</v>
      </c>
      <c r="W6" s="338" t="s">
        <v>1560</v>
      </c>
      <c r="X6" s="58"/>
      <c r="Y6" s="333" t="s">
        <v>1557</v>
      </c>
      <c r="Z6" s="334" t="s">
        <v>1558</v>
      </c>
      <c r="AA6" s="335" t="s">
        <v>5324</v>
      </c>
      <c r="AB6" s="336" t="s">
        <v>5325</v>
      </c>
      <c r="AC6" s="337" t="s">
        <v>1559</v>
      </c>
      <c r="AD6" s="338" t="s">
        <v>1560</v>
      </c>
      <c r="AE6" s="58"/>
      <c r="AF6" s="333" t="s">
        <v>1557</v>
      </c>
      <c r="AG6" s="334" t="s">
        <v>1558</v>
      </c>
      <c r="AH6" s="335" t="s">
        <v>5324</v>
      </c>
      <c r="AI6" s="336" t="s">
        <v>5325</v>
      </c>
      <c r="AJ6" s="337" t="s">
        <v>1559</v>
      </c>
      <c r="AK6" s="338" t="s">
        <v>1560</v>
      </c>
      <c r="AL6" s="22"/>
      <c r="AM6" s="418"/>
      <c r="AN6" s="349"/>
    </row>
    <row r="7" spans="2:40" ht="4.9000000000000004" customHeight="1">
      <c r="B7" s="348"/>
      <c r="C7" s="350"/>
      <c r="D7" s="350"/>
      <c r="E7" s="350"/>
      <c r="F7" s="9"/>
      <c r="G7" s="321"/>
      <c r="H7" s="10"/>
      <c r="I7" s="10"/>
      <c r="J7" s="320"/>
      <c r="K7" s="24"/>
      <c r="L7" s="24"/>
      <c r="M7" s="24"/>
      <c r="N7" s="24"/>
      <c r="O7" s="24"/>
      <c r="P7" s="24"/>
      <c r="Q7" s="320"/>
      <c r="R7" s="24"/>
      <c r="S7" s="24"/>
      <c r="T7" s="24"/>
      <c r="U7" s="24"/>
      <c r="V7" s="24"/>
      <c r="W7" s="24"/>
      <c r="X7" s="322"/>
      <c r="Y7" s="24"/>
      <c r="Z7" s="24"/>
      <c r="AA7" s="24"/>
      <c r="AB7" s="24"/>
      <c r="AC7" s="24"/>
      <c r="AD7" s="24"/>
      <c r="AE7" s="322"/>
      <c r="AF7" s="24"/>
      <c r="AG7" s="24"/>
      <c r="AH7" s="24"/>
      <c r="AI7" s="24"/>
      <c r="AJ7" s="24"/>
      <c r="AK7" s="24"/>
      <c r="AL7" s="320"/>
      <c r="AM7" s="10"/>
      <c r="AN7" s="349"/>
    </row>
    <row r="8" spans="2:40" ht="13.15" customHeight="1">
      <c r="B8" s="348"/>
      <c r="C8" s="352">
        <v>1</v>
      </c>
      <c r="D8" s="350"/>
      <c r="E8" s="395" t="s">
        <v>5335</v>
      </c>
      <c r="F8" s="358" t="s">
        <v>5</v>
      </c>
      <c r="G8" s="12"/>
      <c r="H8" s="339">
        <v>147</v>
      </c>
      <c r="I8" s="339">
        <v>46</v>
      </c>
      <c r="J8" s="25"/>
      <c r="K8" s="26">
        <v>15</v>
      </c>
      <c r="L8" s="27">
        <v>15</v>
      </c>
      <c r="M8" s="28">
        <v>8</v>
      </c>
      <c r="N8" s="29">
        <v>110</v>
      </c>
      <c r="O8" s="30">
        <v>20</v>
      </c>
      <c r="P8" s="31">
        <v>202</v>
      </c>
      <c r="Q8" s="32"/>
      <c r="R8" s="26">
        <v>10</v>
      </c>
      <c r="S8" s="27">
        <v>8</v>
      </c>
      <c r="T8" s="28">
        <v>3</v>
      </c>
      <c r="U8" s="29">
        <v>97</v>
      </c>
      <c r="V8" s="30">
        <v>14</v>
      </c>
      <c r="W8" s="31">
        <v>184</v>
      </c>
      <c r="X8" s="49"/>
      <c r="Y8" s="26">
        <f t="shared" ref="Y8:AD28" si="0">K8-R8</f>
        <v>5</v>
      </c>
      <c r="Z8" s="27">
        <f t="shared" si="0"/>
        <v>7</v>
      </c>
      <c r="AA8" s="28">
        <f t="shared" si="0"/>
        <v>5</v>
      </c>
      <c r="AB8" s="52">
        <f t="shared" si="0"/>
        <v>13</v>
      </c>
      <c r="AC8" s="30">
        <f t="shared" si="0"/>
        <v>6</v>
      </c>
      <c r="AD8" s="31">
        <f t="shared" si="0"/>
        <v>18</v>
      </c>
      <c r="AE8" s="32"/>
      <c r="AF8" s="54">
        <f t="shared" ref="AF8:AK28" si="1">1.2*Y8</f>
        <v>6</v>
      </c>
      <c r="AG8" s="360">
        <f t="shared" si="1"/>
        <v>8.4</v>
      </c>
      <c r="AH8" s="62">
        <f t="shared" si="1"/>
        <v>6</v>
      </c>
      <c r="AI8" s="361">
        <f t="shared" si="1"/>
        <v>15.6</v>
      </c>
      <c r="AJ8" s="362">
        <f t="shared" si="1"/>
        <v>7.1999999999999993</v>
      </c>
      <c r="AK8" s="63">
        <f t="shared" si="1"/>
        <v>21.599999999999998</v>
      </c>
      <c r="AL8" s="25"/>
      <c r="AM8" s="59"/>
      <c r="AN8" s="349"/>
    </row>
    <row r="9" spans="2:40" ht="13.15" customHeight="1">
      <c r="B9" s="348"/>
      <c r="C9" s="352">
        <v>2</v>
      </c>
      <c r="D9" s="350"/>
      <c r="E9" s="396"/>
      <c r="F9" s="358" t="s">
        <v>7</v>
      </c>
      <c r="G9" s="12"/>
      <c r="H9" s="340">
        <v>12</v>
      </c>
      <c r="I9" s="340">
        <v>2</v>
      </c>
      <c r="J9" s="33"/>
      <c r="K9" s="34"/>
      <c r="L9" s="34"/>
      <c r="M9" s="34"/>
      <c r="N9" s="29">
        <v>8</v>
      </c>
      <c r="O9" s="40">
        <v>3</v>
      </c>
      <c r="P9" s="31">
        <v>14</v>
      </c>
      <c r="Q9" s="35"/>
      <c r="R9" s="34"/>
      <c r="S9" s="34"/>
      <c r="T9" s="34"/>
      <c r="U9" s="29">
        <v>12</v>
      </c>
      <c r="V9" s="34">
        <v>2</v>
      </c>
      <c r="W9" s="31">
        <v>10</v>
      </c>
      <c r="X9" s="49"/>
      <c r="Y9" s="34"/>
      <c r="Z9" s="34"/>
      <c r="AA9" s="34"/>
      <c r="AB9" s="52">
        <f t="shared" si="0"/>
        <v>-4</v>
      </c>
      <c r="AC9" s="30">
        <f t="shared" si="0"/>
        <v>1</v>
      </c>
      <c r="AD9" s="31">
        <f>P9-W9</f>
        <v>4</v>
      </c>
      <c r="AE9" s="35"/>
      <c r="AF9" s="363"/>
      <c r="AG9" s="363"/>
      <c r="AH9" s="363"/>
      <c r="AI9" s="361">
        <f t="shared" si="1"/>
        <v>-4.8</v>
      </c>
      <c r="AJ9" s="362">
        <f t="shared" si="1"/>
        <v>1.2</v>
      </c>
      <c r="AK9" s="63">
        <f>1.2*AD9</f>
        <v>4.8</v>
      </c>
      <c r="AL9" s="33"/>
      <c r="AM9" s="59"/>
      <c r="AN9" s="349"/>
    </row>
    <row r="10" spans="2:40" ht="13.15" customHeight="1">
      <c r="B10" s="348"/>
      <c r="C10" s="352">
        <v>3</v>
      </c>
      <c r="D10" s="350"/>
      <c r="E10" s="397"/>
      <c r="F10" s="358" t="s">
        <v>4</v>
      </c>
      <c r="G10" s="12"/>
      <c r="H10" s="369"/>
      <c r="I10" s="340">
        <v>11</v>
      </c>
      <c r="J10" s="36"/>
      <c r="K10" s="34"/>
      <c r="L10" s="34"/>
      <c r="M10" s="34"/>
      <c r="N10" s="37">
        <v>0</v>
      </c>
      <c r="O10" s="34"/>
      <c r="P10" s="31">
        <v>2</v>
      </c>
      <c r="Q10" s="38"/>
      <c r="R10" s="34"/>
      <c r="S10" s="34"/>
      <c r="T10" s="34"/>
      <c r="U10" s="37">
        <v>0</v>
      </c>
      <c r="V10" s="34"/>
      <c r="W10" s="31">
        <v>2</v>
      </c>
      <c r="X10" s="50"/>
      <c r="Y10" s="34"/>
      <c r="Z10" s="34"/>
      <c r="AA10" s="34"/>
      <c r="AB10" s="52">
        <f t="shared" si="0"/>
        <v>0</v>
      </c>
      <c r="AC10" s="34"/>
      <c r="AD10" s="31">
        <f>P10-W10</f>
        <v>0</v>
      </c>
      <c r="AE10" s="38"/>
      <c r="AF10" s="363"/>
      <c r="AG10" s="363"/>
      <c r="AH10" s="363"/>
      <c r="AI10" s="361">
        <f t="shared" si="1"/>
        <v>0</v>
      </c>
      <c r="AJ10" s="363"/>
      <c r="AK10" s="63">
        <f>1.2*AD10</f>
        <v>0</v>
      </c>
      <c r="AL10" s="36"/>
      <c r="AM10" s="59"/>
      <c r="AN10" s="349"/>
    </row>
    <row r="11" spans="2:40" ht="13.15" customHeight="1">
      <c r="B11" s="348"/>
      <c r="C11" s="352">
        <v>4</v>
      </c>
      <c r="D11" s="350"/>
      <c r="E11" s="395" t="s">
        <v>5336</v>
      </c>
      <c r="F11" s="358" t="s">
        <v>8</v>
      </c>
      <c r="G11" s="12"/>
      <c r="H11" s="340">
        <v>37</v>
      </c>
      <c r="I11" s="340">
        <v>9</v>
      </c>
      <c r="J11" s="33"/>
      <c r="K11" s="34"/>
      <c r="L11" s="34"/>
      <c r="M11" s="34"/>
      <c r="N11" s="29">
        <v>22</v>
      </c>
      <c r="O11" s="39">
        <v>5</v>
      </c>
      <c r="P11" s="31">
        <v>47</v>
      </c>
      <c r="Q11" s="35"/>
      <c r="R11" s="34"/>
      <c r="S11" s="34"/>
      <c r="T11" s="34"/>
      <c r="U11" s="29">
        <v>17</v>
      </c>
      <c r="V11" s="39">
        <v>0</v>
      </c>
      <c r="W11" s="31">
        <v>40</v>
      </c>
      <c r="X11" s="49"/>
      <c r="Y11" s="34"/>
      <c r="Z11" s="34"/>
      <c r="AA11" s="34"/>
      <c r="AB11" s="52">
        <f>N11-U11</f>
        <v>5</v>
      </c>
      <c r="AC11" s="30">
        <f>O11-V11</f>
        <v>5</v>
      </c>
      <c r="AD11" s="31">
        <f>P11-W11</f>
        <v>7</v>
      </c>
      <c r="AE11" s="35"/>
      <c r="AF11" s="363"/>
      <c r="AG11" s="363"/>
      <c r="AH11" s="363"/>
      <c r="AI11" s="361">
        <f>1.2*AB11</f>
        <v>6</v>
      </c>
      <c r="AJ11" s="362">
        <f>1.2*AC11</f>
        <v>6</v>
      </c>
      <c r="AK11" s="63">
        <f>1.2*AD11</f>
        <v>8.4</v>
      </c>
      <c r="AL11" s="33"/>
      <c r="AM11" s="59"/>
      <c r="AN11" s="349"/>
    </row>
    <row r="12" spans="2:40" ht="13.15" customHeight="1">
      <c r="B12" s="348"/>
      <c r="C12" s="352">
        <v>5</v>
      </c>
      <c r="D12" s="350"/>
      <c r="E12" s="396"/>
      <c r="F12" s="358" t="s">
        <v>3</v>
      </c>
      <c r="G12" s="12"/>
      <c r="H12" s="340">
        <v>27</v>
      </c>
      <c r="I12" s="340">
        <v>3</v>
      </c>
      <c r="J12" s="33"/>
      <c r="K12" s="34"/>
      <c r="L12" s="34"/>
      <c r="M12" s="34"/>
      <c r="N12" s="97">
        <v>4</v>
      </c>
      <c r="O12" s="34"/>
      <c r="P12" s="31">
        <v>15</v>
      </c>
      <c r="Q12" s="35"/>
      <c r="R12" s="34"/>
      <c r="S12" s="34"/>
      <c r="T12" s="34"/>
      <c r="U12" s="97">
        <v>2</v>
      </c>
      <c r="V12" s="34"/>
      <c r="W12" s="31">
        <v>6</v>
      </c>
      <c r="X12" s="49"/>
      <c r="Y12" s="34"/>
      <c r="Z12" s="34"/>
      <c r="AA12" s="34"/>
      <c r="AB12" s="96">
        <f>N12-U12</f>
        <v>2</v>
      </c>
      <c r="AC12" s="34"/>
      <c r="AD12" s="31">
        <f>P12-W12</f>
        <v>9</v>
      </c>
      <c r="AE12" s="35"/>
      <c r="AF12" s="363"/>
      <c r="AG12" s="363"/>
      <c r="AH12" s="363"/>
      <c r="AI12" s="364">
        <f>1.2*AB12</f>
        <v>2.4</v>
      </c>
      <c r="AJ12" s="34"/>
      <c r="AK12" s="63">
        <f>1.2*AD12</f>
        <v>10.799999999999999</v>
      </c>
      <c r="AL12" s="33"/>
      <c r="AM12" s="59"/>
      <c r="AN12" s="349"/>
    </row>
    <row r="13" spans="2:40" ht="13.15" customHeight="1">
      <c r="B13" s="348"/>
      <c r="C13" s="352">
        <v>6</v>
      </c>
      <c r="D13" s="350"/>
      <c r="E13" s="396"/>
      <c r="F13" s="358" t="s">
        <v>1564</v>
      </c>
      <c r="G13" s="12"/>
      <c r="H13" s="340">
        <v>28</v>
      </c>
      <c r="I13" s="340">
        <v>4</v>
      </c>
      <c r="J13" s="33"/>
      <c r="K13" s="34"/>
      <c r="L13" s="34"/>
      <c r="M13" s="34"/>
      <c r="N13" s="29">
        <v>5</v>
      </c>
      <c r="O13" s="34"/>
      <c r="P13" s="34"/>
      <c r="Q13" s="35"/>
      <c r="R13" s="34"/>
      <c r="S13" s="34"/>
      <c r="T13" s="34"/>
      <c r="U13" s="29">
        <v>5</v>
      </c>
      <c r="V13" s="34"/>
      <c r="W13" s="51"/>
      <c r="X13" s="49"/>
      <c r="Y13" s="34"/>
      <c r="Z13" s="34"/>
      <c r="AA13" s="34"/>
      <c r="AB13" s="52">
        <f>N13-U13</f>
        <v>0</v>
      </c>
      <c r="AC13" s="34"/>
      <c r="AD13" s="34"/>
      <c r="AE13" s="35"/>
      <c r="AF13" s="363"/>
      <c r="AG13" s="363"/>
      <c r="AH13" s="363"/>
      <c r="AI13" s="361">
        <f>1.2*AB13</f>
        <v>0</v>
      </c>
      <c r="AJ13" s="363"/>
      <c r="AK13" s="299"/>
      <c r="AL13" s="33"/>
      <c r="AM13" s="59"/>
      <c r="AN13" s="349"/>
    </row>
    <row r="14" spans="2:40" ht="13.15" customHeight="1">
      <c r="B14" s="348"/>
      <c r="C14" s="352">
        <v>7</v>
      </c>
      <c r="D14" s="350"/>
      <c r="E14" s="396"/>
      <c r="F14" s="358" t="s">
        <v>18</v>
      </c>
      <c r="G14" s="12"/>
      <c r="H14" s="340">
        <v>17</v>
      </c>
      <c r="I14" s="340">
        <v>4</v>
      </c>
      <c r="J14" s="33"/>
      <c r="K14" s="34"/>
      <c r="L14" s="34"/>
      <c r="M14" s="34"/>
      <c r="N14" s="29">
        <v>4</v>
      </c>
      <c r="O14" s="34"/>
      <c r="P14" s="34"/>
      <c r="Q14" s="35"/>
      <c r="R14" s="34"/>
      <c r="S14" s="34"/>
      <c r="T14" s="34"/>
      <c r="U14" s="29">
        <v>3</v>
      </c>
      <c r="V14" s="34"/>
      <c r="W14" s="51"/>
      <c r="X14" s="49"/>
      <c r="Y14" s="34"/>
      <c r="Z14" s="34"/>
      <c r="AA14" s="34"/>
      <c r="AB14" s="52">
        <f>N14-U14</f>
        <v>1</v>
      </c>
      <c r="AC14" s="34"/>
      <c r="AD14" s="34"/>
      <c r="AE14" s="35"/>
      <c r="AF14" s="363"/>
      <c r="AG14" s="363"/>
      <c r="AH14" s="363"/>
      <c r="AI14" s="361">
        <f>1.2*AB14</f>
        <v>1.2</v>
      </c>
      <c r="AJ14" s="363"/>
      <c r="AK14" s="299"/>
      <c r="AL14" s="33"/>
      <c r="AM14" s="59"/>
      <c r="AN14" s="349"/>
    </row>
    <row r="15" spans="2:40" ht="13.15" customHeight="1">
      <c r="B15" s="348"/>
      <c r="C15" s="352">
        <v>8</v>
      </c>
      <c r="D15" s="350"/>
      <c r="E15" s="397"/>
      <c r="F15" s="358" t="s">
        <v>19</v>
      </c>
      <c r="G15" s="12"/>
      <c r="H15" s="340">
        <v>16</v>
      </c>
      <c r="I15" s="340">
        <v>3</v>
      </c>
      <c r="J15" s="33"/>
      <c r="K15" s="34"/>
      <c r="L15" s="34"/>
      <c r="M15" s="34"/>
      <c r="N15" s="29">
        <v>4</v>
      </c>
      <c r="O15" s="34"/>
      <c r="P15" s="34"/>
      <c r="Q15" s="35"/>
      <c r="R15" s="34"/>
      <c r="S15" s="34"/>
      <c r="T15" s="34"/>
      <c r="U15" s="29">
        <v>2</v>
      </c>
      <c r="V15" s="34"/>
      <c r="W15" s="51"/>
      <c r="X15" s="49"/>
      <c r="Y15" s="34"/>
      <c r="Z15" s="34"/>
      <c r="AA15" s="34"/>
      <c r="AB15" s="52">
        <f>N15-U15</f>
        <v>2</v>
      </c>
      <c r="AC15" s="34"/>
      <c r="AD15" s="34"/>
      <c r="AE15" s="35"/>
      <c r="AF15" s="363"/>
      <c r="AG15" s="363"/>
      <c r="AH15" s="363"/>
      <c r="AI15" s="361">
        <f>1.2*AB15</f>
        <v>2.4</v>
      </c>
      <c r="AJ15" s="363"/>
      <c r="AK15" s="299"/>
      <c r="AL15" s="33"/>
      <c r="AM15" s="59"/>
      <c r="AN15" s="349"/>
    </row>
    <row r="16" spans="2:40" ht="13.15" customHeight="1">
      <c r="B16" s="348"/>
      <c r="C16" s="352">
        <v>9</v>
      </c>
      <c r="D16" s="350"/>
      <c r="E16" s="395" t="s">
        <v>5337</v>
      </c>
      <c r="F16" s="358" t="s">
        <v>16</v>
      </c>
      <c r="G16" s="12"/>
      <c r="H16" s="340">
        <v>74</v>
      </c>
      <c r="I16" s="340">
        <v>13</v>
      </c>
      <c r="J16" s="33"/>
      <c r="K16" s="34"/>
      <c r="L16" s="34"/>
      <c r="M16" s="34"/>
      <c r="N16" s="29">
        <v>32</v>
      </c>
      <c r="O16" s="39">
        <v>5</v>
      </c>
      <c r="P16" s="31">
        <v>65</v>
      </c>
      <c r="Q16" s="35"/>
      <c r="R16" s="34"/>
      <c r="S16" s="34"/>
      <c r="T16" s="34"/>
      <c r="U16" s="98">
        <v>22</v>
      </c>
      <c r="V16" s="39">
        <v>3</v>
      </c>
      <c r="W16" s="31">
        <v>61</v>
      </c>
      <c r="X16" s="49"/>
      <c r="Y16" s="34"/>
      <c r="Z16" s="34"/>
      <c r="AA16" s="34"/>
      <c r="AB16" s="52">
        <f t="shared" si="0"/>
        <v>10</v>
      </c>
      <c r="AC16" s="30">
        <f>O16-V16</f>
        <v>2</v>
      </c>
      <c r="AD16" s="31">
        <f>P16-W16</f>
        <v>4</v>
      </c>
      <c r="AE16" s="35"/>
      <c r="AF16" s="363"/>
      <c r="AG16" s="363"/>
      <c r="AH16" s="363"/>
      <c r="AI16" s="361">
        <f t="shared" si="1"/>
        <v>12</v>
      </c>
      <c r="AJ16" s="362">
        <f>1.2*AC16</f>
        <v>2.4</v>
      </c>
      <c r="AK16" s="63">
        <f>1.2*AD16</f>
        <v>4.8</v>
      </c>
      <c r="AL16" s="33"/>
      <c r="AM16" s="59"/>
      <c r="AN16" s="349"/>
    </row>
    <row r="17" spans="2:40" ht="13.15" customHeight="1">
      <c r="B17" s="348"/>
      <c r="C17" s="352">
        <v>10</v>
      </c>
      <c r="D17" s="350"/>
      <c r="E17" s="396"/>
      <c r="F17" s="358" t="s">
        <v>15</v>
      </c>
      <c r="G17" s="12"/>
      <c r="H17" s="340">
        <v>14</v>
      </c>
      <c r="I17" s="340">
        <v>3</v>
      </c>
      <c r="J17" s="33"/>
      <c r="K17" s="34"/>
      <c r="L17" s="34"/>
      <c r="M17" s="34"/>
      <c r="N17" s="29">
        <v>5</v>
      </c>
      <c r="O17" s="34"/>
      <c r="P17" s="34"/>
      <c r="Q17" s="35"/>
      <c r="R17" s="34"/>
      <c r="S17" s="34"/>
      <c r="T17" s="34"/>
      <c r="U17" s="29">
        <v>5</v>
      </c>
      <c r="V17" s="34"/>
      <c r="W17" s="51"/>
      <c r="X17" s="49"/>
      <c r="Y17" s="34"/>
      <c r="Z17" s="34"/>
      <c r="AA17" s="34"/>
      <c r="AB17" s="52">
        <f t="shared" si="0"/>
        <v>0</v>
      </c>
      <c r="AC17" s="34"/>
      <c r="AD17" s="34"/>
      <c r="AE17" s="35"/>
      <c r="AF17" s="363"/>
      <c r="AG17" s="363"/>
      <c r="AH17" s="363"/>
      <c r="AI17" s="361">
        <f t="shared" si="1"/>
        <v>0</v>
      </c>
      <c r="AJ17" s="363"/>
      <c r="AK17" s="365"/>
      <c r="AL17" s="33"/>
      <c r="AM17" s="59"/>
      <c r="AN17" s="349"/>
    </row>
    <row r="18" spans="2:40" ht="13.15" customHeight="1">
      <c r="B18" s="348"/>
      <c r="C18" s="352">
        <v>11</v>
      </c>
      <c r="D18" s="350"/>
      <c r="E18" s="396"/>
      <c r="F18" s="358" t="s">
        <v>14</v>
      </c>
      <c r="G18" s="12"/>
      <c r="H18" s="340">
        <v>6</v>
      </c>
      <c r="I18" s="340">
        <v>3</v>
      </c>
      <c r="J18" s="33"/>
      <c r="K18" s="34"/>
      <c r="L18" s="34"/>
      <c r="M18" s="34"/>
      <c r="N18" s="29">
        <v>6</v>
      </c>
      <c r="O18" s="34"/>
      <c r="P18" s="34"/>
      <c r="Q18" s="35"/>
      <c r="R18" s="34"/>
      <c r="S18" s="34"/>
      <c r="T18" s="34"/>
      <c r="U18" s="29">
        <v>5</v>
      </c>
      <c r="V18" s="34"/>
      <c r="W18" s="34"/>
      <c r="X18" s="49"/>
      <c r="Y18" s="34"/>
      <c r="Z18" s="34"/>
      <c r="AA18" s="34"/>
      <c r="AB18" s="52">
        <f>N18-U18</f>
        <v>1</v>
      </c>
      <c r="AC18" s="34"/>
      <c r="AD18" s="34"/>
      <c r="AE18" s="35"/>
      <c r="AF18" s="363"/>
      <c r="AG18" s="363"/>
      <c r="AH18" s="363"/>
      <c r="AI18" s="361">
        <f>1.2*AB18</f>
        <v>1.2</v>
      </c>
      <c r="AJ18" s="363"/>
      <c r="AK18" s="365"/>
      <c r="AL18" s="33"/>
      <c r="AM18" s="59"/>
      <c r="AN18" s="349"/>
    </row>
    <row r="19" spans="2:40" ht="13.15" customHeight="1">
      <c r="B19" s="348"/>
      <c r="C19" s="352">
        <v>12</v>
      </c>
      <c r="D19" s="350"/>
      <c r="E19" s="396"/>
      <c r="F19" s="359" t="s">
        <v>5329</v>
      </c>
      <c r="G19" s="12"/>
      <c r="H19" s="340">
        <v>18</v>
      </c>
      <c r="I19" s="340">
        <v>2</v>
      </c>
      <c r="J19" s="33"/>
      <c r="K19" s="34"/>
      <c r="L19" s="34"/>
      <c r="M19" s="34"/>
      <c r="N19" s="342">
        <v>2</v>
      </c>
      <c r="O19" s="34"/>
      <c r="P19" s="34"/>
      <c r="Q19" s="35"/>
      <c r="R19" s="34"/>
      <c r="S19" s="34"/>
      <c r="T19" s="34"/>
      <c r="U19" s="342">
        <v>1</v>
      </c>
      <c r="V19" s="34"/>
      <c r="W19" s="34"/>
      <c r="X19" s="49"/>
      <c r="Y19" s="34"/>
      <c r="Z19" s="34"/>
      <c r="AA19" s="34"/>
      <c r="AB19" s="343">
        <f>N19-U19</f>
        <v>1</v>
      </c>
      <c r="AC19" s="34"/>
      <c r="AD19" s="34"/>
      <c r="AE19" s="35"/>
      <c r="AF19" s="363"/>
      <c r="AG19" s="363"/>
      <c r="AH19" s="363"/>
      <c r="AI19" s="366">
        <f>1.2*AB19</f>
        <v>1.2</v>
      </c>
      <c r="AJ19" s="363"/>
      <c r="AK19" s="365"/>
      <c r="AL19" s="33"/>
      <c r="AM19" s="59"/>
      <c r="AN19" s="349"/>
    </row>
    <row r="20" spans="2:40" ht="13.15" customHeight="1">
      <c r="B20" s="348"/>
      <c r="C20" s="352">
        <v>13</v>
      </c>
      <c r="D20" s="350"/>
      <c r="E20" s="397"/>
      <c r="F20" s="359" t="s">
        <v>5330</v>
      </c>
      <c r="G20" s="12"/>
      <c r="H20" s="340"/>
      <c r="I20" s="340">
        <v>3</v>
      </c>
      <c r="J20" s="33"/>
      <c r="K20" s="34"/>
      <c r="L20" s="34"/>
      <c r="M20" s="34"/>
      <c r="N20" s="342"/>
      <c r="O20" s="34"/>
      <c r="P20" s="34"/>
      <c r="Q20" s="35"/>
      <c r="R20" s="34"/>
      <c r="S20" s="34"/>
      <c r="T20" s="34"/>
      <c r="U20" s="342"/>
      <c r="V20" s="34"/>
      <c r="W20" s="34"/>
      <c r="X20" s="49"/>
      <c r="Y20" s="34"/>
      <c r="Z20" s="34"/>
      <c r="AA20" s="34"/>
      <c r="AB20" s="343"/>
      <c r="AC20" s="34"/>
      <c r="AD20" s="34"/>
      <c r="AE20" s="35"/>
      <c r="AF20" s="363"/>
      <c r="AG20" s="363"/>
      <c r="AH20" s="363"/>
      <c r="AI20" s="366"/>
      <c r="AJ20" s="363"/>
      <c r="AK20" s="365"/>
      <c r="AL20" s="33"/>
      <c r="AM20" s="59" t="s">
        <v>5331</v>
      </c>
      <c r="AN20" s="349"/>
    </row>
    <row r="21" spans="2:40" ht="13.15" customHeight="1">
      <c r="B21" s="348"/>
      <c r="C21" s="352">
        <v>14</v>
      </c>
      <c r="D21" s="350"/>
      <c r="E21" s="395" t="s">
        <v>5338</v>
      </c>
      <c r="F21" s="358" t="s">
        <v>6</v>
      </c>
      <c r="G21" s="12"/>
      <c r="H21" s="340">
        <v>28</v>
      </c>
      <c r="I21" s="340">
        <v>4</v>
      </c>
      <c r="J21" s="33"/>
      <c r="K21" s="34"/>
      <c r="L21" s="34"/>
      <c r="M21" s="34"/>
      <c r="N21" s="29">
        <v>5</v>
      </c>
      <c r="O21" s="34"/>
      <c r="P21" s="31">
        <v>10</v>
      </c>
      <c r="Q21" s="35"/>
      <c r="R21" s="34"/>
      <c r="S21" s="34"/>
      <c r="T21" s="34"/>
      <c r="U21" s="29">
        <v>4</v>
      </c>
      <c r="V21" s="34"/>
      <c r="W21" s="34"/>
      <c r="X21" s="49"/>
      <c r="Y21" s="34"/>
      <c r="Z21" s="34"/>
      <c r="AA21" s="34"/>
      <c r="AB21" s="52">
        <f t="shared" ref="AB21:AB23" si="2">N21-U21</f>
        <v>1</v>
      </c>
      <c r="AC21" s="34"/>
      <c r="AD21" s="31">
        <f>P21-W21</f>
        <v>10</v>
      </c>
      <c r="AE21" s="35"/>
      <c r="AF21" s="363"/>
      <c r="AG21" s="363"/>
      <c r="AH21" s="363"/>
      <c r="AI21" s="361">
        <f t="shared" ref="AI21:AI23" si="3">1.2*AB21</f>
        <v>1.2</v>
      </c>
      <c r="AJ21" s="363"/>
      <c r="AK21" s="63">
        <f>1.2*AD21</f>
        <v>12</v>
      </c>
      <c r="AL21" s="33"/>
      <c r="AM21" s="59"/>
      <c r="AN21" s="349"/>
    </row>
    <row r="22" spans="2:40" ht="13.15" customHeight="1">
      <c r="B22" s="348"/>
      <c r="C22" s="352">
        <v>15</v>
      </c>
      <c r="D22" s="350"/>
      <c r="E22" s="396"/>
      <c r="F22" s="358" t="s">
        <v>11</v>
      </c>
      <c r="G22" s="12"/>
      <c r="H22" s="340">
        <v>17</v>
      </c>
      <c r="I22" s="340">
        <v>6</v>
      </c>
      <c r="J22" s="33"/>
      <c r="K22" s="34"/>
      <c r="L22" s="34"/>
      <c r="M22" s="34"/>
      <c r="N22" s="29">
        <v>9</v>
      </c>
      <c r="O22" s="34"/>
      <c r="P22" s="34"/>
      <c r="Q22" s="35"/>
      <c r="R22" s="34"/>
      <c r="S22" s="34"/>
      <c r="T22" s="34"/>
      <c r="U22" s="29">
        <v>3</v>
      </c>
      <c r="V22" s="34"/>
      <c r="W22" s="34"/>
      <c r="X22" s="49"/>
      <c r="Y22" s="34"/>
      <c r="Z22" s="34"/>
      <c r="AA22" s="34"/>
      <c r="AB22" s="52">
        <f>N22-U22</f>
        <v>6</v>
      </c>
      <c r="AC22" s="34"/>
      <c r="AD22" s="34"/>
      <c r="AE22" s="35"/>
      <c r="AF22" s="363"/>
      <c r="AG22" s="363"/>
      <c r="AH22" s="363"/>
      <c r="AI22" s="361">
        <f>1.2*AB22</f>
        <v>7.1999999999999993</v>
      </c>
      <c r="AJ22" s="363"/>
      <c r="AK22" s="365"/>
      <c r="AL22" s="33"/>
      <c r="AM22" s="59"/>
      <c r="AN22" s="349"/>
    </row>
    <row r="23" spans="2:40" ht="13.15" customHeight="1">
      <c r="B23" s="348"/>
      <c r="C23" s="352">
        <v>16</v>
      </c>
      <c r="D23" s="350"/>
      <c r="E23" s="396"/>
      <c r="F23" s="358" t="s">
        <v>9</v>
      </c>
      <c r="G23" s="12"/>
      <c r="H23" s="340">
        <v>17</v>
      </c>
      <c r="I23" s="340">
        <v>5</v>
      </c>
      <c r="J23" s="33"/>
      <c r="K23" s="34"/>
      <c r="L23" s="34"/>
      <c r="M23" s="34"/>
      <c r="N23" s="29">
        <v>5</v>
      </c>
      <c r="O23" s="34"/>
      <c r="P23" s="31">
        <v>7</v>
      </c>
      <c r="Q23" s="35"/>
      <c r="R23" s="34"/>
      <c r="S23" s="34"/>
      <c r="T23" s="34"/>
      <c r="U23" s="29">
        <v>5</v>
      </c>
      <c r="V23" s="34"/>
      <c r="W23" s="31">
        <v>7</v>
      </c>
      <c r="X23" s="49"/>
      <c r="Y23" s="34"/>
      <c r="Z23" s="34"/>
      <c r="AA23" s="34"/>
      <c r="AB23" s="52">
        <f t="shared" si="2"/>
        <v>0</v>
      </c>
      <c r="AC23" s="34"/>
      <c r="AD23" s="31">
        <f>P23-W23</f>
        <v>0</v>
      </c>
      <c r="AE23" s="35"/>
      <c r="AF23" s="363"/>
      <c r="AG23" s="363"/>
      <c r="AH23" s="363"/>
      <c r="AI23" s="361">
        <f t="shared" si="3"/>
        <v>0</v>
      </c>
      <c r="AJ23" s="363"/>
      <c r="AK23" s="63">
        <f>1.2*AD23</f>
        <v>0</v>
      </c>
      <c r="AL23" s="33"/>
      <c r="AM23" s="59"/>
      <c r="AN23" s="349"/>
    </row>
    <row r="24" spans="2:40" ht="13.15" customHeight="1">
      <c r="B24" s="348"/>
      <c r="C24" s="352">
        <v>17</v>
      </c>
      <c r="D24" s="350"/>
      <c r="E24" s="396"/>
      <c r="F24" s="359" t="s">
        <v>5332</v>
      </c>
      <c r="G24" s="12"/>
      <c r="H24" s="340"/>
      <c r="I24" s="340">
        <v>6</v>
      </c>
      <c r="J24" s="33"/>
      <c r="K24" s="34"/>
      <c r="L24" s="34"/>
      <c r="M24" s="34"/>
      <c r="N24" s="342"/>
      <c r="O24" s="34"/>
      <c r="P24" s="344"/>
      <c r="Q24" s="35"/>
      <c r="R24" s="34"/>
      <c r="S24" s="34"/>
      <c r="T24" s="34"/>
      <c r="U24" s="342"/>
      <c r="V24" s="34"/>
      <c r="W24" s="344"/>
      <c r="X24" s="49"/>
      <c r="Y24" s="34"/>
      <c r="Z24" s="34"/>
      <c r="AA24" s="34"/>
      <c r="AB24" s="343"/>
      <c r="AC24" s="34"/>
      <c r="AD24" s="344"/>
      <c r="AE24" s="35"/>
      <c r="AF24" s="363"/>
      <c r="AG24" s="363"/>
      <c r="AH24" s="363"/>
      <c r="AI24" s="366"/>
      <c r="AJ24" s="363"/>
      <c r="AK24" s="367"/>
      <c r="AL24" s="33"/>
      <c r="AM24" s="59"/>
      <c r="AN24" s="349"/>
    </row>
    <row r="25" spans="2:40" ht="13.15" customHeight="1">
      <c r="B25" s="348"/>
      <c r="C25" s="352">
        <v>18</v>
      </c>
      <c r="D25" s="350"/>
      <c r="E25" s="399" t="s">
        <v>5339</v>
      </c>
      <c r="F25" s="358" t="s">
        <v>17</v>
      </c>
      <c r="G25" s="12"/>
      <c r="H25" s="340">
        <v>60</v>
      </c>
      <c r="I25" s="340">
        <v>24</v>
      </c>
      <c r="J25" s="33"/>
      <c r="K25" s="34"/>
      <c r="L25" s="34"/>
      <c r="M25" s="34"/>
      <c r="N25" s="29">
        <v>32</v>
      </c>
      <c r="O25" s="39">
        <v>5</v>
      </c>
      <c r="P25" s="31">
        <v>59</v>
      </c>
      <c r="Q25" s="35"/>
      <c r="R25" s="34"/>
      <c r="S25" s="34"/>
      <c r="T25" s="34"/>
      <c r="U25" s="29">
        <v>19</v>
      </c>
      <c r="V25" s="39">
        <v>0</v>
      </c>
      <c r="W25" s="31">
        <v>37</v>
      </c>
      <c r="X25" s="49"/>
      <c r="Y25" s="34"/>
      <c r="Z25" s="34"/>
      <c r="AA25" s="34"/>
      <c r="AB25" s="52">
        <f t="shared" si="0"/>
        <v>13</v>
      </c>
      <c r="AC25" s="30">
        <f>O25-V25</f>
        <v>5</v>
      </c>
      <c r="AD25" s="31">
        <f t="shared" ref="AD25:AD31" si="4">P25-W25</f>
        <v>22</v>
      </c>
      <c r="AE25" s="35"/>
      <c r="AF25" s="363"/>
      <c r="AG25" s="363"/>
      <c r="AH25" s="363"/>
      <c r="AI25" s="361">
        <f t="shared" si="1"/>
        <v>15.6</v>
      </c>
      <c r="AJ25" s="362">
        <f>1.2*AC25</f>
        <v>6</v>
      </c>
      <c r="AK25" s="63">
        <f t="shared" ref="AK25:AK31" si="5">1.2*AD25</f>
        <v>26.4</v>
      </c>
      <c r="AL25" s="33"/>
      <c r="AM25" s="59"/>
      <c r="AN25" s="349"/>
    </row>
    <row r="26" spans="2:40" ht="13.15" customHeight="1">
      <c r="B26" s="348"/>
      <c r="C26" s="352">
        <v>19</v>
      </c>
      <c r="D26" s="350"/>
      <c r="E26" s="399"/>
      <c r="F26" s="358" t="s">
        <v>2</v>
      </c>
      <c r="G26" s="12"/>
      <c r="H26" s="340">
        <v>28</v>
      </c>
      <c r="I26" s="340">
        <v>8</v>
      </c>
      <c r="J26" s="33"/>
      <c r="K26" s="34"/>
      <c r="L26" s="34"/>
      <c r="M26" s="34"/>
      <c r="N26" s="97">
        <v>13</v>
      </c>
      <c r="O26" s="34"/>
      <c r="P26" s="31">
        <v>25</v>
      </c>
      <c r="Q26" s="35"/>
      <c r="R26" s="34"/>
      <c r="S26" s="34"/>
      <c r="T26" s="34"/>
      <c r="U26" s="29">
        <v>3</v>
      </c>
      <c r="V26" s="34"/>
      <c r="W26" s="31">
        <v>14</v>
      </c>
      <c r="X26" s="49"/>
      <c r="Y26" s="34"/>
      <c r="Z26" s="34"/>
      <c r="AA26" s="34"/>
      <c r="AB26" s="52">
        <f t="shared" si="0"/>
        <v>10</v>
      </c>
      <c r="AC26" s="34"/>
      <c r="AD26" s="31">
        <f t="shared" si="4"/>
        <v>11</v>
      </c>
      <c r="AE26" s="35"/>
      <c r="AF26" s="363"/>
      <c r="AG26" s="363"/>
      <c r="AH26" s="363"/>
      <c r="AI26" s="361">
        <f t="shared" si="1"/>
        <v>12</v>
      </c>
      <c r="AJ26" s="363"/>
      <c r="AK26" s="63">
        <f t="shared" si="5"/>
        <v>13.2</v>
      </c>
      <c r="AL26" s="33"/>
      <c r="AM26" s="59"/>
      <c r="AN26" s="349"/>
    </row>
    <row r="27" spans="2:40" ht="13.15" customHeight="1">
      <c r="B27" s="348"/>
      <c r="C27" s="352">
        <v>20</v>
      </c>
      <c r="D27" s="350"/>
      <c r="E27" s="399"/>
      <c r="F27" s="358" t="s">
        <v>12</v>
      </c>
      <c r="G27" s="12"/>
      <c r="H27" s="340">
        <v>11</v>
      </c>
      <c r="I27" s="340">
        <v>5</v>
      </c>
      <c r="J27" s="33"/>
      <c r="K27" s="34"/>
      <c r="L27" s="34"/>
      <c r="M27" s="34"/>
      <c r="N27" s="29">
        <v>9</v>
      </c>
      <c r="O27" s="34"/>
      <c r="P27" s="31">
        <v>20</v>
      </c>
      <c r="Q27" s="35"/>
      <c r="R27" s="34"/>
      <c r="S27" s="34"/>
      <c r="T27" s="34"/>
      <c r="U27" s="29">
        <v>7</v>
      </c>
      <c r="V27" s="34"/>
      <c r="W27" s="31">
        <v>10</v>
      </c>
      <c r="X27" s="49"/>
      <c r="Y27" s="34"/>
      <c r="Z27" s="34"/>
      <c r="AA27" s="34"/>
      <c r="AB27" s="52">
        <f t="shared" si="0"/>
        <v>2</v>
      </c>
      <c r="AC27" s="34"/>
      <c r="AD27" s="31">
        <f t="shared" si="4"/>
        <v>10</v>
      </c>
      <c r="AE27" s="35"/>
      <c r="AF27" s="363"/>
      <c r="AG27" s="363"/>
      <c r="AH27" s="363"/>
      <c r="AI27" s="361">
        <f t="shared" si="1"/>
        <v>2.4</v>
      </c>
      <c r="AJ27" s="363"/>
      <c r="AK27" s="63">
        <f t="shared" si="5"/>
        <v>12</v>
      </c>
      <c r="AL27" s="33"/>
      <c r="AM27" s="59"/>
      <c r="AN27" s="349"/>
    </row>
    <row r="28" spans="2:40" ht="13.15" customHeight="1">
      <c r="B28" s="348"/>
      <c r="C28" s="352">
        <v>21</v>
      </c>
      <c r="D28" s="350"/>
      <c r="E28" s="399"/>
      <c r="F28" s="358" t="s">
        <v>1</v>
      </c>
      <c r="G28" s="12"/>
      <c r="H28" s="340">
        <v>8</v>
      </c>
      <c r="I28" s="340">
        <v>2</v>
      </c>
      <c r="J28" s="33"/>
      <c r="K28" s="34"/>
      <c r="L28" s="34"/>
      <c r="M28" s="34"/>
      <c r="N28" s="29">
        <v>5</v>
      </c>
      <c r="O28" s="34"/>
      <c r="P28" s="31">
        <v>4</v>
      </c>
      <c r="Q28" s="35"/>
      <c r="R28" s="34"/>
      <c r="S28" s="34"/>
      <c r="T28" s="34"/>
      <c r="U28" s="29">
        <v>4</v>
      </c>
      <c r="V28" s="34"/>
      <c r="W28" s="31">
        <v>3</v>
      </c>
      <c r="X28" s="49"/>
      <c r="Y28" s="34"/>
      <c r="Z28" s="34"/>
      <c r="AA28" s="34"/>
      <c r="AB28" s="52">
        <f t="shared" si="0"/>
        <v>1</v>
      </c>
      <c r="AC28" s="34"/>
      <c r="AD28" s="31">
        <f t="shared" si="4"/>
        <v>1</v>
      </c>
      <c r="AE28" s="35"/>
      <c r="AF28" s="363"/>
      <c r="AG28" s="363"/>
      <c r="AH28" s="363"/>
      <c r="AI28" s="361">
        <f t="shared" si="1"/>
        <v>1.2</v>
      </c>
      <c r="AJ28" s="363"/>
      <c r="AK28" s="63">
        <f t="shared" si="5"/>
        <v>1.2</v>
      </c>
      <c r="AL28" s="33"/>
      <c r="AM28" s="59"/>
      <c r="AN28" s="349"/>
    </row>
    <row r="29" spans="2:40" ht="13.15" customHeight="1">
      <c r="B29" s="348"/>
      <c r="C29" s="352">
        <v>22</v>
      </c>
      <c r="D29" s="350"/>
      <c r="E29" s="369" t="s">
        <v>5333</v>
      </c>
      <c r="F29" s="358" t="s">
        <v>5327</v>
      </c>
      <c r="G29" s="12"/>
      <c r="H29" s="340"/>
      <c r="I29" s="340"/>
      <c r="J29" s="33"/>
      <c r="K29" s="34"/>
      <c r="L29" s="34"/>
      <c r="M29" s="34"/>
      <c r="N29" s="29">
        <v>18</v>
      </c>
      <c r="O29" s="34"/>
      <c r="P29" s="31">
        <v>60</v>
      </c>
      <c r="Q29" s="35"/>
      <c r="R29" s="34"/>
      <c r="S29" s="34"/>
      <c r="T29" s="34"/>
      <c r="U29" s="29">
        <v>12</v>
      </c>
      <c r="V29" s="34"/>
      <c r="W29" s="31">
        <v>59</v>
      </c>
      <c r="X29" s="49"/>
      <c r="Y29" s="34"/>
      <c r="Z29" s="34"/>
      <c r="AA29" s="34"/>
      <c r="AB29" s="52">
        <f t="shared" ref="AB29:AB30" si="6">N29-U29</f>
        <v>6</v>
      </c>
      <c r="AC29" s="34"/>
      <c r="AD29" s="31">
        <f t="shared" si="4"/>
        <v>1</v>
      </c>
      <c r="AE29" s="35"/>
      <c r="AF29" s="363"/>
      <c r="AG29" s="363"/>
      <c r="AH29" s="363"/>
      <c r="AI29" s="361">
        <f t="shared" ref="AI29:AI30" si="7">1.2*AB29</f>
        <v>7.1999999999999993</v>
      </c>
      <c r="AJ29" s="363"/>
      <c r="AK29" s="63">
        <f t="shared" si="5"/>
        <v>1.2</v>
      </c>
      <c r="AL29" s="324"/>
      <c r="AM29" s="59"/>
      <c r="AN29" s="349"/>
    </row>
    <row r="30" spans="2:40" ht="13.15" customHeight="1">
      <c r="B30" s="348"/>
      <c r="C30" s="352">
        <v>23</v>
      </c>
      <c r="D30" s="350"/>
      <c r="E30" s="395" t="s">
        <v>5334</v>
      </c>
      <c r="F30" s="358" t="s">
        <v>10</v>
      </c>
      <c r="G30" s="12"/>
      <c r="H30" s="340"/>
      <c r="I30" s="340"/>
      <c r="J30" s="33"/>
      <c r="K30" s="34"/>
      <c r="L30" s="34"/>
      <c r="M30" s="34"/>
      <c r="N30" s="97">
        <v>24</v>
      </c>
      <c r="O30" s="34"/>
      <c r="P30" s="31">
        <v>102</v>
      </c>
      <c r="Q30" s="35"/>
      <c r="R30" s="34"/>
      <c r="S30" s="34"/>
      <c r="T30" s="34"/>
      <c r="U30" s="97">
        <v>3</v>
      </c>
      <c r="V30" s="34"/>
      <c r="W30" s="31">
        <v>89</v>
      </c>
      <c r="X30" s="49"/>
      <c r="Y30" s="34"/>
      <c r="Z30" s="34"/>
      <c r="AA30" s="34"/>
      <c r="AB30" s="52">
        <f t="shared" si="6"/>
        <v>21</v>
      </c>
      <c r="AC30" s="34"/>
      <c r="AD30" s="31">
        <f t="shared" si="4"/>
        <v>13</v>
      </c>
      <c r="AE30" s="35"/>
      <c r="AF30" s="363"/>
      <c r="AG30" s="363"/>
      <c r="AH30" s="363"/>
      <c r="AI30" s="361">
        <f t="shared" si="7"/>
        <v>25.2</v>
      </c>
      <c r="AJ30" s="365"/>
      <c r="AK30" s="63">
        <f t="shared" si="5"/>
        <v>15.6</v>
      </c>
      <c r="AL30" s="324"/>
      <c r="AM30" s="59"/>
      <c r="AN30" s="349"/>
    </row>
    <row r="31" spans="2:40" ht="13.15" customHeight="1">
      <c r="B31" s="348"/>
      <c r="C31" s="352">
        <v>24</v>
      </c>
      <c r="D31" s="350"/>
      <c r="E31" s="397"/>
      <c r="F31" s="358" t="s">
        <v>5328</v>
      </c>
      <c r="G31" s="12"/>
      <c r="H31" s="340"/>
      <c r="I31" s="340"/>
      <c r="J31" s="33"/>
      <c r="K31" s="34"/>
      <c r="L31" s="34"/>
      <c r="M31" s="34"/>
      <c r="N31" s="34"/>
      <c r="O31" s="34"/>
      <c r="P31" s="31">
        <v>6</v>
      </c>
      <c r="Q31" s="35"/>
      <c r="R31" s="34"/>
      <c r="S31" s="34"/>
      <c r="T31" s="34"/>
      <c r="U31" s="34"/>
      <c r="V31" s="34"/>
      <c r="W31" s="31">
        <v>4</v>
      </c>
      <c r="X31" s="49"/>
      <c r="Y31" s="34"/>
      <c r="Z31" s="34"/>
      <c r="AA31" s="34"/>
      <c r="AB31" s="34"/>
      <c r="AC31" s="34"/>
      <c r="AD31" s="31">
        <f t="shared" si="4"/>
        <v>2</v>
      </c>
      <c r="AE31" s="35"/>
      <c r="AF31" s="363"/>
      <c r="AG31" s="363"/>
      <c r="AH31" s="363"/>
      <c r="AI31" s="365"/>
      <c r="AJ31" s="365"/>
      <c r="AK31" s="63">
        <f t="shared" si="5"/>
        <v>2.4</v>
      </c>
      <c r="AL31" s="324"/>
      <c r="AM31" s="59"/>
      <c r="AN31" s="349"/>
    </row>
    <row r="32" spans="2:40" ht="4.9000000000000004" customHeight="1">
      <c r="B32" s="348"/>
      <c r="C32" s="350"/>
      <c r="D32" s="350"/>
      <c r="E32" s="350"/>
      <c r="F32" s="323"/>
      <c r="G32" s="323"/>
      <c r="H32" s="318"/>
      <c r="I32" s="318"/>
      <c r="J32" s="318"/>
      <c r="K32" s="41"/>
      <c r="L32" s="41"/>
      <c r="M32" s="41"/>
      <c r="N32" s="41"/>
      <c r="O32" s="41"/>
      <c r="P32" s="41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24"/>
      <c r="AN32" s="349"/>
    </row>
    <row r="33" spans="2:40" ht="16.149999999999999" customHeight="1">
      <c r="B33" s="348"/>
      <c r="C33" s="400" t="s">
        <v>1565</v>
      </c>
      <c r="D33" s="400"/>
      <c r="E33" s="400"/>
      <c r="F33" s="400"/>
      <c r="G33" s="323"/>
      <c r="H33" s="400">
        <f>SUM(H8:H28)</f>
        <v>565</v>
      </c>
      <c r="I33" s="400">
        <f>SUM(I8:I28)</f>
        <v>166</v>
      </c>
      <c r="J33" s="318"/>
      <c r="K33" s="42">
        <f>SUM(K8:K31)</f>
        <v>15</v>
      </c>
      <c r="L33" s="43">
        <f t="shared" ref="L33:P33" si="8">SUM(L8:L31)</f>
        <v>15</v>
      </c>
      <c r="M33" s="44">
        <f t="shared" si="8"/>
        <v>8</v>
      </c>
      <c r="N33" s="45">
        <f t="shared" si="8"/>
        <v>322</v>
      </c>
      <c r="O33" s="46">
        <f t="shared" si="8"/>
        <v>38</v>
      </c>
      <c r="P33" s="47">
        <f t="shared" si="8"/>
        <v>638</v>
      </c>
      <c r="Q33" s="36"/>
      <c r="R33" s="42">
        <f>SUM(R8:R31)</f>
        <v>10</v>
      </c>
      <c r="S33" s="43">
        <f t="shared" ref="S33:W33" si="9">SUM(S8:S31)</f>
        <v>8</v>
      </c>
      <c r="T33" s="44">
        <f t="shared" si="9"/>
        <v>3</v>
      </c>
      <c r="U33" s="45">
        <f t="shared" si="9"/>
        <v>231</v>
      </c>
      <c r="V33" s="46">
        <f t="shared" si="9"/>
        <v>19</v>
      </c>
      <c r="W33" s="47">
        <f t="shared" si="9"/>
        <v>526</v>
      </c>
      <c r="X33" s="36"/>
      <c r="Y33" s="42">
        <f>SUM(Y8:Y31)</f>
        <v>5</v>
      </c>
      <c r="Z33" s="43">
        <f t="shared" ref="Z33:AD33" si="10">SUM(Z8:Z31)</f>
        <v>7</v>
      </c>
      <c r="AA33" s="44">
        <f t="shared" si="10"/>
        <v>5</v>
      </c>
      <c r="AB33" s="45">
        <f t="shared" si="10"/>
        <v>91</v>
      </c>
      <c r="AC33" s="46">
        <f t="shared" si="10"/>
        <v>19</v>
      </c>
      <c r="AD33" s="47">
        <f t="shared" si="10"/>
        <v>112</v>
      </c>
      <c r="AE33" s="318"/>
      <c r="AF33" s="54">
        <f>SUM(AF8:AF31)</f>
        <v>6</v>
      </c>
      <c r="AG33" s="55">
        <f t="shared" ref="AG33:AK33" si="11">SUM(AG8:AG31)</f>
        <v>8.4</v>
      </c>
      <c r="AH33" s="44">
        <f t="shared" si="11"/>
        <v>6</v>
      </c>
      <c r="AI33" s="45">
        <f t="shared" si="11"/>
        <v>109.20000000000003</v>
      </c>
      <c r="AJ33" s="46">
        <f t="shared" si="11"/>
        <v>22.799999999999997</v>
      </c>
      <c r="AK33" s="47">
        <f t="shared" si="11"/>
        <v>134.4</v>
      </c>
      <c r="AL33" s="318"/>
      <c r="AM33" s="414"/>
      <c r="AN33" s="349"/>
    </row>
    <row r="34" spans="2:40" ht="4.9000000000000004" customHeight="1">
      <c r="B34" s="348"/>
      <c r="C34" s="400"/>
      <c r="D34" s="400"/>
      <c r="E34" s="400"/>
      <c r="F34" s="400"/>
      <c r="G34" s="323"/>
      <c r="H34" s="400"/>
      <c r="I34" s="400"/>
      <c r="J34" s="318"/>
      <c r="K34" s="41"/>
      <c r="L34" s="41"/>
      <c r="M34" s="41"/>
      <c r="N34" s="41"/>
      <c r="O34" s="41"/>
      <c r="P34" s="41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414"/>
      <c r="AN34" s="349"/>
    </row>
    <row r="35" spans="2:40" ht="24.6" customHeight="1">
      <c r="B35" s="348"/>
      <c r="C35" s="400"/>
      <c r="D35" s="400"/>
      <c r="E35" s="400"/>
      <c r="F35" s="400"/>
      <c r="G35" s="292"/>
      <c r="H35" s="400"/>
      <c r="I35" s="400"/>
      <c r="J35" s="292"/>
      <c r="K35" s="402">
        <f>SUM(K33:P33)</f>
        <v>1036</v>
      </c>
      <c r="L35" s="402"/>
      <c r="M35" s="402"/>
      <c r="N35" s="402"/>
      <c r="O35" s="402"/>
      <c r="P35" s="402"/>
      <c r="Q35" s="292"/>
      <c r="R35" s="403">
        <f>SUM(R33:W33)</f>
        <v>797</v>
      </c>
      <c r="S35" s="403"/>
      <c r="T35" s="403"/>
      <c r="U35" s="403"/>
      <c r="V35" s="403"/>
      <c r="W35" s="403"/>
      <c r="X35" s="292"/>
      <c r="Y35" s="404">
        <f>SUM(Y33:AD33)</f>
        <v>239</v>
      </c>
      <c r="Z35" s="404"/>
      <c r="AA35" s="404"/>
      <c r="AB35" s="404"/>
      <c r="AC35" s="404"/>
      <c r="AD35" s="404"/>
      <c r="AE35" s="292"/>
      <c r="AF35" s="405">
        <f>SUM(AF33:AK33)</f>
        <v>286.80000000000007</v>
      </c>
      <c r="AG35" s="405"/>
      <c r="AH35" s="405"/>
      <c r="AI35" s="405"/>
      <c r="AJ35" s="405"/>
      <c r="AK35" s="405"/>
      <c r="AL35" s="292"/>
      <c r="AM35" s="414"/>
      <c r="AN35" s="349"/>
    </row>
    <row r="36" spans="2:40" ht="15.75" hidden="1" thickBot="1">
      <c r="B36" s="353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354"/>
      <c r="AB36" s="354"/>
      <c r="AC36" s="354"/>
      <c r="AD36" s="354"/>
      <c r="AE36" s="354"/>
      <c r="AF36" s="354"/>
      <c r="AG36" s="354"/>
      <c r="AH36" s="354"/>
      <c r="AI36" s="354"/>
      <c r="AJ36" s="354"/>
      <c r="AK36" s="354"/>
      <c r="AL36" s="354"/>
      <c r="AM36" s="354"/>
      <c r="AN36" s="355"/>
    </row>
    <row r="37" spans="2:40" ht="13.5" hidden="1" customHeight="1">
      <c r="B37" s="348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350"/>
      <c r="AI37" s="350"/>
      <c r="AJ37" s="350"/>
      <c r="AK37" s="350"/>
      <c r="AL37" s="350"/>
      <c r="AM37" s="350"/>
      <c r="AN37" s="349"/>
    </row>
    <row r="38" spans="2:40" ht="4.9000000000000004" customHeight="1">
      <c r="B38" s="348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  <c r="AK38" s="350"/>
      <c r="AL38" s="350"/>
      <c r="AM38" s="350"/>
      <c r="AN38" s="349"/>
    </row>
    <row r="39" spans="2:40" ht="19.149999999999999" customHeight="1">
      <c r="B39" s="348"/>
      <c r="C39" s="398" t="s">
        <v>1566</v>
      </c>
      <c r="D39" s="398"/>
      <c r="E39" s="398"/>
      <c r="F39" s="398"/>
      <c r="G39" s="356"/>
      <c r="H39" s="357" t="s">
        <v>5340</v>
      </c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49"/>
    </row>
    <row r="40" spans="2:40" ht="4.9000000000000004" customHeight="1" thickBot="1">
      <c r="B40" s="353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  <c r="AB40" s="354"/>
      <c r="AC40" s="354"/>
      <c r="AD40" s="354"/>
      <c r="AE40" s="354"/>
      <c r="AF40" s="354"/>
      <c r="AG40" s="354"/>
      <c r="AH40" s="354"/>
      <c r="AI40" s="354"/>
      <c r="AJ40" s="354"/>
      <c r="AK40" s="354"/>
      <c r="AL40" s="354"/>
      <c r="AM40" s="354"/>
      <c r="AN40" s="355"/>
    </row>
    <row r="41" spans="2:40" ht="13.5" customHeight="1">
      <c r="B41" s="351"/>
      <c r="C41" s="351"/>
      <c r="D41" s="351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51"/>
      <c r="AB41" s="351"/>
      <c r="AC41" s="351"/>
      <c r="AD41" s="351"/>
      <c r="AE41" s="351"/>
      <c r="AF41" s="351"/>
      <c r="AG41" s="351"/>
      <c r="AH41" s="351"/>
      <c r="AI41" s="351"/>
      <c r="AJ41" s="351"/>
      <c r="AK41" s="351"/>
      <c r="AL41" s="351"/>
      <c r="AM41" s="351"/>
      <c r="AN41" s="351"/>
    </row>
    <row r="42" spans="2:40" ht="13.5" customHeight="1">
      <c r="B42" s="351"/>
      <c r="C42" s="351"/>
      <c r="D42" s="351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51"/>
      <c r="AB42" s="351"/>
      <c r="AC42" s="351"/>
      <c r="AD42" s="351"/>
      <c r="AE42" s="351"/>
      <c r="AF42" s="351"/>
      <c r="AG42" s="351"/>
      <c r="AH42" s="351"/>
      <c r="AI42" s="351"/>
      <c r="AJ42" s="351"/>
      <c r="AK42" s="351"/>
      <c r="AL42" s="351"/>
      <c r="AM42" s="351"/>
      <c r="AN42" s="351"/>
    </row>
    <row r="43" spans="2:40" ht="13.5" customHeight="1"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  <c r="AA43" s="351"/>
      <c r="AB43" s="351"/>
      <c r="AC43" s="351"/>
      <c r="AD43" s="351"/>
      <c r="AE43" s="351"/>
      <c r="AF43" s="351"/>
      <c r="AG43" s="351"/>
      <c r="AH43" s="351"/>
      <c r="AI43" s="351"/>
      <c r="AJ43" s="351"/>
      <c r="AK43" s="351"/>
      <c r="AL43" s="351"/>
      <c r="AM43" s="351"/>
      <c r="AN43" s="351"/>
    </row>
    <row r="44" spans="2:40" ht="13.5" customHeight="1"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351"/>
      <c r="AB44" s="351"/>
      <c r="AC44" s="351"/>
      <c r="AD44" s="351"/>
      <c r="AE44" s="351"/>
      <c r="AF44" s="351"/>
      <c r="AG44" s="351"/>
      <c r="AH44" s="351"/>
      <c r="AI44" s="351"/>
      <c r="AJ44" s="351"/>
      <c r="AK44" s="351"/>
      <c r="AL44" s="351"/>
      <c r="AM44" s="351"/>
      <c r="AN44" s="351"/>
    </row>
    <row r="45" spans="2:40" ht="13.5" customHeight="1">
      <c r="B45" s="351"/>
      <c r="C45" s="351"/>
      <c r="D45" s="351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351"/>
      <c r="AB45" s="351"/>
      <c r="AC45" s="351"/>
      <c r="AD45" s="351"/>
      <c r="AE45" s="351"/>
      <c r="AF45" s="351"/>
      <c r="AG45" s="351"/>
      <c r="AH45" s="351"/>
      <c r="AI45" s="351"/>
      <c r="AJ45" s="351"/>
      <c r="AK45" s="351"/>
      <c r="AL45" s="351"/>
      <c r="AM45" s="351"/>
      <c r="AN45" s="351"/>
    </row>
    <row r="46" spans="2:40" ht="13.5" customHeight="1">
      <c r="B46" s="351"/>
      <c r="C46" s="351"/>
      <c r="D46" s="351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  <c r="AA46" s="351"/>
      <c r="AB46" s="351"/>
      <c r="AC46" s="351"/>
      <c r="AD46" s="351"/>
      <c r="AE46" s="351"/>
      <c r="AF46" s="351"/>
      <c r="AG46" s="351"/>
      <c r="AH46" s="351"/>
      <c r="AI46" s="351"/>
      <c r="AJ46" s="351"/>
      <c r="AK46" s="351"/>
      <c r="AL46" s="351"/>
      <c r="AM46" s="351"/>
      <c r="AN46" s="351"/>
    </row>
    <row r="47" spans="2:40" ht="13.5" customHeight="1">
      <c r="B47" s="351"/>
      <c r="C47" s="351"/>
      <c r="D47" s="351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  <c r="AA47" s="351"/>
      <c r="AB47" s="351"/>
      <c r="AC47" s="351"/>
      <c r="AD47" s="351"/>
      <c r="AE47" s="351"/>
      <c r="AF47" s="351"/>
      <c r="AG47" s="351"/>
      <c r="AH47" s="351"/>
      <c r="AI47" s="351"/>
      <c r="AJ47" s="351"/>
      <c r="AK47" s="351"/>
      <c r="AL47" s="351"/>
      <c r="AM47" s="351"/>
      <c r="AN47" s="351"/>
    </row>
  </sheetData>
  <mergeCells count="24">
    <mergeCell ref="E30:E31"/>
    <mergeCell ref="C3:AM3"/>
    <mergeCell ref="C5:C6"/>
    <mergeCell ref="E5:F6"/>
    <mergeCell ref="H5:I5"/>
    <mergeCell ref="K5:P5"/>
    <mergeCell ref="R5:W5"/>
    <mergeCell ref="Y5:AD5"/>
    <mergeCell ref="AF5:AK5"/>
    <mergeCell ref="AM5:AM6"/>
    <mergeCell ref="E8:E10"/>
    <mergeCell ref="E11:E15"/>
    <mergeCell ref="E16:E20"/>
    <mergeCell ref="E21:E24"/>
    <mergeCell ref="E25:E28"/>
    <mergeCell ref="C39:F39"/>
    <mergeCell ref="C33:F35"/>
    <mergeCell ref="H33:H35"/>
    <mergeCell ref="I33:I35"/>
    <mergeCell ref="AM33:AM35"/>
    <mergeCell ref="K35:P35"/>
    <mergeCell ref="R35:W35"/>
    <mergeCell ref="Y35:AD35"/>
    <mergeCell ref="AF35:AK35"/>
  </mergeCells>
  <pageMargins left="0.25" right="0.25" top="0.75" bottom="0.75" header="0.3" footer="0.3"/>
  <pageSetup paperSize="9" scale="85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K37"/>
  <sheetViews>
    <sheetView showGridLines="0" tabSelected="1" topLeftCell="A16" zoomScale="90" zoomScaleNormal="90" zoomScaleSheetLayoutView="68" workbookViewId="0">
      <selection activeCell="M22" sqref="M22"/>
    </sheetView>
  </sheetViews>
  <sheetFormatPr defaultRowHeight="15"/>
  <cols>
    <col min="1" max="1" width="3.28515625" customWidth="1"/>
    <col min="2" max="2" width="0.85546875" customWidth="1"/>
    <col min="3" max="3" width="6.7109375" customWidth="1"/>
    <col min="4" max="4" width="1" customWidth="1"/>
    <col min="5" max="5" width="4.28515625" customWidth="1"/>
    <col min="6" max="6" width="0.85546875" customWidth="1"/>
    <col min="7" max="7" width="6.42578125" customWidth="1"/>
    <col min="8" max="8" width="8.28515625" customWidth="1"/>
    <col min="9" max="9" width="1" customWidth="1"/>
    <col min="10" max="10" width="6.42578125" bestFit="1" customWidth="1"/>
    <col min="11" max="11" width="6.85546875" bestFit="1" customWidth="1"/>
    <col min="12" max="12" width="1" customWidth="1"/>
    <col min="13" max="15" width="9.42578125" customWidth="1"/>
    <col min="16" max="16" width="1" customWidth="1"/>
    <col min="17" max="27" width="6.28515625" customWidth="1"/>
    <col min="28" max="28" width="1" customWidth="1"/>
    <col min="29" max="29" width="12.7109375" customWidth="1"/>
    <col min="30" max="30" width="9.42578125" customWidth="1"/>
    <col min="31" max="34" width="5.28515625" customWidth="1"/>
    <col min="35" max="35" width="1" customWidth="1"/>
    <col min="36" max="36" width="16.42578125" customWidth="1"/>
    <col min="37" max="37" width="1" customWidth="1"/>
  </cols>
  <sheetData>
    <row r="1" spans="2:37" ht="15.75" thickBot="1"/>
    <row r="2" spans="2:37" ht="4.9000000000000004" customHeight="1">
      <c r="B2" s="4"/>
      <c r="C2" s="6"/>
      <c r="D2" s="6"/>
      <c r="E2" s="5"/>
      <c r="F2" s="5"/>
      <c r="G2" s="5"/>
      <c r="H2" s="5"/>
      <c r="I2" s="5"/>
      <c r="J2" s="6"/>
      <c r="K2" s="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5"/>
      <c r="AD2" s="5"/>
      <c r="AE2" s="5"/>
      <c r="AF2" s="5"/>
      <c r="AG2" s="5"/>
      <c r="AH2" s="5"/>
      <c r="AI2" s="5"/>
      <c r="AJ2" s="6"/>
      <c r="AK2" s="56"/>
    </row>
    <row r="3" spans="2:37" ht="27" customHeight="1">
      <c r="B3" s="7"/>
      <c r="C3" s="421" t="s">
        <v>1567</v>
      </c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1"/>
      <c r="AJ3" s="421"/>
      <c r="AK3" s="57"/>
    </row>
    <row r="4" spans="2:37" ht="4.9000000000000004" customHeight="1">
      <c r="B4" s="7"/>
      <c r="C4" s="319"/>
      <c r="D4" s="319"/>
      <c r="E4" s="289"/>
      <c r="F4" s="289"/>
      <c r="G4" s="289"/>
      <c r="H4" s="289"/>
      <c r="I4" s="289"/>
      <c r="J4" s="319"/>
      <c r="K4" s="31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319"/>
      <c r="AC4" s="289"/>
      <c r="AD4" s="289"/>
      <c r="AE4" s="289"/>
      <c r="AF4" s="289"/>
      <c r="AG4" s="289"/>
      <c r="AH4" s="289"/>
      <c r="AI4" s="289"/>
      <c r="AJ4" s="319"/>
      <c r="AK4" s="57"/>
    </row>
    <row r="5" spans="2:37" ht="22.15" customHeight="1">
      <c r="B5" s="7"/>
      <c r="C5" s="420" t="s">
        <v>1568</v>
      </c>
      <c r="D5" s="22"/>
      <c r="E5" s="420" t="s">
        <v>121</v>
      </c>
      <c r="F5" s="420"/>
      <c r="G5" s="420"/>
      <c r="H5" s="420"/>
      <c r="I5" s="8"/>
      <c r="J5" s="420" t="s">
        <v>1569</v>
      </c>
      <c r="K5" s="420"/>
      <c r="L5" s="8"/>
      <c r="M5" s="422" t="s">
        <v>1570</v>
      </c>
      <c r="N5" s="422"/>
      <c r="O5" s="423"/>
      <c r="P5" s="48"/>
      <c r="Q5" s="424" t="s">
        <v>1571</v>
      </c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23"/>
      <c r="AC5" s="425" t="s">
        <v>1572</v>
      </c>
      <c r="AD5" s="425"/>
      <c r="AE5" s="425"/>
      <c r="AF5" s="425"/>
      <c r="AG5" s="425"/>
      <c r="AH5" s="425"/>
      <c r="AI5" s="48"/>
      <c r="AJ5" s="420" t="s">
        <v>1573</v>
      </c>
      <c r="AK5" s="57"/>
    </row>
    <row r="6" spans="2:37" ht="30" customHeight="1">
      <c r="B6" s="7"/>
      <c r="C6" s="420"/>
      <c r="D6" s="22"/>
      <c r="E6" s="420"/>
      <c r="F6" s="420"/>
      <c r="G6" s="420"/>
      <c r="H6" s="420"/>
      <c r="I6" s="8"/>
      <c r="J6" s="426" t="s">
        <v>1574</v>
      </c>
      <c r="K6" s="427" t="s">
        <v>1556</v>
      </c>
      <c r="L6" s="8"/>
      <c r="M6" s="446" t="s">
        <v>1575</v>
      </c>
      <c r="N6" s="434" t="s">
        <v>1576</v>
      </c>
      <c r="O6" s="448" t="s">
        <v>1577</v>
      </c>
      <c r="P6" s="48"/>
      <c r="Q6" s="437" t="s">
        <v>1575</v>
      </c>
      <c r="R6" s="438"/>
      <c r="S6" s="438"/>
      <c r="T6" s="439"/>
      <c r="U6" s="440" t="s">
        <v>1576</v>
      </c>
      <c r="V6" s="441"/>
      <c r="W6" s="442"/>
      <c r="X6" s="429" t="s">
        <v>1577</v>
      </c>
      <c r="Y6" s="430"/>
      <c r="Z6" s="430"/>
      <c r="AA6" s="431"/>
      <c r="AB6" s="23"/>
      <c r="AC6" s="432" t="s">
        <v>1578</v>
      </c>
      <c r="AD6" s="434" t="s">
        <v>1576</v>
      </c>
      <c r="AE6" s="436" t="s">
        <v>1577</v>
      </c>
      <c r="AF6" s="436"/>
      <c r="AG6" s="436"/>
      <c r="AH6" s="436"/>
      <c r="AI6" s="48"/>
      <c r="AJ6" s="420"/>
      <c r="AK6" s="57"/>
    </row>
    <row r="7" spans="2:37" ht="15" customHeight="1">
      <c r="B7" s="7"/>
      <c r="C7" s="420"/>
      <c r="D7" s="22"/>
      <c r="E7" s="420"/>
      <c r="F7" s="420"/>
      <c r="G7" s="420"/>
      <c r="H7" s="420"/>
      <c r="I7" s="8"/>
      <c r="J7" s="418"/>
      <c r="K7" s="428"/>
      <c r="L7" s="8"/>
      <c r="M7" s="447"/>
      <c r="N7" s="435"/>
      <c r="O7" s="449"/>
      <c r="P7" s="48"/>
      <c r="Q7" s="172" t="s">
        <v>1579</v>
      </c>
      <c r="R7" s="172" t="s">
        <v>1580</v>
      </c>
      <c r="S7" s="172" t="s">
        <v>1581</v>
      </c>
      <c r="T7" s="173" t="s">
        <v>1582</v>
      </c>
      <c r="U7" s="174" t="s">
        <v>1579</v>
      </c>
      <c r="V7" s="174" t="s">
        <v>1581</v>
      </c>
      <c r="W7" s="175" t="s">
        <v>1582</v>
      </c>
      <c r="X7" s="176" t="s">
        <v>1579</v>
      </c>
      <c r="Y7" s="176" t="s">
        <v>1580</v>
      </c>
      <c r="Z7" s="176" t="s">
        <v>1581</v>
      </c>
      <c r="AA7" s="177" t="s">
        <v>1582</v>
      </c>
      <c r="AB7" s="23"/>
      <c r="AC7" s="433"/>
      <c r="AD7" s="435"/>
      <c r="AE7" s="176" t="s">
        <v>1574</v>
      </c>
      <c r="AF7" s="176" t="s">
        <v>1583</v>
      </c>
      <c r="AG7" s="176" t="s">
        <v>1584</v>
      </c>
      <c r="AH7" s="176" t="s">
        <v>1585</v>
      </c>
      <c r="AI7" s="48"/>
      <c r="AJ7" s="420"/>
      <c r="AK7" s="57"/>
    </row>
    <row r="8" spans="2:37" ht="4.9000000000000004" customHeight="1">
      <c r="B8" s="7"/>
      <c r="C8" s="10"/>
      <c r="D8" s="320"/>
      <c r="E8" s="289"/>
      <c r="F8" s="289"/>
      <c r="G8" s="9"/>
      <c r="H8" s="9"/>
      <c r="I8" s="321"/>
      <c r="J8" s="10"/>
      <c r="K8" s="10"/>
      <c r="L8" s="321"/>
      <c r="M8" s="24"/>
      <c r="N8" s="24"/>
      <c r="O8" s="24"/>
      <c r="P8" s="322"/>
      <c r="Q8" s="24"/>
      <c r="R8" s="24"/>
      <c r="S8" s="24"/>
      <c r="T8" s="24"/>
      <c r="U8" s="24"/>
      <c r="V8" s="24"/>
      <c r="W8" s="24"/>
      <c r="X8" s="178"/>
      <c r="Y8" s="178"/>
      <c r="Z8" s="178"/>
      <c r="AA8" s="179"/>
      <c r="AB8" s="320"/>
      <c r="AC8" s="24"/>
      <c r="AD8" s="24"/>
      <c r="AE8" s="24"/>
      <c r="AF8" s="24"/>
      <c r="AG8" s="24"/>
      <c r="AH8" s="24"/>
      <c r="AI8" s="322"/>
      <c r="AJ8" s="10"/>
      <c r="AK8" s="57"/>
    </row>
    <row r="9" spans="2:37" ht="17.45" customHeight="1">
      <c r="B9" s="7"/>
      <c r="C9" s="13">
        <v>1</v>
      </c>
      <c r="D9" s="25"/>
      <c r="E9" s="450" t="s">
        <v>1561</v>
      </c>
      <c r="F9" s="289"/>
      <c r="G9" s="11" t="s">
        <v>5</v>
      </c>
      <c r="H9" s="11" t="s">
        <v>1586</v>
      </c>
      <c r="I9" s="12"/>
      <c r="J9" s="13">
        <v>147</v>
      </c>
      <c r="K9" s="180">
        <v>65</v>
      </c>
      <c r="L9" s="12"/>
      <c r="M9" s="296">
        <v>86</v>
      </c>
      <c r="N9" s="297">
        <v>14</v>
      </c>
      <c r="O9" s="47">
        <v>173</v>
      </c>
      <c r="P9" s="49"/>
      <c r="Q9" s="184">
        <v>14</v>
      </c>
      <c r="R9" s="184">
        <v>9</v>
      </c>
      <c r="S9" s="184">
        <v>27</v>
      </c>
      <c r="T9" s="184">
        <f>M9-(Q9+R9+S9)</f>
        <v>36</v>
      </c>
      <c r="U9" s="297">
        <v>3</v>
      </c>
      <c r="V9" s="297">
        <v>8</v>
      </c>
      <c r="W9" s="297">
        <f>N9-(U9+V9)</f>
        <v>3</v>
      </c>
      <c r="X9" s="47">
        <v>0</v>
      </c>
      <c r="Y9" s="47">
        <v>61</v>
      </c>
      <c r="Z9" s="47">
        <v>55</v>
      </c>
      <c r="AA9" s="47">
        <f>O9-(X9+Y9+Z9)</f>
        <v>57</v>
      </c>
      <c r="AB9" s="302"/>
      <c r="AC9" s="303" t="s">
        <v>1587</v>
      </c>
      <c r="AD9" s="304" t="s">
        <v>1587</v>
      </c>
      <c r="AE9" s="305" t="s">
        <v>1587</v>
      </c>
      <c r="AF9" s="305" t="s">
        <v>1587</v>
      </c>
      <c r="AG9" s="305" t="s">
        <v>1587</v>
      </c>
      <c r="AH9" s="305" t="s">
        <v>1587</v>
      </c>
      <c r="AI9" s="32"/>
      <c r="AJ9" s="181" t="s">
        <v>1588</v>
      </c>
      <c r="AK9" s="57"/>
    </row>
    <row r="10" spans="2:37" ht="17.45" customHeight="1">
      <c r="B10" s="7"/>
      <c r="C10" s="17">
        <v>2</v>
      </c>
      <c r="D10" s="33"/>
      <c r="E10" s="450"/>
      <c r="F10" s="289"/>
      <c r="G10" s="11" t="s">
        <v>7</v>
      </c>
      <c r="H10" s="11" t="s">
        <v>1589</v>
      </c>
      <c r="I10" s="12"/>
      <c r="J10" s="17">
        <v>12</v>
      </c>
      <c r="K10" s="182">
        <v>2</v>
      </c>
      <c r="L10" s="12"/>
      <c r="M10" s="296">
        <v>8</v>
      </c>
      <c r="N10" s="297">
        <v>2</v>
      </c>
      <c r="O10" s="47">
        <v>8</v>
      </c>
      <c r="P10" s="49"/>
      <c r="Q10" s="306">
        <v>0</v>
      </c>
      <c r="R10" s="184">
        <v>2</v>
      </c>
      <c r="S10" s="184">
        <v>2</v>
      </c>
      <c r="T10" s="184">
        <f t="shared" ref="T10:T28" si="0">M10-(Q10+R10+S10)</f>
        <v>4</v>
      </c>
      <c r="U10" s="307">
        <v>0</v>
      </c>
      <c r="V10" s="297">
        <v>1</v>
      </c>
      <c r="W10" s="297">
        <f t="shared" ref="W10:W28" si="1">N10-(U10+V10)</f>
        <v>1</v>
      </c>
      <c r="X10" s="294"/>
      <c r="Y10" s="47">
        <v>6</v>
      </c>
      <c r="Z10" s="47">
        <v>2</v>
      </c>
      <c r="AA10" s="47">
        <f t="shared" ref="AA10:AA28" si="2">O10-(X10+Y10+Z10)</f>
        <v>0</v>
      </c>
      <c r="AB10" s="308"/>
      <c r="AC10" s="303" t="s">
        <v>1587</v>
      </c>
      <c r="AD10" s="295" t="s">
        <v>1590</v>
      </c>
      <c r="AE10" s="305" t="s">
        <v>1587</v>
      </c>
      <c r="AF10" s="305" t="s">
        <v>1587</v>
      </c>
      <c r="AG10" s="61"/>
      <c r="AH10" s="61"/>
      <c r="AI10" s="35"/>
      <c r="AJ10" s="181"/>
      <c r="AK10" s="57"/>
    </row>
    <row r="11" spans="2:37" ht="17.45" customHeight="1">
      <c r="B11" s="7"/>
      <c r="C11" s="13">
        <v>3</v>
      </c>
      <c r="D11" s="36"/>
      <c r="E11" s="450"/>
      <c r="F11" s="289"/>
      <c r="G11" s="11" t="s">
        <v>4</v>
      </c>
      <c r="H11" s="11" t="s">
        <v>1591</v>
      </c>
      <c r="I11" s="12"/>
      <c r="J11" s="14"/>
      <c r="K11" s="183"/>
      <c r="L11" s="12"/>
      <c r="M11" s="298"/>
      <c r="N11" s="299"/>
      <c r="O11" s="47">
        <v>2</v>
      </c>
      <c r="P11" s="50"/>
      <c r="Q11" s="184">
        <v>0</v>
      </c>
      <c r="R11" s="306">
        <v>0</v>
      </c>
      <c r="S11" s="306">
        <v>0</v>
      </c>
      <c r="T11" s="184">
        <f t="shared" si="0"/>
        <v>0</v>
      </c>
      <c r="U11" s="309"/>
      <c r="V11" s="309"/>
      <c r="W11" s="297">
        <f t="shared" si="1"/>
        <v>0</v>
      </c>
      <c r="X11" s="294"/>
      <c r="Y11" s="47">
        <v>2</v>
      </c>
      <c r="Z11" s="294"/>
      <c r="AA11" s="47">
        <f t="shared" si="2"/>
        <v>0</v>
      </c>
      <c r="AB11" s="38"/>
      <c r="AC11" s="303" t="s">
        <v>1587</v>
      </c>
      <c r="AD11" s="61"/>
      <c r="AE11" s="61"/>
      <c r="AF11" s="305" t="s">
        <v>1587</v>
      </c>
      <c r="AG11" s="305" t="s">
        <v>1587</v>
      </c>
      <c r="AH11" s="305" t="s">
        <v>1587</v>
      </c>
      <c r="AI11" s="38"/>
      <c r="AJ11" s="181" t="s">
        <v>1592</v>
      </c>
      <c r="AK11" s="57"/>
    </row>
    <row r="12" spans="2:37" ht="17.45" customHeight="1">
      <c r="B12" s="7"/>
      <c r="C12" s="370">
        <v>4</v>
      </c>
      <c r="D12" s="33"/>
      <c r="E12" s="443" t="s">
        <v>1562</v>
      </c>
      <c r="F12" s="289"/>
      <c r="G12" s="185" t="s">
        <v>16</v>
      </c>
      <c r="H12" s="185" t="s">
        <v>1593</v>
      </c>
      <c r="I12" s="12"/>
      <c r="J12" s="370">
        <v>74</v>
      </c>
      <c r="K12" s="186">
        <v>18</v>
      </c>
      <c r="L12" s="12"/>
      <c r="M12" s="296">
        <v>18</v>
      </c>
      <c r="N12" s="297">
        <v>3</v>
      </c>
      <c r="O12" s="47">
        <v>57</v>
      </c>
      <c r="P12" s="49"/>
      <c r="Q12" s="306">
        <v>2</v>
      </c>
      <c r="R12" s="184">
        <v>3</v>
      </c>
      <c r="S12" s="184">
        <v>5</v>
      </c>
      <c r="T12" s="184">
        <f t="shared" si="0"/>
        <v>8</v>
      </c>
      <c r="U12" s="307">
        <v>0</v>
      </c>
      <c r="V12" s="297">
        <v>2</v>
      </c>
      <c r="W12" s="297">
        <f t="shared" si="1"/>
        <v>1</v>
      </c>
      <c r="X12" s="294"/>
      <c r="Y12" s="47">
        <v>16</v>
      </c>
      <c r="Z12" s="47">
        <v>14</v>
      </c>
      <c r="AA12" s="47">
        <f t="shared" si="2"/>
        <v>27</v>
      </c>
      <c r="AB12" s="308"/>
      <c r="AC12" s="310" t="s">
        <v>1587</v>
      </c>
      <c r="AD12" s="311" t="s">
        <v>1590</v>
      </c>
      <c r="AE12" s="312" t="s">
        <v>1587</v>
      </c>
      <c r="AF12" s="312" t="s">
        <v>1587</v>
      </c>
      <c r="AG12" s="312" t="s">
        <v>1587</v>
      </c>
      <c r="AH12" s="312" t="s">
        <v>1587</v>
      </c>
      <c r="AI12" s="35"/>
      <c r="AJ12" s="181" t="s">
        <v>1594</v>
      </c>
      <c r="AK12" s="57"/>
    </row>
    <row r="13" spans="2:37" ht="17.45" customHeight="1">
      <c r="B13" s="7"/>
      <c r="C13" s="13">
        <v>5</v>
      </c>
      <c r="D13" s="33"/>
      <c r="E13" s="444"/>
      <c r="F13" s="289"/>
      <c r="G13" s="15" t="s">
        <v>15</v>
      </c>
      <c r="H13" s="15" t="s">
        <v>1595</v>
      </c>
      <c r="I13" s="12"/>
      <c r="J13" s="370">
        <v>14</v>
      </c>
      <c r="K13" s="186">
        <v>3</v>
      </c>
      <c r="L13" s="12"/>
      <c r="M13" s="296">
        <v>4</v>
      </c>
      <c r="N13" s="299"/>
      <c r="O13" s="300"/>
      <c r="P13" s="49"/>
      <c r="Q13" s="306">
        <v>0</v>
      </c>
      <c r="R13" s="184">
        <v>2</v>
      </c>
      <c r="S13" s="306">
        <v>0</v>
      </c>
      <c r="T13" s="184">
        <f t="shared" si="0"/>
        <v>2</v>
      </c>
      <c r="U13" s="309"/>
      <c r="V13" s="309"/>
      <c r="W13" s="297">
        <f t="shared" si="1"/>
        <v>0</v>
      </c>
      <c r="X13" s="294"/>
      <c r="Y13" s="294"/>
      <c r="Z13" s="294"/>
      <c r="AA13" s="47">
        <f t="shared" si="2"/>
        <v>0</v>
      </c>
      <c r="AB13" s="308"/>
      <c r="AC13" s="303" t="s">
        <v>1587</v>
      </c>
      <c r="AD13" s="61"/>
      <c r="AE13" s="313" t="s">
        <v>1596</v>
      </c>
      <c r="AF13" s="61"/>
      <c r="AG13" s="61"/>
      <c r="AH13" s="61"/>
      <c r="AI13" s="35"/>
      <c r="AJ13" s="181"/>
      <c r="AK13" s="57"/>
    </row>
    <row r="14" spans="2:37" ht="17.45" customHeight="1">
      <c r="B14" s="7"/>
      <c r="C14" s="17">
        <v>6</v>
      </c>
      <c r="D14" s="33"/>
      <c r="E14" s="444"/>
      <c r="F14" s="289"/>
      <c r="G14" s="15" t="s">
        <v>17</v>
      </c>
      <c r="H14" s="15" t="s">
        <v>1597</v>
      </c>
      <c r="I14" s="12"/>
      <c r="J14" s="17">
        <v>58</v>
      </c>
      <c r="K14" s="182">
        <v>18</v>
      </c>
      <c r="L14" s="12"/>
      <c r="M14" s="296">
        <v>15</v>
      </c>
      <c r="N14" s="301" t="s">
        <v>1590</v>
      </c>
      <c r="O14" s="47">
        <v>33</v>
      </c>
      <c r="P14" s="49"/>
      <c r="Q14" s="184">
        <v>1</v>
      </c>
      <c r="R14" s="184">
        <v>2</v>
      </c>
      <c r="S14" s="184">
        <v>5</v>
      </c>
      <c r="T14" s="184">
        <f t="shared" si="0"/>
        <v>7</v>
      </c>
      <c r="U14" s="309"/>
      <c r="V14" s="295" t="s">
        <v>1590</v>
      </c>
      <c r="W14" s="297"/>
      <c r="X14" s="47">
        <v>2</v>
      </c>
      <c r="Y14" s="47">
        <v>10</v>
      </c>
      <c r="Z14" s="47">
        <v>10</v>
      </c>
      <c r="AA14" s="47">
        <f t="shared" si="2"/>
        <v>11</v>
      </c>
      <c r="AB14" s="308"/>
      <c r="AC14" s="303" t="s">
        <v>1587</v>
      </c>
      <c r="AD14" s="61"/>
      <c r="AE14" s="305" t="s">
        <v>1587</v>
      </c>
      <c r="AF14" s="305" t="s">
        <v>1587</v>
      </c>
      <c r="AG14" s="305" t="s">
        <v>1587</v>
      </c>
      <c r="AH14" s="305" t="s">
        <v>1587</v>
      </c>
      <c r="AI14" s="35"/>
      <c r="AJ14" s="181" t="s">
        <v>1592</v>
      </c>
      <c r="AK14" s="57"/>
    </row>
    <row r="15" spans="2:37" ht="17.45" customHeight="1">
      <c r="B15" s="7"/>
      <c r="C15" s="13">
        <v>7</v>
      </c>
      <c r="D15" s="33"/>
      <c r="E15" s="444"/>
      <c r="F15" s="289"/>
      <c r="G15" s="15" t="s">
        <v>2</v>
      </c>
      <c r="H15" s="15" t="s">
        <v>1598</v>
      </c>
      <c r="I15" s="12"/>
      <c r="J15" s="370">
        <v>28</v>
      </c>
      <c r="K15" s="186">
        <v>7</v>
      </c>
      <c r="L15" s="12"/>
      <c r="M15" s="296">
        <v>3</v>
      </c>
      <c r="N15" s="299"/>
      <c r="O15" s="47">
        <v>13</v>
      </c>
      <c r="P15" s="49"/>
      <c r="Q15" s="314">
        <v>0</v>
      </c>
      <c r="R15" s="184">
        <v>0</v>
      </c>
      <c r="S15" s="184">
        <v>2</v>
      </c>
      <c r="T15" s="184">
        <f t="shared" si="0"/>
        <v>1</v>
      </c>
      <c r="U15" s="309"/>
      <c r="V15" s="309"/>
      <c r="W15" s="297">
        <f t="shared" si="1"/>
        <v>0</v>
      </c>
      <c r="X15" s="47">
        <v>1</v>
      </c>
      <c r="Y15" s="47">
        <v>5</v>
      </c>
      <c r="Z15" s="47">
        <v>5</v>
      </c>
      <c r="AA15" s="47">
        <f t="shared" si="2"/>
        <v>2</v>
      </c>
      <c r="AB15" s="308"/>
      <c r="AC15" s="303" t="s">
        <v>1587</v>
      </c>
      <c r="AD15" s="61"/>
      <c r="AE15" s="305" t="s">
        <v>1587</v>
      </c>
      <c r="AF15" s="305" t="s">
        <v>1587</v>
      </c>
      <c r="AG15" s="305" t="s">
        <v>1587</v>
      </c>
      <c r="AH15" s="305" t="s">
        <v>1587</v>
      </c>
      <c r="AI15" s="35"/>
      <c r="AJ15" s="181" t="s">
        <v>1599</v>
      </c>
      <c r="AK15" s="57"/>
    </row>
    <row r="16" spans="2:37" ht="17.45" customHeight="1">
      <c r="B16" s="7"/>
      <c r="C16" s="17">
        <v>8</v>
      </c>
      <c r="D16" s="33"/>
      <c r="E16" s="444"/>
      <c r="F16" s="289"/>
      <c r="G16" s="15" t="s">
        <v>12</v>
      </c>
      <c r="H16" s="15" t="s">
        <v>1600</v>
      </c>
      <c r="I16" s="12"/>
      <c r="J16" s="370">
        <v>11</v>
      </c>
      <c r="K16" s="186">
        <v>6</v>
      </c>
      <c r="L16" s="12"/>
      <c r="M16" s="296">
        <v>6</v>
      </c>
      <c r="N16" s="299"/>
      <c r="O16" s="47">
        <v>9</v>
      </c>
      <c r="P16" s="49"/>
      <c r="Q16" s="184">
        <v>0</v>
      </c>
      <c r="R16" s="184">
        <v>1</v>
      </c>
      <c r="S16" s="184">
        <v>2</v>
      </c>
      <c r="T16" s="184">
        <f t="shared" si="0"/>
        <v>3</v>
      </c>
      <c r="U16" s="309"/>
      <c r="V16" s="309"/>
      <c r="W16" s="297">
        <f t="shared" si="1"/>
        <v>0</v>
      </c>
      <c r="X16" s="47">
        <v>1</v>
      </c>
      <c r="Y16" s="47">
        <v>4</v>
      </c>
      <c r="Z16" s="47">
        <v>2</v>
      </c>
      <c r="AA16" s="47">
        <f t="shared" si="2"/>
        <v>2</v>
      </c>
      <c r="AB16" s="308"/>
      <c r="AC16" s="303" t="s">
        <v>1587</v>
      </c>
      <c r="AD16" s="61"/>
      <c r="AE16" s="305" t="s">
        <v>1587</v>
      </c>
      <c r="AF16" s="305" t="s">
        <v>1587</v>
      </c>
      <c r="AG16" s="305" t="s">
        <v>1587</v>
      </c>
      <c r="AH16" s="305" t="s">
        <v>1587</v>
      </c>
      <c r="AI16" s="35"/>
      <c r="AJ16" s="181" t="s">
        <v>1599</v>
      </c>
      <c r="AK16" s="57"/>
    </row>
    <row r="17" spans="2:37" ht="17.45" customHeight="1">
      <c r="B17" s="7"/>
      <c r="C17" s="13">
        <v>9</v>
      </c>
      <c r="D17" s="33"/>
      <c r="E17" s="444"/>
      <c r="F17" s="289"/>
      <c r="G17" s="15" t="s">
        <v>1</v>
      </c>
      <c r="H17" s="15" t="s">
        <v>1601</v>
      </c>
      <c r="I17" s="12"/>
      <c r="J17" s="370">
        <v>8</v>
      </c>
      <c r="K17" s="186">
        <v>2</v>
      </c>
      <c r="L17" s="12"/>
      <c r="M17" s="296">
        <v>3</v>
      </c>
      <c r="N17" s="299"/>
      <c r="O17" s="47">
        <v>3</v>
      </c>
      <c r="P17" s="49"/>
      <c r="Q17" s="306">
        <v>0</v>
      </c>
      <c r="R17" s="184">
        <v>2</v>
      </c>
      <c r="S17" s="306">
        <v>0</v>
      </c>
      <c r="T17" s="184">
        <f t="shared" si="0"/>
        <v>1</v>
      </c>
      <c r="U17" s="309"/>
      <c r="V17" s="309"/>
      <c r="W17" s="297">
        <f t="shared" si="1"/>
        <v>0</v>
      </c>
      <c r="X17" s="47">
        <v>3</v>
      </c>
      <c r="Y17" s="47">
        <v>0</v>
      </c>
      <c r="Z17" s="47">
        <v>0</v>
      </c>
      <c r="AA17" s="47">
        <f t="shared" si="2"/>
        <v>0</v>
      </c>
      <c r="AB17" s="308"/>
      <c r="AC17" s="303" t="s">
        <v>1587</v>
      </c>
      <c r="AD17" s="61"/>
      <c r="AE17" s="305" t="s">
        <v>1587</v>
      </c>
      <c r="AF17" s="305" t="s">
        <v>1587</v>
      </c>
      <c r="AG17" s="305" t="s">
        <v>1587</v>
      </c>
      <c r="AH17" s="305" t="s">
        <v>1587</v>
      </c>
      <c r="AI17" s="35"/>
      <c r="AJ17" s="181" t="s">
        <v>1592</v>
      </c>
      <c r="AK17" s="57"/>
    </row>
    <row r="18" spans="2:37" ht="17.45" customHeight="1">
      <c r="B18" s="7"/>
      <c r="C18" s="17">
        <v>10</v>
      </c>
      <c r="D18" s="33"/>
      <c r="E18" s="444"/>
      <c r="F18" s="289"/>
      <c r="G18" s="15" t="s">
        <v>14</v>
      </c>
      <c r="H18" s="15" t="s">
        <v>1602</v>
      </c>
      <c r="I18" s="12"/>
      <c r="J18" s="370">
        <v>6</v>
      </c>
      <c r="K18" s="186">
        <v>3</v>
      </c>
      <c r="L18" s="12"/>
      <c r="M18" s="296">
        <v>4</v>
      </c>
      <c r="N18" s="299"/>
      <c r="O18" s="299"/>
      <c r="P18" s="49"/>
      <c r="Q18" s="306">
        <v>0</v>
      </c>
      <c r="R18" s="184">
        <v>2</v>
      </c>
      <c r="S18" s="184">
        <v>0</v>
      </c>
      <c r="T18" s="184">
        <f t="shared" si="0"/>
        <v>2</v>
      </c>
      <c r="U18" s="309"/>
      <c r="V18" s="309"/>
      <c r="W18" s="297">
        <f t="shared" si="1"/>
        <v>0</v>
      </c>
      <c r="X18" s="294"/>
      <c r="Y18" s="294"/>
      <c r="Z18" s="294"/>
      <c r="AA18" s="47">
        <f t="shared" si="2"/>
        <v>0</v>
      </c>
      <c r="AB18" s="308"/>
      <c r="AC18" s="295" t="s">
        <v>1590</v>
      </c>
      <c r="AD18" s="61"/>
      <c r="AE18" s="313" t="s">
        <v>1596</v>
      </c>
      <c r="AF18" s="61"/>
      <c r="AG18" s="61"/>
      <c r="AH18" s="61"/>
      <c r="AI18" s="35"/>
      <c r="AJ18" s="181"/>
      <c r="AK18" s="57"/>
    </row>
    <row r="19" spans="2:37" ht="17.45" customHeight="1">
      <c r="B19" s="7"/>
      <c r="C19" s="13">
        <v>11</v>
      </c>
      <c r="D19" s="33"/>
      <c r="E19" s="445"/>
      <c r="F19" s="289"/>
      <c r="G19" s="15" t="s">
        <v>11</v>
      </c>
      <c r="H19" s="15" t="s">
        <v>1603</v>
      </c>
      <c r="I19" s="12"/>
      <c r="J19" s="370">
        <v>17</v>
      </c>
      <c r="K19" s="186">
        <v>7</v>
      </c>
      <c r="L19" s="12"/>
      <c r="M19" s="296">
        <v>3</v>
      </c>
      <c r="N19" s="299"/>
      <c r="O19" s="299"/>
      <c r="P19" s="49"/>
      <c r="Q19" s="314">
        <v>0</v>
      </c>
      <c r="R19" s="314">
        <v>0</v>
      </c>
      <c r="S19" s="184">
        <v>2</v>
      </c>
      <c r="T19" s="184">
        <f t="shared" si="0"/>
        <v>1</v>
      </c>
      <c r="U19" s="309"/>
      <c r="V19" s="309"/>
      <c r="W19" s="297">
        <f t="shared" si="1"/>
        <v>0</v>
      </c>
      <c r="X19" s="294"/>
      <c r="Y19" s="294"/>
      <c r="Z19" s="294"/>
      <c r="AA19" s="47">
        <f t="shared" si="2"/>
        <v>0</v>
      </c>
      <c r="AB19" s="308"/>
      <c r="AC19" s="295" t="s">
        <v>1590</v>
      </c>
      <c r="AD19" s="61"/>
      <c r="AE19" s="313" t="s">
        <v>1596</v>
      </c>
      <c r="AF19" s="61"/>
      <c r="AG19" s="61"/>
      <c r="AH19" s="61"/>
      <c r="AI19" s="35"/>
      <c r="AJ19" s="181"/>
      <c r="AK19" s="57"/>
    </row>
    <row r="20" spans="2:37" ht="17.45" customHeight="1">
      <c r="B20" s="7"/>
      <c r="C20" s="13"/>
      <c r="D20" s="33"/>
      <c r="E20" s="371"/>
      <c r="F20" s="289"/>
      <c r="G20" s="15" t="s">
        <v>1440</v>
      </c>
      <c r="H20" s="15"/>
      <c r="I20" s="12"/>
      <c r="J20" s="370">
        <v>18</v>
      </c>
      <c r="K20" s="186">
        <v>2</v>
      </c>
      <c r="L20" s="12"/>
      <c r="M20" s="296">
        <v>1</v>
      </c>
      <c r="N20" s="299"/>
      <c r="O20" s="299"/>
      <c r="P20" s="49"/>
      <c r="Q20" s="306">
        <v>1</v>
      </c>
      <c r="R20" s="314">
        <v>0</v>
      </c>
      <c r="S20" s="184">
        <v>0</v>
      </c>
      <c r="T20" s="184">
        <f t="shared" si="0"/>
        <v>0</v>
      </c>
      <c r="U20" s="309"/>
      <c r="V20" s="309"/>
      <c r="W20" s="297">
        <f t="shared" si="1"/>
        <v>0</v>
      </c>
      <c r="X20" s="294"/>
      <c r="Y20" s="294"/>
      <c r="Z20" s="294"/>
      <c r="AA20" s="47">
        <f t="shared" si="2"/>
        <v>0</v>
      </c>
      <c r="AB20" s="308"/>
      <c r="AC20" s="295"/>
      <c r="AD20" s="61"/>
      <c r="AE20" s="313"/>
      <c r="AF20" s="61"/>
      <c r="AG20" s="61"/>
      <c r="AH20" s="61"/>
      <c r="AI20" s="35"/>
      <c r="AJ20" s="181"/>
      <c r="AK20" s="57"/>
    </row>
    <row r="21" spans="2:37" ht="17.45" customHeight="1">
      <c r="B21" s="7"/>
      <c r="C21" s="17">
        <v>12</v>
      </c>
      <c r="D21" s="33"/>
      <c r="E21" s="451" t="s">
        <v>1563</v>
      </c>
      <c r="F21" s="289"/>
      <c r="G21" s="18" t="s">
        <v>8</v>
      </c>
      <c r="H21" s="18" t="s">
        <v>1604</v>
      </c>
      <c r="I21" s="12"/>
      <c r="J21" s="17">
        <v>37</v>
      </c>
      <c r="K21" s="182">
        <v>13</v>
      </c>
      <c r="L21" s="12"/>
      <c r="M21" s="296">
        <v>13</v>
      </c>
      <c r="N21" s="301" t="s">
        <v>1590</v>
      </c>
      <c r="O21" s="47">
        <v>36</v>
      </c>
      <c r="P21" s="49"/>
      <c r="Q21" s="306">
        <v>0</v>
      </c>
      <c r="R21" s="184">
        <v>3</v>
      </c>
      <c r="S21" s="184">
        <v>6</v>
      </c>
      <c r="T21" s="184">
        <f t="shared" si="0"/>
        <v>4</v>
      </c>
      <c r="U21" s="309"/>
      <c r="V21" s="309" t="s">
        <v>1590</v>
      </c>
      <c r="W21" s="297"/>
      <c r="X21" s="47">
        <v>1</v>
      </c>
      <c r="Y21" s="47">
        <v>6</v>
      </c>
      <c r="Z21" s="47">
        <v>17</v>
      </c>
      <c r="AA21" s="47">
        <f t="shared" si="2"/>
        <v>12</v>
      </c>
      <c r="AB21" s="308"/>
      <c r="AC21" s="303" t="s">
        <v>1587</v>
      </c>
      <c r="AD21" s="295" t="s">
        <v>1590</v>
      </c>
      <c r="AE21" s="305" t="s">
        <v>1587</v>
      </c>
      <c r="AF21" s="305" t="s">
        <v>1587</v>
      </c>
      <c r="AG21" s="305" t="s">
        <v>1587</v>
      </c>
      <c r="AH21" s="305" t="s">
        <v>1587</v>
      </c>
      <c r="AI21" s="35"/>
      <c r="AJ21" s="181" t="s">
        <v>1594</v>
      </c>
      <c r="AK21" s="57"/>
    </row>
    <row r="22" spans="2:37" ht="17.45" customHeight="1">
      <c r="B22" s="7"/>
      <c r="C22" s="13">
        <v>13</v>
      </c>
      <c r="D22" s="25"/>
      <c r="E22" s="452"/>
      <c r="F22" s="289"/>
      <c r="G22" s="18" t="s">
        <v>10</v>
      </c>
      <c r="H22" s="18" t="s">
        <v>1605</v>
      </c>
      <c r="I22" s="12"/>
      <c r="J22" s="17">
        <v>46</v>
      </c>
      <c r="K22" s="182">
        <v>5</v>
      </c>
      <c r="L22" s="12"/>
      <c r="M22" s="296">
        <v>0</v>
      </c>
      <c r="N22" s="14"/>
      <c r="O22" s="300"/>
      <c r="P22" s="49"/>
      <c r="Q22" s="314">
        <v>0</v>
      </c>
      <c r="R22" s="315">
        <v>1</v>
      </c>
      <c r="S22" s="315">
        <v>1</v>
      </c>
      <c r="T22" s="184">
        <f t="shared" si="0"/>
        <v>-2</v>
      </c>
      <c r="U22" s="309"/>
      <c r="V22" s="316"/>
      <c r="W22" s="297">
        <f t="shared" si="1"/>
        <v>0</v>
      </c>
      <c r="X22" s="294"/>
      <c r="Y22" s="294"/>
      <c r="Z22" s="294"/>
      <c r="AA22" s="47">
        <f t="shared" si="2"/>
        <v>0</v>
      </c>
      <c r="AB22" s="302"/>
      <c r="AC22" s="303" t="s">
        <v>1587</v>
      </c>
      <c r="AD22" s="60"/>
      <c r="AE22" s="60"/>
      <c r="AF22" s="60"/>
      <c r="AG22" s="60"/>
      <c r="AH22" s="60"/>
      <c r="AI22" s="53"/>
      <c r="AJ22" s="187"/>
      <c r="AK22" s="57"/>
    </row>
    <row r="23" spans="2:37" ht="17.45" customHeight="1">
      <c r="B23" s="7"/>
      <c r="C23" s="17">
        <v>14</v>
      </c>
      <c r="D23" s="33"/>
      <c r="E23" s="452"/>
      <c r="F23" s="289"/>
      <c r="G23" s="18" t="s">
        <v>6</v>
      </c>
      <c r="H23" s="18" t="s">
        <v>1606</v>
      </c>
      <c r="I23" s="12"/>
      <c r="J23" s="370">
        <v>28</v>
      </c>
      <c r="K23" s="186">
        <v>4</v>
      </c>
      <c r="L23" s="12"/>
      <c r="M23" s="296">
        <v>3</v>
      </c>
      <c r="N23" s="299"/>
      <c r="O23" s="299"/>
      <c r="P23" s="49"/>
      <c r="Q23" s="306">
        <v>0</v>
      </c>
      <c r="R23" s="184">
        <v>1</v>
      </c>
      <c r="S23" s="184">
        <v>2</v>
      </c>
      <c r="T23" s="184">
        <f t="shared" si="0"/>
        <v>0</v>
      </c>
      <c r="U23" s="309"/>
      <c r="V23" s="309"/>
      <c r="W23" s="297">
        <f t="shared" si="1"/>
        <v>0</v>
      </c>
      <c r="X23" s="294"/>
      <c r="Y23" s="294"/>
      <c r="Z23" s="294"/>
      <c r="AA23" s="47">
        <f t="shared" si="2"/>
        <v>0</v>
      </c>
      <c r="AB23" s="308"/>
      <c r="AC23" s="303" t="s">
        <v>1587</v>
      </c>
      <c r="AD23" s="61"/>
      <c r="AE23" s="313" t="s">
        <v>1596</v>
      </c>
      <c r="AF23" s="60"/>
      <c r="AG23" s="60"/>
      <c r="AH23" s="60"/>
      <c r="AI23" s="35"/>
      <c r="AJ23" s="181"/>
      <c r="AK23" s="57"/>
    </row>
    <row r="24" spans="2:37" ht="17.45" customHeight="1">
      <c r="B24" s="7"/>
      <c r="C24" s="13">
        <v>15</v>
      </c>
      <c r="D24" s="33"/>
      <c r="E24" s="452"/>
      <c r="F24" s="289"/>
      <c r="G24" s="18" t="s">
        <v>9</v>
      </c>
      <c r="H24" s="18" t="s">
        <v>1607</v>
      </c>
      <c r="I24" s="12"/>
      <c r="J24" s="370">
        <v>17</v>
      </c>
      <c r="K24" s="186">
        <v>5</v>
      </c>
      <c r="L24" s="12"/>
      <c r="M24" s="296">
        <v>4</v>
      </c>
      <c r="N24" s="299"/>
      <c r="O24" s="47">
        <v>6</v>
      </c>
      <c r="P24" s="49"/>
      <c r="Q24" s="306">
        <v>0</v>
      </c>
      <c r="R24" s="184">
        <v>1</v>
      </c>
      <c r="S24" s="184">
        <v>1</v>
      </c>
      <c r="T24" s="184">
        <f t="shared" si="0"/>
        <v>2</v>
      </c>
      <c r="U24" s="309"/>
      <c r="V24" s="309"/>
      <c r="W24" s="297">
        <f t="shared" si="1"/>
        <v>0</v>
      </c>
      <c r="X24" s="47">
        <v>0</v>
      </c>
      <c r="Y24" s="47">
        <v>0</v>
      </c>
      <c r="Z24" s="47">
        <v>7</v>
      </c>
      <c r="AA24" s="47">
        <f t="shared" si="2"/>
        <v>-1</v>
      </c>
      <c r="AB24" s="308"/>
      <c r="AC24" s="303" t="s">
        <v>1587</v>
      </c>
      <c r="AD24" s="61"/>
      <c r="AE24" s="313" t="s">
        <v>1596</v>
      </c>
      <c r="AF24" s="305" t="s">
        <v>1587</v>
      </c>
      <c r="AG24" s="305" t="s">
        <v>1587</v>
      </c>
      <c r="AH24" s="305" t="s">
        <v>1587</v>
      </c>
      <c r="AI24" s="35"/>
      <c r="AJ24" s="181" t="s">
        <v>1592</v>
      </c>
      <c r="AK24" s="57"/>
    </row>
    <row r="25" spans="2:37" ht="17.45" customHeight="1">
      <c r="B25" s="7"/>
      <c r="C25" s="17">
        <v>16</v>
      </c>
      <c r="D25" s="33"/>
      <c r="E25" s="452"/>
      <c r="F25" s="289"/>
      <c r="G25" s="18" t="s">
        <v>1564</v>
      </c>
      <c r="H25" s="18" t="s">
        <v>1608</v>
      </c>
      <c r="I25" s="12"/>
      <c r="J25" s="370">
        <v>28</v>
      </c>
      <c r="K25" s="186">
        <v>4</v>
      </c>
      <c r="L25" s="12"/>
      <c r="M25" s="296">
        <v>4</v>
      </c>
      <c r="N25" s="299"/>
      <c r="O25" s="300"/>
      <c r="P25" s="49"/>
      <c r="Q25" s="314">
        <v>0</v>
      </c>
      <c r="R25" s="184">
        <v>3</v>
      </c>
      <c r="S25" s="184">
        <v>0</v>
      </c>
      <c r="T25" s="184">
        <f t="shared" si="0"/>
        <v>1</v>
      </c>
      <c r="U25" s="309"/>
      <c r="V25" s="309"/>
      <c r="W25" s="297">
        <f t="shared" si="1"/>
        <v>0</v>
      </c>
      <c r="X25" s="294"/>
      <c r="Y25" s="294"/>
      <c r="Z25" s="294"/>
      <c r="AA25" s="47">
        <f t="shared" si="2"/>
        <v>0</v>
      </c>
      <c r="AB25" s="308"/>
      <c r="AC25" s="303" t="s">
        <v>1587</v>
      </c>
      <c r="AD25" s="61"/>
      <c r="AE25" s="313" t="s">
        <v>1596</v>
      </c>
      <c r="AF25" s="61"/>
      <c r="AG25" s="61"/>
      <c r="AH25" s="61"/>
      <c r="AI25" s="35"/>
      <c r="AJ25" s="181"/>
      <c r="AK25" s="57"/>
    </row>
    <row r="26" spans="2:37" ht="17.45" customHeight="1">
      <c r="B26" s="7"/>
      <c r="C26" s="13">
        <v>17</v>
      </c>
      <c r="D26" s="33"/>
      <c r="E26" s="452"/>
      <c r="F26" s="289"/>
      <c r="G26" s="18" t="s">
        <v>18</v>
      </c>
      <c r="H26" s="18" t="s">
        <v>1609</v>
      </c>
      <c r="I26" s="12"/>
      <c r="J26" s="370">
        <v>17</v>
      </c>
      <c r="K26" s="186">
        <v>2</v>
      </c>
      <c r="L26" s="12"/>
      <c r="M26" s="296">
        <v>3</v>
      </c>
      <c r="N26" s="299"/>
      <c r="O26" s="300"/>
      <c r="P26" s="49"/>
      <c r="Q26" s="306">
        <v>0</v>
      </c>
      <c r="R26" s="306">
        <v>2</v>
      </c>
      <c r="S26" s="184">
        <v>0</v>
      </c>
      <c r="T26" s="184">
        <f t="shared" si="0"/>
        <v>1</v>
      </c>
      <c r="U26" s="309"/>
      <c r="V26" s="309"/>
      <c r="W26" s="297">
        <f t="shared" si="1"/>
        <v>0</v>
      </c>
      <c r="X26" s="294"/>
      <c r="Y26" s="294"/>
      <c r="Z26" s="294"/>
      <c r="AA26" s="47">
        <f t="shared" si="2"/>
        <v>0</v>
      </c>
      <c r="AB26" s="317"/>
      <c r="AC26" s="295" t="s">
        <v>1590</v>
      </c>
      <c r="AD26" s="61"/>
      <c r="AE26" s="313" t="s">
        <v>1596</v>
      </c>
      <c r="AF26" s="61"/>
      <c r="AG26" s="61"/>
      <c r="AH26" s="61"/>
      <c r="AI26" s="35"/>
      <c r="AJ26" s="181"/>
      <c r="AK26" s="57"/>
    </row>
    <row r="27" spans="2:37" ht="17.45" customHeight="1">
      <c r="B27" s="7"/>
      <c r="C27" s="17">
        <v>18</v>
      </c>
      <c r="D27" s="33"/>
      <c r="E27" s="452"/>
      <c r="F27" s="289"/>
      <c r="G27" s="18" t="s">
        <v>1425</v>
      </c>
      <c r="H27" s="18"/>
      <c r="I27" s="12"/>
      <c r="J27" s="370">
        <v>16</v>
      </c>
      <c r="K27" s="186">
        <v>2</v>
      </c>
      <c r="L27" s="12"/>
      <c r="M27" s="296">
        <v>2</v>
      </c>
      <c r="N27" s="299"/>
      <c r="O27" s="300"/>
      <c r="P27" s="49"/>
      <c r="Q27" s="306">
        <v>0</v>
      </c>
      <c r="R27" s="306">
        <v>1</v>
      </c>
      <c r="S27" s="184">
        <v>0</v>
      </c>
      <c r="T27" s="184">
        <f t="shared" si="0"/>
        <v>1</v>
      </c>
      <c r="U27" s="309"/>
      <c r="V27" s="309"/>
      <c r="W27" s="297"/>
      <c r="X27" s="294"/>
      <c r="Y27" s="294"/>
      <c r="Z27" s="294"/>
      <c r="AA27" s="47"/>
      <c r="AB27" s="308"/>
      <c r="AC27" s="295"/>
      <c r="AD27" s="61"/>
      <c r="AE27" s="313"/>
      <c r="AF27" s="61"/>
      <c r="AG27" s="61"/>
      <c r="AH27" s="61"/>
      <c r="AI27" s="35"/>
      <c r="AJ27" s="181"/>
      <c r="AK27" s="57"/>
    </row>
    <row r="28" spans="2:37" ht="17.45" customHeight="1">
      <c r="B28" s="7"/>
      <c r="C28" s="13">
        <v>19</v>
      </c>
      <c r="D28" s="33"/>
      <c r="E28" s="453"/>
      <c r="F28" s="289"/>
      <c r="G28" s="18" t="s">
        <v>3</v>
      </c>
      <c r="H28" s="18" t="s">
        <v>1610</v>
      </c>
      <c r="I28" s="12"/>
      <c r="J28" s="370">
        <v>27</v>
      </c>
      <c r="K28" s="186">
        <v>6</v>
      </c>
      <c r="L28" s="12"/>
      <c r="M28" s="296">
        <v>2</v>
      </c>
      <c r="N28" s="299"/>
      <c r="O28" s="47">
        <v>5</v>
      </c>
      <c r="P28" s="49"/>
      <c r="Q28" s="306">
        <v>0</v>
      </c>
      <c r="R28" s="306">
        <v>1</v>
      </c>
      <c r="S28" s="184">
        <v>0</v>
      </c>
      <c r="T28" s="184">
        <f t="shared" si="0"/>
        <v>1</v>
      </c>
      <c r="U28" s="309"/>
      <c r="V28" s="309"/>
      <c r="W28" s="297">
        <f t="shared" si="1"/>
        <v>0</v>
      </c>
      <c r="X28" s="47">
        <v>1</v>
      </c>
      <c r="Y28" s="47">
        <v>3</v>
      </c>
      <c r="Z28" s="47">
        <v>0</v>
      </c>
      <c r="AA28" s="47">
        <f t="shared" si="2"/>
        <v>1</v>
      </c>
      <c r="AB28" s="308"/>
      <c r="AC28" s="61"/>
      <c r="AD28" s="61"/>
      <c r="AE28" s="305" t="s">
        <v>1587</v>
      </c>
      <c r="AF28" s="305" t="s">
        <v>1587</v>
      </c>
      <c r="AG28" s="305" t="s">
        <v>1587</v>
      </c>
      <c r="AH28" s="305" t="s">
        <v>1587</v>
      </c>
      <c r="AI28" s="35"/>
      <c r="AJ28" s="181" t="s">
        <v>1599</v>
      </c>
      <c r="AK28" s="57"/>
    </row>
    <row r="29" spans="2:37" ht="4.9000000000000004" customHeight="1">
      <c r="B29" s="7"/>
      <c r="C29" s="318"/>
      <c r="D29" s="318"/>
      <c r="E29" s="289"/>
      <c r="F29" s="289"/>
      <c r="G29" s="323"/>
      <c r="H29" s="323"/>
      <c r="I29" s="323"/>
      <c r="J29" s="318"/>
      <c r="K29" s="318"/>
      <c r="L29" s="323"/>
      <c r="M29" s="318"/>
      <c r="N29" s="318"/>
      <c r="O29" s="318"/>
      <c r="P29" s="318"/>
      <c r="Q29" s="41"/>
      <c r="R29" s="41"/>
      <c r="S29" s="41"/>
      <c r="T29" s="41"/>
      <c r="U29" s="41"/>
      <c r="V29" s="41"/>
      <c r="W29" s="41"/>
      <c r="X29" s="188"/>
      <c r="Y29" s="188"/>
      <c r="Z29" s="188"/>
      <c r="AA29" s="189"/>
      <c r="AB29" s="318"/>
      <c r="AC29" s="318"/>
      <c r="AD29" s="318"/>
      <c r="AE29" s="318"/>
      <c r="AF29" s="318"/>
      <c r="AG29" s="318"/>
      <c r="AH29" s="318"/>
      <c r="AI29" s="318"/>
      <c r="AJ29" s="324"/>
      <c r="AK29" s="57"/>
    </row>
    <row r="30" spans="2:37" ht="22.15" customHeight="1">
      <c r="B30" s="7"/>
      <c r="C30" s="400" t="s">
        <v>1565</v>
      </c>
      <c r="D30" s="400"/>
      <c r="E30" s="400"/>
      <c r="F30" s="400"/>
      <c r="G30" s="400"/>
      <c r="H30" s="400"/>
      <c r="I30" s="323"/>
      <c r="J30" s="400">
        <f>SUM(J9:J28)</f>
        <v>609</v>
      </c>
      <c r="K30" s="400">
        <f>SUM(K9:K28)</f>
        <v>174</v>
      </c>
      <c r="L30" s="323"/>
      <c r="M30" s="193">
        <f t="shared" ref="M30:Z30" si="3">SUM(M9:M28)</f>
        <v>182</v>
      </c>
      <c r="N30" s="190">
        <f t="shared" si="3"/>
        <v>19</v>
      </c>
      <c r="O30" s="191">
        <f t="shared" si="3"/>
        <v>345</v>
      </c>
      <c r="P30" s="192">
        <f t="shared" si="3"/>
        <v>0</v>
      </c>
      <c r="Q30" s="193">
        <f t="shared" si="3"/>
        <v>18</v>
      </c>
      <c r="R30" s="193">
        <f t="shared" si="3"/>
        <v>36</v>
      </c>
      <c r="S30" s="193">
        <f t="shared" si="3"/>
        <v>55</v>
      </c>
      <c r="T30" s="193">
        <f t="shared" si="3"/>
        <v>73</v>
      </c>
      <c r="U30" s="190">
        <f t="shared" si="3"/>
        <v>3</v>
      </c>
      <c r="V30" s="190">
        <f t="shared" si="3"/>
        <v>11</v>
      </c>
      <c r="W30" s="190">
        <f t="shared" si="3"/>
        <v>5</v>
      </c>
      <c r="X30" s="191">
        <f t="shared" si="3"/>
        <v>9</v>
      </c>
      <c r="Y30" s="191">
        <f t="shared" si="3"/>
        <v>113</v>
      </c>
      <c r="Z30" s="191">
        <f t="shared" si="3"/>
        <v>112</v>
      </c>
      <c r="AA30" s="194">
        <f>SUM(AA9:AA28)</f>
        <v>111</v>
      </c>
      <c r="AB30" s="195">
        <f>SUM(AB9:AB28)</f>
        <v>0</v>
      </c>
      <c r="AC30" s="462" t="s">
        <v>1611</v>
      </c>
      <c r="AD30" s="463"/>
      <c r="AE30" s="455" t="s">
        <v>1612</v>
      </c>
      <c r="AF30" s="456"/>
      <c r="AG30" s="456"/>
      <c r="AH30" s="456"/>
      <c r="AI30" s="318"/>
      <c r="AJ30" s="457" t="s">
        <v>1613</v>
      </c>
      <c r="AK30" s="57"/>
    </row>
    <row r="31" spans="2:37" ht="4.9000000000000004" customHeight="1">
      <c r="B31" s="7"/>
      <c r="C31" s="400"/>
      <c r="D31" s="400"/>
      <c r="E31" s="400"/>
      <c r="F31" s="400"/>
      <c r="G31" s="400"/>
      <c r="H31" s="400"/>
      <c r="I31" s="323"/>
      <c r="J31" s="400"/>
      <c r="K31" s="400"/>
      <c r="L31" s="323"/>
      <c r="M31" s="318"/>
      <c r="N31" s="318"/>
      <c r="O31" s="318"/>
      <c r="P31" s="318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318"/>
      <c r="AC31" s="463"/>
      <c r="AD31" s="463"/>
      <c r="AE31" s="456"/>
      <c r="AF31" s="456"/>
      <c r="AG31" s="456"/>
      <c r="AH31" s="456"/>
      <c r="AI31" s="318"/>
      <c r="AJ31" s="458"/>
      <c r="AK31" s="57"/>
    </row>
    <row r="32" spans="2:37" ht="22.15" customHeight="1">
      <c r="B32" s="7"/>
      <c r="C32" s="400"/>
      <c r="D32" s="400"/>
      <c r="E32" s="400"/>
      <c r="F32" s="400"/>
      <c r="G32" s="400"/>
      <c r="H32" s="400"/>
      <c r="I32" s="292"/>
      <c r="J32" s="400"/>
      <c r="K32" s="400"/>
      <c r="L32" s="292"/>
      <c r="M32" s="459">
        <f>SUM(M30:O30)</f>
        <v>546</v>
      </c>
      <c r="N32" s="459"/>
      <c r="O32" s="459"/>
      <c r="P32" s="292"/>
      <c r="Q32" s="460">
        <f>SUM(Q30:AA30)</f>
        <v>546</v>
      </c>
      <c r="R32" s="461"/>
      <c r="S32" s="461"/>
      <c r="T32" s="461"/>
      <c r="U32" s="461"/>
      <c r="V32" s="461"/>
      <c r="W32" s="461"/>
      <c r="X32" s="461"/>
      <c r="Y32" s="461"/>
      <c r="Z32" s="461"/>
      <c r="AA32" s="461"/>
      <c r="AB32" s="292"/>
      <c r="AC32" s="463"/>
      <c r="AD32" s="463"/>
      <c r="AE32" s="456"/>
      <c r="AF32" s="456"/>
      <c r="AG32" s="456"/>
      <c r="AH32" s="456"/>
      <c r="AI32" s="292"/>
      <c r="AJ32" s="458"/>
      <c r="AK32" s="57"/>
    </row>
    <row r="33" spans="2:37" ht="4.9000000000000004" customHeight="1" thickBot="1">
      <c r="B33" s="21"/>
      <c r="C33" s="325"/>
      <c r="D33" s="325"/>
      <c r="E33" s="325"/>
      <c r="F33" s="325"/>
      <c r="G33" s="325"/>
      <c r="H33" s="325"/>
      <c r="I33" s="326"/>
      <c r="J33" s="325"/>
      <c r="K33" s="325"/>
      <c r="L33" s="326"/>
      <c r="M33" s="327"/>
      <c r="N33" s="327"/>
      <c r="O33" s="327"/>
      <c r="P33" s="327"/>
      <c r="Q33" s="328"/>
      <c r="R33" s="328"/>
      <c r="S33" s="328"/>
      <c r="T33" s="328"/>
      <c r="U33" s="328"/>
      <c r="V33" s="328"/>
      <c r="W33" s="328"/>
      <c r="X33" s="328"/>
      <c r="Y33" s="328"/>
      <c r="Z33" s="328"/>
      <c r="AA33" s="328"/>
      <c r="AB33" s="327"/>
      <c r="AC33" s="329"/>
      <c r="AD33" s="329"/>
      <c r="AE33" s="330"/>
      <c r="AF33" s="330"/>
      <c r="AG33" s="330"/>
      <c r="AH33" s="330"/>
      <c r="AI33" s="327"/>
      <c r="AJ33" s="331"/>
      <c r="AK33" s="64"/>
    </row>
    <row r="34" spans="2:37" ht="11.45" customHeight="1">
      <c r="B34" s="289"/>
      <c r="C34" s="292"/>
      <c r="D34" s="292"/>
      <c r="E34" s="292"/>
      <c r="F34" s="292"/>
      <c r="G34" s="292"/>
      <c r="H34" s="292"/>
      <c r="I34" s="19"/>
      <c r="J34" s="292"/>
      <c r="K34" s="292"/>
      <c r="L34" s="19"/>
      <c r="M34" s="20"/>
      <c r="N34" s="20"/>
      <c r="O34" s="20"/>
      <c r="P34" s="20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20"/>
      <c r="AC34" s="291"/>
      <c r="AD34" s="291"/>
      <c r="AE34" s="290"/>
      <c r="AF34" s="290"/>
      <c r="AG34" s="290"/>
      <c r="AH34" s="290"/>
      <c r="AI34" s="20"/>
      <c r="AJ34" s="293"/>
      <c r="AK34" s="289"/>
    </row>
    <row r="35" spans="2:37" ht="20.25">
      <c r="C35" s="454" t="s">
        <v>1566</v>
      </c>
      <c r="D35" s="454"/>
      <c r="E35" s="247" t="s">
        <v>1614</v>
      </c>
      <c r="F35" s="247"/>
      <c r="G35" s="247"/>
      <c r="H35" s="247"/>
      <c r="I35" s="247"/>
      <c r="J35" s="247"/>
      <c r="K35" s="247"/>
      <c r="L35" s="247"/>
      <c r="S35" s="247"/>
    </row>
    <row r="36" spans="2:37" ht="20.25">
      <c r="B36" s="247"/>
      <c r="C36" s="247"/>
      <c r="D36" s="247"/>
      <c r="E36" s="247" t="s">
        <v>5344</v>
      </c>
      <c r="F36" s="247"/>
      <c r="G36" s="247"/>
      <c r="H36" s="247"/>
      <c r="I36" s="247"/>
      <c r="J36" s="247"/>
      <c r="K36" s="247"/>
      <c r="L36" s="247"/>
      <c r="S36" s="247"/>
    </row>
    <row r="37" spans="2:37" ht="20.25"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</row>
  </sheetData>
  <mergeCells count="31">
    <mergeCell ref="C3:AJ3"/>
    <mergeCell ref="C5:C7"/>
    <mergeCell ref="E5:H7"/>
    <mergeCell ref="J5:K5"/>
    <mergeCell ref="M5:O5"/>
    <mergeCell ref="Q5:AA5"/>
    <mergeCell ref="AC5:AH5"/>
    <mergeCell ref="AJ5:AJ7"/>
    <mergeCell ref="J6:J7"/>
    <mergeCell ref="K6:K7"/>
    <mergeCell ref="E9:E11"/>
    <mergeCell ref="E12:E19"/>
    <mergeCell ref="E21:E28"/>
    <mergeCell ref="M6:M7"/>
    <mergeCell ref="N6:N7"/>
    <mergeCell ref="AE30:AH32"/>
    <mergeCell ref="AJ30:AJ32"/>
    <mergeCell ref="M32:O32"/>
    <mergeCell ref="Q32:AA32"/>
    <mergeCell ref="AC6:AC7"/>
    <mergeCell ref="AD6:AD7"/>
    <mergeCell ref="AE6:AH6"/>
    <mergeCell ref="O6:O7"/>
    <mergeCell ref="Q6:T6"/>
    <mergeCell ref="U6:W6"/>
    <mergeCell ref="X6:AA6"/>
    <mergeCell ref="C35:D35"/>
    <mergeCell ref="C30:H32"/>
    <mergeCell ref="J30:J32"/>
    <mergeCell ref="K30:K32"/>
    <mergeCell ref="AC30:AD32"/>
  </mergeCells>
  <pageMargins left="0.25" right="0.25" top="0.75" bottom="0.75" header="0.3" footer="0.3"/>
  <pageSetup paperSize="9" scale="66" fitToHeight="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3"/>
  <sheetViews>
    <sheetView topLeftCell="A2" workbookViewId="0">
      <selection activeCell="L9" sqref="L9"/>
    </sheetView>
  </sheetViews>
  <sheetFormatPr defaultColWidth="9" defaultRowHeight="15"/>
  <cols>
    <col min="2" max="2" width="19.42578125" customWidth="1"/>
    <col min="3" max="3" width="27.5703125" style="1" customWidth="1"/>
    <col min="5" max="5" width="16.42578125" customWidth="1"/>
    <col min="6" max="6" width="19.28515625" customWidth="1"/>
    <col min="9" max="9" width="16.5703125" customWidth="1"/>
    <col min="10" max="10" width="18.42578125" customWidth="1"/>
    <col min="15" max="15" width="14.85546875" customWidth="1"/>
    <col min="18" max="18" width="15.85546875" customWidth="1"/>
    <col min="20" max="20" width="15.85546875" customWidth="1"/>
  </cols>
  <sheetData>
    <row r="1" spans="1:20">
      <c r="A1" t="s">
        <v>1615</v>
      </c>
      <c r="B1" t="s">
        <v>1616</v>
      </c>
      <c r="C1" s="1" t="s">
        <v>1617</v>
      </c>
      <c r="D1" t="s">
        <v>121</v>
      </c>
      <c r="E1" t="s">
        <v>1618</v>
      </c>
      <c r="F1" t="s">
        <v>1619</v>
      </c>
      <c r="G1" t="s">
        <v>1080</v>
      </c>
      <c r="H1" t="s">
        <v>1620</v>
      </c>
      <c r="I1" t="s">
        <v>1621</v>
      </c>
      <c r="J1" t="s">
        <v>1622</v>
      </c>
      <c r="K1" t="s">
        <v>1623</v>
      </c>
      <c r="L1" t="s">
        <v>1624</v>
      </c>
      <c r="M1" t="s">
        <v>1625</v>
      </c>
      <c r="N1" t="s">
        <v>1626</v>
      </c>
      <c r="O1" t="s">
        <v>1627</v>
      </c>
      <c r="P1" t="s">
        <v>1628</v>
      </c>
      <c r="Q1" t="s">
        <v>1629</v>
      </c>
      <c r="R1" s="3" t="s">
        <v>1630</v>
      </c>
      <c r="S1" t="s">
        <v>1631</v>
      </c>
      <c r="T1" t="s">
        <v>1632</v>
      </c>
    </row>
    <row r="2" spans="1:20">
      <c r="A2">
        <v>1</v>
      </c>
      <c r="B2" t="s">
        <v>211</v>
      </c>
      <c r="C2" s="1">
        <v>145060</v>
      </c>
      <c r="D2" t="s">
        <v>1</v>
      </c>
      <c r="E2" t="s">
        <v>1365</v>
      </c>
      <c r="F2" t="s">
        <v>1633</v>
      </c>
      <c r="G2">
        <v>41862</v>
      </c>
      <c r="H2" t="s">
        <v>1634</v>
      </c>
      <c r="I2" s="2">
        <v>33669</v>
      </c>
      <c r="J2" t="s">
        <v>1635</v>
      </c>
      <c r="K2">
        <v>0</v>
      </c>
      <c r="L2" t="s">
        <v>1636</v>
      </c>
      <c r="M2" t="s">
        <v>1637</v>
      </c>
      <c r="N2" t="s">
        <v>1638</v>
      </c>
      <c r="O2" t="s">
        <v>1639</v>
      </c>
      <c r="P2" t="s">
        <v>1640</v>
      </c>
      <c r="Q2" t="s">
        <v>1641</v>
      </c>
      <c r="R2" t="s">
        <v>1642</v>
      </c>
      <c r="S2" t="s">
        <v>1643</v>
      </c>
      <c r="T2" t="s">
        <v>1644</v>
      </c>
    </row>
    <row r="3" spans="1:20">
      <c r="A3">
        <v>2</v>
      </c>
      <c r="B3" t="s">
        <v>554</v>
      </c>
      <c r="C3" s="1">
        <v>83124750</v>
      </c>
      <c r="D3" t="s">
        <v>7</v>
      </c>
      <c r="E3" t="s">
        <v>1645</v>
      </c>
      <c r="F3" t="s">
        <v>1646</v>
      </c>
      <c r="G3">
        <v>41255</v>
      </c>
      <c r="H3" t="s">
        <v>1647</v>
      </c>
      <c r="I3" s="2">
        <v>31898</v>
      </c>
      <c r="J3" t="s">
        <v>1648</v>
      </c>
      <c r="K3">
        <v>2</v>
      </c>
      <c r="L3" t="s">
        <v>1649</v>
      </c>
      <c r="M3" t="s">
        <v>1637</v>
      </c>
      <c r="N3" t="s">
        <v>1650</v>
      </c>
      <c r="O3" t="s">
        <v>1651</v>
      </c>
      <c r="P3" t="s">
        <v>1652</v>
      </c>
      <c r="Q3" t="s">
        <v>1653</v>
      </c>
      <c r="R3" t="s">
        <v>1654</v>
      </c>
      <c r="S3" t="s">
        <v>1655</v>
      </c>
      <c r="T3" t="s">
        <v>1656</v>
      </c>
    </row>
    <row r="4" spans="1:20">
      <c r="A4">
        <v>3</v>
      </c>
      <c r="B4" t="s">
        <v>403</v>
      </c>
      <c r="C4" s="1">
        <v>84122949</v>
      </c>
      <c r="D4" t="s">
        <v>5</v>
      </c>
      <c r="E4" t="s">
        <v>1657</v>
      </c>
      <c r="F4" t="s">
        <v>1658</v>
      </c>
      <c r="G4">
        <v>41122</v>
      </c>
      <c r="H4" t="s">
        <v>1659</v>
      </c>
      <c r="I4" s="2">
        <v>33935</v>
      </c>
      <c r="J4" t="s">
        <v>1635</v>
      </c>
      <c r="K4" t="s">
        <v>1660</v>
      </c>
      <c r="L4" t="s">
        <v>1649</v>
      </c>
      <c r="M4" t="s">
        <v>1661</v>
      </c>
      <c r="N4" t="s">
        <v>1662</v>
      </c>
      <c r="O4" t="s">
        <v>1663</v>
      </c>
      <c r="P4" t="s">
        <v>1664</v>
      </c>
      <c r="Q4" t="s">
        <v>1665</v>
      </c>
      <c r="R4" t="s">
        <v>1666</v>
      </c>
      <c r="S4" t="s">
        <v>1667</v>
      </c>
      <c r="T4" t="s">
        <v>1668</v>
      </c>
    </row>
    <row r="5" spans="1:20">
      <c r="A5">
        <v>4</v>
      </c>
      <c r="B5" t="s">
        <v>356</v>
      </c>
      <c r="C5" s="1">
        <v>140244</v>
      </c>
      <c r="D5" t="s">
        <v>5</v>
      </c>
      <c r="E5" t="s">
        <v>1657</v>
      </c>
      <c r="F5" t="s">
        <v>1669</v>
      </c>
      <c r="G5">
        <v>41666</v>
      </c>
      <c r="H5" t="s">
        <v>1670</v>
      </c>
      <c r="I5" s="2">
        <v>31568</v>
      </c>
      <c r="J5" t="s">
        <v>1648</v>
      </c>
      <c r="K5">
        <v>1</v>
      </c>
      <c r="L5" t="s">
        <v>1649</v>
      </c>
      <c r="M5" t="s">
        <v>1637</v>
      </c>
      <c r="N5" t="s">
        <v>1671</v>
      </c>
      <c r="O5" t="s">
        <v>1672</v>
      </c>
      <c r="P5" t="s">
        <v>1673</v>
      </c>
      <c r="Q5" t="s">
        <v>1674</v>
      </c>
      <c r="R5" t="s">
        <v>1675</v>
      </c>
      <c r="S5" t="s">
        <v>1676</v>
      </c>
      <c r="T5" t="s">
        <v>1677</v>
      </c>
    </row>
    <row r="6" spans="1:20">
      <c r="A6">
        <v>5</v>
      </c>
      <c r="B6" t="s">
        <v>216</v>
      </c>
      <c r="C6" s="1">
        <v>133572</v>
      </c>
      <c r="D6" t="s">
        <v>1</v>
      </c>
      <c r="E6" t="s">
        <v>1657</v>
      </c>
      <c r="F6" t="s">
        <v>1678</v>
      </c>
      <c r="G6">
        <v>41501</v>
      </c>
      <c r="H6" t="s">
        <v>1634</v>
      </c>
      <c r="I6" s="2">
        <v>33915</v>
      </c>
      <c r="J6" t="s">
        <v>1648</v>
      </c>
      <c r="K6" t="s">
        <v>1679</v>
      </c>
      <c r="L6" t="s">
        <v>1649</v>
      </c>
      <c r="M6" t="s">
        <v>1637</v>
      </c>
      <c r="N6" t="s">
        <v>1671</v>
      </c>
      <c r="O6" t="s">
        <v>1680</v>
      </c>
      <c r="P6" t="s">
        <v>1681</v>
      </c>
      <c r="Q6" t="s">
        <v>1682</v>
      </c>
      <c r="R6" t="s">
        <v>1683</v>
      </c>
      <c r="S6" t="s">
        <v>1684</v>
      </c>
      <c r="T6" t="s">
        <v>1685</v>
      </c>
    </row>
    <row r="7" spans="1:20">
      <c r="A7">
        <v>6</v>
      </c>
      <c r="B7" t="s">
        <v>815</v>
      </c>
      <c r="C7" s="1">
        <v>241132</v>
      </c>
      <c r="D7" t="s">
        <v>5</v>
      </c>
      <c r="E7" t="s">
        <v>1657</v>
      </c>
      <c r="F7" t="s">
        <v>1686</v>
      </c>
      <c r="G7">
        <v>45481</v>
      </c>
      <c r="H7" t="s">
        <v>1687</v>
      </c>
      <c r="I7" s="2">
        <v>37130</v>
      </c>
      <c r="J7" t="s">
        <v>1635</v>
      </c>
      <c r="K7" t="s">
        <v>1660</v>
      </c>
      <c r="L7" t="s">
        <v>1649</v>
      </c>
      <c r="M7" t="s">
        <v>1661</v>
      </c>
      <c r="N7" t="s">
        <v>1688</v>
      </c>
      <c r="O7" t="s">
        <v>1689</v>
      </c>
      <c r="P7" t="s">
        <v>1690</v>
      </c>
      <c r="Q7" t="s">
        <v>1691</v>
      </c>
      <c r="R7" t="s">
        <v>1692</v>
      </c>
      <c r="S7" t="s">
        <v>1693</v>
      </c>
      <c r="T7" t="s">
        <v>1694</v>
      </c>
    </row>
    <row r="8" spans="1:20">
      <c r="A8">
        <v>7</v>
      </c>
      <c r="B8" t="s">
        <v>404</v>
      </c>
      <c r="C8" s="1">
        <v>83103415</v>
      </c>
      <c r="D8" t="s">
        <v>5</v>
      </c>
      <c r="E8" t="s">
        <v>1657</v>
      </c>
      <c r="F8" t="s">
        <v>1695</v>
      </c>
      <c r="G8">
        <v>40386</v>
      </c>
      <c r="H8" t="s">
        <v>1696</v>
      </c>
      <c r="I8" s="2">
        <v>33605</v>
      </c>
      <c r="J8" t="s">
        <v>1648</v>
      </c>
      <c r="K8">
        <v>2</v>
      </c>
      <c r="L8" t="s">
        <v>1649</v>
      </c>
      <c r="M8" t="s">
        <v>1637</v>
      </c>
      <c r="N8" t="s">
        <v>1671</v>
      </c>
      <c r="O8" t="s">
        <v>1697</v>
      </c>
      <c r="P8" t="s">
        <v>1698</v>
      </c>
      <c r="Q8" t="s">
        <v>1699</v>
      </c>
      <c r="R8" t="s">
        <v>1700</v>
      </c>
      <c r="S8" t="s">
        <v>1701</v>
      </c>
      <c r="T8" t="s">
        <v>1702</v>
      </c>
    </row>
    <row r="9" spans="1:20">
      <c r="A9">
        <v>8</v>
      </c>
      <c r="B9" t="s">
        <v>289</v>
      </c>
      <c r="C9" s="1">
        <v>83040096</v>
      </c>
      <c r="D9" t="s">
        <v>5</v>
      </c>
      <c r="E9" t="s">
        <v>1645</v>
      </c>
      <c r="F9" t="s">
        <v>1703</v>
      </c>
      <c r="H9" t="s">
        <v>1704</v>
      </c>
      <c r="I9" s="2">
        <v>30662</v>
      </c>
      <c r="J9" t="s">
        <v>1648</v>
      </c>
      <c r="K9">
        <v>2</v>
      </c>
      <c r="L9" t="s">
        <v>1649</v>
      </c>
      <c r="M9" t="s">
        <v>1637</v>
      </c>
      <c r="N9" t="s">
        <v>1650</v>
      </c>
      <c r="O9" t="s">
        <v>1705</v>
      </c>
      <c r="P9" t="s">
        <v>1706</v>
      </c>
      <c r="Q9" t="s">
        <v>1707</v>
      </c>
      <c r="R9" t="s">
        <v>1708</v>
      </c>
      <c r="S9" t="s">
        <v>1709</v>
      </c>
      <c r="T9" t="s">
        <v>1710</v>
      </c>
    </row>
    <row r="10" spans="1:20">
      <c r="A10">
        <v>9</v>
      </c>
      <c r="B10" t="s">
        <v>816</v>
      </c>
      <c r="C10" s="1">
        <v>242407</v>
      </c>
      <c r="D10" t="s">
        <v>5</v>
      </c>
      <c r="E10" t="s">
        <v>1657</v>
      </c>
      <c r="F10" t="s">
        <v>1711</v>
      </c>
      <c r="G10">
        <v>45621</v>
      </c>
      <c r="H10" t="s">
        <v>1712</v>
      </c>
      <c r="I10" s="2">
        <v>38104</v>
      </c>
      <c r="J10" t="s">
        <v>1635</v>
      </c>
      <c r="K10" t="s">
        <v>1660</v>
      </c>
      <c r="L10" t="s">
        <v>1649</v>
      </c>
      <c r="M10" t="s">
        <v>1661</v>
      </c>
      <c r="N10" t="s">
        <v>1713</v>
      </c>
      <c r="O10" t="s">
        <v>1714</v>
      </c>
      <c r="P10" t="s">
        <v>1715</v>
      </c>
      <c r="Q10" t="s">
        <v>1716</v>
      </c>
      <c r="R10" t="s">
        <v>1717</v>
      </c>
      <c r="S10" t="s">
        <v>1718</v>
      </c>
      <c r="T10" t="s">
        <v>1719</v>
      </c>
    </row>
    <row r="11" spans="1:20">
      <c r="A11">
        <v>10</v>
      </c>
      <c r="B11" t="s">
        <v>235</v>
      </c>
      <c r="C11" s="1">
        <v>155002</v>
      </c>
      <c r="D11" t="s">
        <v>3</v>
      </c>
      <c r="E11" t="s">
        <v>1657</v>
      </c>
      <c r="F11" t="s">
        <v>1720</v>
      </c>
      <c r="G11">
        <v>42359</v>
      </c>
      <c r="H11" t="s">
        <v>1721</v>
      </c>
      <c r="I11" s="2">
        <v>34845</v>
      </c>
      <c r="J11" t="s">
        <v>1635</v>
      </c>
      <c r="K11">
        <v>0</v>
      </c>
      <c r="L11" t="s">
        <v>1649</v>
      </c>
      <c r="M11" t="s">
        <v>1661</v>
      </c>
      <c r="N11" t="s">
        <v>1722</v>
      </c>
      <c r="O11" t="s">
        <v>1723</v>
      </c>
      <c r="P11" t="s">
        <v>1724</v>
      </c>
      <c r="Q11" t="s">
        <v>1725</v>
      </c>
      <c r="R11" t="s">
        <v>1726</v>
      </c>
      <c r="S11" t="s">
        <v>1727</v>
      </c>
      <c r="T11" t="s">
        <v>1728</v>
      </c>
    </row>
    <row r="12" spans="1:20">
      <c r="A12">
        <v>11</v>
      </c>
      <c r="B12" t="s">
        <v>817</v>
      </c>
      <c r="C12" s="1">
        <v>241136</v>
      </c>
      <c r="D12" t="s">
        <v>5</v>
      </c>
      <c r="E12" t="s">
        <v>1657</v>
      </c>
      <c r="F12" t="s">
        <v>1729</v>
      </c>
      <c r="G12">
        <v>45481</v>
      </c>
      <c r="H12" t="s">
        <v>1730</v>
      </c>
      <c r="I12" s="2">
        <v>37995</v>
      </c>
      <c r="J12" t="s">
        <v>1635</v>
      </c>
      <c r="K12">
        <v>0</v>
      </c>
      <c r="L12" t="s">
        <v>1649</v>
      </c>
      <c r="M12" t="s">
        <v>1661</v>
      </c>
      <c r="N12" t="s">
        <v>1713</v>
      </c>
      <c r="O12" t="s">
        <v>1731</v>
      </c>
      <c r="P12" t="s">
        <v>1732</v>
      </c>
      <c r="Q12" t="s">
        <v>1733</v>
      </c>
      <c r="R12" t="s">
        <v>1734</v>
      </c>
      <c r="S12" t="s">
        <v>1735</v>
      </c>
      <c r="T12" t="s">
        <v>1736</v>
      </c>
    </row>
    <row r="13" spans="1:20">
      <c r="A13">
        <v>12</v>
      </c>
      <c r="B13" t="s">
        <v>818</v>
      </c>
      <c r="C13" s="1">
        <v>135040</v>
      </c>
      <c r="D13" t="s">
        <v>5</v>
      </c>
      <c r="E13" t="s">
        <v>1365</v>
      </c>
      <c r="F13" t="s">
        <v>1737</v>
      </c>
      <c r="G13">
        <v>41575</v>
      </c>
      <c r="H13" t="s">
        <v>1738</v>
      </c>
      <c r="I13" s="2">
        <v>34686</v>
      </c>
      <c r="J13" t="s">
        <v>1635</v>
      </c>
      <c r="L13" t="s">
        <v>1649</v>
      </c>
      <c r="M13" t="s">
        <v>1661</v>
      </c>
      <c r="N13" t="s">
        <v>1739</v>
      </c>
      <c r="O13" t="s">
        <v>1740</v>
      </c>
      <c r="P13" t="s">
        <v>1741</v>
      </c>
      <c r="Q13" t="s">
        <v>1742</v>
      </c>
      <c r="R13" t="s">
        <v>1743</v>
      </c>
      <c r="S13" t="s">
        <v>1744</v>
      </c>
      <c r="T13" t="s">
        <v>1745</v>
      </c>
    </row>
    <row r="14" spans="1:20">
      <c r="A14">
        <v>13</v>
      </c>
      <c r="B14" t="s">
        <v>418</v>
      </c>
      <c r="C14" s="1">
        <v>83099396</v>
      </c>
      <c r="D14" t="s">
        <v>5</v>
      </c>
      <c r="E14" t="s">
        <v>1657</v>
      </c>
      <c r="F14" t="s">
        <v>1746</v>
      </c>
      <c r="G14">
        <v>39867</v>
      </c>
      <c r="H14" t="s">
        <v>1670</v>
      </c>
      <c r="I14" s="2">
        <v>31601</v>
      </c>
      <c r="J14" t="s">
        <v>1648</v>
      </c>
      <c r="K14">
        <v>2</v>
      </c>
      <c r="L14" t="s">
        <v>1649</v>
      </c>
      <c r="M14" t="s">
        <v>1637</v>
      </c>
      <c r="N14" t="s">
        <v>1671</v>
      </c>
      <c r="O14" t="s">
        <v>1747</v>
      </c>
      <c r="P14" t="s">
        <v>1748</v>
      </c>
      <c r="Q14" t="s">
        <v>1749</v>
      </c>
      <c r="R14" t="s">
        <v>1750</v>
      </c>
      <c r="S14" t="s">
        <v>1751</v>
      </c>
      <c r="T14" t="s">
        <v>1752</v>
      </c>
    </row>
    <row r="15" spans="1:20">
      <c r="A15">
        <v>14</v>
      </c>
      <c r="B15" t="s">
        <v>819</v>
      </c>
      <c r="C15" s="1">
        <v>162501</v>
      </c>
      <c r="D15" t="s">
        <v>16</v>
      </c>
      <c r="E15" t="s">
        <v>1657</v>
      </c>
      <c r="F15" t="s">
        <v>1753</v>
      </c>
      <c r="G15">
        <v>42671</v>
      </c>
      <c r="H15" t="s">
        <v>1754</v>
      </c>
      <c r="I15" s="2">
        <v>35896</v>
      </c>
      <c r="J15" t="s">
        <v>1635</v>
      </c>
      <c r="K15">
        <v>0</v>
      </c>
      <c r="L15" t="s">
        <v>1649</v>
      </c>
      <c r="M15" t="s">
        <v>1755</v>
      </c>
      <c r="N15" t="s">
        <v>1756</v>
      </c>
      <c r="O15" t="s">
        <v>1757</v>
      </c>
      <c r="P15" t="s">
        <v>1758</v>
      </c>
      <c r="Q15" t="s">
        <v>1759</v>
      </c>
      <c r="R15" t="s">
        <v>1760</v>
      </c>
      <c r="S15" t="s">
        <v>1761</v>
      </c>
      <c r="T15" t="s">
        <v>1762</v>
      </c>
    </row>
    <row r="16" spans="1:20">
      <c r="A16">
        <v>15</v>
      </c>
      <c r="B16" t="s">
        <v>820</v>
      </c>
      <c r="C16" s="1">
        <v>135047</v>
      </c>
      <c r="D16" t="s">
        <v>5</v>
      </c>
      <c r="E16" t="s">
        <v>1365</v>
      </c>
      <c r="F16" t="s">
        <v>1763</v>
      </c>
      <c r="G16">
        <v>41577</v>
      </c>
      <c r="H16" t="s">
        <v>1764</v>
      </c>
      <c r="I16" s="2">
        <v>35034</v>
      </c>
      <c r="J16" t="s">
        <v>1648</v>
      </c>
      <c r="K16">
        <v>2</v>
      </c>
      <c r="L16" t="s">
        <v>1649</v>
      </c>
      <c r="M16" t="s">
        <v>1661</v>
      </c>
      <c r="N16" t="s">
        <v>1765</v>
      </c>
      <c r="O16" t="s">
        <v>1766</v>
      </c>
      <c r="P16" t="s">
        <v>1767</v>
      </c>
      <c r="Q16" t="s">
        <v>1768</v>
      </c>
      <c r="R16" t="s">
        <v>1769</v>
      </c>
      <c r="S16" t="s">
        <v>1770</v>
      </c>
      <c r="T16" t="s">
        <v>1771</v>
      </c>
    </row>
    <row r="17" spans="1:20">
      <c r="A17">
        <v>16</v>
      </c>
      <c r="B17" t="s">
        <v>277</v>
      </c>
      <c r="C17" s="1">
        <v>200371</v>
      </c>
      <c r="D17" t="s">
        <v>5</v>
      </c>
      <c r="E17" t="s">
        <v>1645</v>
      </c>
      <c r="F17" t="s">
        <v>1772</v>
      </c>
      <c r="G17">
        <v>43874</v>
      </c>
      <c r="H17" t="s">
        <v>1773</v>
      </c>
      <c r="I17" s="2">
        <v>35323</v>
      </c>
      <c r="J17" t="s">
        <v>1648</v>
      </c>
      <c r="K17">
        <v>1</v>
      </c>
      <c r="L17" t="s">
        <v>1649</v>
      </c>
      <c r="M17" t="s">
        <v>1661</v>
      </c>
      <c r="N17" t="s">
        <v>1774</v>
      </c>
      <c r="O17" t="s">
        <v>1775</v>
      </c>
      <c r="P17" t="s">
        <v>1776</v>
      </c>
      <c r="Q17" t="s">
        <v>1777</v>
      </c>
      <c r="R17" t="s">
        <v>1778</v>
      </c>
      <c r="S17" t="s">
        <v>1779</v>
      </c>
      <c r="T17" t="s">
        <v>1780</v>
      </c>
    </row>
    <row r="18" spans="1:20">
      <c r="A18">
        <v>17</v>
      </c>
      <c r="B18" t="s">
        <v>508</v>
      </c>
      <c r="C18" s="1">
        <v>134550</v>
      </c>
      <c r="D18" t="s">
        <v>5</v>
      </c>
      <c r="E18" t="s">
        <v>1657</v>
      </c>
      <c r="F18" t="s">
        <v>1781</v>
      </c>
      <c r="G18">
        <v>41544</v>
      </c>
      <c r="H18" t="s">
        <v>1670</v>
      </c>
      <c r="I18" s="2">
        <v>34041</v>
      </c>
      <c r="J18" t="s">
        <v>1635</v>
      </c>
      <c r="K18" t="s">
        <v>1660</v>
      </c>
      <c r="L18" t="s">
        <v>1649</v>
      </c>
      <c r="M18" t="s">
        <v>1661</v>
      </c>
      <c r="N18" t="s">
        <v>1782</v>
      </c>
      <c r="O18" t="s">
        <v>1783</v>
      </c>
      <c r="P18" t="s">
        <v>1784</v>
      </c>
      <c r="Q18" t="s">
        <v>1785</v>
      </c>
      <c r="R18" t="s">
        <v>1786</v>
      </c>
      <c r="S18" t="s">
        <v>1787</v>
      </c>
      <c r="T18" t="s">
        <v>1788</v>
      </c>
    </row>
    <row r="19" spans="1:20">
      <c r="A19">
        <v>18</v>
      </c>
      <c r="B19" t="s">
        <v>724</v>
      </c>
      <c r="C19" s="1">
        <v>83117278</v>
      </c>
      <c r="D19" t="s">
        <v>16</v>
      </c>
      <c r="E19" t="s">
        <v>1657</v>
      </c>
      <c r="F19" t="s">
        <v>1789</v>
      </c>
      <c r="G19">
        <v>40683</v>
      </c>
      <c r="H19" t="s">
        <v>1790</v>
      </c>
      <c r="I19" s="2">
        <v>29505</v>
      </c>
      <c r="J19" t="s">
        <v>1648</v>
      </c>
      <c r="K19">
        <v>0</v>
      </c>
      <c r="L19" t="s">
        <v>1649</v>
      </c>
      <c r="M19" t="s">
        <v>1661</v>
      </c>
      <c r="N19" t="s">
        <v>1791</v>
      </c>
      <c r="O19" t="s">
        <v>1792</v>
      </c>
      <c r="P19" t="s">
        <v>1793</v>
      </c>
      <c r="Q19" t="s">
        <v>1794</v>
      </c>
      <c r="R19" t="s">
        <v>1795</v>
      </c>
      <c r="T19" t="s">
        <v>1796</v>
      </c>
    </row>
    <row r="20" spans="1:20">
      <c r="A20">
        <v>19</v>
      </c>
      <c r="B20" t="s">
        <v>799</v>
      </c>
      <c r="C20" s="1">
        <v>148188</v>
      </c>
      <c r="D20" t="s">
        <v>16</v>
      </c>
      <c r="E20" t="s">
        <v>1657</v>
      </c>
      <c r="F20" t="s">
        <v>1797</v>
      </c>
      <c r="G20">
        <v>42004</v>
      </c>
      <c r="H20" t="s">
        <v>1798</v>
      </c>
      <c r="I20" s="2">
        <v>33695</v>
      </c>
      <c r="J20" t="s">
        <v>1648</v>
      </c>
      <c r="K20">
        <v>3</v>
      </c>
      <c r="L20" t="s">
        <v>1649</v>
      </c>
      <c r="M20" t="s">
        <v>1661</v>
      </c>
      <c r="N20" t="s">
        <v>1799</v>
      </c>
      <c r="O20" t="s">
        <v>1800</v>
      </c>
      <c r="P20" t="s">
        <v>1801</v>
      </c>
      <c r="Q20" t="s">
        <v>1802</v>
      </c>
      <c r="R20" t="s">
        <v>1803</v>
      </c>
      <c r="S20" t="s">
        <v>1804</v>
      </c>
      <c r="T20" t="s">
        <v>1805</v>
      </c>
    </row>
    <row r="21" spans="1:20">
      <c r="A21">
        <v>20</v>
      </c>
      <c r="B21" t="s">
        <v>821</v>
      </c>
      <c r="C21" s="1">
        <v>162490</v>
      </c>
      <c r="D21" t="s">
        <v>1806</v>
      </c>
      <c r="E21" t="s">
        <v>1657</v>
      </c>
      <c r="F21" t="s">
        <v>1807</v>
      </c>
      <c r="G21">
        <v>42671</v>
      </c>
      <c r="H21" t="s">
        <v>1790</v>
      </c>
      <c r="I21" s="2">
        <v>34985</v>
      </c>
      <c r="J21" t="s">
        <v>1648</v>
      </c>
      <c r="K21">
        <v>1</v>
      </c>
      <c r="L21" t="s">
        <v>1649</v>
      </c>
      <c r="M21" t="s">
        <v>1661</v>
      </c>
      <c r="N21" t="s">
        <v>1808</v>
      </c>
      <c r="O21" t="s">
        <v>1809</v>
      </c>
      <c r="P21" t="s">
        <v>1810</v>
      </c>
      <c r="Q21" t="s">
        <v>1811</v>
      </c>
      <c r="R21" t="s">
        <v>1812</v>
      </c>
      <c r="S21" t="s">
        <v>1813</v>
      </c>
      <c r="T21" t="s">
        <v>1814</v>
      </c>
    </row>
    <row r="22" spans="1:20">
      <c r="A22">
        <v>21</v>
      </c>
      <c r="B22" t="s">
        <v>800</v>
      </c>
      <c r="C22" s="1">
        <v>83117808</v>
      </c>
      <c r="D22" t="s">
        <v>16</v>
      </c>
      <c r="E22" t="s">
        <v>1657</v>
      </c>
      <c r="F22" t="s">
        <v>1815</v>
      </c>
      <c r="G22">
        <v>40738</v>
      </c>
      <c r="H22" t="s">
        <v>1816</v>
      </c>
      <c r="I22" s="2">
        <v>31319</v>
      </c>
      <c r="J22" t="s">
        <v>1648</v>
      </c>
      <c r="K22" t="s">
        <v>1817</v>
      </c>
      <c r="L22" t="s">
        <v>1649</v>
      </c>
      <c r="M22" t="s">
        <v>1818</v>
      </c>
      <c r="N22" t="s">
        <v>1819</v>
      </c>
      <c r="O22" t="s">
        <v>1820</v>
      </c>
      <c r="P22" t="s">
        <v>1821</v>
      </c>
      <c r="Q22" t="s">
        <v>1822</v>
      </c>
      <c r="R22" t="s">
        <v>1823</v>
      </c>
      <c r="S22" t="s">
        <v>1824</v>
      </c>
      <c r="T22" t="s">
        <v>1825</v>
      </c>
    </row>
    <row r="23" spans="1:20">
      <c r="A23">
        <v>22</v>
      </c>
      <c r="B23" t="s">
        <v>557</v>
      </c>
      <c r="C23" s="1">
        <v>83086689</v>
      </c>
      <c r="D23" t="s">
        <v>1826</v>
      </c>
      <c r="E23" t="s">
        <v>1645</v>
      </c>
      <c r="F23" t="s">
        <v>1827</v>
      </c>
      <c r="G23">
        <v>39566</v>
      </c>
      <c r="H23" t="s">
        <v>1647</v>
      </c>
      <c r="I23" s="2">
        <v>31615</v>
      </c>
      <c r="J23" t="s">
        <v>1648</v>
      </c>
      <c r="K23">
        <v>2</v>
      </c>
      <c r="L23" t="s">
        <v>1649</v>
      </c>
      <c r="M23" t="s">
        <v>1828</v>
      </c>
      <c r="N23" t="s">
        <v>1671</v>
      </c>
      <c r="O23" t="s">
        <v>1829</v>
      </c>
      <c r="P23" t="s">
        <v>1830</v>
      </c>
      <c r="Q23" t="s">
        <v>1831</v>
      </c>
      <c r="R23" t="s">
        <v>1832</v>
      </c>
      <c r="S23" t="s">
        <v>1833</v>
      </c>
      <c r="T23" t="s">
        <v>1834</v>
      </c>
    </row>
    <row r="24" spans="1:20">
      <c r="A24">
        <v>23</v>
      </c>
      <c r="B24" t="s">
        <v>822</v>
      </c>
      <c r="C24" s="1">
        <v>241554</v>
      </c>
      <c r="D24" t="s">
        <v>5</v>
      </c>
      <c r="E24" t="s">
        <v>1657</v>
      </c>
      <c r="F24" t="s">
        <v>1835</v>
      </c>
      <c r="G24">
        <v>45534</v>
      </c>
      <c r="H24" t="s">
        <v>1670</v>
      </c>
      <c r="I24" s="2">
        <v>38416</v>
      </c>
      <c r="J24" t="s">
        <v>1635</v>
      </c>
      <c r="K24" t="s">
        <v>1660</v>
      </c>
      <c r="L24" t="s">
        <v>1649</v>
      </c>
      <c r="M24" t="s">
        <v>1661</v>
      </c>
      <c r="N24" t="s">
        <v>1688</v>
      </c>
      <c r="O24" t="s">
        <v>1836</v>
      </c>
      <c r="P24" t="s">
        <v>1837</v>
      </c>
      <c r="Q24" t="s">
        <v>1838</v>
      </c>
      <c r="R24" t="s">
        <v>1839</v>
      </c>
      <c r="S24" t="s">
        <v>1840</v>
      </c>
      <c r="T24" t="s">
        <v>1841</v>
      </c>
    </row>
    <row r="25" spans="1:20">
      <c r="A25">
        <v>24</v>
      </c>
      <c r="B25" t="s">
        <v>823</v>
      </c>
      <c r="C25" s="1">
        <v>162515</v>
      </c>
      <c r="D25" t="s">
        <v>16</v>
      </c>
      <c r="E25" t="s">
        <v>1657</v>
      </c>
      <c r="F25" t="s">
        <v>1842</v>
      </c>
      <c r="G25">
        <v>42671</v>
      </c>
      <c r="H25" t="s">
        <v>1843</v>
      </c>
      <c r="I25" s="2">
        <v>34846</v>
      </c>
      <c r="J25" t="s">
        <v>1648</v>
      </c>
      <c r="K25">
        <v>1</v>
      </c>
      <c r="L25" t="s">
        <v>1649</v>
      </c>
      <c r="M25" t="s">
        <v>1661</v>
      </c>
      <c r="N25" t="s">
        <v>1844</v>
      </c>
      <c r="O25" t="s">
        <v>1845</v>
      </c>
      <c r="P25" t="s">
        <v>1846</v>
      </c>
      <c r="Q25" t="s">
        <v>1847</v>
      </c>
      <c r="R25" t="s">
        <v>1848</v>
      </c>
      <c r="S25" t="s">
        <v>1849</v>
      </c>
      <c r="T25" t="s">
        <v>1850</v>
      </c>
    </row>
    <row r="26" spans="1:20">
      <c r="A26">
        <v>25</v>
      </c>
      <c r="B26" t="s">
        <v>824</v>
      </c>
      <c r="C26" s="1">
        <v>84122951</v>
      </c>
      <c r="D26" t="s">
        <v>5</v>
      </c>
      <c r="E26" t="s">
        <v>1657</v>
      </c>
      <c r="F26" t="s">
        <v>1851</v>
      </c>
      <c r="G26">
        <v>41122</v>
      </c>
      <c r="H26" t="s">
        <v>1738</v>
      </c>
      <c r="I26" s="2">
        <v>34917</v>
      </c>
      <c r="J26" t="s">
        <v>1648</v>
      </c>
      <c r="K26" t="s">
        <v>1852</v>
      </c>
      <c r="L26" t="s">
        <v>1649</v>
      </c>
      <c r="M26" t="s">
        <v>1661</v>
      </c>
      <c r="N26" t="s">
        <v>1853</v>
      </c>
      <c r="O26" t="s">
        <v>1854</v>
      </c>
      <c r="P26" t="s">
        <v>1855</v>
      </c>
      <c r="Q26" t="s">
        <v>1856</v>
      </c>
      <c r="R26" t="s">
        <v>1857</v>
      </c>
      <c r="S26" t="s">
        <v>1858</v>
      </c>
      <c r="T26" t="s">
        <v>1859</v>
      </c>
    </row>
    <row r="27" spans="1:20">
      <c r="A27">
        <v>26</v>
      </c>
      <c r="B27" t="s">
        <v>825</v>
      </c>
      <c r="C27" s="1">
        <v>251126</v>
      </c>
      <c r="D27" t="s">
        <v>7</v>
      </c>
      <c r="E27" t="s">
        <v>1657</v>
      </c>
      <c r="F27" t="s">
        <v>1860</v>
      </c>
      <c r="G27">
        <v>45799</v>
      </c>
      <c r="H27" t="s">
        <v>1861</v>
      </c>
      <c r="I27" s="2">
        <v>37778</v>
      </c>
      <c r="J27" t="s">
        <v>1635</v>
      </c>
      <c r="K27" t="s">
        <v>1660</v>
      </c>
      <c r="L27" t="s">
        <v>1649</v>
      </c>
      <c r="M27" t="s">
        <v>1661</v>
      </c>
      <c r="N27" t="s">
        <v>1862</v>
      </c>
      <c r="O27" t="s">
        <v>1863</v>
      </c>
      <c r="P27" t="s">
        <v>1864</v>
      </c>
      <c r="Q27" t="s">
        <v>1865</v>
      </c>
      <c r="R27" t="s">
        <v>1866</v>
      </c>
      <c r="S27" t="s">
        <v>1867</v>
      </c>
      <c r="T27" t="s">
        <v>1660</v>
      </c>
    </row>
    <row r="28" spans="1:20">
      <c r="A28">
        <v>27</v>
      </c>
      <c r="B28" t="s">
        <v>826</v>
      </c>
      <c r="C28" s="1">
        <v>84130564</v>
      </c>
      <c r="D28" t="s">
        <v>8</v>
      </c>
      <c r="E28" t="s">
        <v>1657</v>
      </c>
      <c r="F28" t="s">
        <v>1868</v>
      </c>
      <c r="G28">
        <v>41310</v>
      </c>
      <c r="H28" t="s">
        <v>1869</v>
      </c>
      <c r="I28" s="2">
        <v>33648</v>
      </c>
      <c r="J28" t="s">
        <v>1648</v>
      </c>
      <c r="K28">
        <v>1</v>
      </c>
      <c r="L28" t="s">
        <v>1649</v>
      </c>
      <c r="M28" t="s">
        <v>1661</v>
      </c>
      <c r="N28" t="s">
        <v>1870</v>
      </c>
      <c r="O28" t="s">
        <v>1871</v>
      </c>
      <c r="P28" t="s">
        <v>1872</v>
      </c>
      <c r="Q28" t="s">
        <v>1873</v>
      </c>
      <c r="R28" t="s">
        <v>1874</v>
      </c>
      <c r="S28" t="s">
        <v>1875</v>
      </c>
      <c r="T28" t="s">
        <v>1876</v>
      </c>
    </row>
    <row r="29" spans="1:20">
      <c r="A29">
        <v>28</v>
      </c>
      <c r="B29" t="s">
        <v>233</v>
      </c>
      <c r="C29" s="1">
        <v>145973</v>
      </c>
      <c r="D29" t="s">
        <v>2</v>
      </c>
      <c r="E29" t="s">
        <v>1657</v>
      </c>
      <c r="F29" t="s">
        <v>1877</v>
      </c>
      <c r="G29">
        <v>41928</v>
      </c>
      <c r="H29" t="s">
        <v>1878</v>
      </c>
      <c r="I29" s="2">
        <v>33582</v>
      </c>
      <c r="J29" t="s">
        <v>1648</v>
      </c>
      <c r="K29">
        <v>2</v>
      </c>
      <c r="L29" t="s">
        <v>1649</v>
      </c>
      <c r="M29" t="s">
        <v>1661</v>
      </c>
      <c r="N29" t="s">
        <v>1879</v>
      </c>
      <c r="O29" t="s">
        <v>1880</v>
      </c>
      <c r="P29" t="s">
        <v>1881</v>
      </c>
      <c r="Q29" t="s">
        <v>1882</v>
      </c>
      <c r="R29" t="s">
        <v>1883</v>
      </c>
    </row>
    <row r="30" spans="1:20">
      <c r="A30">
        <v>29</v>
      </c>
      <c r="B30" t="s">
        <v>496</v>
      </c>
      <c r="C30" s="1">
        <v>83102429</v>
      </c>
      <c r="D30" t="s">
        <v>5</v>
      </c>
      <c r="E30" t="s">
        <v>1645</v>
      </c>
      <c r="F30" t="s">
        <v>1884</v>
      </c>
      <c r="G30">
        <v>40303</v>
      </c>
      <c r="H30" t="s">
        <v>1764</v>
      </c>
      <c r="I30" s="2">
        <v>32741</v>
      </c>
      <c r="J30" t="s">
        <v>1648</v>
      </c>
      <c r="K30">
        <v>1</v>
      </c>
      <c r="L30" t="s">
        <v>1649</v>
      </c>
      <c r="M30" t="s">
        <v>1637</v>
      </c>
      <c r="N30" t="s">
        <v>1671</v>
      </c>
      <c r="O30" t="s">
        <v>1885</v>
      </c>
      <c r="P30" t="s">
        <v>1886</v>
      </c>
      <c r="Q30" t="s">
        <v>1887</v>
      </c>
      <c r="R30" t="s">
        <v>1888</v>
      </c>
      <c r="S30" t="s">
        <v>1889</v>
      </c>
      <c r="T30" t="s">
        <v>1890</v>
      </c>
    </row>
    <row r="31" spans="1:20">
      <c r="A31">
        <v>30</v>
      </c>
      <c r="B31" t="s">
        <v>827</v>
      </c>
      <c r="C31" s="1">
        <v>83088475</v>
      </c>
      <c r="D31" t="s">
        <v>5</v>
      </c>
      <c r="E31" t="s">
        <v>1657</v>
      </c>
      <c r="F31" t="s">
        <v>1891</v>
      </c>
      <c r="G31">
        <v>39751</v>
      </c>
      <c r="H31" t="s">
        <v>1670</v>
      </c>
      <c r="I31" s="2">
        <v>31579</v>
      </c>
      <c r="J31" t="s">
        <v>1648</v>
      </c>
      <c r="K31">
        <v>2</v>
      </c>
      <c r="L31" t="s">
        <v>1649</v>
      </c>
      <c r="M31" t="s">
        <v>1637</v>
      </c>
      <c r="N31" t="s">
        <v>1650</v>
      </c>
      <c r="O31" t="s">
        <v>1885</v>
      </c>
      <c r="P31" t="s">
        <v>1892</v>
      </c>
      <c r="Q31" t="s">
        <v>1893</v>
      </c>
      <c r="R31" t="s">
        <v>1894</v>
      </c>
      <c r="S31" t="s">
        <v>1895</v>
      </c>
      <c r="T31" t="s">
        <v>1896</v>
      </c>
    </row>
    <row r="32" spans="1:20">
      <c r="A32">
        <v>31</v>
      </c>
      <c r="B32" t="s">
        <v>716</v>
      </c>
      <c r="C32" s="1">
        <v>83117268</v>
      </c>
      <c r="D32" t="s">
        <v>16</v>
      </c>
      <c r="E32" t="s">
        <v>1657</v>
      </c>
      <c r="F32" t="s">
        <v>1897</v>
      </c>
      <c r="G32">
        <v>40677</v>
      </c>
      <c r="H32" t="s">
        <v>1754</v>
      </c>
      <c r="I32" s="2">
        <v>33382</v>
      </c>
      <c r="J32" t="s">
        <v>1648</v>
      </c>
      <c r="K32" t="s">
        <v>1898</v>
      </c>
      <c r="L32" t="s">
        <v>1649</v>
      </c>
      <c r="M32" t="s">
        <v>1661</v>
      </c>
      <c r="N32" t="s">
        <v>1899</v>
      </c>
      <c r="O32" t="s">
        <v>1900</v>
      </c>
      <c r="P32" t="s">
        <v>1901</v>
      </c>
      <c r="Q32" t="s">
        <v>1902</v>
      </c>
      <c r="R32" t="s">
        <v>1903</v>
      </c>
      <c r="S32" t="s">
        <v>1904</v>
      </c>
      <c r="T32" t="s">
        <v>1905</v>
      </c>
    </row>
    <row r="33" spans="1:20">
      <c r="A33">
        <v>32</v>
      </c>
      <c r="B33" t="s">
        <v>683</v>
      </c>
      <c r="C33" s="1">
        <v>83117269</v>
      </c>
      <c r="D33" t="s">
        <v>16</v>
      </c>
      <c r="E33" t="s">
        <v>1365</v>
      </c>
      <c r="F33" t="s">
        <v>1906</v>
      </c>
      <c r="G33">
        <v>40677</v>
      </c>
      <c r="H33" t="s">
        <v>1790</v>
      </c>
      <c r="I33" s="2">
        <v>33747</v>
      </c>
      <c r="J33" t="s">
        <v>1648</v>
      </c>
      <c r="K33">
        <v>2</v>
      </c>
      <c r="L33" t="s">
        <v>1649</v>
      </c>
      <c r="M33" t="s">
        <v>1907</v>
      </c>
      <c r="N33" t="s">
        <v>1908</v>
      </c>
      <c r="O33" t="s">
        <v>1909</v>
      </c>
      <c r="P33" t="s">
        <v>1910</v>
      </c>
      <c r="Q33" t="s">
        <v>1911</v>
      </c>
      <c r="R33" t="s">
        <v>1912</v>
      </c>
      <c r="S33" t="s">
        <v>1913</v>
      </c>
      <c r="T33" t="s">
        <v>1914</v>
      </c>
    </row>
    <row r="34" spans="1:20">
      <c r="A34">
        <v>33</v>
      </c>
      <c r="B34" t="s">
        <v>828</v>
      </c>
      <c r="C34" s="1">
        <v>152455</v>
      </c>
      <c r="D34" t="s">
        <v>8</v>
      </c>
      <c r="E34" t="s">
        <v>1645</v>
      </c>
      <c r="F34" t="s">
        <v>1915</v>
      </c>
      <c r="G34">
        <v>42219</v>
      </c>
      <c r="H34" t="s">
        <v>1916</v>
      </c>
      <c r="I34" s="2">
        <v>35402</v>
      </c>
      <c r="J34" t="s">
        <v>1635</v>
      </c>
      <c r="L34" t="s">
        <v>1636</v>
      </c>
      <c r="M34" t="s">
        <v>1661</v>
      </c>
      <c r="N34" t="s">
        <v>1917</v>
      </c>
      <c r="O34" t="s">
        <v>1918</v>
      </c>
      <c r="P34" t="s">
        <v>1919</v>
      </c>
      <c r="Q34" t="s">
        <v>1920</v>
      </c>
      <c r="R34" t="s">
        <v>1921</v>
      </c>
      <c r="S34" t="s">
        <v>1922</v>
      </c>
      <c r="T34" t="s">
        <v>1923</v>
      </c>
    </row>
    <row r="35" spans="1:20">
      <c r="A35">
        <v>34</v>
      </c>
      <c r="B35" t="s">
        <v>710</v>
      </c>
      <c r="C35" s="1">
        <v>162512</v>
      </c>
      <c r="D35" t="s">
        <v>16</v>
      </c>
      <c r="E35" t="s">
        <v>1657</v>
      </c>
      <c r="F35" t="s">
        <v>1924</v>
      </c>
      <c r="G35">
        <v>42671</v>
      </c>
      <c r="H35" t="s">
        <v>1925</v>
      </c>
      <c r="I35" s="2">
        <v>33102</v>
      </c>
      <c r="J35" t="s">
        <v>1648</v>
      </c>
      <c r="K35">
        <v>1</v>
      </c>
      <c r="L35" t="s">
        <v>1649</v>
      </c>
      <c r="M35" t="s">
        <v>1661</v>
      </c>
      <c r="N35" t="s">
        <v>1926</v>
      </c>
      <c r="O35" t="s">
        <v>1927</v>
      </c>
      <c r="P35" t="s">
        <v>1928</v>
      </c>
      <c r="Q35" t="s">
        <v>1929</v>
      </c>
      <c r="R35" t="s">
        <v>1930</v>
      </c>
      <c r="S35" t="s">
        <v>1931</v>
      </c>
      <c r="T35" t="s">
        <v>1932</v>
      </c>
    </row>
    <row r="36" spans="1:20">
      <c r="A36">
        <v>35</v>
      </c>
      <c r="B36" t="s">
        <v>227</v>
      </c>
      <c r="C36" s="1">
        <v>146453</v>
      </c>
      <c r="D36" t="s">
        <v>2</v>
      </c>
      <c r="E36" t="s">
        <v>1657</v>
      </c>
      <c r="F36" t="s">
        <v>1933</v>
      </c>
      <c r="G36">
        <v>41945</v>
      </c>
      <c r="H36" t="s">
        <v>1934</v>
      </c>
      <c r="I36" s="2">
        <v>33560</v>
      </c>
      <c r="J36" t="s">
        <v>1635</v>
      </c>
      <c r="L36" t="s">
        <v>1649</v>
      </c>
      <c r="M36" t="s">
        <v>1637</v>
      </c>
      <c r="N36" t="s">
        <v>1671</v>
      </c>
      <c r="O36" t="s">
        <v>1935</v>
      </c>
      <c r="P36" t="s">
        <v>1936</v>
      </c>
      <c r="Q36" t="s">
        <v>1937</v>
      </c>
      <c r="R36" t="s">
        <v>1938</v>
      </c>
      <c r="S36" t="s">
        <v>1939</v>
      </c>
      <c r="T36" t="s">
        <v>1940</v>
      </c>
    </row>
    <row r="37" spans="1:20">
      <c r="A37">
        <v>36</v>
      </c>
      <c r="B37" t="s">
        <v>724</v>
      </c>
      <c r="C37" s="1">
        <v>83117278</v>
      </c>
      <c r="D37" t="s">
        <v>16</v>
      </c>
      <c r="E37" t="s">
        <v>1657</v>
      </c>
      <c r="F37" t="s">
        <v>1789</v>
      </c>
      <c r="G37">
        <v>40683</v>
      </c>
      <c r="H37" t="s">
        <v>1790</v>
      </c>
      <c r="I37" s="2">
        <v>29505</v>
      </c>
      <c r="J37" t="s">
        <v>1648</v>
      </c>
      <c r="K37">
        <v>0</v>
      </c>
      <c r="L37" t="s">
        <v>1649</v>
      </c>
      <c r="M37" t="s">
        <v>1661</v>
      </c>
      <c r="N37" t="s">
        <v>1791</v>
      </c>
      <c r="O37" t="s">
        <v>1941</v>
      </c>
      <c r="P37" t="s">
        <v>1793</v>
      </c>
      <c r="Q37" t="s">
        <v>1794</v>
      </c>
      <c r="R37" t="s">
        <v>1795</v>
      </c>
      <c r="S37" t="s">
        <v>1942</v>
      </c>
      <c r="T37" t="s">
        <v>1796</v>
      </c>
    </row>
    <row r="38" spans="1:20">
      <c r="A38">
        <v>37</v>
      </c>
      <c r="B38" t="s">
        <v>829</v>
      </c>
      <c r="C38" s="1">
        <v>83122944</v>
      </c>
      <c r="D38" t="s">
        <v>5</v>
      </c>
      <c r="E38" t="s">
        <v>1645</v>
      </c>
      <c r="F38" t="s">
        <v>1943</v>
      </c>
      <c r="G38">
        <v>41122</v>
      </c>
      <c r="H38" t="s">
        <v>1944</v>
      </c>
      <c r="I38" s="2">
        <v>34162</v>
      </c>
      <c r="J38" t="s">
        <v>1648</v>
      </c>
      <c r="K38">
        <v>1</v>
      </c>
      <c r="L38" t="s">
        <v>1649</v>
      </c>
      <c r="M38" t="s">
        <v>1661</v>
      </c>
      <c r="N38" t="s">
        <v>1945</v>
      </c>
      <c r="O38" t="s">
        <v>1946</v>
      </c>
      <c r="P38" t="s">
        <v>1947</v>
      </c>
      <c r="Q38" t="s">
        <v>1948</v>
      </c>
      <c r="R38" t="s">
        <v>1949</v>
      </c>
      <c r="S38" t="s">
        <v>1950</v>
      </c>
      <c r="T38" t="s">
        <v>1951</v>
      </c>
    </row>
    <row r="39" spans="1:20">
      <c r="A39">
        <v>38</v>
      </c>
      <c r="B39" t="s">
        <v>638</v>
      </c>
      <c r="C39" s="1">
        <v>83119340</v>
      </c>
      <c r="D39" t="s">
        <v>1952</v>
      </c>
      <c r="E39" t="s">
        <v>1365</v>
      </c>
      <c r="F39" t="s">
        <v>1953</v>
      </c>
      <c r="G39">
        <v>40840</v>
      </c>
      <c r="H39" t="s">
        <v>1954</v>
      </c>
      <c r="I39" s="2">
        <v>33064</v>
      </c>
      <c r="J39" t="s">
        <v>1648</v>
      </c>
      <c r="K39">
        <v>1</v>
      </c>
      <c r="L39" t="s">
        <v>1636</v>
      </c>
      <c r="M39" t="s">
        <v>1661</v>
      </c>
      <c r="N39" t="s">
        <v>1955</v>
      </c>
      <c r="O39" t="s">
        <v>1956</v>
      </c>
      <c r="P39" t="s">
        <v>1957</v>
      </c>
      <c r="Q39" t="s">
        <v>1958</v>
      </c>
      <c r="R39" t="s">
        <v>1959</v>
      </c>
      <c r="T39" t="s">
        <v>1960</v>
      </c>
    </row>
    <row r="40" spans="1:20">
      <c r="A40">
        <v>39</v>
      </c>
      <c r="B40" t="s">
        <v>830</v>
      </c>
      <c r="C40" s="1">
        <v>143586</v>
      </c>
      <c r="D40" t="s">
        <v>1421</v>
      </c>
      <c r="E40" t="s">
        <v>1657</v>
      </c>
      <c r="F40" t="s">
        <v>1961</v>
      </c>
      <c r="G40">
        <v>41834</v>
      </c>
      <c r="H40" t="s">
        <v>1670</v>
      </c>
      <c r="I40" s="2">
        <v>34708</v>
      </c>
      <c r="J40" t="s">
        <v>1962</v>
      </c>
      <c r="K40">
        <v>2</v>
      </c>
      <c r="L40" t="s">
        <v>1649</v>
      </c>
      <c r="M40" t="s">
        <v>1637</v>
      </c>
      <c r="N40" t="s">
        <v>1650</v>
      </c>
      <c r="O40" t="s">
        <v>1963</v>
      </c>
      <c r="P40" t="s">
        <v>1964</v>
      </c>
      <c r="Q40" t="s">
        <v>1965</v>
      </c>
      <c r="R40" t="s">
        <v>1966</v>
      </c>
      <c r="S40" t="s">
        <v>1967</v>
      </c>
      <c r="T40" t="s">
        <v>1968</v>
      </c>
    </row>
    <row r="41" spans="1:20">
      <c r="A41">
        <v>40</v>
      </c>
      <c r="B41" t="s">
        <v>729</v>
      </c>
      <c r="C41" s="1">
        <v>162508</v>
      </c>
      <c r="D41" t="s">
        <v>16</v>
      </c>
      <c r="E41" t="s">
        <v>1657</v>
      </c>
      <c r="F41" t="s">
        <v>1969</v>
      </c>
      <c r="G41">
        <v>42671</v>
      </c>
      <c r="H41" t="s">
        <v>1970</v>
      </c>
      <c r="I41" s="2">
        <v>34527</v>
      </c>
      <c r="J41" t="s">
        <v>1648</v>
      </c>
      <c r="K41">
        <v>0</v>
      </c>
      <c r="L41" t="s">
        <v>1649</v>
      </c>
      <c r="M41" t="s">
        <v>1971</v>
      </c>
      <c r="N41" t="s">
        <v>1972</v>
      </c>
      <c r="O41" t="s">
        <v>1971</v>
      </c>
      <c r="P41" t="s">
        <v>1973</v>
      </c>
      <c r="Q41" t="s">
        <v>1974</v>
      </c>
      <c r="R41" t="s">
        <v>1975</v>
      </c>
      <c r="S41" t="s">
        <v>1976</v>
      </c>
      <c r="T41" t="s">
        <v>1977</v>
      </c>
    </row>
    <row r="42" spans="1:20">
      <c r="A42">
        <v>41</v>
      </c>
      <c r="B42" t="s">
        <v>498</v>
      </c>
      <c r="C42" s="1">
        <v>140594</v>
      </c>
      <c r="D42" t="s">
        <v>5</v>
      </c>
      <c r="E42" t="s">
        <v>1657</v>
      </c>
      <c r="F42" t="s">
        <v>1978</v>
      </c>
      <c r="G42">
        <v>41683</v>
      </c>
      <c r="H42" t="s">
        <v>1670</v>
      </c>
      <c r="I42" s="2">
        <v>31963</v>
      </c>
      <c r="J42" t="s">
        <v>1962</v>
      </c>
      <c r="K42">
        <v>1</v>
      </c>
      <c r="L42" t="s">
        <v>1649</v>
      </c>
      <c r="M42" t="s">
        <v>1637</v>
      </c>
      <c r="N42" t="s">
        <v>1650</v>
      </c>
      <c r="O42" t="s">
        <v>1979</v>
      </c>
      <c r="P42" t="s">
        <v>1980</v>
      </c>
      <c r="Q42" t="s">
        <v>1981</v>
      </c>
      <c r="R42" t="s">
        <v>1982</v>
      </c>
      <c r="S42" t="s">
        <v>1983</v>
      </c>
      <c r="T42" t="s">
        <v>1984</v>
      </c>
    </row>
    <row r="43" spans="1:20">
      <c r="A43">
        <v>42</v>
      </c>
      <c r="B43" t="s">
        <v>725</v>
      </c>
      <c r="C43" s="1">
        <v>162496</v>
      </c>
      <c r="D43" t="s">
        <v>1985</v>
      </c>
      <c r="E43" t="s">
        <v>1657</v>
      </c>
      <c r="F43" t="s">
        <v>1986</v>
      </c>
      <c r="G43">
        <v>42671</v>
      </c>
      <c r="H43" t="s">
        <v>1790</v>
      </c>
      <c r="I43" s="2">
        <v>34075</v>
      </c>
      <c r="J43" t="s">
        <v>1648</v>
      </c>
      <c r="K43" t="s">
        <v>1987</v>
      </c>
      <c r="L43" t="s">
        <v>1649</v>
      </c>
      <c r="M43" t="s">
        <v>1755</v>
      </c>
      <c r="N43" t="s">
        <v>1988</v>
      </c>
      <c r="O43" t="s">
        <v>1809</v>
      </c>
      <c r="P43" t="s">
        <v>1989</v>
      </c>
      <c r="Q43" t="s">
        <v>1990</v>
      </c>
      <c r="R43" t="s">
        <v>1991</v>
      </c>
      <c r="S43" t="s">
        <v>1992</v>
      </c>
      <c r="T43" t="s">
        <v>1993</v>
      </c>
    </row>
    <row r="44" spans="1:20">
      <c r="A44">
        <v>43</v>
      </c>
      <c r="B44" t="s">
        <v>831</v>
      </c>
      <c r="C44" s="1">
        <v>145330</v>
      </c>
      <c r="D44" t="s">
        <v>5</v>
      </c>
      <c r="E44" t="s">
        <v>1645</v>
      </c>
      <c r="F44" t="s">
        <v>1994</v>
      </c>
      <c r="G44">
        <v>41926</v>
      </c>
      <c r="H44" t="s">
        <v>1995</v>
      </c>
      <c r="I44" s="2">
        <v>34264</v>
      </c>
      <c r="J44" t="s">
        <v>1648</v>
      </c>
      <c r="K44">
        <v>1</v>
      </c>
      <c r="L44" t="s">
        <v>1649</v>
      </c>
      <c r="M44" t="s">
        <v>1661</v>
      </c>
      <c r="N44" t="s">
        <v>1996</v>
      </c>
      <c r="O44" t="s">
        <v>1997</v>
      </c>
      <c r="P44" t="s">
        <v>1998</v>
      </c>
      <c r="Q44" t="s">
        <v>1999</v>
      </c>
      <c r="R44" t="s">
        <v>2000</v>
      </c>
      <c r="S44" t="s">
        <v>2001</v>
      </c>
      <c r="T44" t="s">
        <v>2002</v>
      </c>
    </row>
    <row r="45" spans="1:20">
      <c r="A45">
        <v>44</v>
      </c>
      <c r="B45" t="s">
        <v>481</v>
      </c>
      <c r="C45" s="1">
        <v>132514</v>
      </c>
      <c r="D45" t="s">
        <v>5</v>
      </c>
      <c r="E45" t="s">
        <v>1657</v>
      </c>
      <c r="F45" t="s">
        <v>2003</v>
      </c>
      <c r="G45">
        <v>41438</v>
      </c>
      <c r="H45" t="s">
        <v>1670</v>
      </c>
      <c r="I45" s="2">
        <v>33912</v>
      </c>
      <c r="J45" t="s">
        <v>1635</v>
      </c>
      <c r="L45" t="s">
        <v>1649</v>
      </c>
      <c r="M45" t="s">
        <v>1637</v>
      </c>
      <c r="N45" t="s">
        <v>1671</v>
      </c>
      <c r="O45" t="s">
        <v>2004</v>
      </c>
      <c r="P45" t="s">
        <v>2005</v>
      </c>
      <c r="Q45" t="s">
        <v>2006</v>
      </c>
      <c r="R45" t="s">
        <v>2007</v>
      </c>
      <c r="S45" t="s">
        <v>2008</v>
      </c>
      <c r="T45" t="s">
        <v>2009</v>
      </c>
    </row>
    <row r="46" spans="1:20">
      <c r="A46">
        <v>45</v>
      </c>
      <c r="B46" t="s">
        <v>832</v>
      </c>
      <c r="C46" s="1">
        <v>241553</v>
      </c>
      <c r="D46" t="s">
        <v>5</v>
      </c>
      <c r="E46" t="s">
        <v>1657</v>
      </c>
      <c r="F46" t="s">
        <v>2010</v>
      </c>
      <c r="G46">
        <v>45534</v>
      </c>
      <c r="H46" t="s">
        <v>1670</v>
      </c>
      <c r="I46" s="2">
        <v>38831</v>
      </c>
      <c r="J46" t="s">
        <v>1635</v>
      </c>
      <c r="L46" t="s">
        <v>1649</v>
      </c>
      <c r="M46" t="s">
        <v>1661</v>
      </c>
      <c r="N46" t="s">
        <v>2011</v>
      </c>
      <c r="O46" t="s">
        <v>2012</v>
      </c>
      <c r="P46" t="s">
        <v>2013</v>
      </c>
      <c r="Q46" t="s">
        <v>2014</v>
      </c>
      <c r="R46" t="s">
        <v>2015</v>
      </c>
      <c r="S46" t="s">
        <v>2016</v>
      </c>
      <c r="T46" t="s">
        <v>2017</v>
      </c>
    </row>
    <row r="47" spans="1:20">
      <c r="A47">
        <v>46</v>
      </c>
      <c r="B47" t="s">
        <v>393</v>
      </c>
      <c r="C47" s="1">
        <v>83075877</v>
      </c>
      <c r="D47" t="s">
        <v>5</v>
      </c>
      <c r="E47" t="s">
        <v>1365</v>
      </c>
      <c r="F47" t="s">
        <v>2018</v>
      </c>
      <c r="G47">
        <v>39444</v>
      </c>
      <c r="H47" t="s">
        <v>1670</v>
      </c>
      <c r="I47" s="2">
        <v>31486</v>
      </c>
      <c r="J47" t="s">
        <v>1648</v>
      </c>
      <c r="K47">
        <v>2</v>
      </c>
      <c r="L47" t="s">
        <v>1649</v>
      </c>
      <c r="M47" t="s">
        <v>1637</v>
      </c>
      <c r="N47" t="s">
        <v>1650</v>
      </c>
      <c r="O47" t="s">
        <v>2019</v>
      </c>
      <c r="P47" t="s">
        <v>2020</v>
      </c>
      <c r="Q47" t="s">
        <v>2021</v>
      </c>
      <c r="R47" t="s">
        <v>2022</v>
      </c>
      <c r="S47" t="s">
        <v>2023</v>
      </c>
      <c r="T47" t="s">
        <v>2024</v>
      </c>
    </row>
    <row r="48" spans="1:20">
      <c r="A48">
        <v>47</v>
      </c>
      <c r="B48" t="s">
        <v>668</v>
      </c>
      <c r="C48" s="1">
        <v>83123141</v>
      </c>
      <c r="D48" t="s">
        <v>2025</v>
      </c>
      <c r="E48" t="s">
        <v>1365</v>
      </c>
      <c r="F48" t="s">
        <v>2026</v>
      </c>
      <c r="G48">
        <v>41122</v>
      </c>
      <c r="H48" t="s">
        <v>2027</v>
      </c>
      <c r="I48" s="2">
        <v>32548</v>
      </c>
      <c r="J48" t="s">
        <v>1648</v>
      </c>
      <c r="K48">
        <v>3</v>
      </c>
      <c r="L48" t="s">
        <v>1649</v>
      </c>
      <c r="M48" t="s">
        <v>1593</v>
      </c>
      <c r="N48" t="s">
        <v>2028</v>
      </c>
      <c r="O48" t="s">
        <v>2029</v>
      </c>
      <c r="P48" t="s">
        <v>2030</v>
      </c>
      <c r="Q48" t="s">
        <v>2031</v>
      </c>
      <c r="R48" t="s">
        <v>2032</v>
      </c>
      <c r="S48" t="s">
        <v>2033</v>
      </c>
      <c r="T48" t="s">
        <v>2034</v>
      </c>
    </row>
    <row r="49" spans="1:20">
      <c r="A49">
        <v>48</v>
      </c>
      <c r="B49" t="s">
        <v>833</v>
      </c>
      <c r="C49" s="1">
        <v>148193</v>
      </c>
      <c r="D49" t="s">
        <v>16</v>
      </c>
      <c r="E49" t="s">
        <v>1657</v>
      </c>
      <c r="F49" t="s">
        <v>2035</v>
      </c>
      <c r="G49">
        <v>42002</v>
      </c>
      <c r="H49" t="s">
        <v>2036</v>
      </c>
      <c r="I49" s="2">
        <v>31638</v>
      </c>
      <c r="J49" t="s">
        <v>1648</v>
      </c>
      <c r="K49" t="s">
        <v>2037</v>
      </c>
      <c r="L49" t="s">
        <v>1649</v>
      </c>
      <c r="M49" t="s">
        <v>1661</v>
      </c>
      <c r="N49" t="s">
        <v>2038</v>
      </c>
      <c r="O49" t="s">
        <v>2039</v>
      </c>
      <c r="P49" t="s">
        <v>2040</v>
      </c>
      <c r="Q49" t="s">
        <v>2041</v>
      </c>
      <c r="R49" t="s">
        <v>2042</v>
      </c>
      <c r="S49" t="s">
        <v>2043</v>
      </c>
      <c r="T49" t="s">
        <v>2044</v>
      </c>
    </row>
    <row r="50" spans="1:20">
      <c r="A50">
        <v>49</v>
      </c>
      <c r="B50" t="s">
        <v>834</v>
      </c>
      <c r="C50" s="1">
        <v>148191</v>
      </c>
      <c r="D50" t="s">
        <v>16</v>
      </c>
      <c r="E50" t="s">
        <v>1657</v>
      </c>
      <c r="F50" t="s">
        <v>2045</v>
      </c>
      <c r="G50">
        <v>42002</v>
      </c>
      <c r="H50" t="s">
        <v>1790</v>
      </c>
      <c r="I50" s="2">
        <v>34361</v>
      </c>
      <c r="J50" t="s">
        <v>1635</v>
      </c>
      <c r="L50" t="s">
        <v>1649</v>
      </c>
      <c r="M50" t="s">
        <v>1661</v>
      </c>
      <c r="N50" t="s">
        <v>2046</v>
      </c>
      <c r="O50" t="s">
        <v>2047</v>
      </c>
      <c r="P50" t="s">
        <v>2048</v>
      </c>
      <c r="Q50" t="s">
        <v>2049</v>
      </c>
      <c r="S50" t="s">
        <v>2050</v>
      </c>
      <c r="T50" t="s">
        <v>2051</v>
      </c>
    </row>
    <row r="51" spans="1:20">
      <c r="A51">
        <v>50</v>
      </c>
      <c r="B51" t="s">
        <v>713</v>
      </c>
      <c r="C51" s="1">
        <v>83117277</v>
      </c>
      <c r="D51" t="s">
        <v>16</v>
      </c>
      <c r="E51" t="s">
        <v>1365</v>
      </c>
      <c r="F51" t="s">
        <v>2052</v>
      </c>
      <c r="G51">
        <v>40677</v>
      </c>
      <c r="H51" t="s">
        <v>1790</v>
      </c>
      <c r="I51" s="2">
        <v>31090</v>
      </c>
      <c r="J51" t="s">
        <v>1648</v>
      </c>
      <c r="K51">
        <v>1</v>
      </c>
      <c r="L51" t="s">
        <v>1649</v>
      </c>
      <c r="M51" t="s">
        <v>2053</v>
      </c>
      <c r="N51" t="s">
        <v>1671</v>
      </c>
      <c r="O51" t="s">
        <v>2054</v>
      </c>
      <c r="P51" t="s">
        <v>2055</v>
      </c>
      <c r="Q51" t="s">
        <v>2056</v>
      </c>
      <c r="R51" t="s">
        <v>2057</v>
      </c>
      <c r="S51" t="s">
        <v>2058</v>
      </c>
      <c r="T51" t="s">
        <v>2059</v>
      </c>
    </row>
    <row r="52" spans="1:20">
      <c r="A52">
        <v>51</v>
      </c>
      <c r="B52" t="s">
        <v>233</v>
      </c>
      <c r="C52" s="1">
        <v>145973</v>
      </c>
      <c r="D52" t="s">
        <v>2</v>
      </c>
      <c r="E52" t="s">
        <v>1657</v>
      </c>
      <c r="F52" t="s">
        <v>1877</v>
      </c>
      <c r="G52">
        <v>41928</v>
      </c>
      <c r="H52" t="s">
        <v>1878</v>
      </c>
      <c r="I52" s="2">
        <v>33582</v>
      </c>
      <c r="J52" t="s">
        <v>1648</v>
      </c>
      <c r="K52">
        <v>2</v>
      </c>
      <c r="L52" t="s">
        <v>1649</v>
      </c>
      <c r="M52" t="s">
        <v>1661</v>
      </c>
      <c r="N52" t="s">
        <v>1879</v>
      </c>
      <c r="O52" t="s">
        <v>1880</v>
      </c>
      <c r="P52" t="s">
        <v>1881</v>
      </c>
      <c r="Q52" t="s">
        <v>1882</v>
      </c>
      <c r="R52" t="s">
        <v>2060</v>
      </c>
      <c r="S52" t="s">
        <v>2061</v>
      </c>
      <c r="T52" t="s">
        <v>2062</v>
      </c>
    </row>
    <row r="53" spans="1:20">
      <c r="A53">
        <v>52</v>
      </c>
      <c r="B53" t="s">
        <v>835</v>
      </c>
      <c r="C53" s="1">
        <v>83119918</v>
      </c>
      <c r="D53" t="s">
        <v>5</v>
      </c>
      <c r="E53" t="s">
        <v>1657</v>
      </c>
      <c r="F53" t="s">
        <v>2063</v>
      </c>
      <c r="G53">
        <v>40903</v>
      </c>
      <c r="H53" t="s">
        <v>1738</v>
      </c>
      <c r="I53" s="2">
        <v>45866</v>
      </c>
      <c r="J53" t="s">
        <v>1648</v>
      </c>
      <c r="K53">
        <v>3</v>
      </c>
      <c r="L53" t="s">
        <v>1649</v>
      </c>
      <c r="M53" t="s">
        <v>1661</v>
      </c>
      <c r="N53" t="s">
        <v>2064</v>
      </c>
      <c r="O53" t="s">
        <v>2065</v>
      </c>
      <c r="P53" t="s">
        <v>2066</v>
      </c>
      <c r="Q53" t="s">
        <v>2067</v>
      </c>
      <c r="R53" t="s">
        <v>2068</v>
      </c>
      <c r="S53" t="s">
        <v>2069</v>
      </c>
      <c r="T53" t="s">
        <v>2070</v>
      </c>
    </row>
    <row r="54" spans="1:20">
      <c r="A54">
        <v>53</v>
      </c>
      <c r="B54" t="s">
        <v>836</v>
      </c>
      <c r="C54" s="1">
        <v>250409</v>
      </c>
      <c r="D54" t="s">
        <v>12</v>
      </c>
      <c r="E54" t="s">
        <v>1657</v>
      </c>
      <c r="F54" t="s">
        <v>2071</v>
      </c>
      <c r="G54">
        <v>45720</v>
      </c>
      <c r="H54" t="s">
        <v>2072</v>
      </c>
      <c r="I54" s="2">
        <v>37150</v>
      </c>
      <c r="J54" t="s">
        <v>1635</v>
      </c>
      <c r="L54" t="s">
        <v>1636</v>
      </c>
      <c r="M54" t="s">
        <v>2073</v>
      </c>
      <c r="N54" t="s">
        <v>2011</v>
      </c>
      <c r="O54" t="s">
        <v>2074</v>
      </c>
      <c r="P54" t="s">
        <v>2075</v>
      </c>
      <c r="Q54" t="s">
        <v>2076</v>
      </c>
      <c r="R54" t="s">
        <v>2075</v>
      </c>
      <c r="S54" t="s">
        <v>2077</v>
      </c>
      <c r="T54" t="s">
        <v>2078</v>
      </c>
    </row>
    <row r="55" spans="1:20">
      <c r="A55">
        <v>54</v>
      </c>
      <c r="B55" t="s">
        <v>800</v>
      </c>
      <c r="C55" s="1">
        <v>83117808</v>
      </c>
      <c r="D55" t="s">
        <v>16</v>
      </c>
      <c r="E55" t="s">
        <v>1657</v>
      </c>
      <c r="F55" t="s">
        <v>1815</v>
      </c>
      <c r="G55">
        <v>40738</v>
      </c>
      <c r="H55" t="s">
        <v>2079</v>
      </c>
      <c r="I55" s="2">
        <v>31319</v>
      </c>
      <c r="J55" t="s">
        <v>1648</v>
      </c>
      <c r="K55" t="s">
        <v>2080</v>
      </c>
      <c r="L55" t="s">
        <v>1649</v>
      </c>
      <c r="M55" t="s">
        <v>1818</v>
      </c>
      <c r="N55" t="s">
        <v>1819</v>
      </c>
      <c r="O55" t="s">
        <v>1820</v>
      </c>
      <c r="P55" t="s">
        <v>1821</v>
      </c>
      <c r="Q55" t="s">
        <v>1822</v>
      </c>
      <c r="R55" t="s">
        <v>2081</v>
      </c>
      <c r="S55" t="s">
        <v>2082</v>
      </c>
      <c r="T55" t="s">
        <v>1825</v>
      </c>
    </row>
    <row r="56" spans="1:20">
      <c r="A56">
        <v>55</v>
      </c>
      <c r="B56" t="s">
        <v>837</v>
      </c>
      <c r="C56" s="1">
        <v>83104215</v>
      </c>
      <c r="D56" t="s">
        <v>8</v>
      </c>
      <c r="E56" t="s">
        <v>1657</v>
      </c>
      <c r="F56" t="s">
        <v>2083</v>
      </c>
      <c r="G56">
        <v>40428</v>
      </c>
      <c r="H56" t="s">
        <v>1721</v>
      </c>
      <c r="I56" s="2">
        <v>33743</v>
      </c>
      <c r="J56" t="s">
        <v>1648</v>
      </c>
      <c r="K56" t="s">
        <v>1660</v>
      </c>
      <c r="L56" t="s">
        <v>1649</v>
      </c>
      <c r="M56" t="s">
        <v>2084</v>
      </c>
      <c r="N56" t="s">
        <v>2085</v>
      </c>
      <c r="O56" t="s">
        <v>2086</v>
      </c>
      <c r="P56" t="s">
        <v>2087</v>
      </c>
      <c r="Q56" t="s">
        <v>2088</v>
      </c>
      <c r="R56" t="s">
        <v>2089</v>
      </c>
      <c r="S56" t="s">
        <v>2090</v>
      </c>
      <c r="T56" t="s">
        <v>2091</v>
      </c>
    </row>
    <row r="57" spans="1:20">
      <c r="A57">
        <v>56</v>
      </c>
      <c r="B57" t="s">
        <v>432</v>
      </c>
      <c r="C57" s="1">
        <v>83120900</v>
      </c>
      <c r="D57" t="s">
        <v>5</v>
      </c>
      <c r="E57" t="s">
        <v>1657</v>
      </c>
      <c r="F57" t="s">
        <v>2092</v>
      </c>
      <c r="G57">
        <v>40974</v>
      </c>
      <c r="H57" t="s">
        <v>1670</v>
      </c>
      <c r="I57" s="2">
        <v>33255</v>
      </c>
      <c r="J57" t="s">
        <v>1648</v>
      </c>
      <c r="K57" t="s">
        <v>1660</v>
      </c>
      <c r="L57" t="s">
        <v>1649</v>
      </c>
      <c r="M57" t="s">
        <v>1637</v>
      </c>
      <c r="N57" t="s">
        <v>1650</v>
      </c>
      <c r="O57" t="s">
        <v>2093</v>
      </c>
      <c r="P57" t="s">
        <v>2094</v>
      </c>
      <c r="Q57" t="s">
        <v>2095</v>
      </c>
      <c r="R57" t="s">
        <v>2096</v>
      </c>
      <c r="S57" t="s">
        <v>2097</v>
      </c>
      <c r="T57" t="s">
        <v>2098</v>
      </c>
    </row>
    <row r="58" spans="1:20">
      <c r="A58">
        <v>57</v>
      </c>
      <c r="B58" t="s">
        <v>838</v>
      </c>
      <c r="C58" s="1">
        <v>83123157</v>
      </c>
      <c r="D58" t="s">
        <v>15</v>
      </c>
      <c r="E58" t="s">
        <v>1365</v>
      </c>
      <c r="F58" t="s">
        <v>2099</v>
      </c>
      <c r="G58">
        <v>41122</v>
      </c>
      <c r="H58" t="s">
        <v>2100</v>
      </c>
      <c r="I58" s="2">
        <v>28598</v>
      </c>
      <c r="J58" t="s">
        <v>1648</v>
      </c>
      <c r="K58">
        <v>0</v>
      </c>
      <c r="L58" t="s">
        <v>2101</v>
      </c>
      <c r="M58" t="s">
        <v>1828</v>
      </c>
      <c r="N58" t="s">
        <v>1671</v>
      </c>
      <c r="O58" t="s">
        <v>2102</v>
      </c>
      <c r="P58" t="s">
        <v>2103</v>
      </c>
      <c r="Q58" t="s">
        <v>2104</v>
      </c>
      <c r="R58" t="s">
        <v>2105</v>
      </c>
      <c r="S58" t="s">
        <v>2106</v>
      </c>
      <c r="T58" t="s">
        <v>2107</v>
      </c>
    </row>
    <row r="59" spans="1:20">
      <c r="A59">
        <v>58</v>
      </c>
      <c r="B59" t="s">
        <v>423</v>
      </c>
      <c r="C59" s="1">
        <v>83103445</v>
      </c>
      <c r="D59" t="s">
        <v>5</v>
      </c>
      <c r="E59" t="s">
        <v>1657</v>
      </c>
      <c r="F59" t="s">
        <v>2108</v>
      </c>
      <c r="G59">
        <v>40386</v>
      </c>
      <c r="H59" t="s">
        <v>1670</v>
      </c>
      <c r="I59" s="2">
        <v>33526</v>
      </c>
      <c r="J59" t="s">
        <v>1648</v>
      </c>
      <c r="K59" t="s">
        <v>2109</v>
      </c>
      <c r="L59" t="s">
        <v>1649</v>
      </c>
      <c r="M59" t="s">
        <v>1661</v>
      </c>
      <c r="N59" t="s">
        <v>2110</v>
      </c>
      <c r="O59" t="s">
        <v>1755</v>
      </c>
      <c r="P59" t="s">
        <v>2111</v>
      </c>
      <c r="Q59" t="s">
        <v>2112</v>
      </c>
      <c r="R59" t="s">
        <v>2113</v>
      </c>
      <c r="S59" t="s">
        <v>2114</v>
      </c>
      <c r="T59" t="s">
        <v>2115</v>
      </c>
    </row>
    <row r="60" spans="1:20">
      <c r="A60">
        <v>59</v>
      </c>
      <c r="B60" t="s">
        <v>513</v>
      </c>
      <c r="C60" s="1">
        <v>241135</v>
      </c>
      <c r="D60" t="s">
        <v>5</v>
      </c>
      <c r="E60" t="s">
        <v>1657</v>
      </c>
      <c r="F60" t="s">
        <v>2116</v>
      </c>
      <c r="G60">
        <v>45481</v>
      </c>
      <c r="H60" t="s">
        <v>1647</v>
      </c>
      <c r="I60" s="2">
        <v>36881</v>
      </c>
      <c r="J60" t="s">
        <v>1635</v>
      </c>
      <c r="K60" t="s">
        <v>1660</v>
      </c>
      <c r="L60" t="s">
        <v>1649</v>
      </c>
      <c r="M60" t="s">
        <v>1661</v>
      </c>
      <c r="N60" t="s">
        <v>2011</v>
      </c>
      <c r="O60" t="s">
        <v>2117</v>
      </c>
      <c r="P60" t="s">
        <v>2118</v>
      </c>
      <c r="Q60" t="s">
        <v>2119</v>
      </c>
      <c r="R60" t="s">
        <v>2120</v>
      </c>
      <c r="S60" t="s">
        <v>2121</v>
      </c>
      <c r="T60" t="s">
        <v>2122</v>
      </c>
    </row>
    <row r="61" spans="1:20">
      <c r="A61">
        <v>60</v>
      </c>
      <c r="B61" t="s">
        <v>839</v>
      </c>
      <c r="C61" s="1">
        <v>152476</v>
      </c>
      <c r="D61" t="s">
        <v>2123</v>
      </c>
      <c r="E61" t="s">
        <v>1645</v>
      </c>
      <c r="F61" t="s">
        <v>2124</v>
      </c>
      <c r="G61">
        <v>42218</v>
      </c>
      <c r="H61" t="s">
        <v>1764</v>
      </c>
      <c r="I61" s="2">
        <v>30616</v>
      </c>
      <c r="J61" t="s">
        <v>1648</v>
      </c>
      <c r="K61">
        <v>3</v>
      </c>
      <c r="L61" t="s">
        <v>1649</v>
      </c>
      <c r="M61" t="s">
        <v>1637</v>
      </c>
      <c r="N61" t="s">
        <v>2125</v>
      </c>
      <c r="O61" t="s">
        <v>2126</v>
      </c>
      <c r="P61" t="s">
        <v>2127</v>
      </c>
      <c r="Q61" t="s">
        <v>2128</v>
      </c>
      <c r="R61" t="s">
        <v>2129</v>
      </c>
      <c r="S61" t="s">
        <v>2130</v>
      </c>
      <c r="T61" t="s">
        <v>2131</v>
      </c>
    </row>
    <row r="62" spans="1:20">
      <c r="A62">
        <v>61</v>
      </c>
      <c r="B62" t="s">
        <v>250</v>
      </c>
      <c r="C62" s="1">
        <v>83040026</v>
      </c>
      <c r="D62" t="s">
        <v>5</v>
      </c>
      <c r="E62" t="s">
        <v>1365</v>
      </c>
      <c r="F62" t="s">
        <v>2132</v>
      </c>
      <c r="G62">
        <v>37865</v>
      </c>
      <c r="H62" t="s">
        <v>1670</v>
      </c>
      <c r="I62" s="2">
        <v>30317</v>
      </c>
      <c r="J62" t="s">
        <v>1648</v>
      </c>
      <c r="K62">
        <v>2</v>
      </c>
      <c r="L62" t="s">
        <v>1649</v>
      </c>
      <c r="M62" t="s">
        <v>1661</v>
      </c>
      <c r="N62" t="s">
        <v>2133</v>
      </c>
      <c r="O62" t="s">
        <v>2134</v>
      </c>
      <c r="P62" t="s">
        <v>2135</v>
      </c>
      <c r="Q62" t="s">
        <v>2136</v>
      </c>
      <c r="R62" t="s">
        <v>2137</v>
      </c>
      <c r="S62" t="s">
        <v>2138</v>
      </c>
      <c r="T62" t="s">
        <v>2139</v>
      </c>
    </row>
    <row r="63" spans="1:20">
      <c r="A63">
        <v>62</v>
      </c>
      <c r="B63" t="s">
        <v>481</v>
      </c>
      <c r="C63" s="1">
        <v>132514</v>
      </c>
      <c r="D63" t="s">
        <v>5</v>
      </c>
      <c r="E63" t="s">
        <v>1657</v>
      </c>
      <c r="F63" t="s">
        <v>2003</v>
      </c>
      <c r="G63">
        <v>41457</v>
      </c>
      <c r="H63" t="s">
        <v>1670</v>
      </c>
      <c r="I63" s="2">
        <v>33912</v>
      </c>
      <c r="J63" t="s">
        <v>1635</v>
      </c>
      <c r="L63" t="s">
        <v>1649</v>
      </c>
      <c r="M63" t="s">
        <v>1637</v>
      </c>
      <c r="N63" t="s">
        <v>1671</v>
      </c>
      <c r="O63" t="s">
        <v>2004</v>
      </c>
      <c r="P63" t="s">
        <v>2140</v>
      </c>
      <c r="Q63" t="s">
        <v>2141</v>
      </c>
      <c r="R63" t="s">
        <v>2007</v>
      </c>
      <c r="S63" t="s">
        <v>2008</v>
      </c>
      <c r="T63" t="s">
        <v>2009</v>
      </c>
    </row>
    <row r="64" spans="1:20">
      <c r="A64">
        <v>63</v>
      </c>
      <c r="B64" t="s">
        <v>369</v>
      </c>
      <c r="C64" s="1">
        <v>83104434</v>
      </c>
      <c r="D64" t="s">
        <v>5</v>
      </c>
      <c r="E64" t="s">
        <v>1657</v>
      </c>
      <c r="F64" t="s">
        <v>2142</v>
      </c>
      <c r="G64">
        <v>40479</v>
      </c>
      <c r="H64" t="s">
        <v>2143</v>
      </c>
      <c r="I64" s="2">
        <v>32729</v>
      </c>
      <c r="J64" t="s">
        <v>1648</v>
      </c>
      <c r="K64" t="s">
        <v>2144</v>
      </c>
      <c r="L64" t="s">
        <v>1649</v>
      </c>
      <c r="M64" t="s">
        <v>1661</v>
      </c>
      <c r="N64" t="s">
        <v>2145</v>
      </c>
      <c r="O64" t="s">
        <v>2146</v>
      </c>
      <c r="P64" t="s">
        <v>2147</v>
      </c>
      <c r="Q64" t="s">
        <v>2148</v>
      </c>
      <c r="R64" t="s">
        <v>2149</v>
      </c>
      <c r="S64" t="s">
        <v>2150</v>
      </c>
      <c r="T64" t="s">
        <v>2151</v>
      </c>
    </row>
    <row r="65" spans="1:20">
      <c r="A65">
        <v>64</v>
      </c>
      <c r="B65" t="s">
        <v>840</v>
      </c>
      <c r="C65" s="1">
        <v>171982</v>
      </c>
      <c r="D65" t="s">
        <v>2152</v>
      </c>
      <c r="E65" t="s">
        <v>1657</v>
      </c>
      <c r="F65" t="s">
        <v>2153</v>
      </c>
      <c r="G65">
        <v>43003</v>
      </c>
      <c r="H65" t="s">
        <v>1647</v>
      </c>
      <c r="I65" s="2">
        <v>34476</v>
      </c>
      <c r="J65" t="s">
        <v>1648</v>
      </c>
      <c r="K65">
        <v>1</v>
      </c>
      <c r="L65" t="s">
        <v>1649</v>
      </c>
      <c r="M65" t="s">
        <v>1661</v>
      </c>
      <c r="N65" t="s">
        <v>2154</v>
      </c>
      <c r="O65" t="s">
        <v>2155</v>
      </c>
      <c r="P65" t="s">
        <v>2156</v>
      </c>
      <c r="Q65" t="s">
        <v>2157</v>
      </c>
      <c r="R65" t="s">
        <v>2158</v>
      </c>
      <c r="S65" t="s">
        <v>2159</v>
      </c>
      <c r="T65" t="s">
        <v>2160</v>
      </c>
    </row>
    <row r="66" spans="1:20">
      <c r="A66">
        <v>65</v>
      </c>
      <c r="B66" t="s">
        <v>841</v>
      </c>
      <c r="C66" s="1">
        <v>83102190</v>
      </c>
      <c r="D66" t="s">
        <v>1421</v>
      </c>
      <c r="E66" t="s">
        <v>1657</v>
      </c>
      <c r="F66" t="s">
        <v>2161</v>
      </c>
      <c r="G66">
        <v>40283</v>
      </c>
      <c r="H66" t="s">
        <v>1738</v>
      </c>
      <c r="I66" s="2">
        <v>30509</v>
      </c>
      <c r="J66" t="s">
        <v>1648</v>
      </c>
      <c r="K66">
        <v>1</v>
      </c>
      <c r="L66" t="s">
        <v>1649</v>
      </c>
      <c r="M66" t="s">
        <v>1637</v>
      </c>
      <c r="N66" t="s">
        <v>1671</v>
      </c>
      <c r="O66" t="s">
        <v>2162</v>
      </c>
      <c r="P66" t="s">
        <v>2163</v>
      </c>
      <c r="Q66" t="s">
        <v>2164</v>
      </c>
      <c r="R66" t="s">
        <v>2165</v>
      </c>
      <c r="S66" t="s">
        <v>2166</v>
      </c>
      <c r="T66" t="s">
        <v>2167</v>
      </c>
    </row>
    <row r="67" spans="1:20">
      <c r="A67">
        <v>66</v>
      </c>
      <c r="B67" t="s">
        <v>842</v>
      </c>
      <c r="C67" s="1">
        <v>241131</v>
      </c>
      <c r="D67" t="s">
        <v>5</v>
      </c>
      <c r="E67" t="s">
        <v>1657</v>
      </c>
      <c r="F67" t="s">
        <v>2168</v>
      </c>
      <c r="G67">
        <v>45481</v>
      </c>
      <c r="H67" t="s">
        <v>1687</v>
      </c>
      <c r="I67" s="2">
        <v>37090</v>
      </c>
      <c r="J67" t="s">
        <v>1648</v>
      </c>
      <c r="K67">
        <v>1</v>
      </c>
      <c r="L67" t="s">
        <v>1649</v>
      </c>
      <c r="M67" t="s">
        <v>1661</v>
      </c>
      <c r="N67" t="s">
        <v>2011</v>
      </c>
      <c r="O67" t="s">
        <v>2169</v>
      </c>
      <c r="P67" t="s">
        <v>2170</v>
      </c>
      <c r="Q67" t="s">
        <v>2171</v>
      </c>
      <c r="R67" t="s">
        <v>2172</v>
      </c>
      <c r="S67" t="s">
        <v>2173</v>
      </c>
      <c r="T67" t="s">
        <v>2174</v>
      </c>
    </row>
    <row r="68" spans="1:20">
      <c r="A68">
        <v>67</v>
      </c>
      <c r="B68" t="s">
        <v>717</v>
      </c>
      <c r="C68" s="1">
        <v>83117505</v>
      </c>
      <c r="D68" t="s">
        <v>16</v>
      </c>
      <c r="E68" t="s">
        <v>1657</v>
      </c>
      <c r="F68" t="s">
        <v>2175</v>
      </c>
      <c r="G68">
        <v>40722</v>
      </c>
      <c r="H68" t="s">
        <v>1790</v>
      </c>
      <c r="I68" s="2">
        <v>31589</v>
      </c>
      <c r="J68" t="s">
        <v>1648</v>
      </c>
      <c r="K68" t="s">
        <v>2037</v>
      </c>
      <c r="L68" t="s">
        <v>1649</v>
      </c>
      <c r="M68" t="s">
        <v>1637</v>
      </c>
      <c r="N68" t="s">
        <v>1671</v>
      </c>
      <c r="O68" t="s">
        <v>2176</v>
      </c>
      <c r="P68" t="s">
        <v>2177</v>
      </c>
      <c r="Q68" t="s">
        <v>2178</v>
      </c>
      <c r="R68" t="s">
        <v>2179</v>
      </c>
      <c r="S68" t="s">
        <v>2180</v>
      </c>
      <c r="T68" t="s">
        <v>2181</v>
      </c>
    </row>
    <row r="69" spans="1:20">
      <c r="A69">
        <v>68</v>
      </c>
      <c r="B69" t="s">
        <v>447</v>
      </c>
      <c r="C69" s="1">
        <v>132522</v>
      </c>
      <c r="D69" t="s">
        <v>5</v>
      </c>
      <c r="E69" t="s">
        <v>1657</v>
      </c>
      <c r="F69" t="s">
        <v>2182</v>
      </c>
      <c r="G69">
        <v>41457</v>
      </c>
      <c r="H69" t="s">
        <v>2183</v>
      </c>
      <c r="I69" s="2">
        <v>32906</v>
      </c>
      <c r="J69" t="s">
        <v>1648</v>
      </c>
      <c r="K69">
        <v>3</v>
      </c>
      <c r="L69" t="s">
        <v>1649</v>
      </c>
      <c r="M69" t="s">
        <v>1661</v>
      </c>
      <c r="N69" t="s">
        <v>2184</v>
      </c>
      <c r="O69" t="s">
        <v>2185</v>
      </c>
      <c r="P69" t="s">
        <v>2186</v>
      </c>
      <c r="Q69" t="s">
        <v>2187</v>
      </c>
      <c r="R69" t="s">
        <v>2188</v>
      </c>
      <c r="S69" t="s">
        <v>2189</v>
      </c>
      <c r="T69" t="s">
        <v>2190</v>
      </c>
    </row>
    <row r="70" spans="1:20">
      <c r="A70">
        <v>69</v>
      </c>
      <c r="B70" t="s">
        <v>843</v>
      </c>
      <c r="C70" s="1">
        <v>162513</v>
      </c>
      <c r="D70" t="s">
        <v>16</v>
      </c>
      <c r="E70" t="s">
        <v>1657</v>
      </c>
      <c r="F70" t="s">
        <v>2191</v>
      </c>
      <c r="G70">
        <v>42671</v>
      </c>
      <c r="H70" t="s">
        <v>1934</v>
      </c>
      <c r="I70" s="2">
        <v>31988</v>
      </c>
      <c r="J70" t="s">
        <v>1648</v>
      </c>
      <c r="K70" t="s">
        <v>2192</v>
      </c>
      <c r="L70" t="s">
        <v>1649</v>
      </c>
      <c r="M70" t="s">
        <v>1661</v>
      </c>
      <c r="N70" t="s">
        <v>2193</v>
      </c>
      <c r="O70" t="s">
        <v>2194</v>
      </c>
      <c r="P70" t="s">
        <v>2195</v>
      </c>
      <c r="Q70" t="s">
        <v>2196</v>
      </c>
      <c r="R70" t="s">
        <v>2197</v>
      </c>
      <c r="S70" t="s">
        <v>2198</v>
      </c>
      <c r="T70" t="s">
        <v>2199</v>
      </c>
    </row>
    <row r="71" spans="1:20">
      <c r="A71">
        <v>70</v>
      </c>
      <c r="B71" t="s">
        <v>660</v>
      </c>
      <c r="C71" s="1">
        <v>240881</v>
      </c>
      <c r="D71" t="s">
        <v>12</v>
      </c>
      <c r="E71" t="s">
        <v>1365</v>
      </c>
      <c r="F71" t="s">
        <v>2200</v>
      </c>
      <c r="G71">
        <v>45463</v>
      </c>
      <c r="H71" t="s">
        <v>1721</v>
      </c>
      <c r="I71" s="2">
        <v>37330</v>
      </c>
      <c r="J71" t="s">
        <v>1635</v>
      </c>
      <c r="L71" t="s">
        <v>1649</v>
      </c>
      <c r="M71" t="s">
        <v>2073</v>
      </c>
      <c r="N71" t="s">
        <v>2011</v>
      </c>
      <c r="O71" t="s">
        <v>2201</v>
      </c>
      <c r="P71" t="s">
        <v>2202</v>
      </c>
      <c r="Q71" t="s">
        <v>2203</v>
      </c>
      <c r="R71" t="s">
        <v>2202</v>
      </c>
      <c r="S71" t="s">
        <v>2204</v>
      </c>
      <c r="T71" t="s">
        <v>2205</v>
      </c>
    </row>
    <row r="72" spans="1:20">
      <c r="A72">
        <v>71</v>
      </c>
      <c r="B72" t="s">
        <v>687</v>
      </c>
      <c r="C72" s="1">
        <v>83099034</v>
      </c>
      <c r="D72" t="s">
        <v>16</v>
      </c>
      <c r="E72" t="s">
        <v>1657</v>
      </c>
      <c r="F72" t="s">
        <v>2206</v>
      </c>
      <c r="G72">
        <v>39825</v>
      </c>
      <c r="H72" t="s">
        <v>2207</v>
      </c>
      <c r="I72" s="2">
        <v>32614</v>
      </c>
      <c r="J72" t="s">
        <v>1648</v>
      </c>
      <c r="K72">
        <v>2</v>
      </c>
      <c r="L72" t="s">
        <v>1649</v>
      </c>
      <c r="M72" t="s">
        <v>1661</v>
      </c>
      <c r="N72" t="s">
        <v>2046</v>
      </c>
      <c r="O72" t="s">
        <v>2208</v>
      </c>
      <c r="P72" t="s">
        <v>2209</v>
      </c>
      <c r="Q72" t="s">
        <v>2210</v>
      </c>
      <c r="R72" t="s">
        <v>2211</v>
      </c>
      <c r="S72" t="s">
        <v>2212</v>
      </c>
      <c r="T72" t="s">
        <v>2213</v>
      </c>
    </row>
    <row r="73" spans="1:20">
      <c r="A73">
        <v>72</v>
      </c>
      <c r="B73" t="s">
        <v>801</v>
      </c>
      <c r="C73" s="1">
        <v>147850</v>
      </c>
      <c r="D73" t="s">
        <v>2214</v>
      </c>
      <c r="E73" t="s">
        <v>1657</v>
      </c>
      <c r="F73" t="s">
        <v>2215</v>
      </c>
      <c r="G73">
        <v>41935</v>
      </c>
      <c r="H73" t="s">
        <v>2216</v>
      </c>
      <c r="I73" s="2">
        <v>29869</v>
      </c>
      <c r="J73" t="s">
        <v>1648</v>
      </c>
      <c r="K73">
        <v>1</v>
      </c>
      <c r="L73" t="s">
        <v>1636</v>
      </c>
      <c r="M73" t="s">
        <v>2217</v>
      </c>
      <c r="N73" t="s">
        <v>2218</v>
      </c>
      <c r="O73" t="s">
        <v>2219</v>
      </c>
      <c r="P73" t="s">
        <v>2220</v>
      </c>
      <c r="Q73" t="s">
        <v>2221</v>
      </c>
      <c r="R73" t="s">
        <v>2222</v>
      </c>
      <c r="S73" t="s">
        <v>2223</v>
      </c>
      <c r="T73" t="s">
        <v>2224</v>
      </c>
    </row>
    <row r="74" spans="1:20">
      <c r="A74">
        <v>73</v>
      </c>
      <c r="B74" t="s">
        <v>226</v>
      </c>
      <c r="C74" s="1">
        <v>160810</v>
      </c>
      <c r="D74" t="s">
        <v>2225</v>
      </c>
      <c r="E74" t="s">
        <v>1657</v>
      </c>
      <c r="F74" t="s">
        <v>2226</v>
      </c>
      <c r="G74">
        <v>42450</v>
      </c>
      <c r="H74" t="s">
        <v>2225</v>
      </c>
      <c r="I74" s="2">
        <v>29769</v>
      </c>
      <c r="J74" t="s">
        <v>1648</v>
      </c>
      <c r="K74">
        <v>1</v>
      </c>
      <c r="L74" t="s">
        <v>1649</v>
      </c>
      <c r="M74" t="s">
        <v>1828</v>
      </c>
      <c r="N74" t="s">
        <v>1671</v>
      </c>
      <c r="O74" t="s">
        <v>2227</v>
      </c>
      <c r="P74" t="s">
        <v>2228</v>
      </c>
      <c r="Q74" t="s">
        <v>2229</v>
      </c>
      <c r="R74" t="s">
        <v>2230</v>
      </c>
      <c r="S74" t="s">
        <v>2231</v>
      </c>
      <c r="T74" t="s">
        <v>2232</v>
      </c>
    </row>
    <row r="75" spans="1:20">
      <c r="A75">
        <v>74</v>
      </c>
      <c r="B75" t="s">
        <v>844</v>
      </c>
      <c r="C75" s="1">
        <v>242159</v>
      </c>
      <c r="D75" t="s">
        <v>5</v>
      </c>
      <c r="E75" t="s">
        <v>1657</v>
      </c>
      <c r="F75" t="s">
        <v>2233</v>
      </c>
      <c r="G75">
        <v>45579</v>
      </c>
      <c r="H75" t="s">
        <v>2234</v>
      </c>
      <c r="I75" s="2">
        <v>37880</v>
      </c>
      <c r="J75" t="s">
        <v>1635</v>
      </c>
      <c r="L75" t="s">
        <v>1649</v>
      </c>
      <c r="M75" t="s">
        <v>1661</v>
      </c>
      <c r="N75" t="s">
        <v>2235</v>
      </c>
      <c r="O75" t="s">
        <v>2236</v>
      </c>
      <c r="P75" t="s">
        <v>2237</v>
      </c>
      <c r="Q75" t="s">
        <v>2238</v>
      </c>
      <c r="R75" t="s">
        <v>2239</v>
      </c>
      <c r="S75" t="s">
        <v>2240</v>
      </c>
      <c r="T75" t="s">
        <v>2241</v>
      </c>
    </row>
    <row r="76" spans="1:20">
      <c r="A76">
        <v>75</v>
      </c>
      <c r="B76" t="s">
        <v>845</v>
      </c>
      <c r="C76" s="1">
        <v>83120957</v>
      </c>
      <c r="D76" t="s">
        <v>2</v>
      </c>
      <c r="E76" t="s">
        <v>1657</v>
      </c>
      <c r="F76" t="s">
        <v>2242</v>
      </c>
      <c r="G76">
        <v>40989</v>
      </c>
      <c r="H76" t="s">
        <v>2243</v>
      </c>
      <c r="I76" s="2">
        <v>32212</v>
      </c>
      <c r="J76" t="s">
        <v>1648</v>
      </c>
      <c r="K76">
        <v>2</v>
      </c>
      <c r="L76" t="s">
        <v>1649</v>
      </c>
      <c r="M76" t="s">
        <v>1637</v>
      </c>
      <c r="N76" t="s">
        <v>1650</v>
      </c>
      <c r="O76" t="s">
        <v>2244</v>
      </c>
      <c r="P76" t="s">
        <v>2245</v>
      </c>
      <c r="Q76" t="s">
        <v>2246</v>
      </c>
      <c r="R76" t="s">
        <v>2247</v>
      </c>
      <c r="S76" t="s">
        <v>2248</v>
      </c>
      <c r="T76" t="s">
        <v>2249</v>
      </c>
    </row>
    <row r="77" spans="1:20">
      <c r="A77">
        <v>76</v>
      </c>
      <c r="B77" t="s">
        <v>542</v>
      </c>
      <c r="C77" s="1">
        <v>242417</v>
      </c>
      <c r="D77" t="s">
        <v>5</v>
      </c>
      <c r="E77" t="s">
        <v>1657</v>
      </c>
      <c r="F77" t="s">
        <v>2250</v>
      </c>
      <c r="G77">
        <v>45621</v>
      </c>
      <c r="H77" t="s">
        <v>2251</v>
      </c>
      <c r="I77" s="2">
        <v>38644</v>
      </c>
      <c r="J77" t="s">
        <v>1635</v>
      </c>
      <c r="L77" t="s">
        <v>1649</v>
      </c>
      <c r="M77" t="s">
        <v>1661</v>
      </c>
      <c r="N77" t="s">
        <v>1713</v>
      </c>
      <c r="O77" t="s">
        <v>2252</v>
      </c>
      <c r="P77" t="s">
        <v>2253</v>
      </c>
      <c r="Q77" t="s">
        <v>2254</v>
      </c>
      <c r="R77" t="s">
        <v>2255</v>
      </c>
      <c r="S77" t="s">
        <v>2256</v>
      </c>
      <c r="T77" t="s">
        <v>2257</v>
      </c>
    </row>
    <row r="78" spans="1:20">
      <c r="A78">
        <v>77</v>
      </c>
      <c r="B78" t="s">
        <v>846</v>
      </c>
      <c r="C78" s="1">
        <v>162499</v>
      </c>
      <c r="D78" t="s">
        <v>1754</v>
      </c>
      <c r="E78" t="s">
        <v>1657</v>
      </c>
      <c r="F78" t="s">
        <v>2258</v>
      </c>
      <c r="G78">
        <v>42671</v>
      </c>
      <c r="H78" t="s">
        <v>2251</v>
      </c>
      <c r="I78" s="2">
        <v>33403</v>
      </c>
      <c r="J78" t="s">
        <v>1648</v>
      </c>
      <c r="K78">
        <v>1</v>
      </c>
      <c r="L78" t="s">
        <v>1649</v>
      </c>
      <c r="M78" t="s">
        <v>1661</v>
      </c>
      <c r="N78" t="s">
        <v>2064</v>
      </c>
      <c r="O78" t="s">
        <v>2259</v>
      </c>
      <c r="P78" t="s">
        <v>2260</v>
      </c>
      <c r="Q78" t="s">
        <v>2261</v>
      </c>
      <c r="R78" t="s">
        <v>2262</v>
      </c>
      <c r="S78" t="s">
        <v>2263</v>
      </c>
      <c r="T78" t="s">
        <v>2264</v>
      </c>
    </row>
    <row r="79" spans="1:20">
      <c r="A79">
        <v>78</v>
      </c>
      <c r="B79" t="s">
        <v>500</v>
      </c>
      <c r="C79" s="1">
        <v>83103429</v>
      </c>
      <c r="D79" t="s">
        <v>5</v>
      </c>
      <c r="E79" t="s">
        <v>1657</v>
      </c>
      <c r="F79" t="s">
        <v>2265</v>
      </c>
      <c r="G79">
        <v>40386</v>
      </c>
      <c r="H79" t="s">
        <v>1764</v>
      </c>
      <c r="I79" s="2">
        <v>32123</v>
      </c>
      <c r="J79" t="s">
        <v>1648</v>
      </c>
      <c r="K79">
        <v>2</v>
      </c>
      <c r="L79" t="s">
        <v>1649</v>
      </c>
      <c r="M79" t="s">
        <v>1661</v>
      </c>
      <c r="N79" t="s">
        <v>1870</v>
      </c>
      <c r="O79" t="s">
        <v>2266</v>
      </c>
      <c r="P79" t="s">
        <v>2267</v>
      </c>
      <c r="Q79" t="s">
        <v>2268</v>
      </c>
      <c r="R79" t="s">
        <v>2269</v>
      </c>
      <c r="S79" t="s">
        <v>2270</v>
      </c>
      <c r="T79" t="s">
        <v>2271</v>
      </c>
    </row>
    <row r="80" spans="1:20">
      <c r="A80">
        <v>79</v>
      </c>
      <c r="B80" t="s">
        <v>497</v>
      </c>
      <c r="C80" s="1">
        <v>83119911</v>
      </c>
      <c r="D80" t="s">
        <v>5</v>
      </c>
      <c r="E80" t="s">
        <v>1657</v>
      </c>
      <c r="F80" t="s">
        <v>2272</v>
      </c>
      <c r="G80">
        <v>40903</v>
      </c>
      <c r="H80" t="s">
        <v>2273</v>
      </c>
      <c r="I80" s="2">
        <v>31893</v>
      </c>
      <c r="J80" t="s">
        <v>1648</v>
      </c>
      <c r="K80">
        <v>2</v>
      </c>
      <c r="L80" t="s">
        <v>1649</v>
      </c>
      <c r="M80" t="s">
        <v>1661</v>
      </c>
      <c r="N80" t="s">
        <v>1662</v>
      </c>
      <c r="O80" t="s">
        <v>2274</v>
      </c>
      <c r="P80" t="s">
        <v>2275</v>
      </c>
      <c r="Q80" t="s">
        <v>2276</v>
      </c>
      <c r="R80" t="s">
        <v>2277</v>
      </c>
      <c r="S80" t="s">
        <v>2278</v>
      </c>
      <c r="T80" t="s">
        <v>2279</v>
      </c>
    </row>
    <row r="81" spans="1:20">
      <c r="A81">
        <v>80</v>
      </c>
      <c r="B81" t="s">
        <v>847</v>
      </c>
      <c r="C81" s="1">
        <v>241133</v>
      </c>
      <c r="D81" t="s">
        <v>5</v>
      </c>
      <c r="E81" t="s">
        <v>1657</v>
      </c>
      <c r="F81" t="s">
        <v>2280</v>
      </c>
      <c r="G81">
        <v>45481</v>
      </c>
      <c r="H81" t="s">
        <v>2281</v>
      </c>
      <c r="I81" s="2">
        <v>37714</v>
      </c>
      <c r="J81" t="s">
        <v>1635</v>
      </c>
      <c r="L81" t="s">
        <v>1649</v>
      </c>
      <c r="M81" t="s">
        <v>1661</v>
      </c>
      <c r="N81" t="s">
        <v>2282</v>
      </c>
      <c r="O81" t="s">
        <v>2283</v>
      </c>
      <c r="P81" t="s">
        <v>2284</v>
      </c>
      <c r="Q81" t="s">
        <v>2285</v>
      </c>
      <c r="R81" t="s">
        <v>2286</v>
      </c>
      <c r="S81" t="s">
        <v>2287</v>
      </c>
      <c r="T81" t="s">
        <v>2288</v>
      </c>
    </row>
    <row r="82" spans="1:20">
      <c r="A82">
        <v>81</v>
      </c>
      <c r="B82" t="s">
        <v>449</v>
      </c>
      <c r="C82" s="1">
        <v>132711</v>
      </c>
      <c r="D82" t="s">
        <v>5</v>
      </c>
      <c r="E82" t="s">
        <v>1657</v>
      </c>
      <c r="F82" t="s">
        <v>2289</v>
      </c>
      <c r="G82">
        <v>41465</v>
      </c>
      <c r="H82" t="s">
        <v>1670</v>
      </c>
      <c r="I82" s="2">
        <v>33806</v>
      </c>
      <c r="J82" t="s">
        <v>1648</v>
      </c>
      <c r="K82">
        <v>2</v>
      </c>
      <c r="L82" t="s">
        <v>1649</v>
      </c>
      <c r="M82" t="s">
        <v>2290</v>
      </c>
      <c r="N82" t="s">
        <v>1671</v>
      </c>
      <c r="O82" t="s">
        <v>2291</v>
      </c>
      <c r="P82" t="s">
        <v>2292</v>
      </c>
      <c r="Q82" t="s">
        <v>2293</v>
      </c>
      <c r="R82" t="s">
        <v>2294</v>
      </c>
      <c r="S82" t="s">
        <v>2295</v>
      </c>
      <c r="T82" t="s">
        <v>2296</v>
      </c>
    </row>
    <row r="83" spans="1:20">
      <c r="A83">
        <v>82</v>
      </c>
      <c r="B83" t="s">
        <v>309</v>
      </c>
      <c r="C83" s="1">
        <v>145542</v>
      </c>
      <c r="D83" t="s">
        <v>5</v>
      </c>
      <c r="E83" t="s">
        <v>1645</v>
      </c>
      <c r="F83" t="s">
        <v>2297</v>
      </c>
      <c r="G83">
        <v>41925</v>
      </c>
      <c r="H83" t="s">
        <v>1738</v>
      </c>
      <c r="I83" s="2">
        <v>35334</v>
      </c>
      <c r="J83" t="s">
        <v>1648</v>
      </c>
      <c r="K83">
        <v>1</v>
      </c>
      <c r="L83" t="s">
        <v>1649</v>
      </c>
      <c r="M83" t="s">
        <v>1637</v>
      </c>
      <c r="N83" t="s">
        <v>1650</v>
      </c>
      <c r="O83" t="s">
        <v>2298</v>
      </c>
      <c r="P83" t="s">
        <v>2299</v>
      </c>
      <c r="Q83" t="s">
        <v>2300</v>
      </c>
      <c r="R83" t="s">
        <v>2301</v>
      </c>
      <c r="S83" t="s">
        <v>2302</v>
      </c>
      <c r="T83" t="s">
        <v>2303</v>
      </c>
    </row>
    <row r="84" spans="1:20">
      <c r="A84">
        <v>83</v>
      </c>
      <c r="B84" t="s">
        <v>802</v>
      </c>
      <c r="C84" s="1">
        <v>147326</v>
      </c>
      <c r="D84" t="s">
        <v>7</v>
      </c>
      <c r="E84" t="s">
        <v>1657</v>
      </c>
      <c r="F84" t="s">
        <v>2304</v>
      </c>
      <c r="G84">
        <v>41975</v>
      </c>
      <c r="H84" t="s">
        <v>2305</v>
      </c>
      <c r="I84" s="2">
        <v>35628</v>
      </c>
      <c r="J84" t="s">
        <v>1648</v>
      </c>
      <c r="K84">
        <v>1</v>
      </c>
      <c r="L84" t="s">
        <v>1649</v>
      </c>
      <c r="M84" t="s">
        <v>1661</v>
      </c>
      <c r="N84" t="s">
        <v>2306</v>
      </c>
      <c r="O84" t="s">
        <v>2307</v>
      </c>
      <c r="P84" t="s">
        <v>2308</v>
      </c>
      <c r="Q84" t="s">
        <v>2309</v>
      </c>
      <c r="R84" t="s">
        <v>2310</v>
      </c>
      <c r="S84" t="s">
        <v>2311</v>
      </c>
      <c r="T84" t="s">
        <v>2312</v>
      </c>
    </row>
    <row r="85" spans="1:20">
      <c r="A85">
        <v>84</v>
      </c>
      <c r="B85" t="s">
        <v>848</v>
      </c>
      <c r="C85" s="1">
        <v>250755</v>
      </c>
      <c r="D85" t="s">
        <v>5</v>
      </c>
      <c r="E85" t="s">
        <v>1657</v>
      </c>
      <c r="F85" t="s">
        <v>2313</v>
      </c>
      <c r="G85">
        <v>45756</v>
      </c>
      <c r="H85" t="s">
        <v>2314</v>
      </c>
      <c r="I85" s="2">
        <v>36973</v>
      </c>
      <c r="J85" t="s">
        <v>1635</v>
      </c>
      <c r="K85" t="s">
        <v>1660</v>
      </c>
      <c r="L85" t="s">
        <v>1649</v>
      </c>
      <c r="M85" t="s">
        <v>1661</v>
      </c>
      <c r="N85" t="s">
        <v>2282</v>
      </c>
      <c r="O85" t="s">
        <v>2315</v>
      </c>
      <c r="P85" t="s">
        <v>2316</v>
      </c>
      <c r="Q85" t="s">
        <v>2317</v>
      </c>
      <c r="R85" t="s">
        <v>2318</v>
      </c>
      <c r="S85" t="s">
        <v>2319</v>
      </c>
      <c r="T85" t="s">
        <v>2320</v>
      </c>
    </row>
    <row r="86" spans="1:20">
      <c r="A86">
        <v>85</v>
      </c>
      <c r="B86" t="s">
        <v>2321</v>
      </c>
      <c r="C86" s="1">
        <v>147356</v>
      </c>
      <c r="D86" t="s">
        <v>1421</v>
      </c>
      <c r="E86" t="s">
        <v>1657</v>
      </c>
      <c r="F86" t="s">
        <v>2322</v>
      </c>
      <c r="H86" t="s">
        <v>2323</v>
      </c>
      <c r="I86" s="2">
        <v>-3300.0001388889</v>
      </c>
      <c r="J86" t="s">
        <v>1648</v>
      </c>
      <c r="L86" t="s">
        <v>1649</v>
      </c>
      <c r="M86" t="s">
        <v>1661</v>
      </c>
      <c r="N86" t="s">
        <v>2324</v>
      </c>
      <c r="O86" t="s">
        <v>2325</v>
      </c>
      <c r="P86" t="s">
        <v>2326</v>
      </c>
      <c r="Q86" t="s">
        <v>2327</v>
      </c>
      <c r="R86" t="s">
        <v>2328</v>
      </c>
      <c r="S86" t="s">
        <v>2329</v>
      </c>
      <c r="T86" t="s">
        <v>2330</v>
      </c>
    </row>
    <row r="87" spans="1:20">
      <c r="A87">
        <v>86</v>
      </c>
      <c r="B87" t="s">
        <v>691</v>
      </c>
      <c r="C87" s="1">
        <v>136038</v>
      </c>
      <c r="D87" t="s">
        <v>1754</v>
      </c>
      <c r="E87" t="s">
        <v>1657</v>
      </c>
      <c r="F87" t="s">
        <v>2331</v>
      </c>
      <c r="G87">
        <v>41631</v>
      </c>
      <c r="H87" t="s">
        <v>2332</v>
      </c>
      <c r="I87" s="2">
        <v>34568</v>
      </c>
      <c r="J87" t="s">
        <v>1648</v>
      </c>
      <c r="K87" t="s">
        <v>2333</v>
      </c>
      <c r="L87" t="s">
        <v>1649</v>
      </c>
      <c r="M87" t="s">
        <v>1661</v>
      </c>
      <c r="N87" t="s">
        <v>2334</v>
      </c>
      <c r="O87" t="s">
        <v>2335</v>
      </c>
      <c r="P87" t="s">
        <v>2336</v>
      </c>
      <c r="Q87" t="s">
        <v>2337</v>
      </c>
      <c r="R87" t="s">
        <v>2338</v>
      </c>
      <c r="S87" t="s">
        <v>2339</v>
      </c>
      <c r="T87" t="s">
        <v>2340</v>
      </c>
    </row>
    <row r="88" spans="1:20">
      <c r="A88">
        <v>87</v>
      </c>
      <c r="B88" t="s">
        <v>501</v>
      </c>
      <c r="C88" s="1">
        <v>84122840</v>
      </c>
      <c r="D88" t="s">
        <v>5</v>
      </c>
      <c r="E88" t="s">
        <v>1657</v>
      </c>
      <c r="F88" t="s">
        <v>2341</v>
      </c>
      <c r="G88">
        <v>41107</v>
      </c>
      <c r="H88" t="s">
        <v>1670</v>
      </c>
      <c r="I88" s="2">
        <v>34016</v>
      </c>
      <c r="J88" t="s">
        <v>1648</v>
      </c>
      <c r="K88">
        <v>2</v>
      </c>
      <c r="L88" t="s">
        <v>1649</v>
      </c>
      <c r="M88" t="s">
        <v>1661</v>
      </c>
      <c r="N88" t="s">
        <v>2342</v>
      </c>
      <c r="O88" t="s">
        <v>2343</v>
      </c>
      <c r="P88" t="s">
        <v>2344</v>
      </c>
      <c r="Q88" t="s">
        <v>2345</v>
      </c>
      <c r="R88" t="s">
        <v>2346</v>
      </c>
      <c r="S88" t="s">
        <v>2347</v>
      </c>
      <c r="T88" t="s">
        <v>2348</v>
      </c>
    </row>
    <row r="89" spans="1:20">
      <c r="A89">
        <v>88</v>
      </c>
      <c r="B89" t="s">
        <v>849</v>
      </c>
      <c r="C89" s="1">
        <v>183497</v>
      </c>
      <c r="D89" t="s">
        <v>8</v>
      </c>
      <c r="E89" t="s">
        <v>1645</v>
      </c>
      <c r="F89" t="s">
        <v>2349</v>
      </c>
      <c r="G89">
        <v>43391</v>
      </c>
      <c r="H89" t="s">
        <v>1869</v>
      </c>
      <c r="I89" s="2">
        <v>35568</v>
      </c>
      <c r="J89" t="s">
        <v>1648</v>
      </c>
      <c r="K89">
        <v>0</v>
      </c>
      <c r="L89" t="s">
        <v>1649</v>
      </c>
      <c r="M89" t="s">
        <v>1661</v>
      </c>
      <c r="N89" t="s">
        <v>2350</v>
      </c>
      <c r="O89" t="s">
        <v>2351</v>
      </c>
      <c r="P89" t="s">
        <v>2352</v>
      </c>
      <c r="Q89" t="s">
        <v>2353</v>
      </c>
      <c r="R89" t="s">
        <v>2354</v>
      </c>
      <c r="S89" t="s">
        <v>2355</v>
      </c>
      <c r="T89" t="s">
        <v>2356</v>
      </c>
    </row>
    <row r="90" spans="1:20">
      <c r="A90">
        <v>89</v>
      </c>
      <c r="B90" t="s">
        <v>813</v>
      </c>
      <c r="C90" s="1">
        <v>140685</v>
      </c>
      <c r="D90" t="s">
        <v>2357</v>
      </c>
      <c r="E90" t="s">
        <v>1657</v>
      </c>
      <c r="F90" t="s">
        <v>2358</v>
      </c>
      <c r="G90">
        <v>41683</v>
      </c>
      <c r="H90" t="s">
        <v>1738</v>
      </c>
      <c r="I90" s="2">
        <v>30063</v>
      </c>
      <c r="J90" t="s">
        <v>1648</v>
      </c>
      <c r="K90" t="s">
        <v>2359</v>
      </c>
      <c r="L90" t="s">
        <v>1649</v>
      </c>
      <c r="M90" t="s">
        <v>1593</v>
      </c>
      <c r="N90" t="s">
        <v>2360</v>
      </c>
      <c r="O90" t="s">
        <v>2361</v>
      </c>
      <c r="P90" t="s">
        <v>2362</v>
      </c>
      <c r="Q90" t="s">
        <v>2363</v>
      </c>
      <c r="R90" t="s">
        <v>2364</v>
      </c>
      <c r="S90" t="s">
        <v>2365</v>
      </c>
      <c r="T90" t="s">
        <v>2366</v>
      </c>
    </row>
    <row r="91" spans="1:20">
      <c r="A91">
        <v>90</v>
      </c>
      <c r="B91" t="s">
        <v>654</v>
      </c>
      <c r="C91" s="1">
        <v>147850</v>
      </c>
      <c r="D91" t="s">
        <v>12</v>
      </c>
      <c r="E91" t="s">
        <v>1657</v>
      </c>
      <c r="F91" t="s">
        <v>2215</v>
      </c>
      <c r="G91">
        <v>41935</v>
      </c>
      <c r="H91" t="s">
        <v>2143</v>
      </c>
      <c r="I91" s="2">
        <v>29869</v>
      </c>
      <c r="J91" t="s">
        <v>1648</v>
      </c>
      <c r="K91">
        <v>1</v>
      </c>
      <c r="L91" t="s">
        <v>1636</v>
      </c>
      <c r="M91" t="s">
        <v>1661</v>
      </c>
      <c r="N91" t="s">
        <v>2367</v>
      </c>
      <c r="O91" t="s">
        <v>2368</v>
      </c>
      <c r="P91" t="s">
        <v>2220</v>
      </c>
      <c r="Q91" t="s">
        <v>2221</v>
      </c>
      <c r="R91" t="s">
        <v>2222</v>
      </c>
      <c r="S91" t="s">
        <v>2369</v>
      </c>
      <c r="T91" t="s">
        <v>2224</v>
      </c>
    </row>
    <row r="92" spans="1:20">
      <c r="A92">
        <v>91</v>
      </c>
      <c r="B92" t="s">
        <v>850</v>
      </c>
      <c r="C92" s="1">
        <v>83075242</v>
      </c>
      <c r="D92" t="s">
        <v>5</v>
      </c>
      <c r="E92" t="s">
        <v>1657</v>
      </c>
      <c r="F92" t="s">
        <v>2370</v>
      </c>
      <c r="G92">
        <v>39326</v>
      </c>
      <c r="H92" t="s">
        <v>1738</v>
      </c>
      <c r="I92" s="2">
        <v>31818</v>
      </c>
      <c r="J92" t="s">
        <v>1648</v>
      </c>
      <c r="K92">
        <v>2</v>
      </c>
      <c r="L92" t="s">
        <v>1649</v>
      </c>
      <c r="M92" t="s">
        <v>1637</v>
      </c>
      <c r="N92" t="s">
        <v>2371</v>
      </c>
      <c r="O92" t="s">
        <v>2372</v>
      </c>
      <c r="P92" t="s">
        <v>2373</v>
      </c>
      <c r="Q92" t="s">
        <v>2374</v>
      </c>
      <c r="R92" t="s">
        <v>2375</v>
      </c>
      <c r="S92" t="s">
        <v>2376</v>
      </c>
      <c r="T92" t="s">
        <v>2377</v>
      </c>
    </row>
    <row r="93" spans="1:20">
      <c r="A93">
        <v>92</v>
      </c>
      <c r="B93" t="s">
        <v>480</v>
      </c>
      <c r="C93" s="1">
        <v>83105169</v>
      </c>
      <c r="D93" t="s">
        <v>5</v>
      </c>
      <c r="E93" t="s">
        <v>1657</v>
      </c>
      <c r="F93" t="s">
        <v>2378</v>
      </c>
      <c r="G93">
        <v>40518</v>
      </c>
      <c r="H93" t="s">
        <v>1670</v>
      </c>
      <c r="I93" s="2">
        <v>33649</v>
      </c>
      <c r="J93" t="s">
        <v>1648</v>
      </c>
      <c r="K93">
        <v>1</v>
      </c>
      <c r="L93" t="s">
        <v>1649</v>
      </c>
      <c r="M93" t="s">
        <v>1637</v>
      </c>
      <c r="N93" t="s">
        <v>1650</v>
      </c>
      <c r="O93" t="s">
        <v>2379</v>
      </c>
      <c r="P93" t="s">
        <v>2380</v>
      </c>
      <c r="Q93" t="s">
        <v>2381</v>
      </c>
      <c r="R93" t="s">
        <v>2382</v>
      </c>
      <c r="S93" t="s">
        <v>2383</v>
      </c>
      <c r="T93" t="s">
        <v>2384</v>
      </c>
    </row>
    <row r="94" spans="1:20">
      <c r="A94">
        <v>93</v>
      </c>
      <c r="B94" t="s">
        <v>608</v>
      </c>
      <c r="C94" s="1">
        <v>183490</v>
      </c>
      <c r="D94" t="s">
        <v>8</v>
      </c>
      <c r="E94" t="s">
        <v>1657</v>
      </c>
      <c r="F94" t="s">
        <v>2385</v>
      </c>
      <c r="G94">
        <v>43328</v>
      </c>
      <c r="H94" t="s">
        <v>2386</v>
      </c>
      <c r="I94" s="2">
        <v>36350</v>
      </c>
      <c r="J94" t="s">
        <v>1635</v>
      </c>
      <c r="K94" t="s">
        <v>2387</v>
      </c>
      <c r="L94" t="s">
        <v>1649</v>
      </c>
      <c r="M94" t="s">
        <v>1637</v>
      </c>
      <c r="N94" t="s">
        <v>1624</v>
      </c>
      <c r="O94" t="s">
        <v>2388</v>
      </c>
      <c r="P94" t="s">
        <v>2389</v>
      </c>
      <c r="Q94" t="s">
        <v>2390</v>
      </c>
      <c r="R94" t="s">
        <v>2391</v>
      </c>
      <c r="S94" t="s">
        <v>2392</v>
      </c>
      <c r="T94" t="s">
        <v>2393</v>
      </c>
    </row>
    <row r="95" spans="1:20">
      <c r="A95">
        <v>94</v>
      </c>
      <c r="B95" t="s">
        <v>851</v>
      </c>
      <c r="C95" s="1">
        <v>134354</v>
      </c>
      <c r="D95" t="s">
        <v>5</v>
      </c>
      <c r="E95" t="s">
        <v>1657</v>
      </c>
      <c r="F95" t="s">
        <v>2394</v>
      </c>
      <c r="G95">
        <v>41543</v>
      </c>
      <c r="H95" t="s">
        <v>1738</v>
      </c>
      <c r="I95" s="2">
        <v>31280</v>
      </c>
      <c r="J95" t="s">
        <v>1648</v>
      </c>
      <c r="K95">
        <v>2</v>
      </c>
      <c r="L95" t="s">
        <v>1649</v>
      </c>
      <c r="M95" t="s">
        <v>1828</v>
      </c>
      <c r="N95" t="s">
        <v>1671</v>
      </c>
      <c r="O95" t="s">
        <v>2395</v>
      </c>
      <c r="P95" t="s">
        <v>2396</v>
      </c>
      <c r="Q95" t="s">
        <v>2397</v>
      </c>
      <c r="R95" t="s">
        <v>2398</v>
      </c>
      <c r="S95" t="s">
        <v>2399</v>
      </c>
      <c r="T95" t="s">
        <v>2400</v>
      </c>
    </row>
    <row r="96" spans="1:20">
      <c r="A96">
        <v>95</v>
      </c>
      <c r="B96" t="s">
        <v>852</v>
      </c>
      <c r="C96" s="1">
        <v>242412</v>
      </c>
      <c r="D96" t="s">
        <v>5</v>
      </c>
      <c r="E96" t="s">
        <v>1657</v>
      </c>
      <c r="F96" t="s">
        <v>2401</v>
      </c>
      <c r="G96">
        <v>45852</v>
      </c>
      <c r="H96" t="s">
        <v>2402</v>
      </c>
      <c r="I96" s="2">
        <v>38684</v>
      </c>
      <c r="J96" t="s">
        <v>1635</v>
      </c>
      <c r="K96" t="s">
        <v>1660</v>
      </c>
      <c r="L96" t="s">
        <v>1649</v>
      </c>
      <c r="M96" t="s">
        <v>1661</v>
      </c>
      <c r="N96" t="s">
        <v>2403</v>
      </c>
      <c r="O96" t="s">
        <v>2404</v>
      </c>
      <c r="P96" t="s">
        <v>2405</v>
      </c>
      <c r="Q96" t="s">
        <v>2406</v>
      </c>
      <c r="R96" t="s">
        <v>2407</v>
      </c>
      <c r="S96" t="s">
        <v>2408</v>
      </c>
      <c r="T96" t="s">
        <v>2409</v>
      </c>
    </row>
    <row r="97" spans="1:20">
      <c r="A97">
        <v>96</v>
      </c>
      <c r="B97" t="s">
        <v>361</v>
      </c>
      <c r="C97" s="1">
        <v>83075871</v>
      </c>
      <c r="D97" t="s">
        <v>5</v>
      </c>
      <c r="E97" t="s">
        <v>1365</v>
      </c>
      <c r="F97" t="s">
        <v>2410</v>
      </c>
      <c r="G97">
        <v>39444</v>
      </c>
      <c r="H97" t="s">
        <v>1670</v>
      </c>
      <c r="I97" s="2">
        <v>30403</v>
      </c>
      <c r="J97" t="s">
        <v>1648</v>
      </c>
      <c r="K97" t="s">
        <v>2411</v>
      </c>
      <c r="L97" t="s">
        <v>1649</v>
      </c>
      <c r="M97" t="s">
        <v>1637</v>
      </c>
      <c r="N97" t="s">
        <v>1671</v>
      </c>
      <c r="O97" t="s">
        <v>2412</v>
      </c>
      <c r="P97" t="s">
        <v>2413</v>
      </c>
      <c r="Q97" t="s">
        <v>2414</v>
      </c>
      <c r="R97" t="s">
        <v>2415</v>
      </c>
      <c r="S97" t="s">
        <v>2416</v>
      </c>
      <c r="T97" t="s">
        <v>2417</v>
      </c>
    </row>
    <row r="98" spans="1:20">
      <c r="A98">
        <v>97</v>
      </c>
      <c r="B98" t="s">
        <v>853</v>
      </c>
      <c r="C98" s="1">
        <v>83119337</v>
      </c>
      <c r="D98" t="s">
        <v>9</v>
      </c>
      <c r="E98" t="s">
        <v>1657</v>
      </c>
      <c r="F98" t="s">
        <v>2418</v>
      </c>
      <c r="G98">
        <v>40826</v>
      </c>
      <c r="H98" t="s">
        <v>2419</v>
      </c>
      <c r="I98" s="2">
        <v>32634</v>
      </c>
      <c r="J98" t="s">
        <v>1635</v>
      </c>
      <c r="K98" t="s">
        <v>2387</v>
      </c>
      <c r="L98" t="s">
        <v>1636</v>
      </c>
      <c r="M98" t="s">
        <v>1637</v>
      </c>
      <c r="N98" t="s">
        <v>1671</v>
      </c>
      <c r="O98" t="s">
        <v>2420</v>
      </c>
      <c r="P98" t="s">
        <v>2421</v>
      </c>
      <c r="Q98" t="s">
        <v>2422</v>
      </c>
      <c r="R98" t="s">
        <v>2423</v>
      </c>
      <c r="S98" t="s">
        <v>2424</v>
      </c>
      <c r="T98" t="s">
        <v>2425</v>
      </c>
    </row>
    <row r="99" spans="1:20">
      <c r="A99">
        <v>98</v>
      </c>
      <c r="B99" t="s">
        <v>854</v>
      </c>
      <c r="C99" s="1">
        <v>148207</v>
      </c>
      <c r="D99" t="s">
        <v>16</v>
      </c>
      <c r="E99" t="s">
        <v>1657</v>
      </c>
      <c r="F99" t="s">
        <v>2426</v>
      </c>
      <c r="G99">
        <v>42002</v>
      </c>
      <c r="H99" t="s">
        <v>1790</v>
      </c>
      <c r="I99" s="2">
        <v>34834</v>
      </c>
      <c r="J99" t="s">
        <v>1635</v>
      </c>
      <c r="K99">
        <v>0</v>
      </c>
      <c r="L99" t="s">
        <v>1649</v>
      </c>
      <c r="M99" t="s">
        <v>1755</v>
      </c>
      <c r="N99" t="s">
        <v>2184</v>
      </c>
      <c r="O99" t="s">
        <v>2427</v>
      </c>
      <c r="P99" t="s">
        <v>2428</v>
      </c>
      <c r="Q99" t="s">
        <v>2429</v>
      </c>
      <c r="R99" t="s">
        <v>2430</v>
      </c>
      <c r="S99" t="s">
        <v>2431</v>
      </c>
      <c r="T99" t="s">
        <v>2432</v>
      </c>
    </row>
    <row r="100" spans="1:20">
      <c r="A100">
        <v>99</v>
      </c>
      <c r="B100" t="s">
        <v>324</v>
      </c>
      <c r="C100" s="1">
        <v>200377</v>
      </c>
      <c r="D100" t="s">
        <v>5</v>
      </c>
      <c r="E100" t="s">
        <v>1645</v>
      </c>
      <c r="F100" t="s">
        <v>2433</v>
      </c>
      <c r="G100">
        <v>43874</v>
      </c>
      <c r="H100" t="s">
        <v>2434</v>
      </c>
      <c r="I100" s="2">
        <v>37176</v>
      </c>
      <c r="J100" t="s">
        <v>1635</v>
      </c>
      <c r="K100">
        <v>0</v>
      </c>
      <c r="L100" t="s">
        <v>1636</v>
      </c>
      <c r="M100" t="s">
        <v>1661</v>
      </c>
      <c r="N100" t="s">
        <v>2435</v>
      </c>
      <c r="O100" t="s">
        <v>2436</v>
      </c>
      <c r="P100" t="s">
        <v>2437</v>
      </c>
      <c r="Q100" t="s">
        <v>2438</v>
      </c>
      <c r="R100" t="s">
        <v>2439</v>
      </c>
      <c r="S100" t="s">
        <v>2440</v>
      </c>
      <c r="T100" t="s">
        <v>2441</v>
      </c>
    </row>
    <row r="101" spans="1:20">
      <c r="A101">
        <v>100</v>
      </c>
      <c r="B101" t="s">
        <v>799</v>
      </c>
      <c r="C101" s="1">
        <v>148188</v>
      </c>
      <c r="D101" t="s">
        <v>16</v>
      </c>
      <c r="E101" t="s">
        <v>1657</v>
      </c>
      <c r="F101" t="s">
        <v>1797</v>
      </c>
      <c r="G101">
        <v>42002</v>
      </c>
      <c r="H101" t="s">
        <v>1798</v>
      </c>
      <c r="I101" s="2">
        <v>33695</v>
      </c>
      <c r="J101" t="s">
        <v>1648</v>
      </c>
      <c r="K101">
        <v>3</v>
      </c>
      <c r="L101" t="s">
        <v>1649</v>
      </c>
      <c r="M101" t="s">
        <v>1661</v>
      </c>
      <c r="N101" t="s">
        <v>2442</v>
      </c>
      <c r="O101" t="s">
        <v>1800</v>
      </c>
      <c r="P101" t="s">
        <v>1801</v>
      </c>
      <c r="Q101" t="s">
        <v>1802</v>
      </c>
      <c r="R101" t="s">
        <v>1803</v>
      </c>
      <c r="S101" t="s">
        <v>1804</v>
      </c>
      <c r="T101" t="s">
        <v>1805</v>
      </c>
    </row>
    <row r="102" spans="1:20">
      <c r="A102">
        <v>101</v>
      </c>
      <c r="B102" t="s">
        <v>694</v>
      </c>
      <c r="C102" s="1">
        <v>148192</v>
      </c>
      <c r="D102" t="s">
        <v>16</v>
      </c>
      <c r="E102" t="s">
        <v>1657</v>
      </c>
      <c r="F102" t="s">
        <v>2443</v>
      </c>
      <c r="G102">
        <v>42002</v>
      </c>
      <c r="H102" t="s">
        <v>2444</v>
      </c>
      <c r="I102" s="2">
        <v>31594</v>
      </c>
      <c r="J102" t="s">
        <v>1648</v>
      </c>
      <c r="K102">
        <v>2</v>
      </c>
      <c r="L102" t="s">
        <v>1649</v>
      </c>
      <c r="M102" t="s">
        <v>2445</v>
      </c>
      <c r="N102" t="s">
        <v>2446</v>
      </c>
      <c r="O102" t="s">
        <v>2447</v>
      </c>
      <c r="P102" t="s">
        <v>2448</v>
      </c>
      <c r="Q102" t="s">
        <v>2449</v>
      </c>
      <c r="R102" t="s">
        <v>2450</v>
      </c>
      <c r="S102" t="s">
        <v>2451</v>
      </c>
      <c r="T102" t="s">
        <v>2452</v>
      </c>
    </row>
    <row r="103" spans="1:20">
      <c r="A103">
        <v>102</v>
      </c>
      <c r="B103" t="s">
        <v>855</v>
      </c>
      <c r="C103" s="1">
        <v>140585</v>
      </c>
      <c r="D103" t="s">
        <v>1421</v>
      </c>
      <c r="E103" t="s">
        <v>1657</v>
      </c>
      <c r="F103" t="s">
        <v>2453</v>
      </c>
      <c r="G103">
        <v>41683</v>
      </c>
      <c r="H103" t="s">
        <v>1738</v>
      </c>
      <c r="I103" s="2">
        <v>32749</v>
      </c>
      <c r="J103" t="s">
        <v>1635</v>
      </c>
      <c r="K103" t="s">
        <v>1660</v>
      </c>
      <c r="L103" t="s">
        <v>1649</v>
      </c>
      <c r="M103" t="s">
        <v>1755</v>
      </c>
      <c r="N103" t="s">
        <v>2454</v>
      </c>
      <c r="O103" t="s">
        <v>2455</v>
      </c>
      <c r="P103" t="s">
        <v>2456</v>
      </c>
      <c r="Q103" t="s">
        <v>2457</v>
      </c>
      <c r="R103" t="s">
        <v>2458</v>
      </c>
      <c r="S103" t="s">
        <v>2459</v>
      </c>
      <c r="T103" t="s">
        <v>2460</v>
      </c>
    </row>
    <row r="104" spans="1:20">
      <c r="A104">
        <v>103</v>
      </c>
      <c r="B104" t="s">
        <v>693</v>
      </c>
      <c r="C104" s="1">
        <v>148190</v>
      </c>
      <c r="D104" t="s">
        <v>16</v>
      </c>
      <c r="E104" t="s">
        <v>1657</v>
      </c>
      <c r="F104" t="s">
        <v>2461</v>
      </c>
      <c r="G104">
        <v>42002</v>
      </c>
      <c r="H104" t="s">
        <v>1790</v>
      </c>
      <c r="I104" s="2">
        <v>34445</v>
      </c>
      <c r="J104" t="s">
        <v>1648</v>
      </c>
      <c r="K104">
        <v>2</v>
      </c>
      <c r="L104" t="s">
        <v>1649</v>
      </c>
      <c r="M104" t="s">
        <v>1661</v>
      </c>
      <c r="N104" t="s">
        <v>1972</v>
      </c>
      <c r="O104" t="s">
        <v>2462</v>
      </c>
      <c r="P104" t="s">
        <v>2463</v>
      </c>
      <c r="Q104" t="s">
        <v>2464</v>
      </c>
      <c r="R104" t="s">
        <v>2465</v>
      </c>
      <c r="S104" t="s">
        <v>2466</v>
      </c>
      <c r="T104" t="s">
        <v>2467</v>
      </c>
    </row>
    <row r="105" spans="1:20">
      <c r="A105">
        <v>104</v>
      </c>
      <c r="B105" t="s">
        <v>563</v>
      </c>
      <c r="C105" s="1">
        <v>147326</v>
      </c>
      <c r="D105" t="s">
        <v>7</v>
      </c>
      <c r="E105" t="s">
        <v>1657</v>
      </c>
      <c r="F105" t="s">
        <v>2304</v>
      </c>
      <c r="G105">
        <v>41975</v>
      </c>
      <c r="H105" t="s">
        <v>2468</v>
      </c>
      <c r="I105" s="2">
        <v>35628</v>
      </c>
      <c r="J105" t="s">
        <v>1648</v>
      </c>
      <c r="K105">
        <v>1</v>
      </c>
      <c r="L105" t="s">
        <v>1649</v>
      </c>
      <c r="M105" t="s">
        <v>1661</v>
      </c>
      <c r="N105" t="s">
        <v>2469</v>
      </c>
      <c r="O105" t="s">
        <v>2470</v>
      </c>
      <c r="P105" t="s">
        <v>2308</v>
      </c>
      <c r="Q105" t="s">
        <v>2309</v>
      </c>
      <c r="R105" t="s">
        <v>2310</v>
      </c>
      <c r="S105" t="s">
        <v>2311</v>
      </c>
      <c r="T105" t="s">
        <v>2312</v>
      </c>
    </row>
    <row r="106" spans="1:20">
      <c r="A106">
        <v>105</v>
      </c>
      <c r="B106" t="s">
        <v>803</v>
      </c>
      <c r="C106" s="1">
        <v>241562</v>
      </c>
      <c r="D106" t="s">
        <v>5</v>
      </c>
      <c r="E106" t="s">
        <v>1657</v>
      </c>
      <c r="F106" t="s">
        <v>2471</v>
      </c>
      <c r="G106">
        <v>45852</v>
      </c>
      <c r="H106" t="s">
        <v>1670</v>
      </c>
      <c r="I106" s="2">
        <v>45853</v>
      </c>
      <c r="J106" t="s">
        <v>1635</v>
      </c>
      <c r="K106" t="s">
        <v>1660</v>
      </c>
      <c r="L106" t="s">
        <v>1649</v>
      </c>
      <c r="M106" t="s">
        <v>1755</v>
      </c>
      <c r="N106" t="s">
        <v>2011</v>
      </c>
      <c r="O106" t="s">
        <v>2472</v>
      </c>
      <c r="P106" t="s">
        <v>2473</v>
      </c>
      <c r="Q106" t="s">
        <v>2474</v>
      </c>
      <c r="R106" t="s">
        <v>2475</v>
      </c>
      <c r="S106" t="s">
        <v>2476</v>
      </c>
      <c r="T106" t="s">
        <v>2477</v>
      </c>
    </row>
    <row r="107" spans="1:20">
      <c r="A107">
        <v>106</v>
      </c>
      <c r="B107" t="s">
        <v>856</v>
      </c>
      <c r="C107" s="1">
        <v>148204</v>
      </c>
      <c r="D107" t="s">
        <v>2478</v>
      </c>
      <c r="E107" t="s">
        <v>1657</v>
      </c>
      <c r="F107" t="s">
        <v>2479</v>
      </c>
      <c r="G107">
        <v>42002</v>
      </c>
      <c r="H107" t="s">
        <v>2251</v>
      </c>
      <c r="I107" s="2">
        <v>31822</v>
      </c>
      <c r="J107" t="s">
        <v>1648</v>
      </c>
      <c r="K107">
        <v>1</v>
      </c>
      <c r="L107" t="s">
        <v>1649</v>
      </c>
      <c r="M107" t="s">
        <v>1661</v>
      </c>
      <c r="N107" t="s">
        <v>2480</v>
      </c>
      <c r="O107" t="s">
        <v>2481</v>
      </c>
      <c r="P107" t="s">
        <v>2482</v>
      </c>
      <c r="Q107" t="s">
        <v>2483</v>
      </c>
      <c r="R107" t="s">
        <v>2484</v>
      </c>
      <c r="S107" t="s">
        <v>2485</v>
      </c>
      <c r="T107" t="s">
        <v>2486</v>
      </c>
    </row>
    <row r="108" spans="1:20">
      <c r="A108">
        <v>107</v>
      </c>
      <c r="B108" t="s">
        <v>857</v>
      </c>
      <c r="C108" s="1">
        <v>83075874</v>
      </c>
      <c r="D108" t="s">
        <v>2487</v>
      </c>
      <c r="E108" t="s">
        <v>1657</v>
      </c>
      <c r="F108" t="s">
        <v>2488</v>
      </c>
      <c r="G108">
        <v>41271</v>
      </c>
      <c r="H108" t="s">
        <v>2489</v>
      </c>
      <c r="I108" s="2">
        <v>30474</v>
      </c>
      <c r="J108" t="s">
        <v>1648</v>
      </c>
      <c r="K108">
        <v>1</v>
      </c>
      <c r="L108" t="s">
        <v>1649</v>
      </c>
      <c r="M108" t="s">
        <v>1637</v>
      </c>
      <c r="N108" t="s">
        <v>2490</v>
      </c>
      <c r="O108" t="s">
        <v>2491</v>
      </c>
      <c r="P108" t="s">
        <v>2492</v>
      </c>
      <c r="Q108" t="s">
        <v>2493</v>
      </c>
      <c r="R108" t="s">
        <v>2494</v>
      </c>
      <c r="S108" t="s">
        <v>2495</v>
      </c>
      <c r="T108" t="s">
        <v>2496</v>
      </c>
    </row>
    <row r="109" spans="1:20">
      <c r="A109">
        <v>108</v>
      </c>
      <c r="B109" t="s">
        <v>575</v>
      </c>
      <c r="C109" s="1">
        <v>83123687</v>
      </c>
      <c r="D109" t="s">
        <v>8</v>
      </c>
      <c r="E109" t="s">
        <v>1365</v>
      </c>
      <c r="F109" t="s">
        <v>2497</v>
      </c>
      <c r="G109">
        <v>41183</v>
      </c>
      <c r="H109" t="s">
        <v>2498</v>
      </c>
      <c r="I109" s="2">
        <v>29713</v>
      </c>
      <c r="J109" t="s">
        <v>1648</v>
      </c>
      <c r="K109">
        <v>3</v>
      </c>
      <c r="L109" t="s">
        <v>1649</v>
      </c>
      <c r="M109" t="s">
        <v>1661</v>
      </c>
      <c r="N109" t="s">
        <v>2499</v>
      </c>
      <c r="O109" t="s">
        <v>2500</v>
      </c>
      <c r="P109" t="s">
        <v>2501</v>
      </c>
      <c r="Q109" t="s">
        <v>2502</v>
      </c>
      <c r="R109" t="s">
        <v>2503</v>
      </c>
      <c r="S109" t="s">
        <v>2504</v>
      </c>
      <c r="T109" t="s">
        <v>2505</v>
      </c>
    </row>
    <row r="110" spans="1:20">
      <c r="A110">
        <v>109</v>
      </c>
      <c r="B110" t="s">
        <v>670</v>
      </c>
      <c r="C110" s="1">
        <v>83123151</v>
      </c>
      <c r="D110" t="s">
        <v>16</v>
      </c>
      <c r="E110" t="s">
        <v>1645</v>
      </c>
      <c r="F110" t="s">
        <v>2506</v>
      </c>
      <c r="G110">
        <v>41122</v>
      </c>
      <c r="H110" t="s">
        <v>2183</v>
      </c>
      <c r="I110" s="2">
        <v>33760</v>
      </c>
      <c r="J110" t="s">
        <v>1962</v>
      </c>
      <c r="K110">
        <v>2</v>
      </c>
      <c r="L110" t="s">
        <v>1649</v>
      </c>
      <c r="M110" t="s">
        <v>1661</v>
      </c>
      <c r="N110" t="s">
        <v>2507</v>
      </c>
      <c r="O110" t="s">
        <v>2508</v>
      </c>
      <c r="P110" t="s">
        <v>2509</v>
      </c>
      <c r="Q110" t="s">
        <v>2510</v>
      </c>
      <c r="R110" t="s">
        <v>2511</v>
      </c>
      <c r="S110" t="s">
        <v>2512</v>
      </c>
      <c r="T110" t="s">
        <v>2513</v>
      </c>
    </row>
    <row r="111" spans="1:20">
      <c r="A111">
        <v>110</v>
      </c>
      <c r="B111" t="s">
        <v>254</v>
      </c>
      <c r="C111" s="1">
        <v>83086305</v>
      </c>
      <c r="D111" t="s">
        <v>2514</v>
      </c>
      <c r="E111" t="s">
        <v>1645</v>
      </c>
      <c r="F111" t="s">
        <v>2515</v>
      </c>
      <c r="G111">
        <v>39498</v>
      </c>
      <c r="H111" t="s">
        <v>1647</v>
      </c>
      <c r="I111" s="2">
        <v>32264</v>
      </c>
      <c r="J111" t="s">
        <v>1648</v>
      </c>
      <c r="K111">
        <v>2</v>
      </c>
      <c r="L111" t="s">
        <v>1649</v>
      </c>
      <c r="M111" t="s">
        <v>1661</v>
      </c>
      <c r="N111" t="s">
        <v>2516</v>
      </c>
      <c r="O111" t="s">
        <v>2517</v>
      </c>
      <c r="P111" t="s">
        <v>2518</v>
      </c>
      <c r="Q111" t="s">
        <v>2519</v>
      </c>
      <c r="R111" t="s">
        <v>2520</v>
      </c>
      <c r="S111" t="s">
        <v>2521</v>
      </c>
      <c r="T111" t="s">
        <v>2522</v>
      </c>
    </row>
    <row r="112" spans="1:20">
      <c r="A112">
        <v>111</v>
      </c>
      <c r="B112" t="s">
        <v>814</v>
      </c>
      <c r="C112" s="1">
        <v>147356</v>
      </c>
      <c r="D112" t="s">
        <v>1421</v>
      </c>
      <c r="E112" t="s">
        <v>1657</v>
      </c>
      <c r="F112" t="s">
        <v>2322</v>
      </c>
      <c r="G112">
        <v>46023</v>
      </c>
      <c r="H112" t="s">
        <v>1738</v>
      </c>
      <c r="I112" s="2">
        <v>33224</v>
      </c>
      <c r="J112" t="s">
        <v>1648</v>
      </c>
      <c r="K112">
        <v>2</v>
      </c>
      <c r="L112" t="s">
        <v>1649</v>
      </c>
      <c r="M112" t="s">
        <v>1661</v>
      </c>
      <c r="N112" t="s">
        <v>2324</v>
      </c>
      <c r="O112" t="s">
        <v>2325</v>
      </c>
      <c r="P112" t="s">
        <v>2326</v>
      </c>
      <c r="Q112" t="s">
        <v>2327</v>
      </c>
      <c r="R112" t="s">
        <v>2328</v>
      </c>
      <c r="S112" t="s">
        <v>2329</v>
      </c>
      <c r="T112" t="s">
        <v>2330</v>
      </c>
    </row>
    <row r="113" spans="1:20">
      <c r="A113">
        <v>112</v>
      </c>
      <c r="B113" t="s">
        <v>640</v>
      </c>
      <c r="C113" s="1">
        <v>142961</v>
      </c>
      <c r="D113" t="s">
        <v>9</v>
      </c>
      <c r="E113" t="s">
        <v>1657</v>
      </c>
      <c r="F113" t="s">
        <v>2523</v>
      </c>
      <c r="G113">
        <v>41761</v>
      </c>
      <c r="H113" t="s">
        <v>2524</v>
      </c>
      <c r="I113" s="2">
        <v>34737</v>
      </c>
      <c r="J113" t="s">
        <v>1635</v>
      </c>
      <c r="K113">
        <v>1</v>
      </c>
      <c r="L113" t="s">
        <v>1636</v>
      </c>
      <c r="M113" t="s">
        <v>1637</v>
      </c>
      <c r="N113" t="s">
        <v>1671</v>
      </c>
      <c r="O113" t="s">
        <v>2525</v>
      </c>
      <c r="P113" t="s">
        <v>2526</v>
      </c>
      <c r="Q113" t="s">
        <v>2527</v>
      </c>
      <c r="R113" t="s">
        <v>2528</v>
      </c>
      <c r="S113" t="s">
        <v>2529</v>
      </c>
      <c r="T113" t="s">
        <v>2530</v>
      </c>
    </row>
    <row r="114" spans="1:20">
      <c r="A114">
        <v>113</v>
      </c>
      <c r="B114" t="s">
        <v>858</v>
      </c>
      <c r="C114" s="1">
        <v>148205</v>
      </c>
      <c r="D114" t="s">
        <v>16</v>
      </c>
      <c r="E114" t="s">
        <v>1657</v>
      </c>
      <c r="F114" t="s">
        <v>2531</v>
      </c>
      <c r="G114">
        <v>42002</v>
      </c>
      <c r="H114" t="s">
        <v>2532</v>
      </c>
      <c r="I114" s="2">
        <v>34957</v>
      </c>
      <c r="J114" t="s">
        <v>1635</v>
      </c>
      <c r="K114" t="s">
        <v>2533</v>
      </c>
      <c r="L114" t="s">
        <v>1649</v>
      </c>
      <c r="M114" t="s">
        <v>1661</v>
      </c>
      <c r="N114" t="s">
        <v>2534</v>
      </c>
      <c r="O114" t="s">
        <v>2535</v>
      </c>
      <c r="P114" t="s">
        <v>2536</v>
      </c>
      <c r="Q114" t="s">
        <v>2537</v>
      </c>
      <c r="R114" t="s">
        <v>2538</v>
      </c>
      <c r="S114" t="s">
        <v>2539</v>
      </c>
      <c r="T114" t="s">
        <v>2536</v>
      </c>
    </row>
    <row r="115" spans="1:20">
      <c r="A115">
        <v>114</v>
      </c>
      <c r="B115" t="s">
        <v>859</v>
      </c>
      <c r="C115" s="1">
        <v>131240</v>
      </c>
      <c r="D115" t="s">
        <v>2540</v>
      </c>
      <c r="E115" t="s">
        <v>1365</v>
      </c>
      <c r="F115" t="s">
        <v>2541</v>
      </c>
      <c r="G115">
        <v>41354</v>
      </c>
      <c r="H115" t="s">
        <v>2225</v>
      </c>
      <c r="I115" s="2">
        <v>33351</v>
      </c>
      <c r="J115" t="s">
        <v>1648</v>
      </c>
      <c r="K115">
        <v>0</v>
      </c>
      <c r="L115" t="s">
        <v>1649</v>
      </c>
      <c r="M115" t="s">
        <v>1661</v>
      </c>
      <c r="N115" t="s">
        <v>2507</v>
      </c>
      <c r="O115" t="s">
        <v>2542</v>
      </c>
      <c r="P115" t="s">
        <v>2543</v>
      </c>
      <c r="Q115" t="s">
        <v>2544</v>
      </c>
      <c r="R115" t="s">
        <v>2545</v>
      </c>
      <c r="S115" t="s">
        <v>2546</v>
      </c>
      <c r="T115" t="s">
        <v>2547</v>
      </c>
    </row>
    <row r="116" spans="1:20">
      <c r="A116">
        <v>115</v>
      </c>
      <c r="B116" t="s">
        <v>860</v>
      </c>
      <c r="C116" s="1">
        <v>142253</v>
      </c>
      <c r="D116" t="s">
        <v>5</v>
      </c>
      <c r="E116" t="s">
        <v>1645</v>
      </c>
      <c r="F116" t="s">
        <v>2548</v>
      </c>
      <c r="G116">
        <v>41757</v>
      </c>
      <c r="H116" t="s">
        <v>1670</v>
      </c>
      <c r="I116" s="2">
        <v>31607</v>
      </c>
      <c r="J116" t="s">
        <v>1648</v>
      </c>
      <c r="K116">
        <v>2</v>
      </c>
      <c r="L116" t="s">
        <v>1649</v>
      </c>
      <c r="M116" t="s">
        <v>2549</v>
      </c>
      <c r="N116" t="s">
        <v>2550</v>
      </c>
      <c r="O116" t="s">
        <v>2551</v>
      </c>
      <c r="P116" t="s">
        <v>2552</v>
      </c>
      <c r="Q116" t="s">
        <v>2553</v>
      </c>
      <c r="R116" t="s">
        <v>2554</v>
      </c>
      <c r="S116" t="s">
        <v>2555</v>
      </c>
      <c r="T116" t="s">
        <v>2556</v>
      </c>
    </row>
    <row r="117" spans="1:20">
      <c r="A117">
        <v>116</v>
      </c>
      <c r="B117" t="s">
        <v>391</v>
      </c>
      <c r="C117" s="1">
        <v>83040239</v>
      </c>
      <c r="D117" t="s">
        <v>5</v>
      </c>
      <c r="E117" t="s">
        <v>1645</v>
      </c>
      <c r="F117" t="s">
        <v>2557</v>
      </c>
      <c r="G117">
        <v>38353</v>
      </c>
      <c r="H117" t="s">
        <v>1670</v>
      </c>
      <c r="I117" s="2">
        <v>28939</v>
      </c>
      <c r="J117" t="s">
        <v>1648</v>
      </c>
      <c r="K117">
        <v>3</v>
      </c>
      <c r="L117" t="s">
        <v>1649</v>
      </c>
      <c r="M117" t="s">
        <v>1661</v>
      </c>
      <c r="N117" t="s">
        <v>1791</v>
      </c>
      <c r="O117" t="s">
        <v>2558</v>
      </c>
      <c r="P117" t="s">
        <v>2559</v>
      </c>
      <c r="Q117" t="s">
        <v>2560</v>
      </c>
      <c r="R117" t="s">
        <v>2561</v>
      </c>
      <c r="S117" t="s">
        <v>2562</v>
      </c>
      <c r="T117" t="s">
        <v>2563</v>
      </c>
    </row>
    <row r="118" spans="1:20">
      <c r="A118">
        <v>117</v>
      </c>
      <c r="B118" t="s">
        <v>330</v>
      </c>
      <c r="C118" s="1">
        <v>145572</v>
      </c>
      <c r="D118" t="s">
        <v>5</v>
      </c>
      <c r="E118" t="s">
        <v>1645</v>
      </c>
      <c r="F118" t="s">
        <v>2564</v>
      </c>
      <c r="G118">
        <v>41925</v>
      </c>
      <c r="H118" t="s">
        <v>1670</v>
      </c>
      <c r="I118" s="2">
        <v>35086</v>
      </c>
      <c r="J118" t="s">
        <v>1648</v>
      </c>
      <c r="K118">
        <v>1</v>
      </c>
      <c r="L118" t="s">
        <v>1649</v>
      </c>
      <c r="M118" t="s">
        <v>1637</v>
      </c>
      <c r="N118" t="s">
        <v>1671</v>
      </c>
      <c r="O118" t="s">
        <v>1885</v>
      </c>
      <c r="P118" t="s">
        <v>2565</v>
      </c>
      <c r="Q118" t="s">
        <v>2566</v>
      </c>
      <c r="R118" t="s">
        <v>2567</v>
      </c>
      <c r="S118" t="s">
        <v>2568</v>
      </c>
      <c r="T118" t="s">
        <v>2569</v>
      </c>
    </row>
    <row r="119" spans="1:20">
      <c r="A119">
        <v>118</v>
      </c>
      <c r="B119" t="s">
        <v>709</v>
      </c>
      <c r="C119" s="1">
        <v>162511</v>
      </c>
      <c r="D119" t="s">
        <v>1754</v>
      </c>
      <c r="E119" t="s">
        <v>1657</v>
      </c>
      <c r="F119" t="s">
        <v>2570</v>
      </c>
      <c r="G119">
        <v>42671</v>
      </c>
      <c r="H119" t="s">
        <v>2571</v>
      </c>
      <c r="I119" s="2">
        <v>35757</v>
      </c>
      <c r="J119" t="s">
        <v>1648</v>
      </c>
      <c r="K119">
        <v>1</v>
      </c>
      <c r="L119" t="s">
        <v>1649</v>
      </c>
      <c r="M119" t="s">
        <v>1661</v>
      </c>
      <c r="N119" t="s">
        <v>2572</v>
      </c>
      <c r="O119" t="s">
        <v>2573</v>
      </c>
      <c r="P119" t="s">
        <v>2574</v>
      </c>
      <c r="Q119" t="s">
        <v>2575</v>
      </c>
      <c r="R119" t="s">
        <v>2576</v>
      </c>
      <c r="S119" t="s">
        <v>2577</v>
      </c>
      <c r="T119" t="s">
        <v>2578</v>
      </c>
    </row>
    <row r="120" spans="1:20">
      <c r="A120">
        <v>119</v>
      </c>
      <c r="B120" t="s">
        <v>861</v>
      </c>
      <c r="C120" s="1">
        <v>146328</v>
      </c>
      <c r="D120" t="s">
        <v>12</v>
      </c>
      <c r="E120" t="s">
        <v>1657</v>
      </c>
      <c r="F120" t="s">
        <v>2579</v>
      </c>
      <c r="G120">
        <v>41935</v>
      </c>
      <c r="H120" t="s">
        <v>2580</v>
      </c>
      <c r="I120" s="2">
        <v>27905</v>
      </c>
      <c r="J120" t="s">
        <v>1648</v>
      </c>
      <c r="K120">
        <v>2</v>
      </c>
      <c r="L120" t="s">
        <v>1649</v>
      </c>
      <c r="M120" t="s">
        <v>1661</v>
      </c>
      <c r="N120" t="s">
        <v>2581</v>
      </c>
      <c r="O120" t="s">
        <v>2582</v>
      </c>
      <c r="P120" t="s">
        <v>2583</v>
      </c>
      <c r="Q120" t="s">
        <v>2584</v>
      </c>
      <c r="R120" t="s">
        <v>2585</v>
      </c>
      <c r="S120" t="s">
        <v>2586</v>
      </c>
      <c r="T120" t="s">
        <v>2587</v>
      </c>
    </row>
    <row r="121" spans="1:20">
      <c r="A121">
        <v>120</v>
      </c>
      <c r="B121" t="s">
        <v>783</v>
      </c>
      <c r="C121" s="1">
        <v>84123770</v>
      </c>
      <c r="D121" t="s">
        <v>17</v>
      </c>
      <c r="E121" t="s">
        <v>1657</v>
      </c>
      <c r="F121" t="s">
        <v>2588</v>
      </c>
      <c r="G121">
        <v>41167</v>
      </c>
      <c r="H121" t="s">
        <v>2589</v>
      </c>
      <c r="I121" s="2">
        <v>34597</v>
      </c>
      <c r="J121" t="s">
        <v>1648</v>
      </c>
      <c r="K121">
        <v>1</v>
      </c>
      <c r="L121" t="s">
        <v>1649</v>
      </c>
      <c r="M121" t="s">
        <v>1637</v>
      </c>
      <c r="N121" t="s">
        <v>1650</v>
      </c>
      <c r="O121" t="s">
        <v>2590</v>
      </c>
      <c r="P121" t="s">
        <v>2591</v>
      </c>
      <c r="Q121" t="s">
        <v>2592</v>
      </c>
      <c r="R121" t="s">
        <v>2593</v>
      </c>
      <c r="S121" t="s">
        <v>2594</v>
      </c>
      <c r="T121" t="s">
        <v>2595</v>
      </c>
    </row>
    <row r="122" spans="1:20">
      <c r="A122">
        <v>121</v>
      </c>
      <c r="B122" t="s">
        <v>551</v>
      </c>
      <c r="C122" s="1">
        <v>142244</v>
      </c>
      <c r="D122" t="s">
        <v>7</v>
      </c>
      <c r="E122" t="s">
        <v>1645</v>
      </c>
      <c r="F122" t="s">
        <v>2596</v>
      </c>
      <c r="G122">
        <v>41757</v>
      </c>
      <c r="H122" t="s">
        <v>1764</v>
      </c>
      <c r="I122" s="2">
        <v>32219</v>
      </c>
      <c r="J122" t="s">
        <v>1648</v>
      </c>
      <c r="K122" t="s">
        <v>2597</v>
      </c>
      <c r="L122" t="s">
        <v>1649</v>
      </c>
      <c r="M122" t="s">
        <v>1661</v>
      </c>
      <c r="N122" t="s">
        <v>1671</v>
      </c>
      <c r="O122" t="s">
        <v>2598</v>
      </c>
      <c r="P122" t="s">
        <v>2599</v>
      </c>
      <c r="Q122" t="s">
        <v>2600</v>
      </c>
      <c r="R122" t="s">
        <v>2601</v>
      </c>
      <c r="S122" t="s">
        <v>2602</v>
      </c>
      <c r="T122" t="s">
        <v>2603</v>
      </c>
    </row>
    <row r="123" spans="1:20">
      <c r="A123">
        <v>122</v>
      </c>
      <c r="B123" t="s">
        <v>862</v>
      </c>
      <c r="C123" s="1">
        <v>83122118</v>
      </c>
      <c r="D123" t="s">
        <v>5</v>
      </c>
      <c r="E123" t="s">
        <v>1657</v>
      </c>
      <c r="F123" t="s">
        <v>2604</v>
      </c>
      <c r="G123">
        <v>41043</v>
      </c>
      <c r="H123" t="s">
        <v>2605</v>
      </c>
      <c r="I123" s="2">
        <v>30969</v>
      </c>
      <c r="J123" t="s">
        <v>1648</v>
      </c>
      <c r="L123" t="s">
        <v>1649</v>
      </c>
      <c r="M123" t="s">
        <v>1637</v>
      </c>
      <c r="N123" t="s">
        <v>1650</v>
      </c>
      <c r="O123" t="s">
        <v>2162</v>
      </c>
      <c r="P123" t="s">
        <v>2606</v>
      </c>
      <c r="Q123" t="s">
        <v>2607</v>
      </c>
      <c r="R123" t="s">
        <v>2608</v>
      </c>
      <c r="S123" t="s">
        <v>2609</v>
      </c>
      <c r="T123" t="s">
        <v>2610</v>
      </c>
    </row>
    <row r="124" spans="1:20">
      <c r="A124">
        <v>123</v>
      </c>
      <c r="B124" t="s">
        <v>863</v>
      </c>
      <c r="C124" s="1">
        <v>162697</v>
      </c>
      <c r="D124" t="s">
        <v>2611</v>
      </c>
      <c r="E124" t="s">
        <v>1657</v>
      </c>
      <c r="F124" t="s">
        <v>2612</v>
      </c>
      <c r="G124">
        <v>42675</v>
      </c>
      <c r="H124" t="s">
        <v>2613</v>
      </c>
      <c r="I124" s="2">
        <v>34828</v>
      </c>
      <c r="J124" t="s">
        <v>1648</v>
      </c>
      <c r="K124" t="s">
        <v>2614</v>
      </c>
      <c r="L124" t="s">
        <v>1649</v>
      </c>
      <c r="M124" t="s">
        <v>1661</v>
      </c>
      <c r="N124" t="s">
        <v>2342</v>
      </c>
      <c r="O124" t="s">
        <v>2615</v>
      </c>
      <c r="P124" t="s">
        <v>2616</v>
      </c>
      <c r="Q124" t="s">
        <v>2617</v>
      </c>
      <c r="R124" t="s">
        <v>2618</v>
      </c>
      <c r="S124" t="s">
        <v>2619</v>
      </c>
      <c r="T124" t="s">
        <v>2620</v>
      </c>
    </row>
    <row r="125" spans="1:20">
      <c r="A125">
        <v>124</v>
      </c>
      <c r="B125" t="s">
        <v>641</v>
      </c>
      <c r="C125" s="1">
        <v>140533</v>
      </c>
      <c r="D125" t="s">
        <v>9</v>
      </c>
      <c r="E125" t="s">
        <v>1657</v>
      </c>
      <c r="F125" t="s">
        <v>2621</v>
      </c>
      <c r="G125">
        <v>41660</v>
      </c>
      <c r="H125" t="s">
        <v>2622</v>
      </c>
      <c r="I125" s="2">
        <v>32217</v>
      </c>
      <c r="J125" t="s">
        <v>1635</v>
      </c>
      <c r="L125" t="s">
        <v>2101</v>
      </c>
      <c r="M125" t="s">
        <v>1637</v>
      </c>
      <c r="N125" t="s">
        <v>1650</v>
      </c>
      <c r="O125" t="s">
        <v>2623</v>
      </c>
      <c r="P125" t="s">
        <v>2624</v>
      </c>
      <c r="Q125" t="s">
        <v>2625</v>
      </c>
      <c r="R125" t="s">
        <v>2626</v>
      </c>
      <c r="S125" t="s">
        <v>2627</v>
      </c>
      <c r="T125" t="s">
        <v>2628</v>
      </c>
    </row>
    <row r="126" spans="1:20">
      <c r="A126">
        <v>125</v>
      </c>
      <c r="B126" t="s">
        <v>864</v>
      </c>
      <c r="C126" s="1">
        <v>162507</v>
      </c>
      <c r="D126" t="s">
        <v>16</v>
      </c>
      <c r="E126" t="s">
        <v>1657</v>
      </c>
      <c r="F126" t="s">
        <v>2629</v>
      </c>
      <c r="G126">
        <v>42671</v>
      </c>
      <c r="H126" t="s">
        <v>1754</v>
      </c>
      <c r="I126" s="2">
        <v>35119</v>
      </c>
      <c r="J126" t="s">
        <v>1648</v>
      </c>
      <c r="K126" t="s">
        <v>2630</v>
      </c>
      <c r="L126" t="s">
        <v>1649</v>
      </c>
      <c r="M126" t="s">
        <v>1661</v>
      </c>
      <c r="N126" t="s">
        <v>2631</v>
      </c>
      <c r="O126" t="s">
        <v>1757</v>
      </c>
      <c r="P126" t="s">
        <v>2632</v>
      </c>
      <c r="Q126" t="s">
        <v>2633</v>
      </c>
      <c r="R126" t="s">
        <v>2634</v>
      </c>
      <c r="S126" t="s">
        <v>2635</v>
      </c>
      <c r="T126" t="s">
        <v>2636</v>
      </c>
    </row>
    <row r="127" spans="1:20">
      <c r="A127">
        <v>126</v>
      </c>
      <c r="B127" t="s">
        <v>444</v>
      </c>
      <c r="C127" s="1">
        <v>141777</v>
      </c>
      <c r="D127" t="s">
        <v>2123</v>
      </c>
      <c r="E127" t="s">
        <v>1657</v>
      </c>
      <c r="F127" t="s">
        <v>2637</v>
      </c>
      <c r="G127">
        <v>41767</v>
      </c>
      <c r="H127" t="s">
        <v>1670</v>
      </c>
      <c r="I127" s="2">
        <v>33019</v>
      </c>
      <c r="J127" t="s">
        <v>1648</v>
      </c>
      <c r="K127" t="s">
        <v>2037</v>
      </c>
      <c r="L127" t="s">
        <v>1649</v>
      </c>
      <c r="M127" t="s">
        <v>1661</v>
      </c>
      <c r="N127" t="s">
        <v>2046</v>
      </c>
      <c r="O127" t="s">
        <v>2638</v>
      </c>
      <c r="P127" t="s">
        <v>2639</v>
      </c>
      <c r="Q127" t="s">
        <v>2640</v>
      </c>
      <c r="R127" t="s">
        <v>2641</v>
      </c>
      <c r="S127" t="s">
        <v>2642</v>
      </c>
      <c r="T127" t="s">
        <v>2643</v>
      </c>
    </row>
    <row r="128" spans="1:20">
      <c r="A128">
        <v>127</v>
      </c>
      <c r="B128" t="s">
        <v>804</v>
      </c>
      <c r="C128" s="1">
        <v>241138</v>
      </c>
      <c r="D128" t="s">
        <v>5</v>
      </c>
      <c r="E128" t="s">
        <v>1657</v>
      </c>
      <c r="F128" t="s">
        <v>2644</v>
      </c>
      <c r="G128">
        <v>45481</v>
      </c>
      <c r="H128" t="s">
        <v>1687</v>
      </c>
      <c r="I128" s="2">
        <v>36555</v>
      </c>
      <c r="J128" t="s">
        <v>1635</v>
      </c>
      <c r="L128" t="s">
        <v>1649</v>
      </c>
      <c r="M128" t="s">
        <v>1661</v>
      </c>
      <c r="N128" t="s">
        <v>1713</v>
      </c>
      <c r="O128" t="s">
        <v>2645</v>
      </c>
      <c r="P128" t="s">
        <v>2646</v>
      </c>
      <c r="Q128" t="s">
        <v>2647</v>
      </c>
      <c r="R128" t="s">
        <v>2648</v>
      </c>
    </row>
    <row r="129" spans="1:20">
      <c r="A129">
        <v>128</v>
      </c>
      <c r="B129" t="s">
        <v>865</v>
      </c>
      <c r="C129" s="1">
        <v>135668</v>
      </c>
      <c r="D129" t="s">
        <v>9</v>
      </c>
      <c r="E129" t="s">
        <v>1657</v>
      </c>
      <c r="F129" t="s">
        <v>2649</v>
      </c>
      <c r="G129">
        <v>41603</v>
      </c>
      <c r="H129" t="s">
        <v>2650</v>
      </c>
      <c r="I129" s="2">
        <v>33785</v>
      </c>
      <c r="J129" t="s">
        <v>1648</v>
      </c>
      <c r="K129">
        <v>1</v>
      </c>
      <c r="L129" t="s">
        <v>1636</v>
      </c>
      <c r="M129" t="s">
        <v>2651</v>
      </c>
      <c r="N129" t="s">
        <v>2371</v>
      </c>
      <c r="O129" t="s">
        <v>2652</v>
      </c>
      <c r="P129" t="s">
        <v>2653</v>
      </c>
      <c r="Q129" t="s">
        <v>2654</v>
      </c>
      <c r="R129" t="s">
        <v>2655</v>
      </c>
      <c r="S129" t="s">
        <v>2656</v>
      </c>
      <c r="T129" t="s">
        <v>2657</v>
      </c>
    </row>
    <row r="130" spans="1:20">
      <c r="A130">
        <v>129</v>
      </c>
      <c r="B130" t="s">
        <v>558</v>
      </c>
      <c r="C130" s="1">
        <v>83124751</v>
      </c>
      <c r="D130" t="s">
        <v>7</v>
      </c>
      <c r="E130" t="s">
        <v>1365</v>
      </c>
      <c r="F130" t="s">
        <v>2658</v>
      </c>
      <c r="G130">
        <v>41255</v>
      </c>
      <c r="H130" t="s">
        <v>1647</v>
      </c>
      <c r="I130" s="2">
        <v>30326</v>
      </c>
      <c r="J130" t="s">
        <v>1648</v>
      </c>
      <c r="K130">
        <v>2</v>
      </c>
      <c r="L130" t="s">
        <v>1649</v>
      </c>
      <c r="M130" t="s">
        <v>1637</v>
      </c>
      <c r="N130" t="s">
        <v>1671</v>
      </c>
      <c r="O130" t="s">
        <v>2659</v>
      </c>
      <c r="P130" t="s">
        <v>2660</v>
      </c>
      <c r="Q130" t="s">
        <v>2661</v>
      </c>
      <c r="R130" t="s">
        <v>2662</v>
      </c>
      <c r="S130" t="s">
        <v>2663</v>
      </c>
      <c r="T130" t="s">
        <v>2664</v>
      </c>
    </row>
    <row r="131" spans="1:20">
      <c r="A131">
        <v>130</v>
      </c>
      <c r="B131" t="s">
        <v>866</v>
      </c>
      <c r="C131" s="1">
        <v>83123690</v>
      </c>
      <c r="D131" t="s">
        <v>8</v>
      </c>
      <c r="E131" t="s">
        <v>1365</v>
      </c>
      <c r="F131" t="s">
        <v>2665</v>
      </c>
      <c r="G131">
        <v>41192</v>
      </c>
      <c r="H131" t="s">
        <v>1721</v>
      </c>
      <c r="I131" s="2">
        <v>32348</v>
      </c>
      <c r="J131" t="s">
        <v>1648</v>
      </c>
      <c r="K131">
        <v>3</v>
      </c>
      <c r="L131" t="s">
        <v>1649</v>
      </c>
      <c r="M131" t="s">
        <v>1637</v>
      </c>
      <c r="N131" t="s">
        <v>1650</v>
      </c>
      <c r="O131" t="s">
        <v>2666</v>
      </c>
      <c r="P131" t="s">
        <v>2667</v>
      </c>
      <c r="Q131" t="s">
        <v>2668</v>
      </c>
      <c r="R131" t="s">
        <v>2669</v>
      </c>
      <c r="S131" t="s">
        <v>2670</v>
      </c>
      <c r="T131" t="s">
        <v>2671</v>
      </c>
    </row>
    <row r="132" spans="1:20">
      <c r="A132">
        <v>131</v>
      </c>
      <c r="B132" t="s">
        <v>804</v>
      </c>
      <c r="C132" s="1">
        <v>241138</v>
      </c>
      <c r="D132" t="s">
        <v>5</v>
      </c>
      <c r="E132" t="s">
        <v>1657</v>
      </c>
      <c r="F132" t="s">
        <v>2672</v>
      </c>
      <c r="G132">
        <v>45481</v>
      </c>
      <c r="H132" t="s">
        <v>1687</v>
      </c>
      <c r="I132" s="2">
        <v>36555</v>
      </c>
      <c r="J132" t="s">
        <v>1635</v>
      </c>
      <c r="L132" t="s">
        <v>1649</v>
      </c>
      <c r="M132" t="s">
        <v>1661</v>
      </c>
      <c r="N132" t="s">
        <v>1713</v>
      </c>
      <c r="O132" t="s">
        <v>2645</v>
      </c>
      <c r="P132" t="s">
        <v>2646</v>
      </c>
      <c r="Q132" t="s">
        <v>2673</v>
      </c>
      <c r="R132" t="s">
        <v>2648</v>
      </c>
      <c r="S132" t="s">
        <v>2674</v>
      </c>
      <c r="T132" t="s">
        <v>2675</v>
      </c>
    </row>
    <row r="133" spans="1:20">
      <c r="A133">
        <v>132</v>
      </c>
      <c r="B133" t="s">
        <v>229</v>
      </c>
      <c r="C133" s="1">
        <v>160797</v>
      </c>
      <c r="D133" t="s">
        <v>2</v>
      </c>
      <c r="E133" t="s">
        <v>1657</v>
      </c>
      <c r="F133" t="s">
        <v>2676</v>
      </c>
      <c r="G133">
        <v>42450</v>
      </c>
      <c r="H133" t="s">
        <v>2677</v>
      </c>
      <c r="I133" s="2">
        <v>32177</v>
      </c>
      <c r="J133" t="s">
        <v>1635</v>
      </c>
      <c r="L133" t="s">
        <v>1649</v>
      </c>
      <c r="M133" t="s">
        <v>1637</v>
      </c>
      <c r="N133" t="s">
        <v>1671</v>
      </c>
      <c r="O133" t="s">
        <v>2678</v>
      </c>
      <c r="P133" t="s">
        <v>2679</v>
      </c>
      <c r="Q133" t="s">
        <v>2680</v>
      </c>
      <c r="R133" t="s">
        <v>2681</v>
      </c>
      <c r="S133" t="s">
        <v>2682</v>
      </c>
      <c r="T133" t="s">
        <v>2683</v>
      </c>
    </row>
    <row r="134" spans="1:20">
      <c r="A134">
        <v>133</v>
      </c>
      <c r="B134" t="s">
        <v>867</v>
      </c>
      <c r="C134" s="1">
        <v>162493</v>
      </c>
      <c r="D134" t="s">
        <v>2478</v>
      </c>
      <c r="E134" t="s">
        <v>1657</v>
      </c>
      <c r="F134" t="s">
        <v>2684</v>
      </c>
      <c r="G134">
        <v>42671</v>
      </c>
      <c r="H134" t="s">
        <v>2251</v>
      </c>
      <c r="I134" s="2">
        <v>35903</v>
      </c>
      <c r="J134" t="s">
        <v>1648</v>
      </c>
      <c r="K134">
        <v>1</v>
      </c>
      <c r="L134" t="s">
        <v>1649</v>
      </c>
      <c r="M134" t="s">
        <v>1661</v>
      </c>
      <c r="N134" t="s">
        <v>2685</v>
      </c>
      <c r="O134" t="s">
        <v>2686</v>
      </c>
      <c r="P134" t="s">
        <v>2687</v>
      </c>
      <c r="Q134" t="s">
        <v>2688</v>
      </c>
      <c r="R134" t="s">
        <v>2689</v>
      </c>
      <c r="S134" t="s">
        <v>2690</v>
      </c>
      <c r="T134" t="s">
        <v>2691</v>
      </c>
    </row>
    <row r="135" spans="1:20">
      <c r="A135">
        <v>134</v>
      </c>
      <c r="B135" t="s">
        <v>320</v>
      </c>
      <c r="C135" s="1">
        <v>152483</v>
      </c>
      <c r="D135" t="s">
        <v>5</v>
      </c>
      <c r="E135" t="s">
        <v>1645</v>
      </c>
      <c r="F135" t="s">
        <v>2692</v>
      </c>
      <c r="G135">
        <v>42219</v>
      </c>
      <c r="H135" t="s">
        <v>1738</v>
      </c>
      <c r="I135" s="2">
        <v>34606</v>
      </c>
      <c r="J135" t="s">
        <v>1648</v>
      </c>
      <c r="K135">
        <v>0</v>
      </c>
      <c r="L135" t="s">
        <v>1649</v>
      </c>
      <c r="M135" t="s">
        <v>1661</v>
      </c>
      <c r="N135" t="s">
        <v>2693</v>
      </c>
      <c r="O135" t="s">
        <v>2694</v>
      </c>
      <c r="P135" t="s">
        <v>2695</v>
      </c>
      <c r="Q135" t="s">
        <v>2696</v>
      </c>
      <c r="R135" t="s">
        <v>2697</v>
      </c>
      <c r="S135" t="s">
        <v>2698</v>
      </c>
      <c r="T135" t="s">
        <v>2699</v>
      </c>
    </row>
    <row r="136" spans="1:20">
      <c r="A136">
        <v>135</v>
      </c>
      <c r="B136" t="s">
        <v>741</v>
      </c>
      <c r="C136" s="1">
        <v>148199</v>
      </c>
      <c r="D136" t="s">
        <v>16</v>
      </c>
      <c r="E136" t="s">
        <v>1657</v>
      </c>
      <c r="F136" t="s">
        <v>2700</v>
      </c>
      <c r="G136">
        <v>42002</v>
      </c>
      <c r="H136" t="s">
        <v>1843</v>
      </c>
      <c r="I136" s="2">
        <v>31117</v>
      </c>
      <c r="J136" t="s">
        <v>1648</v>
      </c>
      <c r="K136" t="s">
        <v>2701</v>
      </c>
      <c r="L136" t="s">
        <v>1649</v>
      </c>
      <c r="M136" t="s">
        <v>1593</v>
      </c>
      <c r="N136" t="s">
        <v>2702</v>
      </c>
      <c r="O136" t="s">
        <v>2703</v>
      </c>
      <c r="P136" t="s">
        <v>2704</v>
      </c>
      <c r="Q136" t="s">
        <v>2705</v>
      </c>
      <c r="R136" t="s">
        <v>2706</v>
      </c>
      <c r="S136" t="s">
        <v>2707</v>
      </c>
      <c r="T136" t="s">
        <v>2708</v>
      </c>
    </row>
    <row r="137" spans="1:20">
      <c r="A137">
        <v>136</v>
      </c>
      <c r="B137" t="s">
        <v>868</v>
      </c>
      <c r="C137" s="1">
        <v>135030</v>
      </c>
      <c r="D137" t="s">
        <v>5</v>
      </c>
      <c r="E137" t="s">
        <v>1645</v>
      </c>
      <c r="F137" t="s">
        <v>2709</v>
      </c>
      <c r="G137">
        <v>41575</v>
      </c>
      <c r="H137" t="s">
        <v>1670</v>
      </c>
      <c r="I137" s="2">
        <v>33612</v>
      </c>
      <c r="J137" t="s">
        <v>1648</v>
      </c>
      <c r="K137">
        <v>1</v>
      </c>
      <c r="L137" t="s">
        <v>1649</v>
      </c>
      <c r="M137" t="s">
        <v>1661</v>
      </c>
      <c r="N137" t="s">
        <v>2342</v>
      </c>
      <c r="O137" t="s">
        <v>2710</v>
      </c>
      <c r="P137" t="s">
        <v>2711</v>
      </c>
      <c r="Q137" t="s">
        <v>2712</v>
      </c>
      <c r="R137" t="s">
        <v>2713</v>
      </c>
      <c r="S137" t="s">
        <v>2714</v>
      </c>
      <c r="T137" t="s">
        <v>2715</v>
      </c>
    </row>
    <row r="138" spans="1:20">
      <c r="A138">
        <v>137</v>
      </c>
      <c r="B138" t="s">
        <v>622</v>
      </c>
      <c r="C138" s="1">
        <v>146656</v>
      </c>
      <c r="D138" t="s">
        <v>8</v>
      </c>
      <c r="E138" t="s">
        <v>1657</v>
      </c>
      <c r="F138" t="s">
        <v>2716</v>
      </c>
      <c r="G138">
        <v>41944</v>
      </c>
      <c r="H138" t="s">
        <v>2717</v>
      </c>
      <c r="I138" s="2">
        <v>34708</v>
      </c>
      <c r="J138" t="s">
        <v>1648</v>
      </c>
      <c r="K138">
        <v>2</v>
      </c>
      <c r="L138" t="s">
        <v>1649</v>
      </c>
      <c r="M138" t="s">
        <v>1661</v>
      </c>
      <c r="N138" t="s">
        <v>2718</v>
      </c>
      <c r="O138" t="s">
        <v>2719</v>
      </c>
      <c r="P138" t="s">
        <v>2720</v>
      </c>
      <c r="Q138" t="s">
        <v>2721</v>
      </c>
      <c r="R138" t="s">
        <v>2722</v>
      </c>
      <c r="S138" t="s">
        <v>2723</v>
      </c>
      <c r="T138" t="s">
        <v>2724</v>
      </c>
    </row>
    <row r="139" spans="1:20">
      <c r="A139">
        <v>138</v>
      </c>
      <c r="B139" t="s">
        <v>367</v>
      </c>
      <c r="C139" s="1">
        <v>84122965</v>
      </c>
      <c r="D139" t="s">
        <v>5</v>
      </c>
      <c r="E139" t="s">
        <v>1657</v>
      </c>
      <c r="F139" t="s">
        <v>2725</v>
      </c>
      <c r="G139">
        <v>41129</v>
      </c>
      <c r="H139" t="s">
        <v>2726</v>
      </c>
      <c r="I139" s="2">
        <v>31484</v>
      </c>
      <c r="J139" t="s">
        <v>1648</v>
      </c>
      <c r="K139">
        <v>3</v>
      </c>
      <c r="L139" t="s">
        <v>1649</v>
      </c>
      <c r="M139" t="s">
        <v>1637</v>
      </c>
      <c r="N139" t="s">
        <v>1650</v>
      </c>
      <c r="O139" t="s">
        <v>2727</v>
      </c>
      <c r="P139" t="s">
        <v>2728</v>
      </c>
      <c r="Q139" t="s">
        <v>2729</v>
      </c>
      <c r="R139" t="s">
        <v>2730</v>
      </c>
      <c r="S139" t="s">
        <v>2731</v>
      </c>
      <c r="T139" t="s">
        <v>2732</v>
      </c>
    </row>
    <row r="140" spans="1:20">
      <c r="A140">
        <v>139</v>
      </c>
      <c r="B140" t="s">
        <v>462</v>
      </c>
      <c r="C140" s="1">
        <v>132533</v>
      </c>
      <c r="D140" t="s">
        <v>5</v>
      </c>
      <c r="E140" t="s">
        <v>1657</v>
      </c>
      <c r="F140" t="s">
        <v>2733</v>
      </c>
      <c r="G140">
        <v>41457</v>
      </c>
      <c r="H140" t="s">
        <v>1670</v>
      </c>
      <c r="I140" s="2">
        <v>33948</v>
      </c>
      <c r="J140" t="s">
        <v>1648</v>
      </c>
      <c r="K140" t="s">
        <v>1817</v>
      </c>
      <c r="L140" t="s">
        <v>1649</v>
      </c>
      <c r="M140" t="s">
        <v>1637</v>
      </c>
      <c r="N140" t="s">
        <v>1671</v>
      </c>
      <c r="O140" t="s">
        <v>2734</v>
      </c>
      <c r="P140" t="s">
        <v>2735</v>
      </c>
      <c r="Q140" t="s">
        <v>2736</v>
      </c>
      <c r="R140" t="s">
        <v>2737</v>
      </c>
      <c r="S140" t="s">
        <v>2738</v>
      </c>
      <c r="T140" t="s">
        <v>2739</v>
      </c>
    </row>
    <row r="141" spans="1:20">
      <c r="A141">
        <v>140</v>
      </c>
      <c r="B141" t="s">
        <v>869</v>
      </c>
      <c r="C141" s="1">
        <v>148195</v>
      </c>
      <c r="D141" t="s">
        <v>2740</v>
      </c>
      <c r="E141" t="s">
        <v>1657</v>
      </c>
      <c r="F141" t="s">
        <v>2741</v>
      </c>
      <c r="G141">
        <v>42002</v>
      </c>
      <c r="H141" t="s">
        <v>2742</v>
      </c>
      <c r="I141" s="2">
        <v>35544</v>
      </c>
      <c r="J141" t="s">
        <v>1648</v>
      </c>
      <c r="K141">
        <v>1</v>
      </c>
      <c r="L141" t="s">
        <v>1649</v>
      </c>
      <c r="M141" t="s">
        <v>1661</v>
      </c>
      <c r="N141" t="s">
        <v>2743</v>
      </c>
      <c r="O141" t="s">
        <v>2744</v>
      </c>
      <c r="P141" t="s">
        <v>2745</v>
      </c>
      <c r="Q141" t="s">
        <v>2746</v>
      </c>
      <c r="R141" t="s">
        <v>2747</v>
      </c>
      <c r="S141" t="s">
        <v>2748</v>
      </c>
      <c r="T141" t="s">
        <v>2749</v>
      </c>
    </row>
    <row r="142" spans="1:20">
      <c r="A142">
        <v>141</v>
      </c>
      <c r="B142" t="s">
        <v>537</v>
      </c>
      <c r="C142" s="1">
        <v>242409</v>
      </c>
      <c r="D142" t="s">
        <v>5</v>
      </c>
      <c r="E142" t="s">
        <v>1657</v>
      </c>
      <c r="F142" t="s">
        <v>2750</v>
      </c>
      <c r="G142">
        <v>45986</v>
      </c>
      <c r="H142" t="s">
        <v>1738</v>
      </c>
      <c r="I142" s="2">
        <v>38771</v>
      </c>
      <c r="J142" t="s">
        <v>1635</v>
      </c>
      <c r="L142" t="s">
        <v>1649</v>
      </c>
      <c r="M142" t="s">
        <v>1661</v>
      </c>
      <c r="N142" t="s">
        <v>2011</v>
      </c>
      <c r="O142" t="s">
        <v>2751</v>
      </c>
      <c r="P142" t="s">
        <v>2752</v>
      </c>
      <c r="Q142" t="s">
        <v>2753</v>
      </c>
      <c r="R142" t="s">
        <v>2754</v>
      </c>
      <c r="S142" t="s">
        <v>2755</v>
      </c>
      <c r="T142" t="s">
        <v>2756</v>
      </c>
    </row>
    <row r="143" spans="1:20">
      <c r="A143">
        <v>142</v>
      </c>
      <c r="B143" t="s">
        <v>870</v>
      </c>
      <c r="C143" s="1">
        <v>83101970</v>
      </c>
      <c r="D143" t="s">
        <v>17</v>
      </c>
      <c r="E143" t="s">
        <v>1657</v>
      </c>
      <c r="F143" t="s">
        <v>2757</v>
      </c>
      <c r="G143">
        <v>40249</v>
      </c>
      <c r="H143" t="s">
        <v>1878</v>
      </c>
      <c r="I143" s="2">
        <v>31671</v>
      </c>
      <c r="J143" t="s">
        <v>1648</v>
      </c>
      <c r="K143">
        <v>2</v>
      </c>
      <c r="L143" t="s">
        <v>1649</v>
      </c>
      <c r="M143" t="s">
        <v>1637</v>
      </c>
      <c r="N143" t="s">
        <v>1650</v>
      </c>
      <c r="O143" t="s">
        <v>2758</v>
      </c>
      <c r="P143" t="s">
        <v>2759</v>
      </c>
      <c r="Q143" t="s">
        <v>2760</v>
      </c>
      <c r="R143" t="s">
        <v>2761</v>
      </c>
      <c r="S143" t="s">
        <v>2762</v>
      </c>
      <c r="T143" t="s">
        <v>2763</v>
      </c>
    </row>
    <row r="144" spans="1:20">
      <c r="A144">
        <v>143</v>
      </c>
      <c r="B144" t="s">
        <v>871</v>
      </c>
      <c r="C144" s="1">
        <v>83075884</v>
      </c>
      <c r="D144" t="s">
        <v>5</v>
      </c>
      <c r="E144" t="s">
        <v>1657</v>
      </c>
      <c r="F144" t="s">
        <v>2764</v>
      </c>
      <c r="G144">
        <v>39444</v>
      </c>
      <c r="H144" t="s">
        <v>1738</v>
      </c>
      <c r="I144" s="2">
        <v>31237</v>
      </c>
      <c r="J144" t="s">
        <v>1648</v>
      </c>
      <c r="K144">
        <v>2</v>
      </c>
      <c r="L144" t="s">
        <v>1649</v>
      </c>
      <c r="M144" t="s">
        <v>1637</v>
      </c>
      <c r="N144" t="s">
        <v>1671</v>
      </c>
      <c r="O144" t="s">
        <v>2765</v>
      </c>
      <c r="P144" t="s">
        <v>2766</v>
      </c>
      <c r="Q144" t="s">
        <v>2767</v>
      </c>
      <c r="R144" t="s">
        <v>2768</v>
      </c>
      <c r="S144" t="s">
        <v>2769</v>
      </c>
      <c r="T144" t="s">
        <v>2770</v>
      </c>
    </row>
    <row r="145" spans="1:20">
      <c r="A145">
        <v>144</v>
      </c>
      <c r="B145" t="s">
        <v>872</v>
      </c>
      <c r="C145" s="1">
        <v>83117667</v>
      </c>
      <c r="D145" t="s">
        <v>12</v>
      </c>
      <c r="E145" t="s">
        <v>1657</v>
      </c>
      <c r="F145" t="s">
        <v>2771</v>
      </c>
      <c r="G145">
        <v>40725</v>
      </c>
      <c r="H145" t="s">
        <v>2772</v>
      </c>
      <c r="I145" s="2">
        <v>27884</v>
      </c>
      <c r="J145" t="s">
        <v>1648</v>
      </c>
      <c r="K145">
        <v>3</v>
      </c>
      <c r="L145" t="s">
        <v>1636</v>
      </c>
      <c r="M145" t="s">
        <v>1637</v>
      </c>
      <c r="N145" t="s">
        <v>1671</v>
      </c>
      <c r="O145" t="s">
        <v>2773</v>
      </c>
      <c r="P145" t="s">
        <v>2774</v>
      </c>
      <c r="Q145" t="s">
        <v>2775</v>
      </c>
      <c r="R145" t="s">
        <v>2776</v>
      </c>
      <c r="S145" t="s">
        <v>2777</v>
      </c>
      <c r="T145" t="s">
        <v>2778</v>
      </c>
    </row>
    <row r="146" spans="1:20">
      <c r="A146">
        <v>145</v>
      </c>
      <c r="B146" t="s">
        <v>873</v>
      </c>
      <c r="C146" s="1">
        <v>221918</v>
      </c>
      <c r="D146" t="s">
        <v>5</v>
      </c>
      <c r="E146" t="s">
        <v>1657</v>
      </c>
      <c r="F146" t="s">
        <v>2779</v>
      </c>
      <c r="G146">
        <v>44746</v>
      </c>
      <c r="H146" t="s">
        <v>2780</v>
      </c>
      <c r="I146" s="2">
        <v>35463</v>
      </c>
      <c r="J146" t="s">
        <v>1648</v>
      </c>
      <c r="K146">
        <v>1</v>
      </c>
      <c r="L146" t="s">
        <v>1649</v>
      </c>
      <c r="M146" t="s">
        <v>1637</v>
      </c>
      <c r="N146" t="s">
        <v>1671</v>
      </c>
      <c r="O146" t="s">
        <v>2781</v>
      </c>
      <c r="P146" t="s">
        <v>2782</v>
      </c>
      <c r="Q146" t="s">
        <v>2783</v>
      </c>
      <c r="R146" t="s">
        <v>2784</v>
      </c>
      <c r="S146" t="s">
        <v>2785</v>
      </c>
      <c r="T146" t="s">
        <v>2786</v>
      </c>
    </row>
    <row r="147" spans="1:20">
      <c r="A147">
        <v>146</v>
      </c>
      <c r="B147" t="s">
        <v>358</v>
      </c>
      <c r="C147" s="1">
        <v>83103420</v>
      </c>
      <c r="D147" t="s">
        <v>5</v>
      </c>
      <c r="E147" t="s">
        <v>1657</v>
      </c>
      <c r="F147" t="s">
        <v>2787</v>
      </c>
      <c r="G147">
        <v>40386</v>
      </c>
      <c r="H147" t="s">
        <v>1995</v>
      </c>
      <c r="I147" s="2">
        <v>33435</v>
      </c>
      <c r="J147" t="s">
        <v>1648</v>
      </c>
      <c r="K147" t="s">
        <v>1660</v>
      </c>
      <c r="L147" t="s">
        <v>1649</v>
      </c>
      <c r="M147" t="s">
        <v>1637</v>
      </c>
      <c r="N147" t="s">
        <v>1650</v>
      </c>
      <c r="O147" t="s">
        <v>2788</v>
      </c>
      <c r="P147" t="s">
        <v>2789</v>
      </c>
      <c r="Q147" t="s">
        <v>2790</v>
      </c>
      <c r="R147" t="s">
        <v>2791</v>
      </c>
      <c r="S147" t="s">
        <v>2792</v>
      </c>
      <c r="T147" t="s">
        <v>2793</v>
      </c>
    </row>
    <row r="148" spans="1:20">
      <c r="A148">
        <v>147</v>
      </c>
      <c r="B148" t="s">
        <v>874</v>
      </c>
      <c r="C148" s="1">
        <v>221928</v>
      </c>
      <c r="D148" t="s">
        <v>5</v>
      </c>
      <c r="E148" t="s">
        <v>1657</v>
      </c>
      <c r="F148" t="s">
        <v>2794</v>
      </c>
      <c r="G148">
        <v>44746</v>
      </c>
      <c r="H148" t="s">
        <v>1687</v>
      </c>
      <c r="I148" s="2">
        <v>36317</v>
      </c>
      <c r="J148" t="s">
        <v>1635</v>
      </c>
      <c r="K148">
        <v>0</v>
      </c>
      <c r="L148" t="s">
        <v>1649</v>
      </c>
      <c r="M148" t="s">
        <v>1661</v>
      </c>
      <c r="N148" t="s">
        <v>1972</v>
      </c>
      <c r="O148" t="s">
        <v>2795</v>
      </c>
      <c r="P148" t="s">
        <v>2796</v>
      </c>
      <c r="Q148" t="s">
        <v>2797</v>
      </c>
      <c r="R148" t="s">
        <v>2798</v>
      </c>
      <c r="S148" t="s">
        <v>2799</v>
      </c>
      <c r="T148" t="s">
        <v>2800</v>
      </c>
    </row>
    <row r="149" spans="1:20">
      <c r="A149">
        <v>148</v>
      </c>
      <c r="B149" t="s">
        <v>420</v>
      </c>
      <c r="C149" s="1">
        <v>83086318</v>
      </c>
      <c r="D149" t="s">
        <v>5</v>
      </c>
      <c r="E149" t="s">
        <v>1657</v>
      </c>
      <c r="F149" t="s">
        <v>2801</v>
      </c>
      <c r="G149">
        <v>39498</v>
      </c>
      <c r="H149" t="s">
        <v>1670</v>
      </c>
      <c r="I149" s="2">
        <v>32581</v>
      </c>
      <c r="J149" t="s">
        <v>1648</v>
      </c>
      <c r="K149">
        <v>1</v>
      </c>
      <c r="L149" t="s">
        <v>1649</v>
      </c>
      <c r="M149" t="s">
        <v>1661</v>
      </c>
      <c r="N149" t="s">
        <v>2342</v>
      </c>
      <c r="O149" t="s">
        <v>2802</v>
      </c>
      <c r="P149" t="s">
        <v>2803</v>
      </c>
      <c r="Q149" t="s">
        <v>2804</v>
      </c>
      <c r="R149" t="s">
        <v>2805</v>
      </c>
      <c r="S149" t="s">
        <v>2806</v>
      </c>
      <c r="T149" t="s">
        <v>2807</v>
      </c>
    </row>
    <row r="150" spans="1:20">
      <c r="A150">
        <v>149</v>
      </c>
      <c r="B150" t="s">
        <v>875</v>
      </c>
      <c r="C150" s="1">
        <v>83086324</v>
      </c>
      <c r="D150" t="s">
        <v>5</v>
      </c>
      <c r="E150" t="s">
        <v>1657</v>
      </c>
      <c r="F150" t="s">
        <v>2808</v>
      </c>
      <c r="G150">
        <v>39498</v>
      </c>
      <c r="H150" t="s">
        <v>1670</v>
      </c>
      <c r="I150" s="2">
        <v>31265</v>
      </c>
      <c r="J150" t="s">
        <v>1962</v>
      </c>
      <c r="K150">
        <v>3</v>
      </c>
      <c r="L150" t="s">
        <v>1649</v>
      </c>
      <c r="M150" t="s">
        <v>1637</v>
      </c>
      <c r="N150" t="s">
        <v>1671</v>
      </c>
      <c r="O150" t="s">
        <v>2809</v>
      </c>
      <c r="P150" t="s">
        <v>2810</v>
      </c>
      <c r="Q150" t="s">
        <v>2811</v>
      </c>
      <c r="R150" t="s">
        <v>2812</v>
      </c>
      <c r="S150" t="s">
        <v>2813</v>
      </c>
      <c r="T150" t="s">
        <v>2814</v>
      </c>
    </row>
    <row r="151" spans="1:20">
      <c r="A151">
        <v>150</v>
      </c>
      <c r="B151" t="s">
        <v>876</v>
      </c>
      <c r="C151" s="1">
        <v>145334</v>
      </c>
      <c r="D151" t="s">
        <v>5</v>
      </c>
      <c r="E151" t="s">
        <v>1365</v>
      </c>
      <c r="F151" t="s">
        <v>2815</v>
      </c>
      <c r="G151">
        <v>41925</v>
      </c>
      <c r="H151" t="s">
        <v>2816</v>
      </c>
      <c r="I151" s="2">
        <v>35069</v>
      </c>
      <c r="J151" t="s">
        <v>1648</v>
      </c>
      <c r="K151">
        <v>1</v>
      </c>
      <c r="L151" t="s">
        <v>1649</v>
      </c>
      <c r="M151" t="s">
        <v>1593</v>
      </c>
      <c r="N151" t="s">
        <v>1739</v>
      </c>
      <c r="O151" t="s">
        <v>2817</v>
      </c>
      <c r="P151" t="s">
        <v>2818</v>
      </c>
      <c r="Q151" t="s">
        <v>2819</v>
      </c>
      <c r="R151" t="s">
        <v>2820</v>
      </c>
      <c r="S151" t="s">
        <v>2821</v>
      </c>
      <c r="T151" t="s">
        <v>2822</v>
      </c>
    </row>
    <row r="152" spans="1:20">
      <c r="A152">
        <v>151</v>
      </c>
      <c r="B152" t="s">
        <v>877</v>
      </c>
      <c r="C152" s="1">
        <v>154599</v>
      </c>
      <c r="D152" t="s">
        <v>7</v>
      </c>
      <c r="E152" t="s">
        <v>1365</v>
      </c>
      <c r="F152" t="s">
        <v>2823</v>
      </c>
      <c r="G152">
        <v>42328</v>
      </c>
      <c r="H152" t="s">
        <v>1764</v>
      </c>
      <c r="I152" s="2">
        <v>31606</v>
      </c>
      <c r="J152" t="s">
        <v>1648</v>
      </c>
      <c r="K152">
        <v>3</v>
      </c>
      <c r="L152" t="s">
        <v>1649</v>
      </c>
      <c r="M152" t="s">
        <v>1661</v>
      </c>
      <c r="N152" t="s">
        <v>2064</v>
      </c>
      <c r="O152" t="s">
        <v>2824</v>
      </c>
      <c r="P152" t="s">
        <v>2825</v>
      </c>
      <c r="Q152" t="s">
        <v>2826</v>
      </c>
      <c r="R152" t="s">
        <v>2827</v>
      </c>
      <c r="S152" t="s">
        <v>2828</v>
      </c>
      <c r="T152" t="s">
        <v>2829</v>
      </c>
    </row>
    <row r="153" spans="1:20">
      <c r="A153">
        <v>152</v>
      </c>
      <c r="B153" t="s">
        <v>878</v>
      </c>
      <c r="C153" s="1">
        <v>142393</v>
      </c>
      <c r="D153" t="s">
        <v>8</v>
      </c>
      <c r="E153" t="s">
        <v>1657</v>
      </c>
      <c r="F153" t="s">
        <v>2830</v>
      </c>
      <c r="G153">
        <v>45406</v>
      </c>
      <c r="H153" t="s">
        <v>2831</v>
      </c>
      <c r="I153" s="2">
        <v>34947</v>
      </c>
      <c r="J153" t="s">
        <v>1648</v>
      </c>
      <c r="K153">
        <v>3</v>
      </c>
      <c r="L153" t="s">
        <v>1649</v>
      </c>
      <c r="M153" t="s">
        <v>1661</v>
      </c>
      <c r="N153" t="s">
        <v>2064</v>
      </c>
      <c r="O153" t="s">
        <v>2832</v>
      </c>
      <c r="P153" t="s">
        <v>2833</v>
      </c>
      <c r="Q153" t="s">
        <v>2834</v>
      </c>
      <c r="R153" t="s">
        <v>2835</v>
      </c>
      <c r="S153" t="s">
        <v>2836</v>
      </c>
      <c r="T153" t="s">
        <v>2837</v>
      </c>
    </row>
    <row r="154" spans="1:20">
      <c r="A154">
        <v>153</v>
      </c>
      <c r="B154" t="s">
        <v>879</v>
      </c>
      <c r="C154" s="1">
        <v>143965</v>
      </c>
      <c r="D154" t="s">
        <v>15</v>
      </c>
      <c r="E154" t="s">
        <v>1645</v>
      </c>
      <c r="F154" t="s">
        <v>2838</v>
      </c>
      <c r="G154">
        <v>41836</v>
      </c>
      <c r="H154" t="s">
        <v>2839</v>
      </c>
      <c r="I154" s="2">
        <v>32879</v>
      </c>
      <c r="J154" t="s">
        <v>1648</v>
      </c>
      <c r="K154">
        <v>2</v>
      </c>
      <c r="L154" t="s">
        <v>1649</v>
      </c>
      <c r="M154" t="s">
        <v>1661</v>
      </c>
      <c r="N154" t="s">
        <v>2046</v>
      </c>
      <c r="O154" t="s">
        <v>2840</v>
      </c>
      <c r="P154" t="s">
        <v>2841</v>
      </c>
      <c r="Q154" t="s">
        <v>2842</v>
      </c>
      <c r="R154" t="s">
        <v>2843</v>
      </c>
      <c r="S154" t="s">
        <v>2844</v>
      </c>
      <c r="T154" t="s">
        <v>2845</v>
      </c>
    </row>
    <row r="155" spans="1:20">
      <c r="A155">
        <v>154</v>
      </c>
      <c r="B155" t="s">
        <v>242</v>
      </c>
      <c r="C155" s="1">
        <v>84087034</v>
      </c>
      <c r="D155" t="s">
        <v>4</v>
      </c>
      <c r="E155" t="s">
        <v>1657</v>
      </c>
      <c r="F155" t="s">
        <v>2846</v>
      </c>
      <c r="G155">
        <v>39610</v>
      </c>
      <c r="H155" t="s">
        <v>2273</v>
      </c>
      <c r="I155" s="2">
        <v>31683</v>
      </c>
      <c r="J155" t="s">
        <v>1648</v>
      </c>
      <c r="K155">
        <v>1</v>
      </c>
      <c r="L155" t="s">
        <v>1649</v>
      </c>
      <c r="M155" t="s">
        <v>1661</v>
      </c>
      <c r="N155" t="s">
        <v>1739</v>
      </c>
      <c r="O155" t="s">
        <v>2847</v>
      </c>
      <c r="P155" t="s">
        <v>2848</v>
      </c>
      <c r="Q155" t="s">
        <v>2849</v>
      </c>
      <c r="R155" t="s">
        <v>2850</v>
      </c>
      <c r="S155" t="s">
        <v>2851</v>
      </c>
      <c r="T155" t="s">
        <v>2852</v>
      </c>
    </row>
    <row r="156" spans="1:20">
      <c r="A156">
        <v>155</v>
      </c>
      <c r="B156" t="s">
        <v>880</v>
      </c>
      <c r="C156" s="1">
        <v>221923</v>
      </c>
      <c r="D156" t="s">
        <v>5</v>
      </c>
      <c r="E156" t="s">
        <v>1657</v>
      </c>
      <c r="F156" t="s">
        <v>2853</v>
      </c>
      <c r="G156">
        <v>44746</v>
      </c>
      <c r="H156" t="s">
        <v>1738</v>
      </c>
      <c r="I156" s="2">
        <v>36724</v>
      </c>
      <c r="J156" t="s">
        <v>1648</v>
      </c>
      <c r="K156">
        <v>1</v>
      </c>
      <c r="L156" t="s">
        <v>1649</v>
      </c>
      <c r="M156" t="s">
        <v>1661</v>
      </c>
      <c r="N156" t="s">
        <v>2854</v>
      </c>
      <c r="O156" t="s">
        <v>2855</v>
      </c>
      <c r="P156" t="s">
        <v>2856</v>
      </c>
      <c r="Q156" t="s">
        <v>2857</v>
      </c>
      <c r="R156" t="s">
        <v>2858</v>
      </c>
      <c r="S156" t="s">
        <v>2859</v>
      </c>
      <c r="T156" t="s">
        <v>2860</v>
      </c>
    </row>
    <row r="157" spans="1:20">
      <c r="A157">
        <v>156</v>
      </c>
      <c r="B157" t="s">
        <v>881</v>
      </c>
      <c r="C157" s="1">
        <v>160829</v>
      </c>
      <c r="D157" t="s">
        <v>2225</v>
      </c>
      <c r="E157" t="s">
        <v>1657</v>
      </c>
      <c r="F157" t="s">
        <v>2861</v>
      </c>
      <c r="G157">
        <v>42450</v>
      </c>
      <c r="H157" t="s">
        <v>2225</v>
      </c>
      <c r="I157" s="2">
        <v>32489</v>
      </c>
      <c r="J157" t="s">
        <v>1962</v>
      </c>
      <c r="K157">
        <v>0</v>
      </c>
      <c r="L157" t="s">
        <v>1649</v>
      </c>
      <c r="M157" t="s">
        <v>1661</v>
      </c>
      <c r="N157" t="s">
        <v>2862</v>
      </c>
      <c r="O157" t="s">
        <v>2863</v>
      </c>
      <c r="P157" t="s">
        <v>2864</v>
      </c>
      <c r="Q157" t="s">
        <v>2865</v>
      </c>
      <c r="R157" t="s">
        <v>2866</v>
      </c>
      <c r="S157" t="s">
        <v>2867</v>
      </c>
      <c r="T157" t="s">
        <v>2868</v>
      </c>
    </row>
    <row r="158" spans="1:20">
      <c r="A158">
        <v>157</v>
      </c>
      <c r="B158" t="s">
        <v>492</v>
      </c>
      <c r="C158" s="1">
        <v>83102749</v>
      </c>
      <c r="D158" t="s">
        <v>5</v>
      </c>
      <c r="E158" t="s">
        <v>1657</v>
      </c>
      <c r="F158" t="s">
        <v>2869</v>
      </c>
      <c r="G158">
        <v>40343</v>
      </c>
      <c r="H158" t="s">
        <v>1670</v>
      </c>
      <c r="I158" s="2">
        <v>32671</v>
      </c>
      <c r="J158" t="s">
        <v>1648</v>
      </c>
      <c r="K158">
        <v>3</v>
      </c>
      <c r="L158" t="s">
        <v>1649</v>
      </c>
      <c r="M158" t="s">
        <v>1593</v>
      </c>
      <c r="N158" t="s">
        <v>2870</v>
      </c>
      <c r="O158" t="s">
        <v>2817</v>
      </c>
      <c r="P158" t="s">
        <v>2871</v>
      </c>
      <c r="Q158" t="s">
        <v>2872</v>
      </c>
      <c r="R158" t="s">
        <v>2873</v>
      </c>
      <c r="S158" t="s">
        <v>2874</v>
      </c>
      <c r="T158" t="s">
        <v>2875</v>
      </c>
    </row>
    <row r="159" spans="1:20">
      <c r="A159">
        <v>158</v>
      </c>
      <c r="B159" t="s">
        <v>882</v>
      </c>
      <c r="C159" s="1">
        <v>152597</v>
      </c>
      <c r="D159" t="s">
        <v>5</v>
      </c>
      <c r="E159" t="s">
        <v>1657</v>
      </c>
      <c r="F159" t="s">
        <v>2876</v>
      </c>
      <c r="G159">
        <v>42219</v>
      </c>
      <c r="H159" t="s">
        <v>1670</v>
      </c>
      <c r="I159" s="2">
        <v>29347</v>
      </c>
      <c r="J159" t="s">
        <v>1648</v>
      </c>
      <c r="K159">
        <v>3</v>
      </c>
      <c r="L159" t="s">
        <v>1649</v>
      </c>
      <c r="M159" t="s">
        <v>2549</v>
      </c>
      <c r="N159" t="s">
        <v>2046</v>
      </c>
      <c r="O159" t="s">
        <v>2877</v>
      </c>
      <c r="P159" t="s">
        <v>2878</v>
      </c>
      <c r="Q159" t="s">
        <v>2879</v>
      </c>
      <c r="R159" t="s">
        <v>2880</v>
      </c>
      <c r="S159" t="s">
        <v>2881</v>
      </c>
      <c r="T159" t="s">
        <v>2882</v>
      </c>
    </row>
    <row r="160" spans="1:20">
      <c r="A160">
        <v>159</v>
      </c>
      <c r="B160" t="s">
        <v>883</v>
      </c>
      <c r="C160" s="1">
        <v>83103340</v>
      </c>
      <c r="D160" t="s">
        <v>17</v>
      </c>
      <c r="E160" t="s">
        <v>1657</v>
      </c>
      <c r="F160" t="s">
        <v>2883</v>
      </c>
      <c r="G160">
        <v>40391</v>
      </c>
      <c r="H160" t="s">
        <v>2884</v>
      </c>
      <c r="I160" s="2">
        <v>31714</v>
      </c>
      <c r="J160" t="s">
        <v>1648</v>
      </c>
      <c r="K160" t="s">
        <v>2885</v>
      </c>
      <c r="L160" t="s">
        <v>1649</v>
      </c>
      <c r="M160" t="s">
        <v>1637</v>
      </c>
      <c r="N160" t="s">
        <v>2886</v>
      </c>
      <c r="O160" t="s">
        <v>2887</v>
      </c>
      <c r="P160" t="s">
        <v>2888</v>
      </c>
      <c r="Q160" t="s">
        <v>2889</v>
      </c>
      <c r="R160" t="s">
        <v>2890</v>
      </c>
      <c r="S160" t="s">
        <v>2891</v>
      </c>
      <c r="T160" t="s">
        <v>2892</v>
      </c>
    </row>
    <row r="161" spans="1:20">
      <c r="A161">
        <v>160</v>
      </c>
      <c r="B161" t="s">
        <v>656</v>
      </c>
      <c r="C161" s="1">
        <v>83117649</v>
      </c>
      <c r="D161" t="s">
        <v>12</v>
      </c>
      <c r="E161" t="s">
        <v>1657</v>
      </c>
      <c r="F161" t="s">
        <v>2893</v>
      </c>
      <c r="G161">
        <v>40725</v>
      </c>
      <c r="H161" t="s">
        <v>2894</v>
      </c>
      <c r="I161" s="2">
        <v>40717</v>
      </c>
      <c r="J161" t="s">
        <v>1648</v>
      </c>
      <c r="K161">
        <v>3</v>
      </c>
      <c r="L161" t="s">
        <v>1649</v>
      </c>
      <c r="M161" t="s">
        <v>1637</v>
      </c>
      <c r="N161" t="s">
        <v>1671</v>
      </c>
      <c r="O161" t="s">
        <v>2895</v>
      </c>
      <c r="P161" t="s">
        <v>2896</v>
      </c>
      <c r="Q161" t="s">
        <v>2897</v>
      </c>
      <c r="R161" t="s">
        <v>2898</v>
      </c>
      <c r="S161" t="s">
        <v>2899</v>
      </c>
      <c r="T161" t="s">
        <v>2900</v>
      </c>
    </row>
    <row r="162" spans="1:20">
      <c r="A162">
        <v>161</v>
      </c>
      <c r="B162" t="s">
        <v>884</v>
      </c>
      <c r="C162" s="1">
        <v>83088479</v>
      </c>
      <c r="D162" t="s">
        <v>5</v>
      </c>
      <c r="E162" t="s">
        <v>1365</v>
      </c>
      <c r="F162" t="s">
        <v>2901</v>
      </c>
      <c r="G162">
        <v>39751</v>
      </c>
      <c r="H162" t="s">
        <v>2902</v>
      </c>
      <c r="I162" s="2">
        <v>29407</v>
      </c>
      <c r="J162" t="s">
        <v>1648</v>
      </c>
      <c r="K162">
        <v>3</v>
      </c>
      <c r="L162" t="s">
        <v>1649</v>
      </c>
      <c r="M162" t="s">
        <v>1661</v>
      </c>
      <c r="N162" t="s">
        <v>2064</v>
      </c>
      <c r="O162" t="s">
        <v>2903</v>
      </c>
      <c r="P162" t="s">
        <v>2904</v>
      </c>
      <c r="Q162" t="s">
        <v>2905</v>
      </c>
      <c r="R162" t="s">
        <v>2906</v>
      </c>
      <c r="S162" t="s">
        <v>2907</v>
      </c>
      <c r="T162" t="s">
        <v>2908</v>
      </c>
    </row>
    <row r="163" spans="1:20">
      <c r="A163">
        <v>162</v>
      </c>
      <c r="B163" t="s">
        <v>225</v>
      </c>
      <c r="C163" s="1">
        <v>145976</v>
      </c>
      <c r="D163" t="s">
        <v>2</v>
      </c>
      <c r="E163" t="s">
        <v>1657</v>
      </c>
      <c r="F163" t="s">
        <v>2909</v>
      </c>
      <c r="G163">
        <v>41928</v>
      </c>
      <c r="H163" t="s">
        <v>2910</v>
      </c>
      <c r="I163" s="2">
        <v>32625</v>
      </c>
      <c r="J163" t="s">
        <v>1648</v>
      </c>
      <c r="K163">
        <v>1</v>
      </c>
      <c r="L163" t="s">
        <v>1649</v>
      </c>
      <c r="M163" t="s">
        <v>1637</v>
      </c>
      <c r="N163" t="s">
        <v>1671</v>
      </c>
      <c r="O163" t="s">
        <v>2911</v>
      </c>
      <c r="P163" t="s">
        <v>2912</v>
      </c>
      <c r="Q163" t="s">
        <v>2913</v>
      </c>
      <c r="R163" t="s">
        <v>2914</v>
      </c>
      <c r="S163" t="s">
        <v>2915</v>
      </c>
      <c r="T163" t="s">
        <v>2916</v>
      </c>
    </row>
    <row r="164" spans="1:20">
      <c r="A164">
        <v>163</v>
      </c>
      <c r="B164" t="s">
        <v>601</v>
      </c>
      <c r="C164" s="1">
        <v>183517</v>
      </c>
      <c r="D164" t="s">
        <v>8</v>
      </c>
      <c r="E164" t="s">
        <v>1657</v>
      </c>
      <c r="F164" t="s">
        <v>2917</v>
      </c>
      <c r="G164">
        <v>43389</v>
      </c>
      <c r="H164" t="s">
        <v>2918</v>
      </c>
      <c r="I164" s="2">
        <v>35928</v>
      </c>
      <c r="J164" t="s">
        <v>1635</v>
      </c>
      <c r="L164" t="s">
        <v>1649</v>
      </c>
      <c r="M164" t="s">
        <v>1661</v>
      </c>
      <c r="N164" t="s">
        <v>2919</v>
      </c>
      <c r="O164" t="s">
        <v>2920</v>
      </c>
      <c r="P164" t="s">
        <v>2921</v>
      </c>
      <c r="Q164" t="s">
        <v>2922</v>
      </c>
      <c r="R164" t="s">
        <v>2923</v>
      </c>
      <c r="S164" t="s">
        <v>2924</v>
      </c>
      <c r="T164" t="s">
        <v>2925</v>
      </c>
    </row>
    <row r="165" spans="1:20">
      <c r="A165">
        <v>164</v>
      </c>
      <c r="B165" t="s">
        <v>885</v>
      </c>
      <c r="C165" s="1">
        <v>146112</v>
      </c>
      <c r="D165" t="s">
        <v>2</v>
      </c>
      <c r="E165" t="s">
        <v>1657</v>
      </c>
      <c r="F165" t="s">
        <v>2926</v>
      </c>
      <c r="G165">
        <v>41945</v>
      </c>
      <c r="H165" t="s">
        <v>2927</v>
      </c>
      <c r="I165" s="2">
        <v>33284</v>
      </c>
      <c r="J165" t="s">
        <v>1648</v>
      </c>
      <c r="K165">
        <v>2</v>
      </c>
      <c r="L165" t="s">
        <v>1649</v>
      </c>
      <c r="M165" t="s">
        <v>1661</v>
      </c>
      <c r="N165" t="s">
        <v>1713</v>
      </c>
      <c r="O165" t="s">
        <v>2928</v>
      </c>
      <c r="P165" t="s">
        <v>2929</v>
      </c>
      <c r="Q165" t="s">
        <v>2930</v>
      </c>
      <c r="R165" t="s">
        <v>2931</v>
      </c>
      <c r="S165" t="s">
        <v>2932</v>
      </c>
      <c r="T165" t="s">
        <v>2933</v>
      </c>
    </row>
    <row r="166" spans="1:20">
      <c r="A166">
        <v>165</v>
      </c>
      <c r="B166" t="s">
        <v>886</v>
      </c>
      <c r="C166" s="1">
        <v>83117504</v>
      </c>
      <c r="D166" t="s">
        <v>1754</v>
      </c>
      <c r="E166" t="s">
        <v>1657</v>
      </c>
      <c r="F166" t="s">
        <v>2934</v>
      </c>
      <c r="G166">
        <v>40722</v>
      </c>
      <c r="H166" t="s">
        <v>2935</v>
      </c>
      <c r="I166" s="2">
        <v>33542</v>
      </c>
      <c r="J166" t="s">
        <v>1648</v>
      </c>
      <c r="K166" t="s">
        <v>1679</v>
      </c>
      <c r="L166" t="s">
        <v>1649</v>
      </c>
      <c r="M166" t="s">
        <v>1661</v>
      </c>
      <c r="N166" t="s">
        <v>2936</v>
      </c>
      <c r="O166" t="s">
        <v>2937</v>
      </c>
      <c r="P166" t="s">
        <v>2938</v>
      </c>
      <c r="Q166" t="s">
        <v>2939</v>
      </c>
      <c r="R166" t="s">
        <v>2940</v>
      </c>
      <c r="S166" t="s">
        <v>2941</v>
      </c>
      <c r="T166" t="s">
        <v>2942</v>
      </c>
    </row>
    <row r="167" spans="1:20">
      <c r="A167">
        <v>166</v>
      </c>
      <c r="B167" t="s">
        <v>782</v>
      </c>
      <c r="C167" s="1">
        <v>84123769</v>
      </c>
      <c r="D167" t="s">
        <v>17</v>
      </c>
      <c r="E167" t="s">
        <v>1657</v>
      </c>
      <c r="F167" t="s">
        <v>2943</v>
      </c>
      <c r="G167">
        <v>41167</v>
      </c>
      <c r="H167" t="s">
        <v>1878</v>
      </c>
      <c r="I167" s="2">
        <v>34330</v>
      </c>
      <c r="J167" t="s">
        <v>1648</v>
      </c>
      <c r="K167" t="s">
        <v>2944</v>
      </c>
      <c r="L167" t="s">
        <v>1649</v>
      </c>
      <c r="M167" t="s">
        <v>1637</v>
      </c>
      <c r="N167" t="s">
        <v>1671</v>
      </c>
      <c r="O167" t="s">
        <v>2945</v>
      </c>
      <c r="P167" t="s">
        <v>2946</v>
      </c>
      <c r="Q167" t="s">
        <v>2947</v>
      </c>
      <c r="R167" t="s">
        <v>2948</v>
      </c>
      <c r="S167" t="s">
        <v>2949</v>
      </c>
      <c r="T167" t="s">
        <v>2950</v>
      </c>
    </row>
    <row r="168" spans="1:20">
      <c r="A168">
        <v>167</v>
      </c>
      <c r="B168" t="s">
        <v>466</v>
      </c>
      <c r="C168" s="1">
        <v>143572</v>
      </c>
      <c r="D168" t="s">
        <v>5</v>
      </c>
      <c r="E168" t="s">
        <v>1657</v>
      </c>
      <c r="F168" t="s">
        <v>2951</v>
      </c>
      <c r="G168">
        <v>41835</v>
      </c>
      <c r="H168" t="s">
        <v>1670</v>
      </c>
      <c r="I168" s="2">
        <v>31170</v>
      </c>
      <c r="J168" t="s">
        <v>1962</v>
      </c>
      <c r="K168">
        <v>3</v>
      </c>
      <c r="L168" t="s">
        <v>1649</v>
      </c>
      <c r="M168" t="s">
        <v>1661</v>
      </c>
      <c r="N168" t="s">
        <v>2011</v>
      </c>
      <c r="O168" t="s">
        <v>2952</v>
      </c>
      <c r="P168" t="s">
        <v>2953</v>
      </c>
      <c r="Q168" t="s">
        <v>2954</v>
      </c>
      <c r="R168" t="s">
        <v>2955</v>
      </c>
      <c r="S168" t="s">
        <v>2956</v>
      </c>
      <c r="T168" t="s">
        <v>2957</v>
      </c>
    </row>
    <row r="169" spans="1:20">
      <c r="A169">
        <v>168</v>
      </c>
      <c r="B169" t="s">
        <v>494</v>
      </c>
      <c r="C169" s="1">
        <v>83090015</v>
      </c>
      <c r="D169" t="s">
        <v>5</v>
      </c>
      <c r="E169" t="s">
        <v>1657</v>
      </c>
      <c r="F169" t="s">
        <v>2958</v>
      </c>
      <c r="G169">
        <v>39995</v>
      </c>
      <c r="H169" t="s">
        <v>1670</v>
      </c>
      <c r="I169" s="2">
        <v>31990</v>
      </c>
      <c r="J169" t="s">
        <v>1962</v>
      </c>
      <c r="K169">
        <v>1</v>
      </c>
      <c r="L169" t="s">
        <v>1649</v>
      </c>
      <c r="M169" t="s">
        <v>1661</v>
      </c>
      <c r="N169" t="s">
        <v>2959</v>
      </c>
      <c r="O169" t="s">
        <v>2960</v>
      </c>
      <c r="P169" t="s">
        <v>2961</v>
      </c>
      <c r="Q169" t="s">
        <v>2962</v>
      </c>
      <c r="R169" t="s">
        <v>2963</v>
      </c>
      <c r="S169" t="s">
        <v>2964</v>
      </c>
      <c r="T169" t="s">
        <v>2965</v>
      </c>
    </row>
    <row r="170" spans="1:20">
      <c r="A170">
        <v>169</v>
      </c>
      <c r="B170" t="s">
        <v>887</v>
      </c>
      <c r="C170" s="1">
        <v>145315</v>
      </c>
      <c r="D170" t="s">
        <v>2966</v>
      </c>
      <c r="E170" t="s">
        <v>1645</v>
      </c>
      <c r="F170" t="s">
        <v>2967</v>
      </c>
      <c r="G170">
        <v>41925</v>
      </c>
      <c r="H170" t="s">
        <v>2968</v>
      </c>
      <c r="I170" s="2">
        <v>34029</v>
      </c>
      <c r="J170" t="s">
        <v>1648</v>
      </c>
      <c r="K170">
        <v>2</v>
      </c>
      <c r="L170" t="s">
        <v>1649</v>
      </c>
      <c r="M170" t="s">
        <v>1661</v>
      </c>
      <c r="N170" t="s">
        <v>2969</v>
      </c>
      <c r="O170" t="s">
        <v>2970</v>
      </c>
      <c r="P170" t="s">
        <v>2971</v>
      </c>
      <c r="Q170" t="s">
        <v>2972</v>
      </c>
      <c r="R170" t="s">
        <v>2973</v>
      </c>
      <c r="S170" t="s">
        <v>2974</v>
      </c>
      <c r="T170" t="s">
        <v>2975</v>
      </c>
    </row>
    <row r="171" spans="1:20">
      <c r="A171">
        <v>170</v>
      </c>
      <c r="B171" t="s">
        <v>888</v>
      </c>
      <c r="C171" s="1">
        <v>83103335</v>
      </c>
      <c r="D171" t="s">
        <v>2976</v>
      </c>
      <c r="E171" t="s">
        <v>1657</v>
      </c>
      <c r="F171" t="s">
        <v>2977</v>
      </c>
      <c r="G171">
        <v>40391</v>
      </c>
      <c r="H171" t="s">
        <v>1878</v>
      </c>
      <c r="I171" s="2">
        <v>31933</v>
      </c>
      <c r="J171" t="s">
        <v>1648</v>
      </c>
      <c r="K171" t="s">
        <v>2978</v>
      </c>
      <c r="L171" t="s">
        <v>1649</v>
      </c>
      <c r="M171" t="s">
        <v>1637</v>
      </c>
      <c r="N171" t="s">
        <v>1671</v>
      </c>
      <c r="O171" t="s">
        <v>2979</v>
      </c>
      <c r="P171" t="s">
        <v>2980</v>
      </c>
      <c r="Q171" t="s">
        <v>2981</v>
      </c>
      <c r="R171" t="s">
        <v>2982</v>
      </c>
      <c r="S171" t="s">
        <v>2983</v>
      </c>
      <c r="T171" t="s">
        <v>2984</v>
      </c>
    </row>
    <row r="172" spans="1:20">
      <c r="A172">
        <v>171</v>
      </c>
      <c r="B172" t="s">
        <v>310</v>
      </c>
      <c r="C172" s="1">
        <v>135048</v>
      </c>
      <c r="D172" t="s">
        <v>5</v>
      </c>
      <c r="E172" t="s">
        <v>1645</v>
      </c>
      <c r="F172" t="s">
        <v>2985</v>
      </c>
      <c r="G172">
        <v>41575</v>
      </c>
      <c r="H172" t="s">
        <v>1670</v>
      </c>
      <c r="I172" s="2">
        <v>35014</v>
      </c>
      <c r="J172" t="s">
        <v>1648</v>
      </c>
      <c r="K172">
        <v>2</v>
      </c>
      <c r="L172" t="s">
        <v>1649</v>
      </c>
      <c r="M172" t="s">
        <v>1661</v>
      </c>
      <c r="N172" t="s">
        <v>1996</v>
      </c>
      <c r="O172" t="s">
        <v>2986</v>
      </c>
      <c r="P172" t="s">
        <v>2987</v>
      </c>
      <c r="Q172" t="s">
        <v>2988</v>
      </c>
      <c r="R172" t="s">
        <v>2989</v>
      </c>
      <c r="S172" t="s">
        <v>2990</v>
      </c>
      <c r="T172" t="s">
        <v>2991</v>
      </c>
    </row>
    <row r="173" spans="1:20">
      <c r="A173">
        <v>172</v>
      </c>
      <c r="B173" t="s">
        <v>805</v>
      </c>
      <c r="C173" s="1">
        <v>83119865</v>
      </c>
      <c r="D173" t="s">
        <v>2992</v>
      </c>
      <c r="E173" t="s">
        <v>1657</v>
      </c>
      <c r="F173" t="s">
        <v>2993</v>
      </c>
      <c r="G173">
        <v>40884</v>
      </c>
      <c r="H173" t="s">
        <v>2994</v>
      </c>
      <c r="I173" s="2">
        <v>32900</v>
      </c>
      <c r="J173" t="s">
        <v>1648</v>
      </c>
      <c r="K173" t="s">
        <v>2995</v>
      </c>
      <c r="L173" t="s">
        <v>1649</v>
      </c>
      <c r="M173" t="s">
        <v>2651</v>
      </c>
      <c r="N173" t="s">
        <v>1671</v>
      </c>
      <c r="O173" t="s">
        <v>2996</v>
      </c>
      <c r="P173" t="s">
        <v>2997</v>
      </c>
      <c r="Q173" t="s">
        <v>2998</v>
      </c>
      <c r="R173" t="s">
        <v>2999</v>
      </c>
      <c r="S173" t="s">
        <v>3000</v>
      </c>
      <c r="T173" t="s">
        <v>2997</v>
      </c>
    </row>
    <row r="174" spans="1:20">
      <c r="A174">
        <v>173</v>
      </c>
      <c r="B174" t="s">
        <v>290</v>
      </c>
      <c r="C174" s="1">
        <v>83102183</v>
      </c>
      <c r="D174" t="s">
        <v>5</v>
      </c>
      <c r="F174" t="s">
        <v>3001</v>
      </c>
      <c r="G174">
        <v>40283</v>
      </c>
      <c r="H174" t="s">
        <v>1687</v>
      </c>
      <c r="I174" s="2">
        <v>27953</v>
      </c>
      <c r="J174" t="s">
        <v>1648</v>
      </c>
      <c r="K174">
        <v>2</v>
      </c>
      <c r="L174" t="s">
        <v>1649</v>
      </c>
      <c r="M174" t="s">
        <v>1637</v>
      </c>
      <c r="N174" t="s">
        <v>1601</v>
      </c>
      <c r="O174" t="s">
        <v>3002</v>
      </c>
      <c r="P174" t="s">
        <v>3003</v>
      </c>
      <c r="Q174" t="s">
        <v>3004</v>
      </c>
      <c r="R174" t="s">
        <v>3005</v>
      </c>
      <c r="S174" t="s">
        <v>3006</v>
      </c>
      <c r="T174" t="s">
        <v>3007</v>
      </c>
    </row>
    <row r="175" spans="1:20">
      <c r="A175">
        <v>174</v>
      </c>
      <c r="B175" t="s">
        <v>693</v>
      </c>
      <c r="C175" s="1">
        <v>148190</v>
      </c>
      <c r="D175" t="s">
        <v>16</v>
      </c>
      <c r="E175" t="s">
        <v>1657</v>
      </c>
      <c r="F175" t="s">
        <v>3008</v>
      </c>
      <c r="G175">
        <v>42002</v>
      </c>
      <c r="H175" t="s">
        <v>1790</v>
      </c>
      <c r="I175" s="2">
        <v>34445</v>
      </c>
      <c r="J175" t="s">
        <v>1648</v>
      </c>
      <c r="K175">
        <v>2</v>
      </c>
      <c r="L175" t="s">
        <v>1649</v>
      </c>
      <c r="M175" t="s">
        <v>1661</v>
      </c>
      <c r="N175" t="s">
        <v>1972</v>
      </c>
      <c r="O175" t="s">
        <v>2462</v>
      </c>
      <c r="P175" t="s">
        <v>2463</v>
      </c>
      <c r="Q175" t="s">
        <v>2464</v>
      </c>
      <c r="R175" t="s">
        <v>2465</v>
      </c>
      <c r="S175" t="s">
        <v>2466</v>
      </c>
      <c r="T175" t="s">
        <v>2467</v>
      </c>
    </row>
    <row r="176" spans="1:20">
      <c r="A176">
        <v>175</v>
      </c>
      <c r="B176" t="s">
        <v>267</v>
      </c>
      <c r="C176" s="1">
        <v>142243</v>
      </c>
      <c r="D176" t="s">
        <v>2123</v>
      </c>
      <c r="E176" t="s">
        <v>1645</v>
      </c>
      <c r="F176" t="s">
        <v>3009</v>
      </c>
      <c r="G176">
        <v>41752</v>
      </c>
      <c r="H176" t="s">
        <v>1670</v>
      </c>
      <c r="I176" s="2">
        <v>28494</v>
      </c>
      <c r="J176" t="s">
        <v>1648</v>
      </c>
      <c r="K176">
        <v>1</v>
      </c>
      <c r="L176" t="s">
        <v>1649</v>
      </c>
      <c r="M176" t="s">
        <v>2651</v>
      </c>
      <c r="N176" t="s">
        <v>1671</v>
      </c>
      <c r="O176" t="s">
        <v>3010</v>
      </c>
      <c r="P176" t="s">
        <v>3011</v>
      </c>
      <c r="Q176" t="s">
        <v>3012</v>
      </c>
      <c r="R176" t="s">
        <v>3013</v>
      </c>
      <c r="S176" t="s">
        <v>3014</v>
      </c>
      <c r="T176" t="s">
        <v>3015</v>
      </c>
    </row>
    <row r="177" spans="1:20">
      <c r="A177">
        <v>176</v>
      </c>
      <c r="B177" t="s">
        <v>263</v>
      </c>
      <c r="C177" s="1">
        <v>142264</v>
      </c>
      <c r="D177" t="s">
        <v>5</v>
      </c>
      <c r="E177" t="s">
        <v>1645</v>
      </c>
      <c r="F177" t="s">
        <v>3016</v>
      </c>
      <c r="G177">
        <v>41752</v>
      </c>
      <c r="H177" t="s">
        <v>1670</v>
      </c>
      <c r="I177" s="2">
        <v>33510</v>
      </c>
      <c r="J177" t="s">
        <v>1648</v>
      </c>
      <c r="K177">
        <v>3</v>
      </c>
      <c r="L177" t="s">
        <v>1649</v>
      </c>
      <c r="M177" t="s">
        <v>1661</v>
      </c>
      <c r="N177" t="s">
        <v>3017</v>
      </c>
      <c r="O177" t="s">
        <v>3018</v>
      </c>
      <c r="P177" t="s">
        <v>3019</v>
      </c>
      <c r="Q177" t="s">
        <v>3020</v>
      </c>
      <c r="R177" t="s">
        <v>3021</v>
      </c>
      <c r="S177" t="s">
        <v>3022</v>
      </c>
      <c r="T177" t="s">
        <v>3023</v>
      </c>
    </row>
    <row r="178" spans="1:20">
      <c r="A178">
        <v>177</v>
      </c>
      <c r="B178" t="s">
        <v>889</v>
      </c>
      <c r="C178" s="1">
        <v>84088200</v>
      </c>
      <c r="D178" t="s">
        <v>8</v>
      </c>
      <c r="E178" t="s">
        <v>1657</v>
      </c>
      <c r="F178" t="s">
        <v>3024</v>
      </c>
      <c r="G178">
        <v>39721</v>
      </c>
      <c r="H178" t="s">
        <v>1721</v>
      </c>
      <c r="I178" s="2">
        <v>32418</v>
      </c>
      <c r="J178" t="s">
        <v>1648</v>
      </c>
      <c r="L178" t="s">
        <v>1649</v>
      </c>
      <c r="M178" t="s">
        <v>1661</v>
      </c>
      <c r="N178" t="s">
        <v>3025</v>
      </c>
      <c r="O178" t="s">
        <v>3026</v>
      </c>
      <c r="P178" t="s">
        <v>3027</v>
      </c>
      <c r="Q178" t="s">
        <v>3028</v>
      </c>
      <c r="R178" t="s">
        <v>3029</v>
      </c>
      <c r="S178" t="s">
        <v>3030</v>
      </c>
      <c r="T178" t="s">
        <v>3031</v>
      </c>
    </row>
    <row r="179" spans="1:20">
      <c r="A179">
        <v>178</v>
      </c>
      <c r="B179" t="s">
        <v>890</v>
      </c>
      <c r="C179" s="1">
        <v>143585</v>
      </c>
      <c r="D179" t="s">
        <v>5</v>
      </c>
      <c r="E179" t="s">
        <v>1657</v>
      </c>
      <c r="F179" t="s">
        <v>3032</v>
      </c>
      <c r="G179">
        <v>41835</v>
      </c>
      <c r="H179" t="s">
        <v>2605</v>
      </c>
      <c r="I179" s="2">
        <v>33368</v>
      </c>
      <c r="J179" t="s">
        <v>1648</v>
      </c>
      <c r="K179">
        <v>2</v>
      </c>
      <c r="L179" t="s">
        <v>1649</v>
      </c>
      <c r="M179" t="s">
        <v>1637</v>
      </c>
      <c r="N179" t="s">
        <v>1650</v>
      </c>
      <c r="O179" t="s">
        <v>3033</v>
      </c>
      <c r="P179" t="s">
        <v>3034</v>
      </c>
      <c r="Q179" t="s">
        <v>3035</v>
      </c>
      <c r="R179" t="s">
        <v>3036</v>
      </c>
      <c r="S179" t="s">
        <v>3037</v>
      </c>
      <c r="T179" t="s">
        <v>3038</v>
      </c>
    </row>
    <row r="180" spans="1:20">
      <c r="A180">
        <v>179</v>
      </c>
      <c r="B180" t="s">
        <v>265</v>
      </c>
      <c r="C180" s="1">
        <v>145318</v>
      </c>
      <c r="D180" t="s">
        <v>5</v>
      </c>
      <c r="E180" t="s">
        <v>1365</v>
      </c>
      <c r="F180" t="s">
        <v>3039</v>
      </c>
      <c r="G180">
        <v>41956</v>
      </c>
      <c r="H180" t="s">
        <v>1764</v>
      </c>
      <c r="I180" s="2">
        <v>35320</v>
      </c>
      <c r="J180" t="s">
        <v>1648</v>
      </c>
      <c r="K180">
        <v>1</v>
      </c>
      <c r="L180" t="s">
        <v>1649</v>
      </c>
      <c r="M180" t="s">
        <v>1637</v>
      </c>
      <c r="N180" t="s">
        <v>1650</v>
      </c>
      <c r="O180" t="s">
        <v>3040</v>
      </c>
      <c r="P180" t="s">
        <v>3041</v>
      </c>
      <c r="Q180" t="s">
        <v>3042</v>
      </c>
      <c r="R180" t="s">
        <v>3043</v>
      </c>
      <c r="S180" t="s">
        <v>3044</v>
      </c>
      <c r="T180" t="s">
        <v>3045</v>
      </c>
    </row>
    <row r="181" spans="1:20">
      <c r="A181">
        <v>180</v>
      </c>
      <c r="B181" t="s">
        <v>448</v>
      </c>
      <c r="C181" s="1">
        <v>140703</v>
      </c>
      <c r="D181" t="s">
        <v>5</v>
      </c>
      <c r="E181" t="s">
        <v>1657</v>
      </c>
      <c r="F181" t="s">
        <v>3046</v>
      </c>
      <c r="G181">
        <v>41683</v>
      </c>
      <c r="H181" t="s">
        <v>1670</v>
      </c>
      <c r="I181" s="2">
        <v>34672</v>
      </c>
      <c r="J181" t="s">
        <v>1648</v>
      </c>
      <c r="K181">
        <v>3</v>
      </c>
      <c r="L181" t="s">
        <v>1649</v>
      </c>
      <c r="M181" t="s">
        <v>1661</v>
      </c>
      <c r="N181" t="s">
        <v>2342</v>
      </c>
      <c r="O181" t="s">
        <v>3047</v>
      </c>
      <c r="P181" t="s">
        <v>3048</v>
      </c>
      <c r="Q181" t="s">
        <v>3049</v>
      </c>
      <c r="R181" t="s">
        <v>3050</v>
      </c>
      <c r="S181" t="s">
        <v>3051</v>
      </c>
      <c r="T181" t="s">
        <v>3052</v>
      </c>
    </row>
    <row r="182" spans="1:20">
      <c r="A182">
        <v>181</v>
      </c>
      <c r="B182" t="s">
        <v>891</v>
      </c>
      <c r="C182" s="1">
        <v>251635</v>
      </c>
      <c r="D182" t="s">
        <v>17</v>
      </c>
      <c r="E182" t="s">
        <v>1657</v>
      </c>
      <c r="F182" t="s">
        <v>3053</v>
      </c>
      <c r="G182">
        <v>36541</v>
      </c>
      <c r="H182" t="s">
        <v>3054</v>
      </c>
      <c r="I182" s="2"/>
      <c r="J182" t="s">
        <v>1635</v>
      </c>
      <c r="K182">
        <v>0</v>
      </c>
      <c r="L182" t="s">
        <v>1649</v>
      </c>
      <c r="M182" t="s">
        <v>1661</v>
      </c>
      <c r="N182" t="s">
        <v>2282</v>
      </c>
      <c r="O182" t="s">
        <v>3055</v>
      </c>
      <c r="P182" t="s">
        <v>3056</v>
      </c>
      <c r="Q182" t="s">
        <v>3057</v>
      </c>
      <c r="R182" t="s">
        <v>3058</v>
      </c>
      <c r="S182" t="s">
        <v>3059</v>
      </c>
    </row>
    <row r="183" spans="1:20">
      <c r="A183">
        <v>182</v>
      </c>
      <c r="B183" t="s">
        <v>892</v>
      </c>
      <c r="C183" s="1">
        <v>145328</v>
      </c>
      <c r="D183" t="s">
        <v>5</v>
      </c>
      <c r="E183" t="s">
        <v>1645</v>
      </c>
      <c r="F183" t="s">
        <v>3060</v>
      </c>
      <c r="G183">
        <v>41925</v>
      </c>
      <c r="H183" t="s">
        <v>1670</v>
      </c>
      <c r="I183" s="2">
        <v>35151</v>
      </c>
      <c r="J183" t="s">
        <v>1648</v>
      </c>
      <c r="K183">
        <v>1</v>
      </c>
      <c r="L183" t="s">
        <v>1649</v>
      </c>
      <c r="M183" t="s">
        <v>1661</v>
      </c>
      <c r="N183" t="s">
        <v>2046</v>
      </c>
      <c r="O183" t="s">
        <v>3061</v>
      </c>
      <c r="P183" t="s">
        <v>3062</v>
      </c>
      <c r="Q183" t="s">
        <v>3063</v>
      </c>
      <c r="R183" t="s">
        <v>3064</v>
      </c>
      <c r="S183" t="s">
        <v>3065</v>
      </c>
      <c r="T183" t="s">
        <v>3066</v>
      </c>
    </row>
    <row r="184" spans="1:20">
      <c r="A184">
        <v>183</v>
      </c>
      <c r="B184" t="s">
        <v>893</v>
      </c>
      <c r="C184" s="1">
        <v>141580</v>
      </c>
      <c r="D184" t="s">
        <v>17</v>
      </c>
      <c r="E184" t="s">
        <v>1657</v>
      </c>
      <c r="F184" t="s">
        <v>3067</v>
      </c>
      <c r="G184">
        <v>41710</v>
      </c>
      <c r="H184" t="s">
        <v>1878</v>
      </c>
      <c r="I184" s="2">
        <v>35123</v>
      </c>
      <c r="J184" t="s">
        <v>1635</v>
      </c>
      <c r="K184" t="s">
        <v>1660</v>
      </c>
      <c r="L184" t="s">
        <v>1649</v>
      </c>
      <c r="M184" t="s">
        <v>1637</v>
      </c>
      <c r="N184" t="s">
        <v>1650</v>
      </c>
      <c r="O184" t="s">
        <v>3068</v>
      </c>
      <c r="P184" t="s">
        <v>3069</v>
      </c>
      <c r="Q184" t="s">
        <v>3070</v>
      </c>
      <c r="R184" t="s">
        <v>3071</v>
      </c>
      <c r="S184" t="s">
        <v>3072</v>
      </c>
      <c r="T184" t="s">
        <v>3073</v>
      </c>
    </row>
    <row r="185" spans="1:20">
      <c r="A185">
        <v>184</v>
      </c>
      <c r="B185" t="s">
        <v>584</v>
      </c>
      <c r="C185" s="1">
        <v>83123685</v>
      </c>
      <c r="D185" t="s">
        <v>8</v>
      </c>
      <c r="E185" t="s">
        <v>1365</v>
      </c>
      <c r="F185" t="s">
        <v>3074</v>
      </c>
      <c r="G185">
        <v>41183</v>
      </c>
      <c r="H185" t="s">
        <v>1721</v>
      </c>
      <c r="I185" s="2">
        <v>30383</v>
      </c>
      <c r="J185" t="s">
        <v>1648</v>
      </c>
      <c r="K185">
        <v>3</v>
      </c>
      <c r="L185" t="s">
        <v>1649</v>
      </c>
      <c r="M185" t="s">
        <v>1637</v>
      </c>
      <c r="N185" t="s">
        <v>1671</v>
      </c>
      <c r="O185" t="s">
        <v>3075</v>
      </c>
      <c r="P185" t="s">
        <v>3076</v>
      </c>
      <c r="Q185" t="s">
        <v>3077</v>
      </c>
      <c r="R185" t="s">
        <v>3078</v>
      </c>
      <c r="S185" t="s">
        <v>3079</v>
      </c>
      <c r="T185" t="s">
        <v>3080</v>
      </c>
    </row>
    <row r="186" spans="1:20">
      <c r="A186">
        <v>185</v>
      </c>
      <c r="B186" t="s">
        <v>894</v>
      </c>
      <c r="C186" s="1">
        <v>132386</v>
      </c>
      <c r="D186" t="s">
        <v>17</v>
      </c>
      <c r="E186" t="s">
        <v>1657</v>
      </c>
      <c r="F186" t="s">
        <v>3081</v>
      </c>
      <c r="G186">
        <v>41440</v>
      </c>
      <c r="H186" t="s">
        <v>3082</v>
      </c>
      <c r="I186" s="2">
        <v>34611</v>
      </c>
      <c r="J186" t="s">
        <v>1962</v>
      </c>
      <c r="L186" t="s">
        <v>1649</v>
      </c>
      <c r="M186" t="s">
        <v>2217</v>
      </c>
      <c r="N186" t="s">
        <v>3083</v>
      </c>
      <c r="O186" t="s">
        <v>3084</v>
      </c>
      <c r="P186" t="s">
        <v>3085</v>
      </c>
      <c r="Q186" t="s">
        <v>3086</v>
      </c>
      <c r="R186" t="s">
        <v>3087</v>
      </c>
      <c r="S186" t="s">
        <v>3088</v>
      </c>
      <c r="T186" t="s">
        <v>3089</v>
      </c>
    </row>
    <row r="187" spans="1:20">
      <c r="A187">
        <v>186</v>
      </c>
      <c r="B187" t="s">
        <v>895</v>
      </c>
      <c r="C187" s="1">
        <v>145074</v>
      </c>
      <c r="D187" t="s">
        <v>6</v>
      </c>
      <c r="E187" t="s">
        <v>1645</v>
      </c>
      <c r="F187" t="s">
        <v>3090</v>
      </c>
      <c r="G187">
        <v>41913</v>
      </c>
      <c r="H187" t="s">
        <v>3091</v>
      </c>
      <c r="I187" s="2">
        <v>34978</v>
      </c>
      <c r="J187" t="s">
        <v>1648</v>
      </c>
      <c r="K187">
        <v>2</v>
      </c>
      <c r="L187" t="s">
        <v>3092</v>
      </c>
      <c r="M187" t="s">
        <v>1661</v>
      </c>
      <c r="N187" t="s">
        <v>2046</v>
      </c>
      <c r="O187" t="s">
        <v>3093</v>
      </c>
      <c r="P187" t="s">
        <v>3094</v>
      </c>
      <c r="Q187" t="s">
        <v>3095</v>
      </c>
      <c r="R187" t="s">
        <v>3096</v>
      </c>
      <c r="S187" t="s">
        <v>3097</v>
      </c>
      <c r="T187" t="s">
        <v>3098</v>
      </c>
    </row>
    <row r="188" spans="1:20">
      <c r="A188">
        <v>187</v>
      </c>
      <c r="B188" t="s">
        <v>772</v>
      </c>
      <c r="C188" s="1">
        <v>132387</v>
      </c>
      <c r="D188" t="s">
        <v>17</v>
      </c>
      <c r="E188" t="s">
        <v>1657</v>
      </c>
      <c r="F188" t="s">
        <v>3099</v>
      </c>
      <c r="G188">
        <v>41440</v>
      </c>
      <c r="H188" t="s">
        <v>3100</v>
      </c>
      <c r="I188" s="2">
        <v>33706</v>
      </c>
      <c r="J188" t="s">
        <v>1648</v>
      </c>
      <c r="K188" t="s">
        <v>3101</v>
      </c>
      <c r="L188" t="s">
        <v>1649</v>
      </c>
      <c r="M188" t="s">
        <v>1637</v>
      </c>
      <c r="N188" t="s">
        <v>1671</v>
      </c>
      <c r="O188" t="s">
        <v>3102</v>
      </c>
      <c r="P188" t="s">
        <v>3103</v>
      </c>
      <c r="Q188" t="s">
        <v>3104</v>
      </c>
      <c r="R188" t="s">
        <v>3105</v>
      </c>
      <c r="S188" t="s">
        <v>3106</v>
      </c>
      <c r="T188" t="s">
        <v>3107</v>
      </c>
    </row>
    <row r="189" spans="1:20">
      <c r="A189">
        <v>188</v>
      </c>
      <c r="B189" t="s">
        <v>429</v>
      </c>
      <c r="C189" s="1">
        <v>152579</v>
      </c>
      <c r="D189" t="s">
        <v>5</v>
      </c>
      <c r="E189" t="s">
        <v>1365</v>
      </c>
      <c r="F189" t="s">
        <v>3108</v>
      </c>
      <c r="G189">
        <v>42219</v>
      </c>
      <c r="H189" t="s">
        <v>1670</v>
      </c>
      <c r="I189" s="2">
        <v>32196</v>
      </c>
      <c r="J189" t="s">
        <v>1648</v>
      </c>
      <c r="K189">
        <v>1</v>
      </c>
      <c r="L189" t="s">
        <v>1649</v>
      </c>
      <c r="M189" t="s">
        <v>3109</v>
      </c>
      <c r="N189" t="s">
        <v>3110</v>
      </c>
      <c r="O189" t="s">
        <v>3111</v>
      </c>
      <c r="P189" t="s">
        <v>3112</v>
      </c>
      <c r="Q189" t="s">
        <v>3113</v>
      </c>
      <c r="R189" t="s">
        <v>3114</v>
      </c>
      <c r="S189" t="s">
        <v>3115</v>
      </c>
      <c r="T189" t="s">
        <v>3116</v>
      </c>
    </row>
    <row r="190" spans="1:20">
      <c r="A190">
        <v>189</v>
      </c>
      <c r="B190" t="s">
        <v>803</v>
      </c>
      <c r="C190" s="1">
        <v>241562</v>
      </c>
      <c r="D190" t="s">
        <v>5</v>
      </c>
      <c r="E190" t="s">
        <v>1657</v>
      </c>
      <c r="F190" t="s">
        <v>2471</v>
      </c>
      <c r="G190">
        <v>45534</v>
      </c>
      <c r="H190" t="s">
        <v>1670</v>
      </c>
      <c r="I190" s="2">
        <v>45852</v>
      </c>
      <c r="J190" t="s">
        <v>1648</v>
      </c>
      <c r="K190" t="s">
        <v>1660</v>
      </c>
      <c r="L190" t="s">
        <v>1649</v>
      </c>
      <c r="M190" t="s">
        <v>1661</v>
      </c>
      <c r="N190" t="s">
        <v>2011</v>
      </c>
      <c r="O190" t="s">
        <v>3117</v>
      </c>
      <c r="P190" t="s">
        <v>2473</v>
      </c>
      <c r="Q190" t="s">
        <v>2474</v>
      </c>
      <c r="R190" t="s">
        <v>2475</v>
      </c>
      <c r="S190" t="s">
        <v>2476</v>
      </c>
      <c r="T190" t="s">
        <v>2477</v>
      </c>
    </row>
    <row r="191" spans="1:20">
      <c r="A191">
        <v>190</v>
      </c>
      <c r="B191" t="s">
        <v>896</v>
      </c>
      <c r="C191" s="1">
        <v>83123707</v>
      </c>
      <c r="D191" t="s">
        <v>6</v>
      </c>
      <c r="E191" t="s">
        <v>1645</v>
      </c>
      <c r="F191" t="s">
        <v>3118</v>
      </c>
      <c r="G191">
        <v>41183</v>
      </c>
      <c r="H191" t="s">
        <v>3119</v>
      </c>
      <c r="I191" s="2">
        <v>33834</v>
      </c>
      <c r="J191" t="s">
        <v>1648</v>
      </c>
      <c r="K191" t="s">
        <v>1679</v>
      </c>
      <c r="L191" t="s">
        <v>3092</v>
      </c>
      <c r="M191" t="s">
        <v>1661</v>
      </c>
      <c r="N191" t="s">
        <v>3120</v>
      </c>
      <c r="O191" t="s">
        <v>3121</v>
      </c>
      <c r="P191" t="s">
        <v>3122</v>
      </c>
      <c r="Q191" t="s">
        <v>3123</v>
      </c>
      <c r="R191" t="s">
        <v>3124</v>
      </c>
      <c r="S191" t="s">
        <v>3125</v>
      </c>
      <c r="T191" t="s">
        <v>3126</v>
      </c>
    </row>
    <row r="192" spans="1:20">
      <c r="A192">
        <v>191</v>
      </c>
      <c r="B192" t="s">
        <v>897</v>
      </c>
      <c r="C192" s="1">
        <v>84122948</v>
      </c>
      <c r="D192" t="s">
        <v>5</v>
      </c>
      <c r="E192" t="s">
        <v>1657</v>
      </c>
      <c r="F192" t="s">
        <v>3127</v>
      </c>
      <c r="G192">
        <v>41122</v>
      </c>
      <c r="H192" t="s">
        <v>1670</v>
      </c>
      <c r="I192" s="2">
        <v>33699</v>
      </c>
      <c r="J192" t="s">
        <v>1648</v>
      </c>
      <c r="K192">
        <v>2</v>
      </c>
      <c r="L192" t="s">
        <v>1649</v>
      </c>
      <c r="M192" t="s">
        <v>1661</v>
      </c>
      <c r="N192" t="s">
        <v>2342</v>
      </c>
      <c r="O192" t="s">
        <v>3047</v>
      </c>
      <c r="P192" t="s">
        <v>3128</v>
      </c>
      <c r="Q192" t="s">
        <v>3129</v>
      </c>
      <c r="R192" t="s">
        <v>3130</v>
      </c>
      <c r="S192" t="s">
        <v>3131</v>
      </c>
      <c r="T192" t="s">
        <v>3132</v>
      </c>
    </row>
    <row r="193" spans="1:20">
      <c r="A193">
        <v>192</v>
      </c>
      <c r="B193" t="s">
        <v>898</v>
      </c>
      <c r="C193" s="1">
        <v>145359</v>
      </c>
      <c r="D193" t="s">
        <v>5</v>
      </c>
      <c r="E193" t="s">
        <v>1645</v>
      </c>
      <c r="F193" t="s">
        <v>3133</v>
      </c>
      <c r="G193">
        <v>41926</v>
      </c>
      <c r="H193" t="s">
        <v>3134</v>
      </c>
      <c r="I193" s="2">
        <v>32304</v>
      </c>
      <c r="J193" t="s">
        <v>1648</v>
      </c>
      <c r="K193">
        <v>3</v>
      </c>
      <c r="L193" t="s">
        <v>1649</v>
      </c>
      <c r="M193" t="s">
        <v>2073</v>
      </c>
      <c r="N193" t="s">
        <v>3135</v>
      </c>
      <c r="O193" t="s">
        <v>3136</v>
      </c>
      <c r="P193" t="s">
        <v>3137</v>
      </c>
      <c r="R193" t="s">
        <v>3138</v>
      </c>
      <c r="S193" t="s">
        <v>3139</v>
      </c>
      <c r="T193" t="s">
        <v>3140</v>
      </c>
    </row>
    <row r="194" spans="1:20">
      <c r="A194">
        <v>193</v>
      </c>
      <c r="B194" t="s">
        <v>899</v>
      </c>
      <c r="C194" s="1">
        <v>183487</v>
      </c>
      <c r="D194" t="s">
        <v>8</v>
      </c>
      <c r="E194" t="s">
        <v>1657</v>
      </c>
      <c r="F194" t="s">
        <v>3141</v>
      </c>
      <c r="G194">
        <v>43389</v>
      </c>
      <c r="H194" t="s">
        <v>1721</v>
      </c>
      <c r="I194" s="2">
        <v>35032</v>
      </c>
      <c r="J194" t="s">
        <v>1648</v>
      </c>
      <c r="K194">
        <v>1</v>
      </c>
      <c r="L194" t="s">
        <v>1649</v>
      </c>
      <c r="M194" t="s">
        <v>1661</v>
      </c>
      <c r="N194" t="s">
        <v>3142</v>
      </c>
      <c r="O194" t="s">
        <v>3143</v>
      </c>
      <c r="P194" t="s">
        <v>3144</v>
      </c>
      <c r="Q194" t="s">
        <v>3145</v>
      </c>
      <c r="R194" t="s">
        <v>3146</v>
      </c>
      <c r="S194" t="s">
        <v>3147</v>
      </c>
      <c r="T194" t="s">
        <v>3148</v>
      </c>
    </row>
    <row r="195" spans="1:20">
      <c r="A195">
        <v>194</v>
      </c>
      <c r="B195" t="s">
        <v>285</v>
      </c>
      <c r="C195" s="1">
        <v>140296</v>
      </c>
      <c r="D195" t="s">
        <v>5</v>
      </c>
      <c r="E195" t="s">
        <v>1657</v>
      </c>
      <c r="F195" t="s">
        <v>3149</v>
      </c>
      <c r="G195">
        <v>41666</v>
      </c>
      <c r="H195" t="s">
        <v>1670</v>
      </c>
      <c r="I195" s="2">
        <v>34599</v>
      </c>
      <c r="J195" t="s">
        <v>1648</v>
      </c>
      <c r="K195">
        <v>1</v>
      </c>
      <c r="L195" t="s">
        <v>1649</v>
      </c>
      <c r="M195" t="s">
        <v>1637</v>
      </c>
      <c r="N195" t="s">
        <v>1671</v>
      </c>
      <c r="O195" t="s">
        <v>3150</v>
      </c>
      <c r="P195" t="s">
        <v>3151</v>
      </c>
      <c r="Q195" t="s">
        <v>3152</v>
      </c>
      <c r="R195" t="s">
        <v>3153</v>
      </c>
      <c r="S195" t="s">
        <v>3154</v>
      </c>
      <c r="T195" t="s">
        <v>3155</v>
      </c>
    </row>
    <row r="196" spans="1:20">
      <c r="A196">
        <v>195</v>
      </c>
      <c r="B196" t="s">
        <v>806</v>
      </c>
      <c r="C196" s="1">
        <v>145555</v>
      </c>
      <c r="D196" t="s">
        <v>5</v>
      </c>
      <c r="E196" t="s">
        <v>1645</v>
      </c>
      <c r="F196" t="s">
        <v>3156</v>
      </c>
      <c r="G196">
        <v>41925</v>
      </c>
      <c r="H196" t="s">
        <v>1670</v>
      </c>
      <c r="I196" s="2">
        <v>34227</v>
      </c>
      <c r="J196" t="s">
        <v>1648</v>
      </c>
      <c r="K196">
        <v>1</v>
      </c>
      <c r="L196" t="s">
        <v>1649</v>
      </c>
      <c r="M196" t="s">
        <v>1661</v>
      </c>
      <c r="N196" t="s">
        <v>3157</v>
      </c>
      <c r="O196" t="s">
        <v>3158</v>
      </c>
      <c r="P196" t="s">
        <v>3159</v>
      </c>
      <c r="Q196" t="s">
        <v>3160</v>
      </c>
      <c r="R196" t="s">
        <v>3161</v>
      </c>
      <c r="S196" t="s">
        <v>3162</v>
      </c>
      <c r="T196" t="s">
        <v>3163</v>
      </c>
    </row>
    <row r="197" spans="1:20">
      <c r="A197">
        <v>196</v>
      </c>
      <c r="B197" t="s">
        <v>775</v>
      </c>
      <c r="C197" s="1">
        <v>141583</v>
      </c>
      <c r="D197" t="s">
        <v>17</v>
      </c>
      <c r="E197" t="s">
        <v>1657</v>
      </c>
      <c r="F197" t="s">
        <v>3164</v>
      </c>
      <c r="G197">
        <v>41710</v>
      </c>
      <c r="H197" t="s">
        <v>1878</v>
      </c>
      <c r="I197" s="2">
        <v>34308</v>
      </c>
      <c r="J197" t="s">
        <v>1648</v>
      </c>
      <c r="K197">
        <v>2</v>
      </c>
      <c r="L197" t="s">
        <v>1649</v>
      </c>
      <c r="M197" t="s">
        <v>1637</v>
      </c>
      <c r="N197" t="s">
        <v>1671</v>
      </c>
      <c r="O197" t="s">
        <v>3165</v>
      </c>
      <c r="P197" t="s">
        <v>3166</v>
      </c>
      <c r="Q197" t="s">
        <v>3167</v>
      </c>
      <c r="R197" t="s">
        <v>3168</v>
      </c>
      <c r="S197" t="s">
        <v>3169</v>
      </c>
      <c r="T197" t="s">
        <v>3170</v>
      </c>
    </row>
    <row r="198" spans="1:20">
      <c r="A198">
        <v>197</v>
      </c>
      <c r="B198" t="s">
        <v>392</v>
      </c>
      <c r="C198" s="1">
        <v>83099400</v>
      </c>
      <c r="D198" t="s">
        <v>5</v>
      </c>
      <c r="E198" t="s">
        <v>3171</v>
      </c>
      <c r="F198" t="s">
        <v>3172</v>
      </c>
      <c r="G198">
        <v>45852</v>
      </c>
      <c r="H198" t="s">
        <v>1670</v>
      </c>
      <c r="I198" s="2">
        <v>30469</v>
      </c>
      <c r="J198" t="s">
        <v>1648</v>
      </c>
      <c r="K198">
        <v>2</v>
      </c>
      <c r="L198" t="s">
        <v>1649</v>
      </c>
      <c r="M198" t="s">
        <v>1828</v>
      </c>
      <c r="N198" t="s">
        <v>3173</v>
      </c>
      <c r="O198" t="s">
        <v>3174</v>
      </c>
      <c r="P198" t="s">
        <v>3175</v>
      </c>
      <c r="Q198" t="s">
        <v>3176</v>
      </c>
      <c r="R198" t="s">
        <v>3177</v>
      </c>
      <c r="S198" t="s">
        <v>3178</v>
      </c>
      <c r="T198" t="s">
        <v>3179</v>
      </c>
    </row>
    <row r="199" spans="1:20">
      <c r="A199">
        <v>198</v>
      </c>
      <c r="B199" t="s">
        <v>586</v>
      </c>
      <c r="C199" s="1">
        <v>83123688</v>
      </c>
      <c r="D199" t="s">
        <v>8</v>
      </c>
      <c r="E199" t="s">
        <v>1645</v>
      </c>
      <c r="F199" t="s">
        <v>3180</v>
      </c>
      <c r="G199">
        <v>41172</v>
      </c>
      <c r="H199" t="s">
        <v>3181</v>
      </c>
      <c r="I199" s="2">
        <v>34179</v>
      </c>
      <c r="J199" t="s">
        <v>1648</v>
      </c>
      <c r="K199">
        <v>2</v>
      </c>
      <c r="L199" t="s">
        <v>1649</v>
      </c>
      <c r="M199" t="s">
        <v>1661</v>
      </c>
      <c r="N199" t="s">
        <v>2499</v>
      </c>
      <c r="O199" t="s">
        <v>3182</v>
      </c>
      <c r="P199" t="s">
        <v>3183</v>
      </c>
      <c r="Q199" t="s">
        <v>3184</v>
      </c>
      <c r="R199" t="s">
        <v>3185</v>
      </c>
      <c r="S199" t="s">
        <v>3186</v>
      </c>
      <c r="T199" t="s">
        <v>3187</v>
      </c>
    </row>
    <row r="200" spans="1:20">
      <c r="A200">
        <v>199</v>
      </c>
      <c r="B200" t="s">
        <v>573</v>
      </c>
      <c r="C200" s="1">
        <v>141439</v>
      </c>
      <c r="D200" t="s">
        <v>8</v>
      </c>
      <c r="E200" t="s">
        <v>1645</v>
      </c>
      <c r="F200" t="s">
        <v>3188</v>
      </c>
      <c r="G200">
        <v>41715</v>
      </c>
      <c r="H200" t="s">
        <v>3189</v>
      </c>
      <c r="I200" s="2">
        <v>32379</v>
      </c>
      <c r="J200" t="s">
        <v>1648</v>
      </c>
      <c r="K200" t="s">
        <v>1817</v>
      </c>
      <c r="L200" t="s">
        <v>1649</v>
      </c>
      <c r="M200" t="s">
        <v>2549</v>
      </c>
      <c r="N200" t="s">
        <v>1739</v>
      </c>
      <c r="O200" t="s">
        <v>3190</v>
      </c>
      <c r="P200" t="s">
        <v>3191</v>
      </c>
      <c r="Q200" t="s">
        <v>3192</v>
      </c>
      <c r="R200" t="s">
        <v>3193</v>
      </c>
      <c r="S200" t="s">
        <v>3194</v>
      </c>
      <c r="T200" t="s">
        <v>3195</v>
      </c>
    </row>
    <row r="201" spans="1:20">
      <c r="A201">
        <v>200</v>
      </c>
      <c r="B201" t="s">
        <v>900</v>
      </c>
      <c r="C201" s="1">
        <v>141579</v>
      </c>
      <c r="D201" t="s">
        <v>17</v>
      </c>
      <c r="E201" t="s">
        <v>1657</v>
      </c>
      <c r="F201" t="s">
        <v>3196</v>
      </c>
      <c r="G201">
        <v>41710</v>
      </c>
      <c r="H201" t="s">
        <v>3100</v>
      </c>
      <c r="I201" s="2">
        <v>34189</v>
      </c>
      <c r="J201" t="s">
        <v>1648</v>
      </c>
      <c r="K201" t="s">
        <v>3197</v>
      </c>
      <c r="L201" t="s">
        <v>1649</v>
      </c>
      <c r="M201" t="s">
        <v>1637</v>
      </c>
      <c r="N201" t="s">
        <v>1650</v>
      </c>
      <c r="O201" t="s">
        <v>3198</v>
      </c>
      <c r="P201" t="s">
        <v>3199</v>
      </c>
      <c r="Q201" t="s">
        <v>3200</v>
      </c>
      <c r="R201" t="s">
        <v>3201</v>
      </c>
      <c r="S201" t="s">
        <v>3202</v>
      </c>
      <c r="T201" t="s">
        <v>3203</v>
      </c>
    </row>
    <row r="202" spans="1:20">
      <c r="A202">
        <v>201</v>
      </c>
      <c r="B202" t="s">
        <v>901</v>
      </c>
      <c r="C202" s="1">
        <v>83119339</v>
      </c>
      <c r="D202" t="s">
        <v>9</v>
      </c>
      <c r="E202" t="s">
        <v>1657</v>
      </c>
      <c r="F202" t="s">
        <v>3204</v>
      </c>
      <c r="G202">
        <v>40827</v>
      </c>
      <c r="H202" t="s">
        <v>3205</v>
      </c>
      <c r="I202" s="2">
        <v>33108</v>
      </c>
      <c r="J202" t="s">
        <v>1635</v>
      </c>
      <c r="K202" t="s">
        <v>2387</v>
      </c>
      <c r="L202" t="s">
        <v>1636</v>
      </c>
      <c r="M202" t="s">
        <v>1637</v>
      </c>
      <c r="N202" t="s">
        <v>1671</v>
      </c>
      <c r="O202" t="s">
        <v>3206</v>
      </c>
      <c r="P202" t="s">
        <v>3207</v>
      </c>
      <c r="Q202" t="s">
        <v>3208</v>
      </c>
      <c r="R202" t="s">
        <v>3209</v>
      </c>
      <c r="S202" t="s">
        <v>3210</v>
      </c>
      <c r="T202" t="s">
        <v>3211</v>
      </c>
    </row>
    <row r="203" spans="1:20">
      <c r="A203">
        <v>202</v>
      </c>
      <c r="B203" t="s">
        <v>371</v>
      </c>
      <c r="C203" s="1">
        <v>83063945</v>
      </c>
      <c r="D203" t="s">
        <v>5</v>
      </c>
      <c r="E203" t="s">
        <v>1365</v>
      </c>
      <c r="F203" t="s">
        <v>3212</v>
      </c>
      <c r="G203">
        <v>39000</v>
      </c>
      <c r="H203" t="s">
        <v>3213</v>
      </c>
      <c r="I203" s="2">
        <v>29333</v>
      </c>
      <c r="J203" t="s">
        <v>1648</v>
      </c>
      <c r="K203">
        <v>2</v>
      </c>
      <c r="L203" t="s">
        <v>1649</v>
      </c>
      <c r="M203" t="s">
        <v>2549</v>
      </c>
      <c r="N203" t="s">
        <v>3214</v>
      </c>
      <c r="O203" t="s">
        <v>3215</v>
      </c>
      <c r="P203" t="s">
        <v>3216</v>
      </c>
      <c r="Q203" t="s">
        <v>3217</v>
      </c>
      <c r="R203" t="s">
        <v>3218</v>
      </c>
      <c r="S203" t="s">
        <v>3219</v>
      </c>
      <c r="T203" t="s">
        <v>3220</v>
      </c>
    </row>
    <row r="204" spans="1:20">
      <c r="A204">
        <v>203</v>
      </c>
      <c r="B204" t="s">
        <v>902</v>
      </c>
      <c r="C204" s="1">
        <v>83118004</v>
      </c>
      <c r="D204" t="s">
        <v>17</v>
      </c>
      <c r="E204" t="s">
        <v>1657</v>
      </c>
      <c r="F204" t="s">
        <v>3221</v>
      </c>
      <c r="G204">
        <v>40739</v>
      </c>
      <c r="H204" t="s">
        <v>1878</v>
      </c>
      <c r="I204" s="2">
        <v>32700</v>
      </c>
      <c r="J204" t="s">
        <v>1648</v>
      </c>
      <c r="K204">
        <v>1</v>
      </c>
      <c r="L204" t="s">
        <v>1649</v>
      </c>
      <c r="M204" t="s">
        <v>1661</v>
      </c>
      <c r="N204" t="s">
        <v>3222</v>
      </c>
      <c r="O204" t="s">
        <v>3223</v>
      </c>
      <c r="P204" t="s">
        <v>3224</v>
      </c>
      <c r="Q204" t="s">
        <v>3225</v>
      </c>
      <c r="R204" t="s">
        <v>3226</v>
      </c>
      <c r="S204" t="s">
        <v>3227</v>
      </c>
      <c r="T204" t="s">
        <v>3228</v>
      </c>
    </row>
    <row r="205" spans="1:20">
      <c r="A205">
        <v>204</v>
      </c>
      <c r="B205" t="s">
        <v>903</v>
      </c>
      <c r="C205" s="1">
        <v>83117910</v>
      </c>
      <c r="D205" t="s">
        <v>17</v>
      </c>
      <c r="E205" t="s">
        <v>1657</v>
      </c>
      <c r="F205" t="s">
        <v>3229</v>
      </c>
      <c r="G205">
        <v>26656</v>
      </c>
      <c r="H205" t="s">
        <v>1878</v>
      </c>
      <c r="I205" s="2">
        <v>26656</v>
      </c>
      <c r="J205" t="s">
        <v>1648</v>
      </c>
      <c r="K205">
        <v>3</v>
      </c>
      <c r="L205" t="s">
        <v>1649</v>
      </c>
      <c r="M205" t="s">
        <v>1637</v>
      </c>
      <c r="N205" t="s">
        <v>3230</v>
      </c>
      <c r="O205" t="s">
        <v>3231</v>
      </c>
      <c r="P205" t="s">
        <v>3232</v>
      </c>
      <c r="Q205" t="s">
        <v>3233</v>
      </c>
      <c r="R205" t="s">
        <v>3234</v>
      </c>
      <c r="S205" t="s">
        <v>3235</v>
      </c>
      <c r="T205" t="s">
        <v>3236</v>
      </c>
    </row>
    <row r="206" spans="1:20">
      <c r="A206">
        <v>205</v>
      </c>
      <c r="B206" t="s">
        <v>904</v>
      </c>
      <c r="C206" s="1">
        <v>83103330</v>
      </c>
      <c r="D206" t="s">
        <v>17</v>
      </c>
      <c r="E206" t="s">
        <v>1657</v>
      </c>
      <c r="F206" t="s">
        <v>3237</v>
      </c>
      <c r="G206">
        <v>40391</v>
      </c>
      <c r="H206" t="s">
        <v>3238</v>
      </c>
      <c r="I206" s="2">
        <v>31894</v>
      </c>
      <c r="J206" t="s">
        <v>1962</v>
      </c>
      <c r="L206" t="s">
        <v>1649</v>
      </c>
      <c r="M206" t="s">
        <v>1637</v>
      </c>
      <c r="N206" t="s">
        <v>1650</v>
      </c>
      <c r="O206" t="s">
        <v>3239</v>
      </c>
      <c r="P206" t="s">
        <v>3240</v>
      </c>
      <c r="Q206" t="s">
        <v>3241</v>
      </c>
      <c r="R206" t="s">
        <v>3242</v>
      </c>
      <c r="S206" t="s">
        <v>3243</v>
      </c>
      <c r="T206" t="s">
        <v>3244</v>
      </c>
    </row>
    <row r="207" spans="1:20">
      <c r="A207">
        <v>206</v>
      </c>
      <c r="B207" t="s">
        <v>905</v>
      </c>
      <c r="C207" s="1">
        <v>242414</v>
      </c>
      <c r="D207" t="s">
        <v>12</v>
      </c>
      <c r="E207" t="s">
        <v>1657</v>
      </c>
      <c r="F207" t="s">
        <v>3245</v>
      </c>
      <c r="G207">
        <v>45621</v>
      </c>
      <c r="H207" t="s">
        <v>3246</v>
      </c>
      <c r="I207" s="2">
        <v>38477</v>
      </c>
      <c r="J207" t="s">
        <v>1635</v>
      </c>
      <c r="K207" t="s">
        <v>1660</v>
      </c>
      <c r="L207" t="s">
        <v>1649</v>
      </c>
      <c r="M207" t="s">
        <v>1661</v>
      </c>
      <c r="N207" t="s">
        <v>2011</v>
      </c>
      <c r="O207" t="s">
        <v>3247</v>
      </c>
      <c r="P207" t="s">
        <v>3248</v>
      </c>
      <c r="Q207" t="s">
        <v>3249</v>
      </c>
      <c r="R207" t="s">
        <v>3250</v>
      </c>
      <c r="S207" t="s">
        <v>3251</v>
      </c>
      <c r="T207" t="s">
        <v>3252</v>
      </c>
    </row>
    <row r="208" spans="1:20">
      <c r="A208">
        <v>207</v>
      </c>
      <c r="B208" t="s">
        <v>906</v>
      </c>
      <c r="C208" s="1">
        <v>83119567</v>
      </c>
      <c r="D208" t="s">
        <v>17</v>
      </c>
      <c r="E208" t="s">
        <v>1657</v>
      </c>
      <c r="F208" t="s">
        <v>3253</v>
      </c>
      <c r="G208">
        <v>40848</v>
      </c>
      <c r="H208" t="s">
        <v>1878</v>
      </c>
      <c r="I208" s="2">
        <v>33721</v>
      </c>
      <c r="J208" t="s">
        <v>1648</v>
      </c>
      <c r="K208">
        <v>2</v>
      </c>
      <c r="L208" t="s">
        <v>1649</v>
      </c>
      <c r="M208" t="s">
        <v>1593</v>
      </c>
      <c r="N208" t="s">
        <v>3254</v>
      </c>
      <c r="O208" t="s">
        <v>3255</v>
      </c>
      <c r="P208" t="s">
        <v>3256</v>
      </c>
      <c r="Q208" t="s">
        <v>3257</v>
      </c>
      <c r="R208" t="s">
        <v>3258</v>
      </c>
      <c r="S208" t="s">
        <v>3259</v>
      </c>
      <c r="T208" t="s">
        <v>3260</v>
      </c>
    </row>
    <row r="209" spans="1:20">
      <c r="A209">
        <v>208</v>
      </c>
      <c r="B209" t="s">
        <v>907</v>
      </c>
      <c r="C209" s="1">
        <v>83123708</v>
      </c>
      <c r="D209" t="s">
        <v>6</v>
      </c>
      <c r="E209" t="s">
        <v>1365</v>
      </c>
      <c r="F209" t="s">
        <v>3261</v>
      </c>
      <c r="G209">
        <v>41172</v>
      </c>
      <c r="H209" t="s">
        <v>3262</v>
      </c>
      <c r="I209" s="2">
        <v>33993</v>
      </c>
      <c r="J209" t="s">
        <v>1648</v>
      </c>
      <c r="K209">
        <v>2</v>
      </c>
      <c r="L209" t="s">
        <v>3092</v>
      </c>
      <c r="M209" t="s">
        <v>1661</v>
      </c>
      <c r="N209" t="s">
        <v>3263</v>
      </c>
      <c r="O209" t="s">
        <v>3264</v>
      </c>
      <c r="P209" t="s">
        <v>3265</v>
      </c>
      <c r="Q209" t="s">
        <v>3266</v>
      </c>
      <c r="R209" t="s">
        <v>3267</v>
      </c>
      <c r="S209" t="s">
        <v>3268</v>
      </c>
      <c r="T209" t="s">
        <v>3269</v>
      </c>
    </row>
    <row r="210" spans="1:20">
      <c r="A210">
        <v>209</v>
      </c>
      <c r="B210" t="s">
        <v>715</v>
      </c>
      <c r="C210" s="1">
        <v>83117271</v>
      </c>
      <c r="D210" t="s">
        <v>16</v>
      </c>
      <c r="E210" t="s">
        <v>1657</v>
      </c>
      <c r="F210" t="s">
        <v>3270</v>
      </c>
      <c r="G210">
        <v>40677</v>
      </c>
      <c r="H210" t="s">
        <v>1790</v>
      </c>
      <c r="I210" s="2">
        <v>30919</v>
      </c>
      <c r="J210" t="s">
        <v>1648</v>
      </c>
      <c r="K210">
        <v>2</v>
      </c>
      <c r="L210" t="s">
        <v>1649</v>
      </c>
      <c r="M210" t="s">
        <v>1637</v>
      </c>
      <c r="N210" t="s">
        <v>1671</v>
      </c>
      <c r="O210" t="s">
        <v>3271</v>
      </c>
      <c r="P210" t="s">
        <v>3272</v>
      </c>
      <c r="Q210" t="s">
        <v>3273</v>
      </c>
      <c r="R210" t="s">
        <v>3274</v>
      </c>
      <c r="S210" t="s">
        <v>3275</v>
      </c>
      <c r="T210" t="s">
        <v>3276</v>
      </c>
    </row>
    <row r="211" spans="1:20">
      <c r="A211">
        <v>210</v>
      </c>
      <c r="B211" t="s">
        <v>739</v>
      </c>
      <c r="C211" s="1">
        <v>162498</v>
      </c>
      <c r="D211" t="s">
        <v>16</v>
      </c>
      <c r="E211" t="s">
        <v>1657</v>
      </c>
      <c r="F211" t="s">
        <v>3277</v>
      </c>
      <c r="G211">
        <v>42671</v>
      </c>
      <c r="H211" t="s">
        <v>1925</v>
      </c>
      <c r="I211" s="2">
        <v>33771</v>
      </c>
      <c r="J211" t="s">
        <v>1648</v>
      </c>
      <c r="K211">
        <v>2</v>
      </c>
      <c r="L211" t="s">
        <v>1649</v>
      </c>
      <c r="M211" t="s">
        <v>1637</v>
      </c>
      <c r="N211" t="s">
        <v>1671</v>
      </c>
      <c r="O211" t="s">
        <v>3278</v>
      </c>
      <c r="P211" t="s">
        <v>3279</v>
      </c>
      <c r="Q211" t="s">
        <v>3280</v>
      </c>
      <c r="R211" t="s">
        <v>3281</v>
      </c>
      <c r="S211" t="s">
        <v>3282</v>
      </c>
      <c r="T211" t="s">
        <v>3283</v>
      </c>
    </row>
    <row r="212" spans="1:20">
      <c r="A212">
        <v>211</v>
      </c>
      <c r="B212" t="s">
        <v>707</v>
      </c>
      <c r="C212" s="1">
        <v>162503</v>
      </c>
      <c r="D212" t="s">
        <v>16</v>
      </c>
      <c r="E212" t="s">
        <v>1657</v>
      </c>
      <c r="F212" t="s">
        <v>3284</v>
      </c>
      <c r="G212">
        <v>42671</v>
      </c>
      <c r="H212" t="s">
        <v>1790</v>
      </c>
      <c r="I212" s="2">
        <v>35658</v>
      </c>
      <c r="J212" t="s">
        <v>1648</v>
      </c>
      <c r="K212">
        <v>0</v>
      </c>
      <c r="L212" t="s">
        <v>1649</v>
      </c>
      <c r="M212" t="s">
        <v>1637</v>
      </c>
      <c r="N212" t="s">
        <v>1671</v>
      </c>
      <c r="O212" t="s">
        <v>3285</v>
      </c>
      <c r="P212" t="s">
        <v>3286</v>
      </c>
      <c r="Q212" t="s">
        <v>3287</v>
      </c>
      <c r="R212" t="s">
        <v>3288</v>
      </c>
      <c r="S212" t="s">
        <v>3289</v>
      </c>
      <c r="T212" t="s">
        <v>3290</v>
      </c>
    </row>
    <row r="213" spans="1:20">
      <c r="A213">
        <v>212</v>
      </c>
      <c r="B213" t="s">
        <v>908</v>
      </c>
      <c r="C213" s="1">
        <v>142426</v>
      </c>
      <c r="D213" t="s">
        <v>8</v>
      </c>
      <c r="E213" t="s">
        <v>1657</v>
      </c>
      <c r="F213" t="s">
        <v>3291</v>
      </c>
      <c r="G213">
        <v>41754</v>
      </c>
      <c r="H213" t="s">
        <v>1721</v>
      </c>
      <c r="I213" s="2">
        <v>33924</v>
      </c>
      <c r="J213" t="s">
        <v>1635</v>
      </c>
      <c r="L213" t="s">
        <v>1649</v>
      </c>
      <c r="M213" t="s">
        <v>1661</v>
      </c>
      <c r="N213" t="s">
        <v>2064</v>
      </c>
      <c r="O213" t="s">
        <v>3292</v>
      </c>
      <c r="P213" t="s">
        <v>3293</v>
      </c>
      <c r="Q213" t="s">
        <v>3294</v>
      </c>
      <c r="R213" t="s">
        <v>3295</v>
      </c>
      <c r="S213" t="s">
        <v>3296</v>
      </c>
      <c r="T213" t="s">
        <v>3297</v>
      </c>
    </row>
    <row r="214" spans="1:20">
      <c r="A214">
        <v>213</v>
      </c>
      <c r="B214" t="s">
        <v>909</v>
      </c>
      <c r="C214" s="1">
        <v>133799</v>
      </c>
      <c r="D214" t="s">
        <v>8</v>
      </c>
      <c r="E214" t="s">
        <v>1657</v>
      </c>
      <c r="F214" t="s">
        <v>3298</v>
      </c>
      <c r="G214">
        <v>41519</v>
      </c>
      <c r="H214" t="s">
        <v>2831</v>
      </c>
      <c r="I214" s="2">
        <v>30560</v>
      </c>
      <c r="J214" t="s">
        <v>1648</v>
      </c>
      <c r="K214">
        <v>3</v>
      </c>
      <c r="L214" t="s">
        <v>1636</v>
      </c>
      <c r="M214" t="s">
        <v>2651</v>
      </c>
      <c r="N214" t="s">
        <v>1650</v>
      </c>
      <c r="O214" t="s">
        <v>3299</v>
      </c>
      <c r="P214" t="s">
        <v>3300</v>
      </c>
      <c r="Q214" t="s">
        <v>3301</v>
      </c>
      <c r="R214" t="s">
        <v>3302</v>
      </c>
      <c r="S214" t="s">
        <v>3303</v>
      </c>
      <c r="T214" t="s">
        <v>3304</v>
      </c>
    </row>
    <row r="215" spans="1:20">
      <c r="A215">
        <v>214</v>
      </c>
      <c r="B215" t="s">
        <v>910</v>
      </c>
      <c r="C215" s="1">
        <v>142954</v>
      </c>
      <c r="D215" t="s">
        <v>2</v>
      </c>
      <c r="E215" t="s">
        <v>1657</v>
      </c>
      <c r="F215" t="s">
        <v>3305</v>
      </c>
      <c r="G215">
        <v>41775</v>
      </c>
      <c r="H215" t="s">
        <v>2225</v>
      </c>
      <c r="I215" s="2">
        <v>31498</v>
      </c>
      <c r="J215" t="s">
        <v>1648</v>
      </c>
      <c r="K215">
        <v>2</v>
      </c>
      <c r="L215" t="s">
        <v>1649</v>
      </c>
      <c r="M215" t="s">
        <v>3306</v>
      </c>
      <c r="N215" t="s">
        <v>1671</v>
      </c>
      <c r="O215" t="s">
        <v>3307</v>
      </c>
      <c r="P215" t="s">
        <v>3308</v>
      </c>
      <c r="Q215" t="s">
        <v>3309</v>
      </c>
      <c r="R215" t="s">
        <v>3310</v>
      </c>
      <c r="S215" t="s">
        <v>3311</v>
      </c>
      <c r="T215" t="s">
        <v>3312</v>
      </c>
    </row>
    <row r="216" spans="1:20">
      <c r="A216">
        <v>215</v>
      </c>
      <c r="B216" t="s">
        <v>911</v>
      </c>
      <c r="C216" s="1">
        <v>131864</v>
      </c>
      <c r="D216" t="s">
        <v>12</v>
      </c>
      <c r="E216" t="s">
        <v>1365</v>
      </c>
      <c r="F216" t="s">
        <v>3313</v>
      </c>
      <c r="G216">
        <v>41410</v>
      </c>
      <c r="H216" t="s">
        <v>3314</v>
      </c>
      <c r="I216" s="2">
        <v>33404</v>
      </c>
      <c r="J216" t="s">
        <v>1962</v>
      </c>
      <c r="K216">
        <v>2</v>
      </c>
      <c r="L216" t="s">
        <v>1649</v>
      </c>
      <c r="M216" t="s">
        <v>1818</v>
      </c>
      <c r="N216" t="s">
        <v>3315</v>
      </c>
      <c r="O216" t="s">
        <v>3316</v>
      </c>
      <c r="P216" t="s">
        <v>3317</v>
      </c>
      <c r="Q216" t="s">
        <v>3318</v>
      </c>
      <c r="R216" t="s">
        <v>3319</v>
      </c>
      <c r="S216" t="s">
        <v>3320</v>
      </c>
      <c r="T216" t="s">
        <v>3321</v>
      </c>
    </row>
    <row r="217" spans="1:20">
      <c r="A217">
        <v>216</v>
      </c>
      <c r="B217" t="s">
        <v>112</v>
      </c>
      <c r="C217" s="1">
        <v>83102208</v>
      </c>
      <c r="D217" t="s">
        <v>8</v>
      </c>
      <c r="E217" t="s">
        <v>3322</v>
      </c>
      <c r="F217" t="s">
        <v>3323</v>
      </c>
      <c r="G217">
        <v>40283</v>
      </c>
      <c r="H217" t="s">
        <v>3324</v>
      </c>
      <c r="I217" s="2">
        <v>27789</v>
      </c>
      <c r="J217" t="s">
        <v>1648</v>
      </c>
      <c r="K217">
        <v>1</v>
      </c>
      <c r="L217" t="s">
        <v>1636</v>
      </c>
      <c r="M217" t="s">
        <v>2445</v>
      </c>
      <c r="N217" t="s">
        <v>3325</v>
      </c>
      <c r="O217" t="s">
        <v>3326</v>
      </c>
      <c r="P217" t="s">
        <v>3327</v>
      </c>
      <c r="Q217" t="s">
        <v>3328</v>
      </c>
      <c r="R217" t="s">
        <v>3329</v>
      </c>
      <c r="S217" t="s">
        <v>3330</v>
      </c>
      <c r="T217" t="s">
        <v>3331</v>
      </c>
    </row>
    <row r="218" spans="1:20">
      <c r="A218">
        <v>217</v>
      </c>
      <c r="B218" t="s">
        <v>912</v>
      </c>
      <c r="C218" s="1">
        <v>84122947</v>
      </c>
      <c r="D218" t="s">
        <v>2514</v>
      </c>
      <c r="E218" t="s">
        <v>1657</v>
      </c>
      <c r="F218" t="s">
        <v>3332</v>
      </c>
      <c r="G218">
        <v>41122</v>
      </c>
      <c r="H218" t="s">
        <v>2726</v>
      </c>
      <c r="I218" s="2">
        <v>33123</v>
      </c>
      <c r="J218" t="s">
        <v>1648</v>
      </c>
      <c r="K218">
        <v>1</v>
      </c>
      <c r="L218" t="s">
        <v>1649</v>
      </c>
      <c r="M218" t="s">
        <v>3333</v>
      </c>
      <c r="N218" t="s">
        <v>2490</v>
      </c>
      <c r="O218" t="s">
        <v>3334</v>
      </c>
      <c r="P218" t="s">
        <v>3335</v>
      </c>
      <c r="Q218" t="s">
        <v>3336</v>
      </c>
      <c r="R218" t="s">
        <v>3337</v>
      </c>
      <c r="S218" t="s">
        <v>3338</v>
      </c>
      <c r="T218" t="s">
        <v>3339</v>
      </c>
    </row>
    <row r="219" spans="1:20">
      <c r="A219">
        <v>218</v>
      </c>
      <c r="B219" t="s">
        <v>232</v>
      </c>
      <c r="C219" s="1">
        <v>173162</v>
      </c>
      <c r="D219" t="s">
        <v>2</v>
      </c>
      <c r="E219" t="s">
        <v>1657</v>
      </c>
      <c r="F219" t="s">
        <v>3340</v>
      </c>
      <c r="G219">
        <v>43070</v>
      </c>
      <c r="H219" t="s">
        <v>2</v>
      </c>
      <c r="I219" s="2">
        <v>30177</v>
      </c>
      <c r="J219" t="s">
        <v>1648</v>
      </c>
      <c r="K219">
        <v>3</v>
      </c>
      <c r="L219" t="s">
        <v>1649</v>
      </c>
      <c r="M219" t="s">
        <v>1661</v>
      </c>
      <c r="N219" t="s">
        <v>3341</v>
      </c>
      <c r="O219" t="s">
        <v>3342</v>
      </c>
      <c r="P219" t="s">
        <v>3343</v>
      </c>
      <c r="Q219" t="s">
        <v>3344</v>
      </c>
      <c r="R219" t="s">
        <v>3345</v>
      </c>
      <c r="S219" t="s">
        <v>3346</v>
      </c>
      <c r="T219" t="s">
        <v>3347</v>
      </c>
    </row>
    <row r="220" spans="1:20">
      <c r="A220">
        <v>219</v>
      </c>
      <c r="B220" t="s">
        <v>548</v>
      </c>
      <c r="C220" s="1">
        <v>145341</v>
      </c>
      <c r="D220" t="s">
        <v>7</v>
      </c>
      <c r="E220" t="s">
        <v>1645</v>
      </c>
      <c r="F220" t="s">
        <v>3348</v>
      </c>
      <c r="G220">
        <v>41925</v>
      </c>
      <c r="H220" t="s">
        <v>1754</v>
      </c>
      <c r="I220" s="2">
        <v>29151</v>
      </c>
      <c r="J220" t="s">
        <v>1648</v>
      </c>
      <c r="K220">
        <v>1</v>
      </c>
      <c r="L220" t="s">
        <v>1649</v>
      </c>
      <c r="M220" t="s">
        <v>2073</v>
      </c>
      <c r="N220" t="s">
        <v>3349</v>
      </c>
      <c r="O220" t="s">
        <v>3350</v>
      </c>
      <c r="P220" t="s">
        <v>3351</v>
      </c>
      <c r="Q220" t="s">
        <v>3352</v>
      </c>
      <c r="R220" t="s">
        <v>3353</v>
      </c>
      <c r="S220" t="s">
        <v>3354</v>
      </c>
      <c r="T220" t="s">
        <v>3355</v>
      </c>
    </row>
    <row r="221" spans="1:20">
      <c r="A221">
        <v>220</v>
      </c>
      <c r="B221" t="s">
        <v>605</v>
      </c>
      <c r="C221" s="1">
        <v>183523</v>
      </c>
      <c r="D221" t="s">
        <v>8</v>
      </c>
      <c r="E221" t="s">
        <v>1657</v>
      </c>
      <c r="F221" t="s">
        <v>3356</v>
      </c>
      <c r="G221">
        <v>43389</v>
      </c>
      <c r="H221" t="s">
        <v>3357</v>
      </c>
      <c r="I221" s="2">
        <v>35521</v>
      </c>
      <c r="J221" t="s">
        <v>1648</v>
      </c>
      <c r="K221">
        <v>1</v>
      </c>
      <c r="L221" t="s">
        <v>1636</v>
      </c>
      <c r="M221" t="s">
        <v>1661</v>
      </c>
      <c r="N221" t="s">
        <v>3358</v>
      </c>
      <c r="O221" t="s">
        <v>3359</v>
      </c>
      <c r="P221" t="s">
        <v>3360</v>
      </c>
      <c r="Q221" t="s">
        <v>3361</v>
      </c>
      <c r="R221" t="s">
        <v>3362</v>
      </c>
      <c r="S221" t="s">
        <v>3363</v>
      </c>
      <c r="T221" t="s">
        <v>3364</v>
      </c>
    </row>
    <row r="222" spans="1:20">
      <c r="A222">
        <v>221</v>
      </c>
      <c r="B222" t="s">
        <v>461</v>
      </c>
      <c r="C222" s="1">
        <v>83117954</v>
      </c>
      <c r="D222" t="s">
        <v>5</v>
      </c>
      <c r="E222" t="s">
        <v>1657</v>
      </c>
      <c r="F222" t="s">
        <v>3365</v>
      </c>
      <c r="G222">
        <v>40743</v>
      </c>
      <c r="H222" t="s">
        <v>3366</v>
      </c>
      <c r="I222" s="2">
        <v>29597</v>
      </c>
      <c r="J222" t="s">
        <v>1648</v>
      </c>
      <c r="K222">
        <v>3</v>
      </c>
      <c r="L222" t="s">
        <v>1649</v>
      </c>
      <c r="M222" t="s">
        <v>1637</v>
      </c>
      <c r="N222" t="s">
        <v>1671</v>
      </c>
      <c r="O222" t="s">
        <v>3367</v>
      </c>
      <c r="P222" t="s">
        <v>3368</v>
      </c>
      <c r="Q222" t="s">
        <v>3369</v>
      </c>
      <c r="R222" t="s">
        <v>3370</v>
      </c>
      <c r="S222" t="s">
        <v>3371</v>
      </c>
      <c r="T222" t="s">
        <v>3372</v>
      </c>
    </row>
    <row r="223" spans="1:20">
      <c r="A223">
        <v>222</v>
      </c>
      <c r="B223" t="s">
        <v>788</v>
      </c>
      <c r="C223" s="1">
        <v>84130582</v>
      </c>
      <c r="D223" t="s">
        <v>17</v>
      </c>
      <c r="E223" t="s">
        <v>1657</v>
      </c>
      <c r="F223" t="s">
        <v>3373</v>
      </c>
      <c r="G223">
        <v>41306</v>
      </c>
      <c r="H223" t="s">
        <v>1878</v>
      </c>
      <c r="I223" s="2">
        <v>32657</v>
      </c>
      <c r="J223" t="s">
        <v>1648</v>
      </c>
      <c r="K223">
        <v>2</v>
      </c>
      <c r="L223" t="s">
        <v>1649</v>
      </c>
      <c r="M223" t="s">
        <v>1637</v>
      </c>
      <c r="N223" t="s">
        <v>1671</v>
      </c>
      <c r="O223" t="s">
        <v>3374</v>
      </c>
      <c r="P223" t="s">
        <v>3375</v>
      </c>
      <c r="Q223" t="s">
        <v>3376</v>
      </c>
      <c r="R223" t="s">
        <v>3377</v>
      </c>
      <c r="S223" t="s">
        <v>3378</v>
      </c>
      <c r="T223" t="s">
        <v>3379</v>
      </c>
    </row>
    <row r="224" spans="1:20">
      <c r="A224">
        <v>223</v>
      </c>
      <c r="B224" t="s">
        <v>355</v>
      </c>
      <c r="C224" s="1">
        <v>83040194</v>
      </c>
      <c r="D224" t="s">
        <v>5</v>
      </c>
      <c r="E224" t="s">
        <v>1657</v>
      </c>
      <c r="F224" t="s">
        <v>3380</v>
      </c>
      <c r="G224">
        <v>38141</v>
      </c>
      <c r="H224" t="s">
        <v>1670</v>
      </c>
      <c r="I224" s="2">
        <v>28849</v>
      </c>
      <c r="J224" t="s">
        <v>1648</v>
      </c>
      <c r="K224">
        <v>3</v>
      </c>
      <c r="L224" t="s">
        <v>1649</v>
      </c>
      <c r="M224" t="s">
        <v>1828</v>
      </c>
      <c r="N224" t="s">
        <v>1650</v>
      </c>
      <c r="O224" t="s">
        <v>3381</v>
      </c>
      <c r="P224" t="s">
        <v>3382</v>
      </c>
      <c r="Q224" t="s">
        <v>3383</v>
      </c>
      <c r="R224" t="s">
        <v>3384</v>
      </c>
      <c r="S224" t="s">
        <v>3385</v>
      </c>
      <c r="T224" t="s">
        <v>3386</v>
      </c>
    </row>
    <row r="225" spans="1:20">
      <c r="A225">
        <v>224</v>
      </c>
      <c r="B225" t="s">
        <v>913</v>
      </c>
      <c r="C225" s="1">
        <v>183521</v>
      </c>
      <c r="D225" t="s">
        <v>8</v>
      </c>
      <c r="E225" t="s">
        <v>1657</v>
      </c>
      <c r="F225" t="s">
        <v>3387</v>
      </c>
      <c r="G225">
        <v>43389</v>
      </c>
      <c r="H225" t="s">
        <v>2489</v>
      </c>
      <c r="I225" s="2">
        <v>36532</v>
      </c>
      <c r="J225" t="s">
        <v>1635</v>
      </c>
      <c r="L225" t="s">
        <v>1636</v>
      </c>
      <c r="M225" t="s">
        <v>1755</v>
      </c>
      <c r="N225" t="s">
        <v>2064</v>
      </c>
      <c r="O225" t="s">
        <v>3292</v>
      </c>
      <c r="P225" t="s">
        <v>3388</v>
      </c>
      <c r="Q225" t="s">
        <v>3389</v>
      </c>
      <c r="R225" t="s">
        <v>3390</v>
      </c>
      <c r="S225" t="s">
        <v>3391</v>
      </c>
      <c r="T225" t="s">
        <v>3392</v>
      </c>
    </row>
    <row r="226" spans="1:20">
      <c r="A226">
        <v>225</v>
      </c>
      <c r="B226" t="s">
        <v>805</v>
      </c>
      <c r="C226" s="1">
        <v>83119865</v>
      </c>
      <c r="D226" t="s">
        <v>8</v>
      </c>
      <c r="E226" t="s">
        <v>1657</v>
      </c>
      <c r="F226" t="s">
        <v>2993</v>
      </c>
      <c r="G226">
        <v>40884</v>
      </c>
      <c r="H226" t="s">
        <v>1869</v>
      </c>
      <c r="I226" s="2">
        <v>32900</v>
      </c>
      <c r="J226" t="s">
        <v>1648</v>
      </c>
      <c r="K226" t="s">
        <v>2995</v>
      </c>
      <c r="L226" t="s">
        <v>1649</v>
      </c>
      <c r="M226" t="s">
        <v>1637</v>
      </c>
      <c r="N226" t="s">
        <v>1671</v>
      </c>
      <c r="O226" t="s">
        <v>3393</v>
      </c>
      <c r="P226" t="s">
        <v>2997</v>
      </c>
      <c r="Q226" t="s">
        <v>2998</v>
      </c>
      <c r="R226" t="s">
        <v>2999</v>
      </c>
      <c r="S226" t="s">
        <v>3000</v>
      </c>
      <c r="T226" t="s">
        <v>3394</v>
      </c>
    </row>
    <row r="227" spans="1:20">
      <c r="A227">
        <v>226</v>
      </c>
      <c r="B227" t="s">
        <v>610</v>
      </c>
      <c r="C227" s="1">
        <v>84088184</v>
      </c>
      <c r="D227" t="s">
        <v>8</v>
      </c>
      <c r="E227" t="s">
        <v>1657</v>
      </c>
      <c r="F227" t="s">
        <v>3395</v>
      </c>
      <c r="G227">
        <v>39721</v>
      </c>
      <c r="H227" t="s">
        <v>1721</v>
      </c>
      <c r="I227" s="2">
        <v>28997</v>
      </c>
      <c r="J227" t="s">
        <v>1648</v>
      </c>
      <c r="K227">
        <v>2</v>
      </c>
      <c r="L227" t="s">
        <v>1649</v>
      </c>
      <c r="M227" t="s">
        <v>3396</v>
      </c>
      <c r="N227" t="s">
        <v>1662</v>
      </c>
      <c r="O227" t="s">
        <v>3396</v>
      </c>
      <c r="P227" t="s">
        <v>3397</v>
      </c>
      <c r="Q227" t="s">
        <v>3398</v>
      </c>
      <c r="R227" t="s">
        <v>3399</v>
      </c>
      <c r="S227" t="s">
        <v>3400</v>
      </c>
      <c r="T227" t="s">
        <v>3401</v>
      </c>
    </row>
    <row r="228" spans="1:20">
      <c r="A228">
        <v>227</v>
      </c>
      <c r="B228" t="s">
        <v>914</v>
      </c>
      <c r="C228" s="1">
        <v>83086304</v>
      </c>
      <c r="D228" t="s">
        <v>7</v>
      </c>
      <c r="E228" t="s">
        <v>1645</v>
      </c>
      <c r="F228" t="s">
        <v>3402</v>
      </c>
      <c r="G228">
        <v>39498</v>
      </c>
      <c r="H228" t="s">
        <v>1687</v>
      </c>
      <c r="I228" s="2">
        <v>26501</v>
      </c>
      <c r="J228" t="s">
        <v>1648</v>
      </c>
      <c r="K228">
        <v>2</v>
      </c>
      <c r="L228" t="s">
        <v>1649</v>
      </c>
      <c r="M228" t="s">
        <v>1661</v>
      </c>
      <c r="N228" t="s">
        <v>1844</v>
      </c>
      <c r="O228" t="s">
        <v>3403</v>
      </c>
      <c r="P228" t="s">
        <v>3404</v>
      </c>
      <c r="Q228" t="s">
        <v>3405</v>
      </c>
      <c r="R228" t="s">
        <v>3406</v>
      </c>
      <c r="S228" t="s">
        <v>3407</v>
      </c>
      <c r="T228" t="s">
        <v>3408</v>
      </c>
    </row>
    <row r="229" spans="1:20">
      <c r="A229">
        <v>228</v>
      </c>
      <c r="B229" t="s">
        <v>218</v>
      </c>
      <c r="C229" s="1">
        <v>135733</v>
      </c>
      <c r="D229" t="s">
        <v>1</v>
      </c>
      <c r="E229" t="s">
        <v>1657</v>
      </c>
      <c r="F229" t="s">
        <v>3409</v>
      </c>
      <c r="G229">
        <v>41609</v>
      </c>
      <c r="H229" t="s">
        <v>3410</v>
      </c>
      <c r="I229" s="2">
        <v>28968</v>
      </c>
      <c r="J229" t="s">
        <v>1962</v>
      </c>
      <c r="K229">
        <v>2</v>
      </c>
      <c r="L229" t="s">
        <v>1649</v>
      </c>
      <c r="M229" t="s">
        <v>1637</v>
      </c>
      <c r="N229" t="s">
        <v>1650</v>
      </c>
      <c r="O229" t="s">
        <v>3411</v>
      </c>
      <c r="P229" t="s">
        <v>3412</v>
      </c>
      <c r="Q229" t="s">
        <v>3413</v>
      </c>
      <c r="R229" t="s">
        <v>3414</v>
      </c>
      <c r="S229" t="s">
        <v>3415</v>
      </c>
      <c r="T229" t="s">
        <v>3415</v>
      </c>
    </row>
    <row r="230" spans="1:20">
      <c r="A230">
        <v>229</v>
      </c>
      <c r="B230" t="s">
        <v>317</v>
      </c>
      <c r="C230" s="1">
        <v>152450</v>
      </c>
      <c r="D230" t="s">
        <v>5</v>
      </c>
      <c r="E230" t="s">
        <v>1645</v>
      </c>
      <c r="F230" t="s">
        <v>3416</v>
      </c>
      <c r="G230">
        <v>42219</v>
      </c>
      <c r="H230" t="s">
        <v>1738</v>
      </c>
      <c r="I230" s="2">
        <v>32787</v>
      </c>
      <c r="J230" t="s">
        <v>1648</v>
      </c>
      <c r="K230">
        <v>2</v>
      </c>
      <c r="L230" t="s">
        <v>1649</v>
      </c>
      <c r="M230" t="s">
        <v>1755</v>
      </c>
      <c r="N230" t="s">
        <v>3417</v>
      </c>
      <c r="O230" t="s">
        <v>3418</v>
      </c>
      <c r="P230" t="s">
        <v>3419</v>
      </c>
      <c r="Q230" t="s">
        <v>3420</v>
      </c>
      <c r="R230" t="s">
        <v>3421</v>
      </c>
      <c r="S230" t="s">
        <v>3422</v>
      </c>
      <c r="T230" t="s">
        <v>3423</v>
      </c>
    </row>
    <row r="231" spans="1:20">
      <c r="A231">
        <v>230</v>
      </c>
      <c r="B231" t="s">
        <v>915</v>
      </c>
      <c r="C231" s="1">
        <v>84088209</v>
      </c>
      <c r="D231" t="s">
        <v>8</v>
      </c>
      <c r="E231" t="s">
        <v>1365</v>
      </c>
      <c r="F231" t="s">
        <v>3424</v>
      </c>
      <c r="G231">
        <v>39721</v>
      </c>
      <c r="H231" t="s">
        <v>1721</v>
      </c>
      <c r="I231" s="2">
        <v>29932</v>
      </c>
      <c r="J231" t="s">
        <v>1648</v>
      </c>
      <c r="K231">
        <v>4</v>
      </c>
      <c r="L231" t="s">
        <v>1649</v>
      </c>
      <c r="M231" t="s">
        <v>1661</v>
      </c>
      <c r="N231" t="s">
        <v>3222</v>
      </c>
      <c r="O231" t="s">
        <v>3425</v>
      </c>
      <c r="P231" t="s">
        <v>3426</v>
      </c>
      <c r="Q231" t="s">
        <v>3427</v>
      </c>
      <c r="R231" t="s">
        <v>3428</v>
      </c>
      <c r="S231" t="s">
        <v>3429</v>
      </c>
      <c r="T231" t="s">
        <v>3430</v>
      </c>
    </row>
    <row r="232" spans="1:20">
      <c r="A232">
        <v>231</v>
      </c>
      <c r="B232" t="s">
        <v>401</v>
      </c>
      <c r="C232" s="1">
        <v>83102553</v>
      </c>
      <c r="D232" t="s">
        <v>5</v>
      </c>
      <c r="E232" t="s">
        <v>1657</v>
      </c>
      <c r="F232" t="s">
        <v>3431</v>
      </c>
      <c r="G232">
        <v>40322</v>
      </c>
      <c r="H232" t="s">
        <v>2613</v>
      </c>
      <c r="I232" s="2">
        <v>31611</v>
      </c>
      <c r="J232" t="s">
        <v>1648</v>
      </c>
      <c r="K232">
        <v>2</v>
      </c>
      <c r="L232" t="s">
        <v>1649</v>
      </c>
      <c r="M232" t="s">
        <v>3432</v>
      </c>
      <c r="N232" t="s">
        <v>1671</v>
      </c>
      <c r="O232" t="s">
        <v>3433</v>
      </c>
      <c r="P232" t="s">
        <v>3434</v>
      </c>
      <c r="Q232" t="s">
        <v>3435</v>
      </c>
      <c r="R232" t="s">
        <v>3436</v>
      </c>
      <c r="S232" t="s">
        <v>3437</v>
      </c>
      <c r="T232" t="s">
        <v>3438</v>
      </c>
    </row>
    <row r="233" spans="1:20">
      <c r="A233">
        <v>232</v>
      </c>
      <c r="B233" t="s">
        <v>916</v>
      </c>
      <c r="C233" s="1">
        <v>83122893</v>
      </c>
      <c r="D233" t="s">
        <v>5</v>
      </c>
      <c r="E233" t="s">
        <v>1645</v>
      </c>
      <c r="F233" t="s">
        <v>3439</v>
      </c>
      <c r="G233">
        <v>41108</v>
      </c>
      <c r="H233" t="s">
        <v>1670</v>
      </c>
      <c r="I233" s="2">
        <v>34230</v>
      </c>
      <c r="J233" t="s">
        <v>1648</v>
      </c>
      <c r="K233" t="s">
        <v>3101</v>
      </c>
      <c r="L233" t="s">
        <v>1649</v>
      </c>
      <c r="M233" t="s">
        <v>1661</v>
      </c>
      <c r="N233" t="s">
        <v>3440</v>
      </c>
      <c r="O233" t="s">
        <v>3441</v>
      </c>
      <c r="P233" t="s">
        <v>3442</v>
      </c>
      <c r="Q233" t="s">
        <v>3443</v>
      </c>
      <c r="R233" t="s">
        <v>3444</v>
      </c>
      <c r="S233" t="s">
        <v>3445</v>
      </c>
      <c r="T233" t="s">
        <v>3442</v>
      </c>
    </row>
    <row r="234" spans="1:20">
      <c r="A234">
        <v>233</v>
      </c>
      <c r="B234" t="s">
        <v>917</v>
      </c>
      <c r="C234" s="1">
        <v>84124049</v>
      </c>
      <c r="D234" t="s">
        <v>8</v>
      </c>
      <c r="E234" t="s">
        <v>1657</v>
      </c>
      <c r="F234" t="s">
        <v>3446</v>
      </c>
      <c r="G234">
        <v>40441</v>
      </c>
      <c r="H234" t="s">
        <v>3447</v>
      </c>
      <c r="I234" s="2">
        <v>32374</v>
      </c>
      <c r="J234" t="s">
        <v>1648</v>
      </c>
      <c r="K234">
        <v>1</v>
      </c>
      <c r="L234" t="s">
        <v>1649</v>
      </c>
      <c r="M234" t="s">
        <v>1637</v>
      </c>
      <c r="N234" t="s">
        <v>1650</v>
      </c>
      <c r="O234" t="s">
        <v>3448</v>
      </c>
      <c r="P234" t="s">
        <v>3449</v>
      </c>
      <c r="Q234" t="s">
        <v>3450</v>
      </c>
      <c r="R234" t="s">
        <v>3451</v>
      </c>
      <c r="S234" t="s">
        <v>3452</v>
      </c>
      <c r="T234" t="s">
        <v>3453</v>
      </c>
    </row>
    <row r="235" spans="1:20">
      <c r="A235">
        <v>234</v>
      </c>
      <c r="B235" t="s">
        <v>918</v>
      </c>
      <c r="C235" s="1">
        <v>83124744</v>
      </c>
      <c r="D235" t="s">
        <v>5</v>
      </c>
      <c r="E235" t="s">
        <v>1645</v>
      </c>
      <c r="F235" t="s">
        <v>3454</v>
      </c>
      <c r="G235">
        <v>41255</v>
      </c>
      <c r="H235" t="s">
        <v>1670</v>
      </c>
      <c r="I235" s="2">
        <v>32314</v>
      </c>
      <c r="J235" t="s">
        <v>1648</v>
      </c>
      <c r="K235">
        <v>3</v>
      </c>
      <c r="L235" t="s">
        <v>1649</v>
      </c>
      <c r="M235" t="s">
        <v>1637</v>
      </c>
      <c r="N235" t="s">
        <v>1650</v>
      </c>
      <c r="O235" t="s">
        <v>3455</v>
      </c>
      <c r="P235" t="s">
        <v>3456</v>
      </c>
      <c r="Q235" t="s">
        <v>3457</v>
      </c>
      <c r="R235" t="s">
        <v>3458</v>
      </c>
      <c r="S235" t="s">
        <v>3459</v>
      </c>
      <c r="T235" t="s">
        <v>3460</v>
      </c>
    </row>
    <row r="236" spans="1:20">
      <c r="A236">
        <v>235</v>
      </c>
      <c r="B236" t="s">
        <v>224</v>
      </c>
      <c r="C236" s="1">
        <v>145964</v>
      </c>
      <c r="D236" t="s">
        <v>2</v>
      </c>
      <c r="E236" t="s">
        <v>1657</v>
      </c>
      <c r="F236" t="s">
        <v>3461</v>
      </c>
      <c r="G236">
        <v>41926</v>
      </c>
      <c r="H236" t="s">
        <v>2225</v>
      </c>
      <c r="I236" s="2">
        <v>34696</v>
      </c>
      <c r="J236" t="s">
        <v>1648</v>
      </c>
      <c r="K236">
        <v>2</v>
      </c>
      <c r="L236" t="s">
        <v>1649</v>
      </c>
      <c r="M236" t="s">
        <v>1661</v>
      </c>
      <c r="N236" t="s">
        <v>1782</v>
      </c>
      <c r="O236" t="s">
        <v>3462</v>
      </c>
      <c r="P236" t="s">
        <v>3463</v>
      </c>
      <c r="Q236" t="s">
        <v>3464</v>
      </c>
      <c r="R236" t="s">
        <v>3465</v>
      </c>
      <c r="S236" t="s">
        <v>3466</v>
      </c>
      <c r="T236" t="s">
        <v>3467</v>
      </c>
    </row>
    <row r="237" spans="1:20">
      <c r="A237">
        <v>236</v>
      </c>
      <c r="B237" t="s">
        <v>755</v>
      </c>
      <c r="C237" s="1">
        <v>83123697</v>
      </c>
      <c r="D237" t="s">
        <v>17</v>
      </c>
      <c r="F237" t="s">
        <v>3468</v>
      </c>
      <c r="G237">
        <v>41183</v>
      </c>
      <c r="H237" t="s">
        <v>3469</v>
      </c>
      <c r="I237" s="2">
        <v>31955</v>
      </c>
      <c r="J237" t="s">
        <v>1648</v>
      </c>
      <c r="K237">
        <v>4</v>
      </c>
      <c r="L237" t="s">
        <v>1649</v>
      </c>
      <c r="M237" t="s">
        <v>1661</v>
      </c>
      <c r="N237" t="s">
        <v>1739</v>
      </c>
      <c r="O237" t="s">
        <v>3470</v>
      </c>
      <c r="P237" t="s">
        <v>3471</v>
      </c>
      <c r="Q237" t="s">
        <v>3472</v>
      </c>
      <c r="R237" t="s">
        <v>3473</v>
      </c>
      <c r="S237" t="s">
        <v>3474</v>
      </c>
      <c r="T237" t="s">
        <v>3475</v>
      </c>
    </row>
    <row r="238" spans="1:20">
      <c r="A238">
        <v>237</v>
      </c>
      <c r="B238" t="s">
        <v>450</v>
      </c>
      <c r="C238" s="1">
        <v>84122962</v>
      </c>
      <c r="D238" t="s">
        <v>5</v>
      </c>
      <c r="E238" t="s">
        <v>1657</v>
      </c>
      <c r="F238" t="s">
        <v>3476</v>
      </c>
      <c r="G238">
        <v>41122</v>
      </c>
      <c r="H238" t="s">
        <v>3477</v>
      </c>
      <c r="I238" s="2">
        <v>34167</v>
      </c>
      <c r="J238" t="s">
        <v>1635</v>
      </c>
      <c r="L238" t="s">
        <v>1649</v>
      </c>
      <c r="M238" t="s">
        <v>1661</v>
      </c>
      <c r="N238" t="s">
        <v>1662</v>
      </c>
      <c r="O238" t="s">
        <v>3478</v>
      </c>
      <c r="P238" t="s">
        <v>3479</v>
      </c>
      <c r="Q238" t="s">
        <v>3480</v>
      </c>
      <c r="R238" t="s">
        <v>3481</v>
      </c>
      <c r="S238" t="s">
        <v>3482</v>
      </c>
      <c r="T238" t="s">
        <v>3483</v>
      </c>
    </row>
    <row r="239" spans="1:20">
      <c r="A239">
        <v>238</v>
      </c>
      <c r="B239" t="s">
        <v>743</v>
      </c>
      <c r="C239" s="1">
        <v>84087806</v>
      </c>
      <c r="D239" t="s">
        <v>17</v>
      </c>
      <c r="E239" t="s">
        <v>1365</v>
      </c>
      <c r="F239" t="s">
        <v>3484</v>
      </c>
      <c r="G239">
        <v>39679</v>
      </c>
      <c r="H239" t="s">
        <v>3100</v>
      </c>
      <c r="I239" s="2">
        <v>32796</v>
      </c>
      <c r="J239" t="s">
        <v>1648</v>
      </c>
      <c r="K239">
        <v>2</v>
      </c>
      <c r="L239" t="s">
        <v>1649</v>
      </c>
      <c r="M239" t="s">
        <v>1661</v>
      </c>
      <c r="N239" t="s">
        <v>3485</v>
      </c>
      <c r="O239" t="s">
        <v>3486</v>
      </c>
      <c r="P239" t="s">
        <v>3487</v>
      </c>
      <c r="Q239" t="s">
        <v>3488</v>
      </c>
      <c r="R239" t="s">
        <v>3489</v>
      </c>
      <c r="S239" t="s">
        <v>3490</v>
      </c>
      <c r="T239" t="s">
        <v>3491</v>
      </c>
    </row>
    <row r="240" spans="1:20">
      <c r="A240">
        <v>239</v>
      </c>
      <c r="B240" t="s">
        <v>919</v>
      </c>
      <c r="C240" s="1">
        <v>221925</v>
      </c>
      <c r="D240" t="s">
        <v>5</v>
      </c>
      <c r="E240" t="s">
        <v>1657</v>
      </c>
      <c r="F240" t="s">
        <v>3492</v>
      </c>
      <c r="G240">
        <v>44746</v>
      </c>
      <c r="H240" t="s">
        <v>1670</v>
      </c>
      <c r="I240" s="2">
        <v>36302</v>
      </c>
      <c r="J240" t="s">
        <v>1635</v>
      </c>
      <c r="K240" t="s">
        <v>1660</v>
      </c>
      <c r="L240" t="s">
        <v>1649</v>
      </c>
      <c r="M240" t="s">
        <v>1637</v>
      </c>
      <c r="N240" t="s">
        <v>3493</v>
      </c>
      <c r="O240" t="s">
        <v>3494</v>
      </c>
      <c r="P240" t="s">
        <v>3495</v>
      </c>
      <c r="Q240" t="s">
        <v>3496</v>
      </c>
      <c r="R240" t="s">
        <v>3497</v>
      </c>
      <c r="S240" t="s">
        <v>3498</v>
      </c>
      <c r="T240" t="s">
        <v>3499</v>
      </c>
    </row>
    <row r="241" spans="1:20">
      <c r="A241">
        <v>240</v>
      </c>
      <c r="B241" t="s">
        <v>920</v>
      </c>
      <c r="C241" s="1">
        <v>183507</v>
      </c>
      <c r="D241" t="s">
        <v>8</v>
      </c>
      <c r="E241" t="s">
        <v>1645</v>
      </c>
      <c r="F241" t="s">
        <v>3500</v>
      </c>
      <c r="G241">
        <v>43389</v>
      </c>
      <c r="H241" t="s">
        <v>3501</v>
      </c>
      <c r="I241" s="2">
        <v>36114</v>
      </c>
      <c r="J241" t="s">
        <v>1648</v>
      </c>
      <c r="K241" t="s">
        <v>3502</v>
      </c>
      <c r="L241" t="s">
        <v>1649</v>
      </c>
      <c r="M241" t="s">
        <v>1661</v>
      </c>
      <c r="N241" t="s">
        <v>3503</v>
      </c>
      <c r="O241" t="s">
        <v>3504</v>
      </c>
      <c r="P241" t="s">
        <v>3505</v>
      </c>
      <c r="Q241" t="s">
        <v>3506</v>
      </c>
      <c r="R241" t="s">
        <v>3507</v>
      </c>
      <c r="S241" t="s">
        <v>3508</v>
      </c>
      <c r="T241" t="s">
        <v>3509</v>
      </c>
    </row>
    <row r="242" spans="1:20">
      <c r="A242">
        <v>241</v>
      </c>
      <c r="B242" t="s">
        <v>307</v>
      </c>
      <c r="C242" s="1">
        <v>83122892</v>
      </c>
      <c r="D242" t="s">
        <v>5</v>
      </c>
      <c r="E242" t="s">
        <v>1645</v>
      </c>
      <c r="F242" t="s">
        <v>3510</v>
      </c>
      <c r="G242">
        <v>41108</v>
      </c>
      <c r="H242" t="s">
        <v>3511</v>
      </c>
      <c r="I242" s="2">
        <v>28875</v>
      </c>
      <c r="J242" t="s">
        <v>1648</v>
      </c>
      <c r="K242">
        <v>2</v>
      </c>
      <c r="L242" t="s">
        <v>1649</v>
      </c>
      <c r="M242" t="s">
        <v>1637</v>
      </c>
      <c r="N242" t="s">
        <v>1671</v>
      </c>
      <c r="O242" t="s">
        <v>3512</v>
      </c>
      <c r="P242" t="s">
        <v>3513</v>
      </c>
      <c r="Q242" t="s">
        <v>3514</v>
      </c>
      <c r="R242" t="s">
        <v>3515</v>
      </c>
      <c r="S242" t="s">
        <v>3516</v>
      </c>
      <c r="T242" t="s">
        <v>3517</v>
      </c>
    </row>
    <row r="243" spans="1:20">
      <c r="A243">
        <v>242</v>
      </c>
      <c r="B243" t="s">
        <v>921</v>
      </c>
      <c r="C243" s="1">
        <v>83123160</v>
      </c>
      <c r="D243" t="s">
        <v>16</v>
      </c>
      <c r="E243" t="s">
        <v>1365</v>
      </c>
      <c r="F243" t="s">
        <v>3518</v>
      </c>
      <c r="G243">
        <v>41122</v>
      </c>
      <c r="H243" t="s">
        <v>1790</v>
      </c>
      <c r="I243" s="2">
        <v>33805</v>
      </c>
      <c r="J243" t="s">
        <v>1648</v>
      </c>
      <c r="K243">
        <v>1</v>
      </c>
      <c r="L243" t="s">
        <v>1649</v>
      </c>
      <c r="M243" t="s">
        <v>1661</v>
      </c>
      <c r="N243" t="s">
        <v>3519</v>
      </c>
      <c r="O243" t="s">
        <v>3520</v>
      </c>
      <c r="P243" t="s">
        <v>3521</v>
      </c>
      <c r="Q243" t="s">
        <v>3522</v>
      </c>
      <c r="R243" t="s">
        <v>3523</v>
      </c>
      <c r="S243" t="s">
        <v>3524</v>
      </c>
      <c r="T243" t="s">
        <v>3525</v>
      </c>
    </row>
    <row r="244" spans="1:20">
      <c r="A244">
        <v>243</v>
      </c>
      <c r="B244" t="s">
        <v>922</v>
      </c>
      <c r="C244" s="1">
        <v>142875</v>
      </c>
      <c r="D244" t="s">
        <v>8</v>
      </c>
      <c r="E244" t="s">
        <v>1645</v>
      </c>
      <c r="F244" t="s">
        <v>3526</v>
      </c>
      <c r="G244">
        <v>41760</v>
      </c>
      <c r="H244" t="s">
        <v>1869</v>
      </c>
      <c r="I244" s="2">
        <v>34487</v>
      </c>
      <c r="J244" t="s">
        <v>1648</v>
      </c>
      <c r="K244">
        <v>0</v>
      </c>
      <c r="L244" t="s">
        <v>1649</v>
      </c>
      <c r="M244" t="s">
        <v>1661</v>
      </c>
      <c r="N244" t="s">
        <v>1870</v>
      </c>
      <c r="O244" t="s">
        <v>3527</v>
      </c>
      <c r="P244" t="s">
        <v>3528</v>
      </c>
      <c r="Q244" t="s">
        <v>3529</v>
      </c>
      <c r="R244" t="s">
        <v>3530</v>
      </c>
      <c r="S244" t="s">
        <v>3531</v>
      </c>
      <c r="T244" t="s">
        <v>3532</v>
      </c>
    </row>
    <row r="245" spans="1:20">
      <c r="A245">
        <v>244</v>
      </c>
      <c r="B245" t="s">
        <v>682</v>
      </c>
      <c r="C245" s="1">
        <v>83104426</v>
      </c>
      <c r="D245" t="s">
        <v>16</v>
      </c>
      <c r="E245" t="s">
        <v>1365</v>
      </c>
      <c r="F245" t="s">
        <v>3533</v>
      </c>
      <c r="G245">
        <v>40479</v>
      </c>
      <c r="H245" t="s">
        <v>3534</v>
      </c>
      <c r="I245" s="2">
        <v>30313</v>
      </c>
      <c r="J245" t="s">
        <v>1648</v>
      </c>
      <c r="K245">
        <v>2</v>
      </c>
      <c r="L245" t="s">
        <v>1649</v>
      </c>
      <c r="M245" t="s">
        <v>3535</v>
      </c>
      <c r="N245" t="s">
        <v>1671</v>
      </c>
      <c r="O245" t="s">
        <v>3536</v>
      </c>
      <c r="P245" t="s">
        <v>3537</v>
      </c>
      <c r="Q245" t="s">
        <v>3538</v>
      </c>
      <c r="R245" t="s">
        <v>3539</v>
      </c>
      <c r="S245" t="s">
        <v>3540</v>
      </c>
      <c r="T245" t="s">
        <v>3541</v>
      </c>
    </row>
    <row r="246" spans="1:20">
      <c r="A246">
        <v>245</v>
      </c>
      <c r="B246" t="s">
        <v>777</v>
      </c>
      <c r="C246" s="1">
        <v>83101972</v>
      </c>
      <c r="D246" t="s">
        <v>17</v>
      </c>
      <c r="E246" t="s">
        <v>1657</v>
      </c>
      <c r="F246" t="s">
        <v>3542</v>
      </c>
      <c r="G246">
        <v>40249</v>
      </c>
      <c r="H246" t="s">
        <v>1878</v>
      </c>
      <c r="I246" s="2">
        <v>33346</v>
      </c>
      <c r="J246" t="s">
        <v>1648</v>
      </c>
      <c r="K246">
        <v>1</v>
      </c>
      <c r="L246" t="s">
        <v>1649</v>
      </c>
      <c r="M246" t="s">
        <v>1637</v>
      </c>
      <c r="N246" t="s">
        <v>1671</v>
      </c>
      <c r="O246" t="s">
        <v>3543</v>
      </c>
      <c r="P246" t="s">
        <v>3544</v>
      </c>
      <c r="Q246" t="s">
        <v>3545</v>
      </c>
      <c r="R246" t="s">
        <v>3546</v>
      </c>
      <c r="S246" t="s">
        <v>3547</v>
      </c>
      <c r="T246" t="s">
        <v>3548</v>
      </c>
    </row>
    <row r="247" spans="1:20">
      <c r="A247">
        <v>246</v>
      </c>
      <c r="B247" t="s">
        <v>568</v>
      </c>
      <c r="C247" s="1">
        <v>140707</v>
      </c>
      <c r="D247" t="s">
        <v>7</v>
      </c>
      <c r="F247" t="s">
        <v>3549</v>
      </c>
      <c r="G247">
        <v>41683</v>
      </c>
      <c r="H247" t="s">
        <v>1738</v>
      </c>
      <c r="I247" s="2">
        <v>34412</v>
      </c>
      <c r="J247" t="s">
        <v>1648</v>
      </c>
      <c r="K247">
        <v>0</v>
      </c>
      <c r="L247" t="s">
        <v>1649</v>
      </c>
      <c r="M247" t="s">
        <v>1637</v>
      </c>
      <c r="N247" t="s">
        <v>1671</v>
      </c>
      <c r="O247" t="s">
        <v>3550</v>
      </c>
      <c r="P247" t="s">
        <v>3551</v>
      </c>
      <c r="Q247" t="s">
        <v>3552</v>
      </c>
      <c r="R247" t="s">
        <v>3553</v>
      </c>
      <c r="S247" t="s">
        <v>3554</v>
      </c>
      <c r="T247" t="s">
        <v>3555</v>
      </c>
    </row>
    <row r="248" spans="1:20">
      <c r="A248">
        <v>247</v>
      </c>
      <c r="B248" t="s">
        <v>615</v>
      </c>
      <c r="C248" s="1">
        <v>84122168</v>
      </c>
      <c r="D248" t="s">
        <v>8</v>
      </c>
      <c r="E248" t="s">
        <v>1657</v>
      </c>
      <c r="F248" t="s">
        <v>3556</v>
      </c>
      <c r="G248">
        <v>41038</v>
      </c>
      <c r="H248" t="s">
        <v>1721</v>
      </c>
      <c r="I248" s="2">
        <v>31806</v>
      </c>
      <c r="J248" t="s">
        <v>1648</v>
      </c>
      <c r="K248">
        <v>4</v>
      </c>
      <c r="L248" t="s">
        <v>1649</v>
      </c>
      <c r="M248" t="s">
        <v>3557</v>
      </c>
      <c r="N248" t="s">
        <v>2011</v>
      </c>
      <c r="O248" t="s">
        <v>3558</v>
      </c>
      <c r="P248" t="s">
        <v>3559</v>
      </c>
      <c r="Q248" t="s">
        <v>3560</v>
      </c>
      <c r="R248" t="s">
        <v>3561</v>
      </c>
      <c r="S248" t="s">
        <v>3562</v>
      </c>
      <c r="T248" t="s">
        <v>3563</v>
      </c>
    </row>
    <row r="249" spans="1:20">
      <c r="A249">
        <v>248</v>
      </c>
      <c r="B249" t="s">
        <v>795</v>
      </c>
      <c r="C249" s="1">
        <v>84123766</v>
      </c>
      <c r="D249" t="s">
        <v>17</v>
      </c>
      <c r="E249" t="s">
        <v>1657</v>
      </c>
      <c r="F249" t="s">
        <v>3564</v>
      </c>
      <c r="G249">
        <v>41167</v>
      </c>
      <c r="H249" t="s">
        <v>1878</v>
      </c>
      <c r="I249" s="2">
        <v>33605</v>
      </c>
      <c r="J249" t="s">
        <v>1635</v>
      </c>
      <c r="K249" t="s">
        <v>1660</v>
      </c>
      <c r="L249" t="s">
        <v>1649</v>
      </c>
      <c r="M249" t="s">
        <v>1637</v>
      </c>
      <c r="N249" t="s">
        <v>1660</v>
      </c>
      <c r="O249" t="s">
        <v>3565</v>
      </c>
      <c r="P249" t="s">
        <v>3566</v>
      </c>
      <c r="Q249" t="s">
        <v>3567</v>
      </c>
      <c r="R249" t="s">
        <v>3568</v>
      </c>
      <c r="S249" t="s">
        <v>3569</v>
      </c>
      <c r="T249" t="s">
        <v>3570</v>
      </c>
    </row>
    <row r="250" spans="1:20">
      <c r="A250">
        <v>249</v>
      </c>
      <c r="B250" t="s">
        <v>797</v>
      </c>
      <c r="C250" s="1">
        <v>141585</v>
      </c>
      <c r="D250" t="s">
        <v>17</v>
      </c>
      <c r="E250" t="s">
        <v>1657</v>
      </c>
      <c r="F250" t="s">
        <v>3571</v>
      </c>
      <c r="G250">
        <v>33751</v>
      </c>
      <c r="H250" t="s">
        <v>1878</v>
      </c>
      <c r="I250" s="2">
        <v>33751</v>
      </c>
      <c r="J250" t="s">
        <v>1648</v>
      </c>
      <c r="K250">
        <v>2</v>
      </c>
      <c r="L250" t="s">
        <v>1649</v>
      </c>
      <c r="M250" t="s">
        <v>1637</v>
      </c>
      <c r="N250" t="s">
        <v>1671</v>
      </c>
      <c r="O250" t="s">
        <v>3572</v>
      </c>
      <c r="P250" t="s">
        <v>3573</v>
      </c>
      <c r="Q250" t="s">
        <v>3574</v>
      </c>
      <c r="R250" t="s">
        <v>3575</v>
      </c>
      <c r="S250" t="s">
        <v>3576</v>
      </c>
      <c r="T250" t="s">
        <v>3577</v>
      </c>
    </row>
    <row r="251" spans="1:20">
      <c r="A251">
        <v>250</v>
      </c>
      <c r="B251" t="s">
        <v>587</v>
      </c>
      <c r="C251" s="1">
        <v>83123686</v>
      </c>
      <c r="D251" t="s">
        <v>8</v>
      </c>
      <c r="E251" t="s">
        <v>1645</v>
      </c>
      <c r="F251" t="s">
        <v>3578</v>
      </c>
      <c r="G251">
        <v>41183</v>
      </c>
      <c r="H251" t="s">
        <v>3579</v>
      </c>
      <c r="I251" s="2">
        <v>31569</v>
      </c>
      <c r="J251" t="s">
        <v>1648</v>
      </c>
      <c r="K251">
        <v>0</v>
      </c>
      <c r="L251" t="s">
        <v>1649</v>
      </c>
      <c r="M251" t="s">
        <v>1637</v>
      </c>
      <c r="N251" t="s">
        <v>1650</v>
      </c>
      <c r="O251" t="s">
        <v>3580</v>
      </c>
      <c r="P251" t="s">
        <v>3581</v>
      </c>
      <c r="Q251" t="s">
        <v>3582</v>
      </c>
      <c r="R251" t="s">
        <v>3583</v>
      </c>
      <c r="S251" t="s">
        <v>3584</v>
      </c>
      <c r="T251" t="s">
        <v>3585</v>
      </c>
    </row>
    <row r="252" spans="1:20">
      <c r="A252">
        <v>251</v>
      </c>
      <c r="B252" t="s">
        <v>752</v>
      </c>
      <c r="C252" s="1">
        <v>143402</v>
      </c>
      <c r="D252" t="s">
        <v>17</v>
      </c>
      <c r="E252" t="s">
        <v>1645</v>
      </c>
      <c r="F252" t="s">
        <v>3586</v>
      </c>
      <c r="G252">
        <v>41802</v>
      </c>
      <c r="H252" t="s">
        <v>1878</v>
      </c>
      <c r="I252" s="2">
        <v>34014</v>
      </c>
      <c r="J252" t="s">
        <v>1648</v>
      </c>
      <c r="K252">
        <v>2</v>
      </c>
      <c r="L252" t="s">
        <v>1649</v>
      </c>
      <c r="M252" t="s">
        <v>1661</v>
      </c>
      <c r="N252" t="s">
        <v>3587</v>
      </c>
      <c r="O252" t="s">
        <v>3588</v>
      </c>
      <c r="P252" t="s">
        <v>3589</v>
      </c>
      <c r="Q252" t="s">
        <v>3590</v>
      </c>
      <c r="R252" t="s">
        <v>3591</v>
      </c>
      <c r="S252" t="s">
        <v>3592</v>
      </c>
      <c r="T252" t="s">
        <v>3589</v>
      </c>
    </row>
    <row r="253" spans="1:20">
      <c r="A253">
        <v>252</v>
      </c>
      <c r="B253" t="s">
        <v>923</v>
      </c>
      <c r="C253" s="1">
        <v>83088944</v>
      </c>
      <c r="D253" t="s">
        <v>8</v>
      </c>
      <c r="E253" t="s">
        <v>1657</v>
      </c>
      <c r="F253" t="s">
        <v>3593</v>
      </c>
      <c r="G253">
        <v>39792</v>
      </c>
      <c r="H253" t="s">
        <v>3594</v>
      </c>
      <c r="I253" s="2">
        <v>32043</v>
      </c>
      <c r="J253" t="s">
        <v>1648</v>
      </c>
      <c r="K253" t="s">
        <v>1817</v>
      </c>
      <c r="L253" t="s">
        <v>1636</v>
      </c>
      <c r="M253" t="s">
        <v>1637</v>
      </c>
      <c r="N253" t="s">
        <v>1650</v>
      </c>
      <c r="O253" t="s">
        <v>3595</v>
      </c>
      <c r="P253" t="s">
        <v>3596</v>
      </c>
      <c r="Q253" t="s">
        <v>3597</v>
      </c>
      <c r="R253" t="s">
        <v>3598</v>
      </c>
      <c r="S253" t="s">
        <v>3599</v>
      </c>
      <c r="T253" t="s">
        <v>3600</v>
      </c>
    </row>
    <row r="254" spans="1:20">
      <c r="A254">
        <v>253</v>
      </c>
      <c r="B254" t="s">
        <v>569</v>
      </c>
      <c r="C254" s="1">
        <v>242691</v>
      </c>
      <c r="D254" t="s">
        <v>7</v>
      </c>
      <c r="E254" t="s">
        <v>1657</v>
      </c>
      <c r="F254" t="s">
        <v>3601</v>
      </c>
      <c r="G254">
        <v>45635</v>
      </c>
      <c r="H254" t="s">
        <v>1843</v>
      </c>
      <c r="I254" s="2">
        <v>37424</v>
      </c>
      <c r="J254" t="s">
        <v>1635</v>
      </c>
      <c r="K254">
        <v>0</v>
      </c>
      <c r="L254" t="s">
        <v>1649</v>
      </c>
      <c r="M254" t="s">
        <v>1818</v>
      </c>
      <c r="N254" t="s">
        <v>2011</v>
      </c>
      <c r="O254" t="s">
        <v>3602</v>
      </c>
      <c r="P254" t="s">
        <v>3603</v>
      </c>
      <c r="Q254" t="s">
        <v>3604</v>
      </c>
      <c r="R254" t="s">
        <v>3605</v>
      </c>
      <c r="S254" t="s">
        <v>3606</v>
      </c>
      <c r="T254" t="s">
        <v>3607</v>
      </c>
    </row>
    <row r="255" spans="1:20">
      <c r="A255">
        <v>254</v>
      </c>
      <c r="B255" t="s">
        <v>924</v>
      </c>
      <c r="C255" s="1">
        <v>162509</v>
      </c>
      <c r="D255" t="s">
        <v>16</v>
      </c>
      <c r="E255" t="s">
        <v>1657</v>
      </c>
      <c r="F255" t="s">
        <v>3608</v>
      </c>
      <c r="G255">
        <v>42671</v>
      </c>
      <c r="H255" t="s">
        <v>3609</v>
      </c>
      <c r="I255" s="2">
        <v>34338</v>
      </c>
      <c r="J255" t="s">
        <v>1648</v>
      </c>
      <c r="K255" t="s">
        <v>2614</v>
      </c>
      <c r="L255" t="s">
        <v>1649</v>
      </c>
      <c r="M255" t="s">
        <v>1637</v>
      </c>
      <c r="N255" t="s">
        <v>1650</v>
      </c>
      <c r="O255" t="s">
        <v>3610</v>
      </c>
      <c r="P255" t="s">
        <v>3611</v>
      </c>
      <c r="Q255" t="s">
        <v>3612</v>
      </c>
      <c r="R255" t="s">
        <v>3613</v>
      </c>
      <c r="S255" t="s">
        <v>3614</v>
      </c>
      <c r="T255" t="s">
        <v>3615</v>
      </c>
    </row>
    <row r="256" spans="1:20">
      <c r="A256">
        <v>255</v>
      </c>
      <c r="B256" t="s">
        <v>795</v>
      </c>
      <c r="C256" s="1">
        <v>84123766</v>
      </c>
      <c r="D256" t="s">
        <v>17</v>
      </c>
      <c r="E256" t="s">
        <v>1657</v>
      </c>
      <c r="F256" t="s">
        <v>3564</v>
      </c>
      <c r="G256">
        <v>41167</v>
      </c>
      <c r="H256" t="s">
        <v>1878</v>
      </c>
      <c r="I256" s="2">
        <v>33605</v>
      </c>
      <c r="J256" t="s">
        <v>1635</v>
      </c>
      <c r="K256" t="s">
        <v>1660</v>
      </c>
      <c r="L256" t="s">
        <v>1649</v>
      </c>
      <c r="M256" t="s">
        <v>1637</v>
      </c>
      <c r="N256" t="s">
        <v>1671</v>
      </c>
      <c r="O256" t="s">
        <v>3565</v>
      </c>
      <c r="P256" t="s">
        <v>3566</v>
      </c>
      <c r="Q256" t="s">
        <v>3567</v>
      </c>
      <c r="R256" t="s">
        <v>3568</v>
      </c>
      <c r="S256" t="s">
        <v>3569</v>
      </c>
      <c r="T256" t="s">
        <v>3616</v>
      </c>
    </row>
    <row r="257" spans="1:20">
      <c r="A257">
        <v>256</v>
      </c>
      <c r="B257" t="s">
        <v>706</v>
      </c>
      <c r="C257" s="1">
        <v>162497</v>
      </c>
      <c r="D257" t="s">
        <v>16</v>
      </c>
      <c r="E257" t="s">
        <v>3617</v>
      </c>
      <c r="F257" t="s">
        <v>3618</v>
      </c>
      <c r="G257">
        <v>42671</v>
      </c>
      <c r="H257" t="s">
        <v>3619</v>
      </c>
      <c r="I257" s="2">
        <v>33670</v>
      </c>
      <c r="J257" t="s">
        <v>1635</v>
      </c>
      <c r="K257" t="s">
        <v>1660</v>
      </c>
      <c r="L257" t="s">
        <v>1649</v>
      </c>
      <c r="M257" t="s">
        <v>1637</v>
      </c>
      <c r="N257" t="s">
        <v>1671</v>
      </c>
      <c r="O257" t="s">
        <v>3620</v>
      </c>
      <c r="P257" t="s">
        <v>3621</v>
      </c>
      <c r="Q257" t="s">
        <v>3622</v>
      </c>
      <c r="R257" t="s">
        <v>3623</v>
      </c>
      <c r="S257" t="s">
        <v>3624</v>
      </c>
      <c r="T257" t="s">
        <v>3625</v>
      </c>
    </row>
    <row r="258" spans="1:20">
      <c r="A258">
        <v>257</v>
      </c>
      <c r="B258" t="s">
        <v>769</v>
      </c>
      <c r="C258" s="1">
        <v>145752</v>
      </c>
      <c r="D258" t="s">
        <v>17</v>
      </c>
      <c r="E258" t="s">
        <v>1657</v>
      </c>
      <c r="F258" t="s">
        <v>3626</v>
      </c>
      <c r="G258">
        <v>41901</v>
      </c>
      <c r="H258" t="s">
        <v>1878</v>
      </c>
      <c r="I258" s="2">
        <v>32990</v>
      </c>
      <c r="J258" t="s">
        <v>1648</v>
      </c>
      <c r="K258">
        <v>3</v>
      </c>
      <c r="L258" t="s">
        <v>1649</v>
      </c>
      <c r="M258" t="s">
        <v>1637</v>
      </c>
      <c r="N258" t="s">
        <v>1671</v>
      </c>
      <c r="O258" t="s">
        <v>3627</v>
      </c>
      <c r="P258" t="s">
        <v>3628</v>
      </c>
      <c r="Q258" t="s">
        <v>3629</v>
      </c>
      <c r="R258" t="s">
        <v>3630</v>
      </c>
      <c r="S258" t="s">
        <v>3631</v>
      </c>
      <c r="T258" t="s">
        <v>3632</v>
      </c>
    </row>
    <row r="259" spans="1:20">
      <c r="A259">
        <v>258</v>
      </c>
      <c r="B259" t="s">
        <v>744</v>
      </c>
      <c r="C259" s="1">
        <v>83123693</v>
      </c>
      <c r="D259" t="s">
        <v>17</v>
      </c>
      <c r="E259" t="s">
        <v>1365</v>
      </c>
      <c r="F259" t="s">
        <v>3633</v>
      </c>
      <c r="G259">
        <v>41183</v>
      </c>
      <c r="H259" t="s">
        <v>3100</v>
      </c>
      <c r="I259" s="2">
        <v>33240</v>
      </c>
      <c r="J259" t="s">
        <v>1648</v>
      </c>
      <c r="K259">
        <v>2</v>
      </c>
      <c r="L259" t="s">
        <v>1649</v>
      </c>
      <c r="M259" t="s">
        <v>1637</v>
      </c>
      <c r="N259" t="s">
        <v>1650</v>
      </c>
      <c r="O259" t="s">
        <v>3634</v>
      </c>
      <c r="P259" t="s">
        <v>3635</v>
      </c>
      <c r="Q259" t="s">
        <v>3636</v>
      </c>
      <c r="R259" t="s">
        <v>3637</v>
      </c>
      <c r="S259" t="s">
        <v>3638</v>
      </c>
      <c r="T259" t="s">
        <v>3639</v>
      </c>
    </row>
    <row r="260" spans="1:20">
      <c r="A260">
        <v>259</v>
      </c>
      <c r="B260" t="s">
        <v>630</v>
      </c>
      <c r="C260" s="1">
        <v>131759</v>
      </c>
      <c r="D260" t="s">
        <v>8</v>
      </c>
      <c r="E260" t="s">
        <v>1365</v>
      </c>
      <c r="F260" t="s">
        <v>3640</v>
      </c>
      <c r="G260">
        <v>41382</v>
      </c>
      <c r="H260" t="s">
        <v>2498</v>
      </c>
      <c r="I260" s="2">
        <v>32715</v>
      </c>
      <c r="J260" t="s">
        <v>1648</v>
      </c>
      <c r="K260">
        <v>1</v>
      </c>
      <c r="L260" t="s">
        <v>1649</v>
      </c>
      <c r="M260" t="s">
        <v>1637</v>
      </c>
      <c r="N260" t="s">
        <v>1671</v>
      </c>
      <c r="O260" t="s">
        <v>3641</v>
      </c>
      <c r="P260" t="s">
        <v>3642</v>
      </c>
      <c r="Q260" t="s">
        <v>3643</v>
      </c>
      <c r="R260" t="s">
        <v>3644</v>
      </c>
      <c r="S260" t="s">
        <v>3645</v>
      </c>
      <c r="T260" t="s">
        <v>3646</v>
      </c>
    </row>
    <row r="261" spans="1:20">
      <c r="A261">
        <v>260</v>
      </c>
      <c r="B261" t="s">
        <v>617</v>
      </c>
      <c r="C261" s="1">
        <v>183510</v>
      </c>
      <c r="D261" t="s">
        <v>8</v>
      </c>
      <c r="E261" t="s">
        <v>1657</v>
      </c>
      <c r="F261" t="s">
        <v>3647</v>
      </c>
      <c r="G261">
        <v>43389</v>
      </c>
      <c r="H261" t="s">
        <v>3648</v>
      </c>
      <c r="I261" s="2">
        <v>36295</v>
      </c>
      <c r="J261" t="s">
        <v>1648</v>
      </c>
      <c r="K261">
        <v>3</v>
      </c>
      <c r="L261" t="s">
        <v>1649</v>
      </c>
      <c r="M261" t="s">
        <v>1661</v>
      </c>
      <c r="N261" t="s">
        <v>3649</v>
      </c>
      <c r="O261" t="s">
        <v>3650</v>
      </c>
      <c r="P261" t="s">
        <v>3651</v>
      </c>
      <c r="Q261" t="s">
        <v>3652</v>
      </c>
      <c r="R261" t="s">
        <v>3653</v>
      </c>
      <c r="S261" t="s">
        <v>3654</v>
      </c>
      <c r="T261" t="s">
        <v>3655</v>
      </c>
    </row>
    <row r="262" spans="1:20">
      <c r="A262">
        <v>261</v>
      </c>
      <c r="B262" t="s">
        <v>759</v>
      </c>
      <c r="C262" s="1">
        <v>83123703</v>
      </c>
      <c r="D262" t="s">
        <v>17</v>
      </c>
      <c r="E262" t="s">
        <v>1645</v>
      </c>
      <c r="F262" t="s">
        <v>3656</v>
      </c>
      <c r="G262">
        <v>41183</v>
      </c>
      <c r="H262" t="s">
        <v>1878</v>
      </c>
      <c r="I262" s="2">
        <v>30878</v>
      </c>
      <c r="J262" t="s">
        <v>1648</v>
      </c>
      <c r="K262">
        <v>2</v>
      </c>
      <c r="L262" t="s">
        <v>1649</v>
      </c>
      <c r="M262" t="s">
        <v>1661</v>
      </c>
      <c r="N262" t="s">
        <v>3657</v>
      </c>
      <c r="O262" t="s">
        <v>3658</v>
      </c>
      <c r="P262" t="s">
        <v>3659</v>
      </c>
      <c r="Q262" t="s">
        <v>3660</v>
      </c>
      <c r="R262" t="s">
        <v>3661</v>
      </c>
      <c r="S262" t="s">
        <v>3662</v>
      </c>
      <c r="T262" t="s">
        <v>3663</v>
      </c>
    </row>
    <row r="263" spans="1:20">
      <c r="A263">
        <v>262</v>
      </c>
      <c r="B263" t="s">
        <v>758</v>
      </c>
      <c r="C263" s="1">
        <v>83123699</v>
      </c>
      <c r="D263" t="s">
        <v>17</v>
      </c>
      <c r="E263" t="s">
        <v>1645</v>
      </c>
      <c r="F263" t="s">
        <v>3664</v>
      </c>
      <c r="G263">
        <v>41183</v>
      </c>
      <c r="H263" t="s">
        <v>1878</v>
      </c>
      <c r="I263" s="2">
        <v>30834</v>
      </c>
      <c r="J263" t="s">
        <v>1635</v>
      </c>
      <c r="K263">
        <v>0</v>
      </c>
      <c r="L263" t="s">
        <v>1636</v>
      </c>
      <c r="M263" t="s">
        <v>1637</v>
      </c>
      <c r="N263" t="s">
        <v>1671</v>
      </c>
      <c r="O263" t="s">
        <v>3665</v>
      </c>
      <c r="P263" t="s">
        <v>3666</v>
      </c>
      <c r="Q263" t="s">
        <v>3667</v>
      </c>
      <c r="R263" t="s">
        <v>3668</v>
      </c>
      <c r="S263" t="s">
        <v>3669</v>
      </c>
      <c r="T263" t="s">
        <v>3670</v>
      </c>
    </row>
    <row r="264" spans="1:20">
      <c r="A264">
        <v>263</v>
      </c>
      <c r="B264" t="s">
        <v>574</v>
      </c>
      <c r="C264" s="1">
        <v>141440</v>
      </c>
      <c r="D264" t="s">
        <v>8</v>
      </c>
      <c r="E264" t="s">
        <v>1645</v>
      </c>
      <c r="F264" t="s">
        <v>3671</v>
      </c>
      <c r="G264">
        <v>41715</v>
      </c>
      <c r="H264" t="s">
        <v>1721</v>
      </c>
      <c r="I264" s="2">
        <v>32096</v>
      </c>
      <c r="J264" t="s">
        <v>1648</v>
      </c>
      <c r="K264">
        <v>2</v>
      </c>
      <c r="L264" t="s">
        <v>1649</v>
      </c>
      <c r="M264" t="s">
        <v>2073</v>
      </c>
      <c r="N264" t="s">
        <v>1662</v>
      </c>
      <c r="O264" t="s">
        <v>3672</v>
      </c>
      <c r="P264" t="s">
        <v>3673</v>
      </c>
      <c r="Q264" t="s">
        <v>3674</v>
      </c>
      <c r="R264" t="s">
        <v>3675</v>
      </c>
      <c r="S264" t="s">
        <v>3676</v>
      </c>
      <c r="T264" t="s">
        <v>3677</v>
      </c>
    </row>
    <row r="265" spans="1:20">
      <c r="A265">
        <v>264</v>
      </c>
      <c r="B265" t="s">
        <v>594</v>
      </c>
      <c r="C265" s="1">
        <v>83117001</v>
      </c>
      <c r="D265" t="s">
        <v>8</v>
      </c>
      <c r="E265" t="s">
        <v>1657</v>
      </c>
      <c r="F265" t="s">
        <v>3678</v>
      </c>
      <c r="G265">
        <v>40660</v>
      </c>
      <c r="H265" t="s">
        <v>3679</v>
      </c>
      <c r="I265" s="2">
        <v>32482</v>
      </c>
      <c r="J265" t="s">
        <v>1648</v>
      </c>
      <c r="K265">
        <v>2</v>
      </c>
      <c r="L265" t="s">
        <v>1649</v>
      </c>
      <c r="M265" t="s">
        <v>1661</v>
      </c>
      <c r="N265" t="s">
        <v>2499</v>
      </c>
      <c r="O265" t="s">
        <v>3680</v>
      </c>
      <c r="P265" t="s">
        <v>3681</v>
      </c>
      <c r="Q265" t="s">
        <v>3682</v>
      </c>
      <c r="R265" t="s">
        <v>3683</v>
      </c>
      <c r="S265" t="s">
        <v>3684</v>
      </c>
      <c r="T265" t="s">
        <v>3681</v>
      </c>
    </row>
    <row r="266" spans="1:20">
      <c r="A266">
        <v>265</v>
      </c>
      <c r="B266" t="s">
        <v>750</v>
      </c>
      <c r="C266" s="1">
        <v>83123694</v>
      </c>
      <c r="D266" t="s">
        <v>17</v>
      </c>
      <c r="E266" t="s">
        <v>1645</v>
      </c>
      <c r="F266" t="s">
        <v>3685</v>
      </c>
      <c r="G266">
        <v>41172</v>
      </c>
      <c r="H266" t="s">
        <v>3100</v>
      </c>
      <c r="I266" s="2">
        <v>34637</v>
      </c>
      <c r="J266" t="s">
        <v>1648</v>
      </c>
      <c r="K266" t="s">
        <v>3686</v>
      </c>
      <c r="L266" t="s">
        <v>1649</v>
      </c>
      <c r="M266" t="s">
        <v>1637</v>
      </c>
      <c r="N266" t="s">
        <v>1671</v>
      </c>
      <c r="O266" t="s">
        <v>3687</v>
      </c>
      <c r="P266" t="s">
        <v>3688</v>
      </c>
      <c r="Q266" t="s">
        <v>3689</v>
      </c>
      <c r="R266" t="s">
        <v>3690</v>
      </c>
      <c r="S266" t="s">
        <v>3691</v>
      </c>
      <c r="T266" t="s">
        <v>3692</v>
      </c>
    </row>
    <row r="267" spans="1:20">
      <c r="A267">
        <v>266</v>
      </c>
      <c r="B267" t="s">
        <v>502</v>
      </c>
      <c r="C267" s="1">
        <v>140692</v>
      </c>
      <c r="D267" t="s">
        <v>5</v>
      </c>
      <c r="E267" t="s">
        <v>1657</v>
      </c>
      <c r="F267" t="s">
        <v>3693</v>
      </c>
      <c r="G267">
        <v>46093</v>
      </c>
      <c r="H267" t="s">
        <v>1738</v>
      </c>
      <c r="I267" s="2">
        <v>34775</v>
      </c>
      <c r="J267" t="s">
        <v>1635</v>
      </c>
      <c r="K267" t="s">
        <v>1660</v>
      </c>
      <c r="L267" t="s">
        <v>1649</v>
      </c>
      <c r="M267" t="s">
        <v>1593</v>
      </c>
      <c r="N267" t="s">
        <v>3694</v>
      </c>
      <c r="O267" t="s">
        <v>3695</v>
      </c>
      <c r="P267" t="s">
        <v>3696</v>
      </c>
      <c r="Q267" t="s">
        <v>3697</v>
      </c>
      <c r="R267" t="s">
        <v>3698</v>
      </c>
      <c r="S267" t="s">
        <v>3699</v>
      </c>
      <c r="T267" t="s">
        <v>3700</v>
      </c>
    </row>
    <row r="268" spans="1:20">
      <c r="A268">
        <v>267</v>
      </c>
      <c r="B268" t="s">
        <v>925</v>
      </c>
      <c r="C268" s="1">
        <v>84124047</v>
      </c>
      <c r="D268" t="s">
        <v>8</v>
      </c>
      <c r="E268" t="s">
        <v>1657</v>
      </c>
      <c r="F268" t="s">
        <v>3701</v>
      </c>
      <c r="G268">
        <v>41200</v>
      </c>
      <c r="H268" t="s">
        <v>3702</v>
      </c>
      <c r="I268" s="2">
        <v>33800</v>
      </c>
      <c r="J268" t="s">
        <v>1635</v>
      </c>
      <c r="K268" t="s">
        <v>2387</v>
      </c>
      <c r="L268" t="s">
        <v>1649</v>
      </c>
      <c r="M268" t="s">
        <v>1637</v>
      </c>
      <c r="N268" t="s">
        <v>1671</v>
      </c>
      <c r="O268" t="s">
        <v>3703</v>
      </c>
      <c r="P268" t="s">
        <v>3704</v>
      </c>
      <c r="Q268" t="s">
        <v>3705</v>
      </c>
      <c r="R268" t="s">
        <v>3706</v>
      </c>
      <c r="S268" t="s">
        <v>3707</v>
      </c>
      <c r="T268" t="s">
        <v>3708</v>
      </c>
    </row>
    <row r="269" spans="1:20">
      <c r="A269">
        <v>268</v>
      </c>
      <c r="B269" t="s">
        <v>926</v>
      </c>
      <c r="C269" s="1">
        <v>83103111</v>
      </c>
      <c r="D269" t="s">
        <v>8</v>
      </c>
      <c r="E269" t="s">
        <v>1657</v>
      </c>
      <c r="F269" t="s">
        <v>3709</v>
      </c>
      <c r="G269">
        <v>40363</v>
      </c>
      <c r="H269" t="s">
        <v>3710</v>
      </c>
      <c r="I269" s="2">
        <v>32674</v>
      </c>
      <c r="J269" t="s">
        <v>1648</v>
      </c>
      <c r="K269">
        <v>2</v>
      </c>
      <c r="L269" t="s">
        <v>1649</v>
      </c>
      <c r="M269" t="s">
        <v>1661</v>
      </c>
      <c r="N269" t="s">
        <v>3711</v>
      </c>
      <c r="O269" t="s">
        <v>3712</v>
      </c>
      <c r="P269" t="s">
        <v>3713</v>
      </c>
      <c r="Q269" t="s">
        <v>3714</v>
      </c>
      <c r="R269" t="s">
        <v>3715</v>
      </c>
      <c r="S269" t="s">
        <v>3716</v>
      </c>
      <c r="T269" t="s">
        <v>3717</v>
      </c>
    </row>
    <row r="270" spans="1:20">
      <c r="A270">
        <v>269</v>
      </c>
      <c r="B270" t="s">
        <v>927</v>
      </c>
      <c r="C270" s="1">
        <v>83123144</v>
      </c>
      <c r="D270" t="s">
        <v>16</v>
      </c>
      <c r="E270" t="s">
        <v>1645</v>
      </c>
      <c r="F270" t="s">
        <v>3718</v>
      </c>
      <c r="G270">
        <v>41122</v>
      </c>
      <c r="H270" t="s">
        <v>1925</v>
      </c>
      <c r="I270" s="2">
        <v>34482</v>
      </c>
      <c r="J270" t="s">
        <v>1648</v>
      </c>
      <c r="K270">
        <v>1</v>
      </c>
      <c r="L270" t="s">
        <v>1649</v>
      </c>
      <c r="M270" t="s">
        <v>1661</v>
      </c>
      <c r="N270" t="s">
        <v>1972</v>
      </c>
      <c r="O270" t="s">
        <v>3719</v>
      </c>
      <c r="P270" t="s">
        <v>3720</v>
      </c>
      <c r="Q270" t="s">
        <v>3721</v>
      </c>
      <c r="R270" t="s">
        <v>3722</v>
      </c>
      <c r="S270" t="s">
        <v>3723</v>
      </c>
      <c r="T270" t="s">
        <v>3724</v>
      </c>
    </row>
    <row r="271" spans="1:20">
      <c r="A271">
        <v>270</v>
      </c>
      <c r="B271" t="s">
        <v>928</v>
      </c>
      <c r="C271" s="1">
        <v>83123148</v>
      </c>
      <c r="D271" t="s">
        <v>16</v>
      </c>
      <c r="E271" t="s">
        <v>1645</v>
      </c>
      <c r="F271" t="s">
        <v>3725</v>
      </c>
      <c r="G271">
        <v>34430</v>
      </c>
      <c r="H271" t="s">
        <v>1790</v>
      </c>
      <c r="I271" s="2">
        <v>45442</v>
      </c>
      <c r="J271" t="s">
        <v>1648</v>
      </c>
      <c r="K271" t="s">
        <v>3101</v>
      </c>
      <c r="L271" t="s">
        <v>1649</v>
      </c>
      <c r="M271" t="s">
        <v>1755</v>
      </c>
      <c r="N271" t="s">
        <v>2334</v>
      </c>
      <c r="O271" t="s">
        <v>2462</v>
      </c>
      <c r="P271" t="s">
        <v>3726</v>
      </c>
      <c r="Q271" t="s">
        <v>3727</v>
      </c>
      <c r="R271" t="s">
        <v>3728</v>
      </c>
      <c r="S271" t="s">
        <v>3729</v>
      </c>
      <c r="T271" t="s">
        <v>3730</v>
      </c>
    </row>
    <row r="272" spans="1:20">
      <c r="A272">
        <v>271</v>
      </c>
      <c r="B272" t="s">
        <v>929</v>
      </c>
      <c r="C272" s="1">
        <v>143960</v>
      </c>
      <c r="D272" t="s">
        <v>16</v>
      </c>
      <c r="E272" t="s">
        <v>1645</v>
      </c>
      <c r="F272" t="s">
        <v>3731</v>
      </c>
      <c r="G272">
        <v>41836</v>
      </c>
      <c r="H272" t="s">
        <v>1754</v>
      </c>
      <c r="I272" s="2">
        <v>34878</v>
      </c>
      <c r="J272" t="s">
        <v>1635</v>
      </c>
      <c r="L272" t="s">
        <v>1649</v>
      </c>
      <c r="M272" t="s">
        <v>1661</v>
      </c>
      <c r="N272" t="s">
        <v>3732</v>
      </c>
      <c r="O272" t="s">
        <v>3733</v>
      </c>
      <c r="P272" t="s">
        <v>3734</v>
      </c>
      <c r="Q272" t="s">
        <v>3735</v>
      </c>
      <c r="R272" t="s">
        <v>3736</v>
      </c>
      <c r="S272" t="s">
        <v>3737</v>
      </c>
      <c r="T272" t="s">
        <v>3738</v>
      </c>
    </row>
    <row r="273" spans="1:20">
      <c r="A273">
        <v>272</v>
      </c>
      <c r="B273" t="s">
        <v>930</v>
      </c>
      <c r="C273" s="1">
        <v>83122104</v>
      </c>
      <c r="D273" t="s">
        <v>5</v>
      </c>
      <c r="E273" t="s">
        <v>1645</v>
      </c>
      <c r="F273" t="s">
        <v>3739</v>
      </c>
      <c r="G273">
        <v>41043</v>
      </c>
      <c r="H273" t="s">
        <v>1670</v>
      </c>
      <c r="I273" s="2">
        <v>30553</v>
      </c>
      <c r="J273" t="s">
        <v>1648</v>
      </c>
      <c r="K273">
        <v>2</v>
      </c>
      <c r="L273" t="s">
        <v>1649</v>
      </c>
      <c r="M273" t="s">
        <v>1661</v>
      </c>
      <c r="N273" t="s">
        <v>1671</v>
      </c>
      <c r="O273" t="s">
        <v>2877</v>
      </c>
      <c r="P273" t="s">
        <v>3740</v>
      </c>
      <c r="Q273" t="s">
        <v>3741</v>
      </c>
      <c r="R273" t="s">
        <v>3742</v>
      </c>
      <c r="S273" t="s">
        <v>3743</v>
      </c>
      <c r="T273" t="s">
        <v>3744</v>
      </c>
    </row>
    <row r="274" spans="1:20">
      <c r="A274">
        <v>273</v>
      </c>
      <c r="B274" t="s">
        <v>446</v>
      </c>
      <c r="C274" s="1">
        <v>147332</v>
      </c>
      <c r="D274" t="s">
        <v>5</v>
      </c>
      <c r="E274" t="s">
        <v>1657</v>
      </c>
      <c r="F274" t="s">
        <v>3745</v>
      </c>
      <c r="G274">
        <v>41975</v>
      </c>
      <c r="H274" t="s">
        <v>1670</v>
      </c>
      <c r="I274" s="2">
        <v>33744</v>
      </c>
      <c r="J274" t="s">
        <v>1648</v>
      </c>
      <c r="K274">
        <v>2</v>
      </c>
      <c r="L274" t="s">
        <v>1649</v>
      </c>
      <c r="M274" t="s">
        <v>1637</v>
      </c>
      <c r="N274" t="s">
        <v>1671</v>
      </c>
      <c r="O274" t="s">
        <v>3746</v>
      </c>
      <c r="P274" t="s">
        <v>3747</v>
      </c>
      <c r="Q274" t="s">
        <v>3748</v>
      </c>
      <c r="R274" t="s">
        <v>3749</v>
      </c>
      <c r="S274" t="s">
        <v>3750</v>
      </c>
      <c r="T274" t="s">
        <v>3751</v>
      </c>
    </row>
    <row r="275" spans="1:20">
      <c r="A275">
        <v>274</v>
      </c>
      <c r="B275" t="s">
        <v>757</v>
      </c>
      <c r="C275" s="1">
        <v>143409</v>
      </c>
      <c r="D275" t="s">
        <v>17</v>
      </c>
      <c r="E275" t="s">
        <v>1645</v>
      </c>
      <c r="F275" t="s">
        <v>3752</v>
      </c>
      <c r="G275">
        <v>41802</v>
      </c>
      <c r="H275" t="s">
        <v>3753</v>
      </c>
      <c r="I275" s="2">
        <v>34315</v>
      </c>
      <c r="J275" t="s">
        <v>1648</v>
      </c>
      <c r="K275">
        <v>2</v>
      </c>
      <c r="L275" t="s">
        <v>1649</v>
      </c>
      <c r="M275" t="s">
        <v>1637</v>
      </c>
      <c r="N275" t="s">
        <v>1671</v>
      </c>
      <c r="O275" t="s">
        <v>3754</v>
      </c>
      <c r="P275" t="s">
        <v>3755</v>
      </c>
      <c r="Q275" t="s">
        <v>3756</v>
      </c>
      <c r="R275" t="s">
        <v>3757</v>
      </c>
      <c r="S275" t="s">
        <v>3758</v>
      </c>
      <c r="T275" t="s">
        <v>3759</v>
      </c>
    </row>
    <row r="276" spans="1:20">
      <c r="A276">
        <v>275</v>
      </c>
      <c r="B276" t="s">
        <v>931</v>
      </c>
      <c r="C276" s="1">
        <v>83117885</v>
      </c>
      <c r="D276" t="s">
        <v>17</v>
      </c>
      <c r="E276" t="s">
        <v>1657</v>
      </c>
      <c r="F276" t="s">
        <v>3760</v>
      </c>
      <c r="G276">
        <v>39630</v>
      </c>
      <c r="H276" t="s">
        <v>1878</v>
      </c>
      <c r="I276" s="2">
        <v>25389</v>
      </c>
      <c r="J276" t="s">
        <v>1648</v>
      </c>
      <c r="K276">
        <v>4</v>
      </c>
      <c r="L276" t="s">
        <v>1649</v>
      </c>
      <c r="M276" t="s">
        <v>3761</v>
      </c>
      <c r="N276" t="s">
        <v>3762</v>
      </c>
      <c r="O276" t="s">
        <v>3763</v>
      </c>
      <c r="P276" t="s">
        <v>3764</v>
      </c>
      <c r="Q276" t="s">
        <v>3765</v>
      </c>
      <c r="R276" t="s">
        <v>3766</v>
      </c>
      <c r="S276" t="s">
        <v>3767</v>
      </c>
      <c r="T276" t="s">
        <v>3768</v>
      </c>
    </row>
    <row r="277" spans="1:20">
      <c r="A277">
        <v>276</v>
      </c>
      <c r="B277" t="s">
        <v>595</v>
      </c>
      <c r="C277" s="1">
        <v>83103403</v>
      </c>
      <c r="D277" t="s">
        <v>8</v>
      </c>
      <c r="E277" t="s">
        <v>1657</v>
      </c>
      <c r="F277" t="s">
        <v>3769</v>
      </c>
      <c r="G277">
        <v>40362</v>
      </c>
      <c r="H277" t="s">
        <v>3770</v>
      </c>
      <c r="I277" s="2">
        <v>33475</v>
      </c>
      <c r="J277" t="s">
        <v>1648</v>
      </c>
      <c r="K277">
        <v>2</v>
      </c>
      <c r="L277" t="s">
        <v>1649</v>
      </c>
      <c r="M277" t="s">
        <v>1637</v>
      </c>
      <c r="N277" t="s">
        <v>1671</v>
      </c>
      <c r="O277" t="s">
        <v>3771</v>
      </c>
      <c r="P277" t="s">
        <v>3772</v>
      </c>
      <c r="Q277" t="s">
        <v>3773</v>
      </c>
      <c r="R277" t="s">
        <v>3774</v>
      </c>
      <c r="S277" t="s">
        <v>3775</v>
      </c>
      <c r="T277" t="s">
        <v>3776</v>
      </c>
    </row>
    <row r="278" spans="1:20">
      <c r="A278">
        <v>277</v>
      </c>
      <c r="B278" t="s">
        <v>932</v>
      </c>
      <c r="C278" s="1">
        <v>145331</v>
      </c>
      <c r="D278" t="s">
        <v>5</v>
      </c>
      <c r="E278" t="s">
        <v>1645</v>
      </c>
      <c r="F278" t="s">
        <v>3777</v>
      </c>
      <c r="G278">
        <v>41963</v>
      </c>
      <c r="H278" t="s">
        <v>2489</v>
      </c>
      <c r="I278" s="2">
        <v>34102</v>
      </c>
      <c r="J278" t="s">
        <v>1648</v>
      </c>
      <c r="K278">
        <v>2</v>
      </c>
      <c r="L278" t="s">
        <v>1649</v>
      </c>
      <c r="M278" t="s">
        <v>1661</v>
      </c>
      <c r="N278" t="s">
        <v>3778</v>
      </c>
      <c r="O278" t="s">
        <v>3779</v>
      </c>
      <c r="P278" t="s">
        <v>3780</v>
      </c>
      <c r="Q278" t="s">
        <v>3781</v>
      </c>
      <c r="R278" t="s">
        <v>3782</v>
      </c>
      <c r="S278" t="s">
        <v>3783</v>
      </c>
      <c r="T278" t="s">
        <v>3784</v>
      </c>
    </row>
    <row r="279" spans="1:20">
      <c r="A279">
        <v>278</v>
      </c>
      <c r="B279" t="s">
        <v>933</v>
      </c>
      <c r="C279" s="1">
        <v>143966</v>
      </c>
      <c r="D279" t="s">
        <v>16</v>
      </c>
      <c r="E279" t="s">
        <v>1645</v>
      </c>
      <c r="F279" t="s">
        <v>3785</v>
      </c>
      <c r="G279">
        <v>41836</v>
      </c>
      <c r="H279" t="s">
        <v>1816</v>
      </c>
      <c r="I279" s="2">
        <v>34905</v>
      </c>
      <c r="J279" t="s">
        <v>1648</v>
      </c>
      <c r="K279">
        <v>2</v>
      </c>
      <c r="L279" t="s">
        <v>1649</v>
      </c>
      <c r="M279" t="s">
        <v>1661</v>
      </c>
      <c r="N279" t="s">
        <v>3786</v>
      </c>
      <c r="O279" t="s">
        <v>3787</v>
      </c>
      <c r="P279" t="s">
        <v>3788</v>
      </c>
      <c r="Q279" t="s">
        <v>3789</v>
      </c>
      <c r="R279" t="s">
        <v>3790</v>
      </c>
      <c r="S279" t="s">
        <v>3791</v>
      </c>
      <c r="T279" t="s">
        <v>3792</v>
      </c>
    </row>
    <row r="280" spans="1:20">
      <c r="A280">
        <v>279</v>
      </c>
      <c r="B280" t="s">
        <v>809</v>
      </c>
      <c r="C280" s="1">
        <v>84117918</v>
      </c>
      <c r="D280" t="s">
        <v>17</v>
      </c>
      <c r="E280" t="s">
        <v>1657</v>
      </c>
      <c r="F280" t="s">
        <v>3793</v>
      </c>
      <c r="G280">
        <v>39630</v>
      </c>
      <c r="H280" t="s">
        <v>1878</v>
      </c>
      <c r="I280" s="2">
        <v>31300</v>
      </c>
      <c r="J280" t="s">
        <v>1648</v>
      </c>
      <c r="K280">
        <v>3</v>
      </c>
      <c r="L280" t="s">
        <v>1649</v>
      </c>
      <c r="M280" t="s">
        <v>1828</v>
      </c>
      <c r="N280" t="s">
        <v>1671</v>
      </c>
      <c r="O280" t="s">
        <v>3794</v>
      </c>
      <c r="P280" t="s">
        <v>3795</v>
      </c>
      <c r="Q280" t="s">
        <v>3796</v>
      </c>
      <c r="R280" t="s">
        <v>3797</v>
      </c>
      <c r="S280" t="s">
        <v>3798</v>
      </c>
      <c r="T280" t="s">
        <v>3799</v>
      </c>
    </row>
    <row r="281" spans="1:20">
      <c r="A281">
        <v>280</v>
      </c>
      <c r="B281" t="s">
        <v>675</v>
      </c>
      <c r="C281" s="1">
        <v>143957</v>
      </c>
      <c r="D281" t="s">
        <v>16</v>
      </c>
      <c r="E281" t="s">
        <v>1645</v>
      </c>
      <c r="F281" t="s">
        <v>3800</v>
      </c>
      <c r="G281">
        <v>41836</v>
      </c>
      <c r="H281" t="s">
        <v>3801</v>
      </c>
      <c r="I281" s="2">
        <v>33493</v>
      </c>
      <c r="J281" t="s">
        <v>1648</v>
      </c>
      <c r="K281" t="s">
        <v>3802</v>
      </c>
      <c r="L281" t="s">
        <v>1649</v>
      </c>
      <c r="M281" t="s">
        <v>1755</v>
      </c>
      <c r="N281" t="s">
        <v>3025</v>
      </c>
      <c r="O281" t="s">
        <v>3803</v>
      </c>
      <c r="P281" t="s">
        <v>3804</v>
      </c>
      <c r="Q281" t="s">
        <v>3805</v>
      </c>
      <c r="R281" t="s">
        <v>3806</v>
      </c>
      <c r="S281" t="s">
        <v>3807</v>
      </c>
      <c r="T281" t="s">
        <v>3808</v>
      </c>
    </row>
    <row r="282" spans="1:20">
      <c r="A282">
        <v>281</v>
      </c>
      <c r="B282" t="s">
        <v>454</v>
      </c>
      <c r="C282" s="1">
        <v>147347</v>
      </c>
      <c r="D282" t="s">
        <v>5</v>
      </c>
      <c r="E282" t="s">
        <v>1657</v>
      </c>
      <c r="F282" t="s">
        <v>3809</v>
      </c>
      <c r="G282">
        <v>41975</v>
      </c>
      <c r="H282" t="s">
        <v>1944</v>
      </c>
      <c r="I282" s="2">
        <v>34785</v>
      </c>
      <c r="J282" t="s">
        <v>1648</v>
      </c>
      <c r="K282">
        <v>1</v>
      </c>
      <c r="L282" t="s">
        <v>1649</v>
      </c>
      <c r="M282" t="s">
        <v>1661</v>
      </c>
      <c r="N282" t="s">
        <v>1662</v>
      </c>
      <c r="O282" t="s">
        <v>3047</v>
      </c>
      <c r="P282" t="s">
        <v>3810</v>
      </c>
      <c r="Q282" t="s">
        <v>3811</v>
      </c>
      <c r="R282" t="s">
        <v>3812</v>
      </c>
      <c r="S282" t="s">
        <v>3813</v>
      </c>
      <c r="T282" t="s">
        <v>3814</v>
      </c>
    </row>
    <row r="283" spans="1:20">
      <c r="A283">
        <v>282</v>
      </c>
      <c r="B283" t="s">
        <v>331</v>
      </c>
      <c r="C283" s="1">
        <v>83123907</v>
      </c>
      <c r="D283" t="s">
        <v>5</v>
      </c>
      <c r="E283" t="s">
        <v>1645</v>
      </c>
      <c r="F283" t="s">
        <v>3815</v>
      </c>
      <c r="G283">
        <v>41197</v>
      </c>
      <c r="H283" t="s">
        <v>1944</v>
      </c>
      <c r="I283" s="2">
        <v>33762</v>
      </c>
      <c r="J283" t="s">
        <v>1648</v>
      </c>
      <c r="K283">
        <v>2</v>
      </c>
      <c r="L283" t="s">
        <v>1649</v>
      </c>
      <c r="M283" t="s">
        <v>1661</v>
      </c>
      <c r="N283" t="s">
        <v>3816</v>
      </c>
      <c r="O283" t="s">
        <v>3817</v>
      </c>
      <c r="P283" t="s">
        <v>3818</v>
      </c>
      <c r="Q283" t="s">
        <v>3819</v>
      </c>
      <c r="R283" t="s">
        <v>3820</v>
      </c>
      <c r="S283" t="s">
        <v>3821</v>
      </c>
      <c r="T283" t="s">
        <v>3822</v>
      </c>
    </row>
    <row r="284" spans="1:20">
      <c r="A284">
        <v>283</v>
      </c>
      <c r="B284" t="s">
        <v>616</v>
      </c>
      <c r="C284" s="1">
        <v>84120249</v>
      </c>
      <c r="D284" t="s">
        <v>8</v>
      </c>
      <c r="E284" t="s">
        <v>1657</v>
      </c>
      <c r="F284" t="s">
        <v>3823</v>
      </c>
      <c r="G284">
        <v>39977</v>
      </c>
      <c r="H284" t="s">
        <v>1721</v>
      </c>
      <c r="I284" s="2">
        <v>33150</v>
      </c>
      <c r="J284" t="s">
        <v>1635</v>
      </c>
      <c r="K284" t="s">
        <v>2387</v>
      </c>
      <c r="L284" t="s">
        <v>1649</v>
      </c>
      <c r="M284" t="s">
        <v>1637</v>
      </c>
      <c r="N284" t="s">
        <v>3824</v>
      </c>
      <c r="O284" t="s">
        <v>3825</v>
      </c>
      <c r="P284" t="s">
        <v>3826</v>
      </c>
      <c r="Q284" t="s">
        <v>3827</v>
      </c>
      <c r="R284" t="s">
        <v>3828</v>
      </c>
      <c r="S284" t="s">
        <v>3829</v>
      </c>
      <c r="T284" t="s">
        <v>3830</v>
      </c>
    </row>
    <row r="285" spans="1:20">
      <c r="A285">
        <v>284</v>
      </c>
      <c r="B285" t="s">
        <v>754</v>
      </c>
      <c r="C285" s="1">
        <v>83123700</v>
      </c>
      <c r="D285" t="s">
        <v>17</v>
      </c>
      <c r="E285" t="s">
        <v>1645</v>
      </c>
      <c r="F285" t="s">
        <v>3831</v>
      </c>
      <c r="G285">
        <v>41183</v>
      </c>
      <c r="H285" t="s">
        <v>3832</v>
      </c>
      <c r="I285" s="2">
        <v>33008</v>
      </c>
      <c r="J285" t="s">
        <v>1648</v>
      </c>
      <c r="K285">
        <v>2</v>
      </c>
      <c r="L285" t="s">
        <v>1649</v>
      </c>
      <c r="M285" t="s">
        <v>1593</v>
      </c>
      <c r="N285" t="s">
        <v>3833</v>
      </c>
      <c r="O285" t="s">
        <v>3834</v>
      </c>
      <c r="P285" t="s">
        <v>3835</v>
      </c>
      <c r="Q285" t="s">
        <v>3836</v>
      </c>
      <c r="R285" t="s">
        <v>3837</v>
      </c>
      <c r="S285" t="s">
        <v>3838</v>
      </c>
      <c r="T285" t="s">
        <v>3839</v>
      </c>
    </row>
    <row r="286" spans="1:20">
      <c r="A286">
        <v>285</v>
      </c>
      <c r="B286" t="s">
        <v>765</v>
      </c>
      <c r="C286" s="1">
        <v>83117915</v>
      </c>
      <c r="D286" t="s">
        <v>17</v>
      </c>
      <c r="E286" t="s">
        <v>1365</v>
      </c>
      <c r="F286" t="s">
        <v>3840</v>
      </c>
      <c r="G286">
        <v>39630</v>
      </c>
      <c r="H286" t="s">
        <v>1878</v>
      </c>
      <c r="I286" s="2">
        <v>27923</v>
      </c>
      <c r="J286" t="s">
        <v>1648</v>
      </c>
      <c r="K286">
        <v>3</v>
      </c>
      <c r="L286" t="s">
        <v>1649</v>
      </c>
      <c r="M286" t="s">
        <v>1637</v>
      </c>
      <c r="N286" t="s">
        <v>1650</v>
      </c>
      <c r="O286" t="s">
        <v>3841</v>
      </c>
      <c r="P286" t="s">
        <v>3842</v>
      </c>
      <c r="Q286" t="s">
        <v>3843</v>
      </c>
      <c r="R286" t="s">
        <v>3844</v>
      </c>
      <c r="S286" t="s">
        <v>3845</v>
      </c>
      <c r="T286" t="s">
        <v>3846</v>
      </c>
    </row>
    <row r="287" spans="1:20">
      <c r="A287">
        <v>286</v>
      </c>
      <c r="B287" t="s">
        <v>702</v>
      </c>
      <c r="C287" s="1">
        <v>162491</v>
      </c>
      <c r="F287" t="s">
        <v>16</v>
      </c>
      <c r="G287">
        <v>42671</v>
      </c>
      <c r="H287" t="s">
        <v>1754</v>
      </c>
      <c r="I287" s="2">
        <v>35170</v>
      </c>
      <c r="J287" t="s">
        <v>1635</v>
      </c>
      <c r="L287" t="s">
        <v>1649</v>
      </c>
      <c r="M287" t="s">
        <v>1637</v>
      </c>
      <c r="N287" t="s">
        <v>1650</v>
      </c>
      <c r="O287" t="s">
        <v>3847</v>
      </c>
      <c r="P287" t="s">
        <v>3848</v>
      </c>
      <c r="Q287" t="s">
        <v>3849</v>
      </c>
      <c r="R287" t="s">
        <v>3850</v>
      </c>
      <c r="S287" t="s">
        <v>3851</v>
      </c>
      <c r="T287" t="s">
        <v>3852</v>
      </c>
    </row>
    <row r="288" spans="1:20">
      <c r="A288">
        <v>287</v>
      </c>
      <c r="B288" t="s">
        <v>934</v>
      </c>
      <c r="C288" s="1">
        <v>84124054</v>
      </c>
      <c r="D288" t="s">
        <v>8</v>
      </c>
      <c r="E288" t="s">
        <v>1657</v>
      </c>
      <c r="F288" t="s">
        <v>3853</v>
      </c>
      <c r="G288">
        <v>41200</v>
      </c>
      <c r="H288" t="s">
        <v>3854</v>
      </c>
      <c r="I288" s="2"/>
      <c r="J288" t="s">
        <v>1648</v>
      </c>
      <c r="K288">
        <v>3</v>
      </c>
      <c r="L288" t="s">
        <v>1649</v>
      </c>
      <c r="M288" t="s">
        <v>1593</v>
      </c>
      <c r="N288" t="s">
        <v>3855</v>
      </c>
      <c r="O288" t="s">
        <v>3856</v>
      </c>
      <c r="P288" t="s">
        <v>3857</v>
      </c>
      <c r="Q288" t="s">
        <v>3858</v>
      </c>
      <c r="R288" t="s">
        <v>3859</v>
      </c>
      <c r="S288" t="s">
        <v>3860</v>
      </c>
      <c r="T288" t="s">
        <v>3861</v>
      </c>
    </row>
    <row r="289" spans="1:20">
      <c r="A289">
        <v>288</v>
      </c>
      <c r="B289" t="s">
        <v>935</v>
      </c>
      <c r="C289" s="1">
        <v>146657</v>
      </c>
      <c r="D289" t="s">
        <v>8</v>
      </c>
      <c r="E289" t="s">
        <v>1657</v>
      </c>
      <c r="F289" t="s">
        <v>3862</v>
      </c>
      <c r="G289">
        <v>41944</v>
      </c>
      <c r="H289" t="s">
        <v>2831</v>
      </c>
      <c r="I289" s="2">
        <v>33721</v>
      </c>
      <c r="J289" t="s">
        <v>1648</v>
      </c>
      <c r="K289" t="s">
        <v>3863</v>
      </c>
      <c r="L289" t="s">
        <v>1636</v>
      </c>
      <c r="M289" t="s">
        <v>1661</v>
      </c>
      <c r="N289" t="s">
        <v>3864</v>
      </c>
      <c r="O289" t="s">
        <v>3865</v>
      </c>
      <c r="P289" t="s">
        <v>3866</v>
      </c>
      <c r="Q289" t="s">
        <v>3867</v>
      </c>
      <c r="R289" t="s">
        <v>3868</v>
      </c>
      <c r="S289" t="s">
        <v>3869</v>
      </c>
      <c r="T289" t="s">
        <v>3866</v>
      </c>
    </row>
    <row r="290" spans="1:20">
      <c r="A290">
        <v>289</v>
      </c>
      <c r="B290" t="s">
        <v>712</v>
      </c>
      <c r="C290" s="1">
        <v>162516</v>
      </c>
      <c r="D290" t="s">
        <v>16</v>
      </c>
      <c r="E290" t="s">
        <v>1657</v>
      </c>
      <c r="F290" t="s">
        <v>3870</v>
      </c>
      <c r="G290">
        <v>42671</v>
      </c>
      <c r="H290" t="s">
        <v>3871</v>
      </c>
      <c r="I290" s="2">
        <v>30643</v>
      </c>
      <c r="J290" t="s">
        <v>1648</v>
      </c>
      <c r="K290">
        <v>2</v>
      </c>
      <c r="L290" t="s">
        <v>1649</v>
      </c>
      <c r="M290" t="s">
        <v>1661</v>
      </c>
      <c r="N290" t="s">
        <v>1650</v>
      </c>
      <c r="O290" t="s">
        <v>3872</v>
      </c>
      <c r="P290" t="s">
        <v>3873</v>
      </c>
      <c r="Q290" t="s">
        <v>3874</v>
      </c>
      <c r="R290" t="s">
        <v>3875</v>
      </c>
      <c r="S290" t="s">
        <v>3876</v>
      </c>
      <c r="T290" t="s">
        <v>3877</v>
      </c>
    </row>
    <row r="291" spans="1:20">
      <c r="A291">
        <v>290</v>
      </c>
      <c r="B291" t="s">
        <v>312</v>
      </c>
      <c r="C291" s="1">
        <v>83103414</v>
      </c>
      <c r="D291" t="s">
        <v>5</v>
      </c>
      <c r="E291" t="s">
        <v>1645</v>
      </c>
      <c r="F291" t="s">
        <v>3878</v>
      </c>
      <c r="G291">
        <v>40386</v>
      </c>
      <c r="H291" t="s">
        <v>1670</v>
      </c>
      <c r="I291" s="2">
        <v>33068</v>
      </c>
      <c r="J291" t="s">
        <v>1648</v>
      </c>
      <c r="K291">
        <v>2</v>
      </c>
      <c r="L291" t="s">
        <v>1649</v>
      </c>
      <c r="M291" t="s">
        <v>1661</v>
      </c>
      <c r="N291" t="s">
        <v>2046</v>
      </c>
      <c r="O291" t="s">
        <v>3879</v>
      </c>
      <c r="P291" t="s">
        <v>3880</v>
      </c>
      <c r="Q291" t="s">
        <v>3881</v>
      </c>
      <c r="R291" t="s">
        <v>3882</v>
      </c>
      <c r="S291" t="s">
        <v>3883</v>
      </c>
      <c r="T291" t="s">
        <v>3880</v>
      </c>
    </row>
    <row r="292" spans="1:20">
      <c r="A292">
        <v>291</v>
      </c>
      <c r="B292" t="s">
        <v>936</v>
      </c>
      <c r="C292" s="1">
        <v>83123701</v>
      </c>
      <c r="D292" t="s">
        <v>17</v>
      </c>
      <c r="E292" t="s">
        <v>1645</v>
      </c>
      <c r="F292" t="s">
        <v>3884</v>
      </c>
      <c r="G292">
        <v>41172</v>
      </c>
      <c r="H292" t="s">
        <v>3885</v>
      </c>
      <c r="I292" s="2">
        <v>31325</v>
      </c>
      <c r="J292" t="s">
        <v>1648</v>
      </c>
      <c r="K292">
        <v>2</v>
      </c>
      <c r="L292" t="s">
        <v>1649</v>
      </c>
      <c r="M292" t="s">
        <v>1661</v>
      </c>
      <c r="N292" t="s">
        <v>3886</v>
      </c>
      <c r="O292" t="s">
        <v>3887</v>
      </c>
      <c r="P292" t="s">
        <v>3888</v>
      </c>
      <c r="Q292" t="s">
        <v>3889</v>
      </c>
      <c r="R292" t="s">
        <v>3890</v>
      </c>
      <c r="S292" t="s">
        <v>3891</v>
      </c>
      <c r="T292" t="s">
        <v>3892</v>
      </c>
    </row>
    <row r="293" spans="1:20">
      <c r="A293">
        <v>292</v>
      </c>
      <c r="B293" t="s">
        <v>937</v>
      </c>
      <c r="C293" s="1">
        <v>135031</v>
      </c>
      <c r="D293" t="s">
        <v>5</v>
      </c>
      <c r="E293" t="s">
        <v>1645</v>
      </c>
      <c r="F293" t="s">
        <v>3893</v>
      </c>
      <c r="G293">
        <v>41575</v>
      </c>
      <c r="H293" t="s">
        <v>1670</v>
      </c>
      <c r="I293" s="2">
        <v>34471</v>
      </c>
      <c r="J293" t="s">
        <v>1648</v>
      </c>
      <c r="K293">
        <v>1</v>
      </c>
      <c r="L293" t="s">
        <v>1649</v>
      </c>
      <c r="M293" t="s">
        <v>1661</v>
      </c>
      <c r="N293" t="s">
        <v>1996</v>
      </c>
      <c r="O293" t="s">
        <v>3894</v>
      </c>
      <c r="P293" t="s">
        <v>3895</v>
      </c>
      <c r="Q293" t="s">
        <v>3896</v>
      </c>
      <c r="R293" t="s">
        <v>3897</v>
      </c>
      <c r="S293" t="s">
        <v>3898</v>
      </c>
      <c r="T293" t="s">
        <v>3899</v>
      </c>
    </row>
    <row r="294" spans="1:20">
      <c r="A294">
        <v>293</v>
      </c>
      <c r="B294" t="s">
        <v>674</v>
      </c>
      <c r="C294" s="1">
        <v>143968</v>
      </c>
      <c r="D294" t="s">
        <v>16</v>
      </c>
      <c r="E294" t="s">
        <v>1365</v>
      </c>
      <c r="F294" t="s">
        <v>3900</v>
      </c>
      <c r="G294">
        <v>41836</v>
      </c>
      <c r="H294" t="s">
        <v>1790</v>
      </c>
      <c r="I294" s="2">
        <v>35014</v>
      </c>
      <c r="J294" t="s">
        <v>1648</v>
      </c>
      <c r="K294">
        <v>1</v>
      </c>
      <c r="L294" t="s">
        <v>1649</v>
      </c>
      <c r="M294" t="s">
        <v>1661</v>
      </c>
      <c r="N294" t="s">
        <v>3901</v>
      </c>
      <c r="O294" t="s">
        <v>1757</v>
      </c>
      <c r="P294" t="s">
        <v>3902</v>
      </c>
      <c r="Q294" t="s">
        <v>3903</v>
      </c>
      <c r="R294" t="s">
        <v>3904</v>
      </c>
      <c r="S294" t="s">
        <v>3905</v>
      </c>
      <c r="T294" t="s">
        <v>3906</v>
      </c>
    </row>
    <row r="295" spans="1:20">
      <c r="A295">
        <v>294</v>
      </c>
      <c r="B295" t="s">
        <v>291</v>
      </c>
      <c r="C295" s="1">
        <v>145575</v>
      </c>
      <c r="D295" t="s">
        <v>5</v>
      </c>
      <c r="E295" t="s">
        <v>1645</v>
      </c>
      <c r="F295" t="s">
        <v>3907</v>
      </c>
      <c r="G295">
        <v>41925</v>
      </c>
      <c r="H295" t="s">
        <v>1670</v>
      </c>
      <c r="I295" s="2">
        <v>31627</v>
      </c>
      <c r="J295" t="s">
        <v>1648</v>
      </c>
      <c r="K295">
        <v>2</v>
      </c>
      <c r="L295" t="s">
        <v>1649</v>
      </c>
      <c r="M295" t="s">
        <v>1661</v>
      </c>
      <c r="N295" t="s">
        <v>2046</v>
      </c>
      <c r="O295" t="s">
        <v>3908</v>
      </c>
      <c r="P295" t="s">
        <v>3909</v>
      </c>
      <c r="Q295" t="s">
        <v>3910</v>
      </c>
      <c r="R295" t="s">
        <v>3911</v>
      </c>
      <c r="S295" t="s">
        <v>3912</v>
      </c>
      <c r="T295" t="s">
        <v>3913</v>
      </c>
    </row>
    <row r="296" spans="1:20">
      <c r="A296">
        <v>295</v>
      </c>
      <c r="B296" t="s">
        <v>377</v>
      </c>
      <c r="C296" s="1">
        <v>132513</v>
      </c>
      <c r="D296" t="s">
        <v>5</v>
      </c>
      <c r="E296" t="s">
        <v>1657</v>
      </c>
      <c r="F296" t="s">
        <v>3914</v>
      </c>
      <c r="G296">
        <v>41457</v>
      </c>
      <c r="H296" t="s">
        <v>1687</v>
      </c>
      <c r="I296" s="2">
        <v>33800</v>
      </c>
      <c r="J296" t="s">
        <v>1648</v>
      </c>
      <c r="K296">
        <v>2</v>
      </c>
      <c r="L296" t="s">
        <v>1649</v>
      </c>
      <c r="M296" t="s">
        <v>1661</v>
      </c>
      <c r="N296" t="s">
        <v>2342</v>
      </c>
      <c r="O296" t="s">
        <v>3915</v>
      </c>
      <c r="P296" t="s">
        <v>3916</v>
      </c>
      <c r="Q296" t="s">
        <v>3917</v>
      </c>
      <c r="R296" t="s">
        <v>3918</v>
      </c>
      <c r="S296" t="s">
        <v>3919</v>
      </c>
      <c r="T296" t="s">
        <v>3920</v>
      </c>
    </row>
    <row r="297" spans="1:20">
      <c r="A297">
        <v>296</v>
      </c>
      <c r="B297" t="s">
        <v>938</v>
      </c>
      <c r="C297" s="1">
        <v>83086322</v>
      </c>
      <c r="D297" t="s">
        <v>5</v>
      </c>
      <c r="E297" t="s">
        <v>1657</v>
      </c>
      <c r="F297" t="s">
        <v>3921</v>
      </c>
      <c r="G297">
        <v>39498</v>
      </c>
      <c r="H297" t="s">
        <v>3922</v>
      </c>
      <c r="I297" s="2">
        <v>31419</v>
      </c>
      <c r="J297" t="s">
        <v>1648</v>
      </c>
      <c r="K297">
        <v>0</v>
      </c>
      <c r="L297" t="s">
        <v>1649</v>
      </c>
      <c r="M297" t="s">
        <v>2651</v>
      </c>
      <c r="N297" t="s">
        <v>1671</v>
      </c>
      <c r="O297" t="s">
        <v>3923</v>
      </c>
      <c r="P297" t="s">
        <v>3924</v>
      </c>
      <c r="Q297" t="s">
        <v>3925</v>
      </c>
      <c r="R297" t="s">
        <v>3926</v>
      </c>
      <c r="S297" t="s">
        <v>3927</v>
      </c>
      <c r="T297" t="s">
        <v>3928</v>
      </c>
    </row>
    <row r="298" spans="1:20">
      <c r="A298">
        <v>297</v>
      </c>
      <c r="B298" t="s">
        <v>939</v>
      </c>
      <c r="C298" s="1">
        <v>145347</v>
      </c>
      <c r="D298" t="s">
        <v>7</v>
      </c>
      <c r="E298" t="s">
        <v>1645</v>
      </c>
      <c r="F298" t="s">
        <v>3929</v>
      </c>
      <c r="G298">
        <v>41956</v>
      </c>
      <c r="H298" t="s">
        <v>1687</v>
      </c>
      <c r="I298" s="2">
        <v>31602</v>
      </c>
      <c r="J298" t="s">
        <v>1648</v>
      </c>
      <c r="K298">
        <v>1</v>
      </c>
      <c r="L298" t="s">
        <v>1649</v>
      </c>
      <c r="M298" t="s">
        <v>1661</v>
      </c>
      <c r="N298" t="s">
        <v>3930</v>
      </c>
      <c r="O298" t="s">
        <v>3931</v>
      </c>
      <c r="P298" t="s">
        <v>3932</v>
      </c>
      <c r="Q298" t="s">
        <v>3933</v>
      </c>
      <c r="R298" t="s">
        <v>3934</v>
      </c>
      <c r="S298" t="s">
        <v>3935</v>
      </c>
      <c r="T298" t="s">
        <v>3936</v>
      </c>
    </row>
    <row r="299" spans="1:20">
      <c r="A299">
        <v>298</v>
      </c>
      <c r="B299" t="s">
        <v>539</v>
      </c>
      <c r="C299" s="1">
        <v>242411</v>
      </c>
      <c r="D299" t="s">
        <v>5</v>
      </c>
      <c r="E299" t="s">
        <v>1657</v>
      </c>
      <c r="F299" t="s">
        <v>3937</v>
      </c>
      <c r="G299">
        <v>45621</v>
      </c>
      <c r="H299" t="s">
        <v>1790</v>
      </c>
      <c r="I299" s="2">
        <v>38589</v>
      </c>
      <c r="J299" t="s">
        <v>1635</v>
      </c>
      <c r="K299">
        <v>0</v>
      </c>
      <c r="L299" t="s">
        <v>2101</v>
      </c>
      <c r="M299" t="s">
        <v>1661</v>
      </c>
      <c r="N299" t="s">
        <v>2011</v>
      </c>
      <c r="O299" t="s">
        <v>3938</v>
      </c>
      <c r="P299" t="s">
        <v>3939</v>
      </c>
      <c r="Q299" t="s">
        <v>3940</v>
      </c>
      <c r="R299" t="s">
        <v>3941</v>
      </c>
      <c r="S299" t="s">
        <v>3942</v>
      </c>
      <c r="T299" t="s">
        <v>3943</v>
      </c>
    </row>
    <row r="300" spans="1:20">
      <c r="A300">
        <v>299</v>
      </c>
      <c r="B300" t="s">
        <v>402</v>
      </c>
      <c r="C300" s="1">
        <v>83105165</v>
      </c>
      <c r="D300" t="s">
        <v>5</v>
      </c>
      <c r="E300" t="s">
        <v>1657</v>
      </c>
      <c r="F300" t="s">
        <v>3944</v>
      </c>
      <c r="G300">
        <v>40518</v>
      </c>
      <c r="H300" t="s">
        <v>1670</v>
      </c>
      <c r="I300" s="2">
        <v>27111</v>
      </c>
      <c r="J300" t="s">
        <v>1648</v>
      </c>
      <c r="K300">
        <v>4</v>
      </c>
      <c r="L300" t="s">
        <v>1649</v>
      </c>
      <c r="M300" t="s">
        <v>2290</v>
      </c>
      <c r="N300" t="s">
        <v>3945</v>
      </c>
      <c r="O300" t="s">
        <v>3946</v>
      </c>
      <c r="P300" t="s">
        <v>3947</v>
      </c>
      <c r="Q300" t="s">
        <v>3948</v>
      </c>
      <c r="R300" t="s">
        <v>3949</v>
      </c>
      <c r="S300" t="s">
        <v>3950</v>
      </c>
      <c r="T300" t="s">
        <v>3951</v>
      </c>
    </row>
    <row r="301" spans="1:20">
      <c r="A301">
        <v>300</v>
      </c>
      <c r="B301" t="s">
        <v>940</v>
      </c>
      <c r="C301" s="1">
        <v>83040032</v>
      </c>
      <c r="D301" t="s">
        <v>5</v>
      </c>
      <c r="E301" t="s">
        <v>1657</v>
      </c>
      <c r="F301" t="s">
        <v>3952</v>
      </c>
      <c r="G301">
        <v>37865</v>
      </c>
      <c r="H301" t="s">
        <v>1670</v>
      </c>
      <c r="I301" s="2">
        <v>29587</v>
      </c>
      <c r="J301" t="s">
        <v>1648</v>
      </c>
      <c r="K301">
        <v>3</v>
      </c>
      <c r="L301" t="s">
        <v>1649</v>
      </c>
      <c r="M301" t="s">
        <v>1828</v>
      </c>
      <c r="N301" t="s">
        <v>1671</v>
      </c>
      <c r="O301" t="s">
        <v>3953</v>
      </c>
      <c r="P301" t="s">
        <v>3954</v>
      </c>
      <c r="Q301" t="s">
        <v>3955</v>
      </c>
      <c r="R301" t="s">
        <v>3956</v>
      </c>
      <c r="S301" t="s">
        <v>3957</v>
      </c>
      <c r="T301" t="s">
        <v>3958</v>
      </c>
    </row>
    <row r="302" spans="1:20">
      <c r="A302">
        <v>301</v>
      </c>
      <c r="B302" t="s">
        <v>941</v>
      </c>
      <c r="C302" s="1">
        <v>141864</v>
      </c>
      <c r="D302" t="s">
        <v>2514</v>
      </c>
      <c r="E302" t="s">
        <v>1657</v>
      </c>
      <c r="F302" t="s">
        <v>3959</v>
      </c>
      <c r="G302">
        <v>41767</v>
      </c>
      <c r="H302" t="s">
        <v>3960</v>
      </c>
      <c r="I302" s="2">
        <v>45840</v>
      </c>
      <c r="J302" t="s">
        <v>1648</v>
      </c>
      <c r="K302">
        <v>0</v>
      </c>
      <c r="L302" t="s">
        <v>1649</v>
      </c>
      <c r="M302" t="s">
        <v>2651</v>
      </c>
      <c r="N302" t="s">
        <v>2371</v>
      </c>
      <c r="O302" t="s">
        <v>3961</v>
      </c>
      <c r="P302" t="s">
        <v>3962</v>
      </c>
      <c r="Q302" t="s">
        <v>3963</v>
      </c>
      <c r="R302" t="s">
        <v>3964</v>
      </c>
      <c r="S302" t="s">
        <v>3965</v>
      </c>
      <c r="T302" t="s">
        <v>3965</v>
      </c>
    </row>
    <row r="303" spans="1:20">
      <c r="A303">
        <v>302</v>
      </c>
      <c r="B303" t="s">
        <v>505</v>
      </c>
      <c r="C303" s="1">
        <v>83105221</v>
      </c>
      <c r="D303" t="s">
        <v>5</v>
      </c>
      <c r="E303" t="s">
        <v>1657</v>
      </c>
      <c r="F303" t="s">
        <v>3966</v>
      </c>
      <c r="G303">
        <v>40518</v>
      </c>
      <c r="H303" t="s">
        <v>1670</v>
      </c>
      <c r="I303" s="2">
        <v>33240</v>
      </c>
      <c r="J303" t="s">
        <v>1648</v>
      </c>
      <c r="K303">
        <v>2</v>
      </c>
      <c r="L303" t="s">
        <v>1649</v>
      </c>
      <c r="M303" t="s">
        <v>1637</v>
      </c>
      <c r="N303" t="s">
        <v>1671</v>
      </c>
      <c r="O303" t="s">
        <v>3967</v>
      </c>
      <c r="P303" t="s">
        <v>3968</v>
      </c>
      <c r="Q303" t="s">
        <v>3969</v>
      </c>
      <c r="R303" t="s">
        <v>3970</v>
      </c>
      <c r="S303" t="s">
        <v>3971</v>
      </c>
      <c r="T303" t="s">
        <v>3972</v>
      </c>
    </row>
    <row r="304" spans="1:20">
      <c r="A304">
        <v>303</v>
      </c>
      <c r="B304" t="s">
        <v>942</v>
      </c>
      <c r="C304" s="1">
        <v>83119342</v>
      </c>
      <c r="D304" t="s">
        <v>9</v>
      </c>
      <c r="E304" t="s">
        <v>1645</v>
      </c>
      <c r="F304" t="s">
        <v>3973</v>
      </c>
      <c r="G304">
        <v>40840</v>
      </c>
      <c r="H304" t="s">
        <v>3974</v>
      </c>
      <c r="I304" s="2">
        <v>32791</v>
      </c>
      <c r="J304" t="s">
        <v>1648</v>
      </c>
      <c r="K304">
        <v>1</v>
      </c>
      <c r="L304" t="s">
        <v>1636</v>
      </c>
      <c r="M304" t="s">
        <v>1637</v>
      </c>
      <c r="N304" t="s">
        <v>1671</v>
      </c>
      <c r="O304" t="s">
        <v>3975</v>
      </c>
      <c r="P304" t="s">
        <v>3976</v>
      </c>
      <c r="Q304" t="s">
        <v>3977</v>
      </c>
      <c r="R304" t="s">
        <v>3978</v>
      </c>
      <c r="S304" t="s">
        <v>3979</v>
      </c>
      <c r="T304" t="s">
        <v>3980</v>
      </c>
    </row>
    <row r="305" spans="1:20">
      <c r="A305">
        <v>304</v>
      </c>
      <c r="B305" t="s">
        <v>943</v>
      </c>
      <c r="C305" s="1">
        <v>83103336</v>
      </c>
      <c r="D305" t="s">
        <v>17</v>
      </c>
      <c r="E305" t="s">
        <v>1657</v>
      </c>
      <c r="F305" t="s">
        <v>3981</v>
      </c>
      <c r="G305">
        <v>40391</v>
      </c>
      <c r="H305" t="s">
        <v>1878</v>
      </c>
      <c r="I305" s="2">
        <v>33701</v>
      </c>
      <c r="J305" t="s">
        <v>1648</v>
      </c>
      <c r="K305">
        <v>3</v>
      </c>
      <c r="L305" t="s">
        <v>1649</v>
      </c>
      <c r="M305" t="s">
        <v>1661</v>
      </c>
      <c r="N305" t="s">
        <v>2046</v>
      </c>
      <c r="O305" t="s">
        <v>3982</v>
      </c>
      <c r="P305" t="s">
        <v>3983</v>
      </c>
      <c r="Q305" t="s">
        <v>3984</v>
      </c>
      <c r="R305" t="s">
        <v>3985</v>
      </c>
      <c r="S305" t="s">
        <v>3986</v>
      </c>
      <c r="T305" t="s">
        <v>3987</v>
      </c>
    </row>
    <row r="306" spans="1:20">
      <c r="A306">
        <v>305</v>
      </c>
      <c r="B306" t="s">
        <v>944</v>
      </c>
      <c r="C306" s="1">
        <v>83086308</v>
      </c>
      <c r="D306" t="s">
        <v>5</v>
      </c>
      <c r="E306" t="s">
        <v>1645</v>
      </c>
      <c r="F306" t="s">
        <v>3988</v>
      </c>
      <c r="G306">
        <v>39498</v>
      </c>
      <c r="H306" t="s">
        <v>1995</v>
      </c>
      <c r="I306" s="2">
        <v>30627</v>
      </c>
      <c r="J306" t="s">
        <v>1648</v>
      </c>
      <c r="K306">
        <v>3</v>
      </c>
      <c r="L306" t="s">
        <v>1649</v>
      </c>
      <c r="M306" t="s">
        <v>1661</v>
      </c>
      <c r="N306" t="s">
        <v>3989</v>
      </c>
      <c r="O306" t="s">
        <v>3990</v>
      </c>
      <c r="P306" t="s">
        <v>3991</v>
      </c>
      <c r="Q306" t="s">
        <v>3992</v>
      </c>
      <c r="R306" t="s">
        <v>3993</v>
      </c>
      <c r="S306" t="s">
        <v>3994</v>
      </c>
      <c r="T306" t="s">
        <v>3995</v>
      </c>
    </row>
    <row r="307" spans="1:20">
      <c r="A307">
        <v>306</v>
      </c>
      <c r="B307" t="s">
        <v>680</v>
      </c>
      <c r="C307" s="1">
        <v>222340</v>
      </c>
      <c r="D307" t="s">
        <v>16</v>
      </c>
      <c r="E307" t="s">
        <v>1645</v>
      </c>
      <c r="F307" t="s">
        <v>3996</v>
      </c>
      <c r="G307">
        <v>44785</v>
      </c>
      <c r="H307" t="s">
        <v>2571</v>
      </c>
      <c r="I307" s="2">
        <v>33732</v>
      </c>
      <c r="J307" t="s">
        <v>1648</v>
      </c>
      <c r="K307">
        <v>2</v>
      </c>
      <c r="L307" t="s">
        <v>1649</v>
      </c>
      <c r="M307" t="s">
        <v>1661</v>
      </c>
      <c r="N307" t="s">
        <v>3997</v>
      </c>
      <c r="O307" t="s">
        <v>3998</v>
      </c>
      <c r="P307" t="s">
        <v>3999</v>
      </c>
      <c r="Q307" t="s">
        <v>4000</v>
      </c>
      <c r="R307" t="s">
        <v>4001</v>
      </c>
      <c r="S307" t="s">
        <v>4002</v>
      </c>
      <c r="T307" t="s">
        <v>4003</v>
      </c>
    </row>
    <row r="308" spans="1:20">
      <c r="A308">
        <v>307</v>
      </c>
      <c r="B308" t="s">
        <v>591</v>
      </c>
      <c r="C308" s="1">
        <v>83103566</v>
      </c>
      <c r="D308" t="s">
        <v>8</v>
      </c>
      <c r="E308" t="s">
        <v>1657</v>
      </c>
      <c r="F308" t="s">
        <v>4004</v>
      </c>
      <c r="G308">
        <v>45536</v>
      </c>
      <c r="H308" t="s">
        <v>1721</v>
      </c>
      <c r="I308" s="2">
        <v>32479</v>
      </c>
      <c r="J308" t="s">
        <v>1648</v>
      </c>
      <c r="K308">
        <v>2</v>
      </c>
      <c r="L308" t="s">
        <v>1649</v>
      </c>
      <c r="M308" t="s">
        <v>1661</v>
      </c>
      <c r="N308" t="s">
        <v>2046</v>
      </c>
      <c r="O308" t="s">
        <v>4005</v>
      </c>
      <c r="P308" t="s">
        <v>4006</v>
      </c>
      <c r="Q308" t="s">
        <v>4007</v>
      </c>
      <c r="R308" t="s">
        <v>4008</v>
      </c>
      <c r="S308" t="s">
        <v>4009</v>
      </c>
      <c r="T308" t="s">
        <v>4010</v>
      </c>
    </row>
    <row r="309" spans="1:20">
      <c r="A309">
        <v>308</v>
      </c>
      <c r="B309" t="s">
        <v>708</v>
      </c>
      <c r="C309" s="1">
        <v>162506</v>
      </c>
      <c r="D309" t="s">
        <v>16</v>
      </c>
      <c r="E309" t="s">
        <v>1657</v>
      </c>
      <c r="F309" t="s">
        <v>4011</v>
      </c>
      <c r="G309">
        <v>42671</v>
      </c>
      <c r="H309" t="s">
        <v>1790</v>
      </c>
      <c r="I309" s="2">
        <v>31356</v>
      </c>
      <c r="J309" t="s">
        <v>1648</v>
      </c>
      <c r="K309">
        <v>2</v>
      </c>
      <c r="L309" t="s">
        <v>1649</v>
      </c>
      <c r="M309" t="s">
        <v>1828</v>
      </c>
      <c r="N309" t="s">
        <v>1671</v>
      </c>
      <c r="O309" t="s">
        <v>4012</v>
      </c>
      <c r="P309" t="s">
        <v>4013</v>
      </c>
      <c r="Q309" t="s">
        <v>4014</v>
      </c>
      <c r="R309" t="s">
        <v>4015</v>
      </c>
      <c r="S309" t="s">
        <v>4016</v>
      </c>
      <c r="T309" t="s">
        <v>4017</v>
      </c>
    </row>
    <row r="310" spans="1:20">
      <c r="A310">
        <v>309</v>
      </c>
      <c r="B310" t="s">
        <v>735</v>
      </c>
      <c r="C310" s="1">
        <v>83121092</v>
      </c>
      <c r="D310" t="s">
        <v>16</v>
      </c>
      <c r="E310" t="s">
        <v>1657</v>
      </c>
      <c r="F310" t="s">
        <v>4018</v>
      </c>
      <c r="G310">
        <v>41008</v>
      </c>
      <c r="H310" t="s">
        <v>4019</v>
      </c>
      <c r="I310" s="2">
        <v>33611</v>
      </c>
      <c r="J310" t="s">
        <v>1648</v>
      </c>
      <c r="K310">
        <v>2</v>
      </c>
      <c r="L310" t="s">
        <v>1649</v>
      </c>
      <c r="M310" t="s">
        <v>1637</v>
      </c>
      <c r="N310" t="s">
        <v>1671</v>
      </c>
      <c r="O310" t="s">
        <v>4020</v>
      </c>
      <c r="P310" t="s">
        <v>4021</v>
      </c>
      <c r="Q310" t="s">
        <v>4022</v>
      </c>
      <c r="R310" t="s">
        <v>4023</v>
      </c>
      <c r="S310" t="s">
        <v>4024</v>
      </c>
      <c r="T310" t="s">
        <v>4025</v>
      </c>
    </row>
    <row r="311" spans="1:20">
      <c r="A311">
        <v>310</v>
      </c>
      <c r="B311" t="s">
        <v>945</v>
      </c>
      <c r="C311" s="1">
        <v>84088206</v>
      </c>
      <c r="D311" t="s">
        <v>8</v>
      </c>
      <c r="E311" t="s">
        <v>1657</v>
      </c>
      <c r="F311" t="s">
        <v>4026</v>
      </c>
      <c r="G311">
        <v>39721</v>
      </c>
      <c r="H311" t="s">
        <v>4027</v>
      </c>
      <c r="I311" s="2">
        <v>32797</v>
      </c>
      <c r="J311" t="s">
        <v>1648</v>
      </c>
      <c r="K311">
        <v>1</v>
      </c>
      <c r="L311" t="s">
        <v>1649</v>
      </c>
      <c r="M311" t="s">
        <v>1661</v>
      </c>
      <c r="N311" t="s">
        <v>1870</v>
      </c>
      <c r="O311" t="s">
        <v>4028</v>
      </c>
      <c r="P311" t="s">
        <v>4029</v>
      </c>
      <c r="Q311" t="s">
        <v>4030</v>
      </c>
      <c r="R311" t="s">
        <v>4031</v>
      </c>
      <c r="S311" t="s">
        <v>4032</v>
      </c>
      <c r="T311" t="s">
        <v>4033</v>
      </c>
    </row>
    <row r="312" spans="1:20">
      <c r="A312">
        <v>311</v>
      </c>
      <c r="B312" t="s">
        <v>946</v>
      </c>
      <c r="C312" s="1">
        <v>132166</v>
      </c>
      <c r="D312" t="s">
        <v>5</v>
      </c>
      <c r="E312" t="s">
        <v>1645</v>
      </c>
      <c r="F312" t="s">
        <v>4034</v>
      </c>
      <c r="G312">
        <v>41435</v>
      </c>
      <c r="H312" t="s">
        <v>1764</v>
      </c>
      <c r="I312" s="2">
        <v>34418</v>
      </c>
      <c r="J312" t="s">
        <v>1635</v>
      </c>
      <c r="K312">
        <v>0</v>
      </c>
      <c r="L312" t="s">
        <v>1649</v>
      </c>
      <c r="M312" t="s">
        <v>1637</v>
      </c>
      <c r="N312" t="s">
        <v>4035</v>
      </c>
      <c r="O312" t="s">
        <v>4036</v>
      </c>
      <c r="P312" t="s">
        <v>4037</v>
      </c>
      <c r="Q312" t="s">
        <v>4038</v>
      </c>
      <c r="R312" t="s">
        <v>4039</v>
      </c>
      <c r="S312" t="s">
        <v>4040</v>
      </c>
      <c r="T312" t="s">
        <v>4041</v>
      </c>
    </row>
    <row r="313" spans="1:20">
      <c r="A313">
        <v>312</v>
      </c>
      <c r="B313" t="s">
        <v>947</v>
      </c>
      <c r="C313" s="1">
        <v>83102758</v>
      </c>
      <c r="D313" t="s">
        <v>5</v>
      </c>
      <c r="E313" t="s">
        <v>1657</v>
      </c>
      <c r="F313" t="s">
        <v>4042</v>
      </c>
      <c r="G313">
        <v>40343</v>
      </c>
      <c r="H313" t="s">
        <v>4043</v>
      </c>
      <c r="I313" s="2">
        <v>33353</v>
      </c>
      <c r="J313" t="s">
        <v>1648</v>
      </c>
      <c r="K313">
        <v>1</v>
      </c>
      <c r="L313" t="s">
        <v>1649</v>
      </c>
      <c r="M313" t="s">
        <v>1637</v>
      </c>
      <c r="N313" t="s">
        <v>2371</v>
      </c>
      <c r="O313" t="s">
        <v>4044</v>
      </c>
      <c r="P313" t="s">
        <v>4045</v>
      </c>
      <c r="Q313" t="s">
        <v>4046</v>
      </c>
      <c r="R313" t="s">
        <v>4047</v>
      </c>
      <c r="S313" t="s">
        <v>4048</v>
      </c>
      <c r="T313" t="s">
        <v>4049</v>
      </c>
    </row>
    <row r="314" spans="1:20">
      <c r="A314">
        <v>313</v>
      </c>
      <c r="B314" t="s">
        <v>948</v>
      </c>
      <c r="C314" s="1">
        <v>242186</v>
      </c>
      <c r="D314" t="s">
        <v>5</v>
      </c>
      <c r="E314" t="s">
        <v>1657</v>
      </c>
      <c r="F314" t="s">
        <v>4050</v>
      </c>
      <c r="G314">
        <v>45587</v>
      </c>
      <c r="H314" t="s">
        <v>4051</v>
      </c>
      <c r="I314" s="2">
        <v>37026</v>
      </c>
      <c r="J314" t="s">
        <v>1635</v>
      </c>
      <c r="K314">
        <v>0</v>
      </c>
      <c r="L314" t="s">
        <v>1636</v>
      </c>
      <c r="M314" t="s">
        <v>1661</v>
      </c>
      <c r="N314" t="s">
        <v>4052</v>
      </c>
      <c r="O314" t="s">
        <v>4053</v>
      </c>
      <c r="P314" t="s">
        <v>4054</v>
      </c>
      <c r="Q314" t="s">
        <v>4055</v>
      </c>
      <c r="R314" t="s">
        <v>4054</v>
      </c>
      <c r="S314" t="s">
        <v>4056</v>
      </c>
      <c r="T314" t="s">
        <v>4057</v>
      </c>
    </row>
    <row r="315" spans="1:20">
      <c r="A315">
        <v>314</v>
      </c>
      <c r="B315" t="s">
        <v>698</v>
      </c>
      <c r="C315" s="1">
        <v>148201</v>
      </c>
      <c r="D315" t="s">
        <v>16</v>
      </c>
      <c r="E315" t="s">
        <v>1657</v>
      </c>
      <c r="F315" t="s">
        <v>4058</v>
      </c>
      <c r="G315">
        <v>42002</v>
      </c>
      <c r="H315" t="s">
        <v>1790</v>
      </c>
      <c r="I315" s="2">
        <v>34809</v>
      </c>
      <c r="J315" t="s">
        <v>1635</v>
      </c>
      <c r="K315">
        <v>0</v>
      </c>
      <c r="L315" t="s">
        <v>1649</v>
      </c>
      <c r="M315" t="s">
        <v>4059</v>
      </c>
      <c r="N315" t="s">
        <v>4060</v>
      </c>
      <c r="O315" t="s">
        <v>4061</v>
      </c>
      <c r="P315" t="s">
        <v>4062</v>
      </c>
      <c r="Q315" t="s">
        <v>4063</v>
      </c>
      <c r="R315" t="s">
        <v>4064</v>
      </c>
      <c r="S315" t="s">
        <v>4065</v>
      </c>
      <c r="T315" t="s">
        <v>4066</v>
      </c>
    </row>
    <row r="316" spans="1:20">
      <c r="A316">
        <v>315</v>
      </c>
      <c r="B316" t="s">
        <v>807</v>
      </c>
      <c r="C316" s="1">
        <v>150161</v>
      </c>
      <c r="D316" t="s">
        <v>8</v>
      </c>
      <c r="E316" t="s">
        <v>1657</v>
      </c>
      <c r="F316" t="s">
        <v>4067</v>
      </c>
      <c r="G316">
        <v>42006</v>
      </c>
      <c r="H316" t="s">
        <v>4068</v>
      </c>
      <c r="I316" s="2">
        <v>30179</v>
      </c>
      <c r="J316" t="s">
        <v>1648</v>
      </c>
      <c r="K316">
        <v>4</v>
      </c>
      <c r="L316" t="s">
        <v>1649</v>
      </c>
      <c r="M316" t="s">
        <v>1755</v>
      </c>
      <c r="N316" t="s">
        <v>4069</v>
      </c>
      <c r="O316" t="s">
        <v>3650</v>
      </c>
      <c r="P316" t="s">
        <v>4070</v>
      </c>
      <c r="Q316" t="s">
        <v>4071</v>
      </c>
      <c r="R316" t="s">
        <v>4072</v>
      </c>
      <c r="S316" t="s">
        <v>4073</v>
      </c>
      <c r="T316" t="s">
        <v>4074</v>
      </c>
    </row>
    <row r="317" spans="1:20">
      <c r="A317">
        <v>316</v>
      </c>
      <c r="B317" t="s">
        <v>665</v>
      </c>
      <c r="C317" s="1">
        <v>251044</v>
      </c>
      <c r="D317" t="s">
        <v>12</v>
      </c>
      <c r="E317" t="s">
        <v>1657</v>
      </c>
      <c r="F317" t="s">
        <v>4075</v>
      </c>
      <c r="H317" t="s">
        <v>4076</v>
      </c>
      <c r="I317" s="2">
        <v>37282</v>
      </c>
      <c r="J317" t="s">
        <v>1635</v>
      </c>
      <c r="L317" t="s">
        <v>1636</v>
      </c>
      <c r="M317" t="s">
        <v>1593</v>
      </c>
      <c r="N317" t="s">
        <v>4077</v>
      </c>
      <c r="O317" t="s">
        <v>4078</v>
      </c>
      <c r="P317" t="s">
        <v>4079</v>
      </c>
      <c r="Q317" t="s">
        <v>4080</v>
      </c>
      <c r="R317" t="s">
        <v>4079</v>
      </c>
      <c r="S317" t="s">
        <v>4081</v>
      </c>
    </row>
    <row r="318" spans="1:20">
      <c r="A318">
        <v>317</v>
      </c>
      <c r="B318" t="s">
        <v>376</v>
      </c>
      <c r="C318" s="1">
        <v>140219</v>
      </c>
      <c r="D318" t="s">
        <v>5</v>
      </c>
      <c r="E318" t="s">
        <v>1657</v>
      </c>
      <c r="F318" t="s">
        <v>4082</v>
      </c>
      <c r="G318">
        <v>33590</v>
      </c>
      <c r="H318" t="s">
        <v>2605</v>
      </c>
      <c r="I318" s="2">
        <v>33590</v>
      </c>
      <c r="J318" t="s">
        <v>1648</v>
      </c>
      <c r="K318">
        <v>2</v>
      </c>
      <c r="L318" t="s">
        <v>1649</v>
      </c>
      <c r="M318" t="s">
        <v>1637</v>
      </c>
      <c r="N318" t="s">
        <v>1671</v>
      </c>
      <c r="O318" t="s">
        <v>4083</v>
      </c>
      <c r="P318" t="s">
        <v>4084</v>
      </c>
      <c r="Q318" t="s">
        <v>4085</v>
      </c>
      <c r="R318" t="s">
        <v>4086</v>
      </c>
      <c r="S318" t="s">
        <v>4087</v>
      </c>
      <c r="T318" t="s">
        <v>4088</v>
      </c>
    </row>
    <row r="319" spans="1:20">
      <c r="A319">
        <v>318</v>
      </c>
      <c r="B319" t="s">
        <v>949</v>
      </c>
      <c r="C319" s="1">
        <v>143398</v>
      </c>
      <c r="D319" t="s">
        <v>17</v>
      </c>
      <c r="E319" t="s">
        <v>1645</v>
      </c>
      <c r="F319" t="s">
        <v>4089</v>
      </c>
      <c r="G319">
        <v>41802</v>
      </c>
      <c r="H319" t="s">
        <v>4090</v>
      </c>
      <c r="I319" s="2">
        <v>35230</v>
      </c>
      <c r="J319" t="s">
        <v>1648</v>
      </c>
      <c r="K319">
        <v>1</v>
      </c>
      <c r="L319" t="s">
        <v>1649</v>
      </c>
      <c r="M319" t="s">
        <v>1661</v>
      </c>
      <c r="N319" t="s">
        <v>4091</v>
      </c>
      <c r="O319" t="s">
        <v>4092</v>
      </c>
      <c r="P319" t="s">
        <v>4093</v>
      </c>
      <c r="Q319" t="s">
        <v>4094</v>
      </c>
      <c r="R319" t="s">
        <v>4095</v>
      </c>
      <c r="S319" t="s">
        <v>4096</v>
      </c>
      <c r="T319" t="s">
        <v>4097</v>
      </c>
    </row>
    <row r="320" spans="1:20">
      <c r="A320">
        <v>319</v>
      </c>
      <c r="B320" t="s">
        <v>950</v>
      </c>
      <c r="C320" s="1">
        <v>148208</v>
      </c>
      <c r="D320" t="s">
        <v>16</v>
      </c>
      <c r="E320" t="s">
        <v>1657</v>
      </c>
      <c r="F320" t="s">
        <v>4098</v>
      </c>
      <c r="G320">
        <v>42002</v>
      </c>
      <c r="H320" t="s">
        <v>4099</v>
      </c>
      <c r="I320" s="2">
        <v>34607</v>
      </c>
      <c r="J320" t="s">
        <v>1635</v>
      </c>
      <c r="K320">
        <v>0</v>
      </c>
      <c r="L320" t="s">
        <v>1649</v>
      </c>
      <c r="M320" t="s">
        <v>1661</v>
      </c>
      <c r="N320" t="s">
        <v>1955</v>
      </c>
      <c r="O320" t="s">
        <v>2573</v>
      </c>
      <c r="P320" t="s">
        <v>4100</v>
      </c>
      <c r="Q320" t="s">
        <v>4101</v>
      </c>
      <c r="R320" t="s">
        <v>4102</v>
      </c>
      <c r="S320" t="s">
        <v>4103</v>
      </c>
      <c r="T320" t="s">
        <v>4100</v>
      </c>
    </row>
    <row r="321" spans="1:20">
      <c r="A321">
        <v>320</v>
      </c>
      <c r="B321" t="s">
        <v>951</v>
      </c>
      <c r="C321" s="1">
        <v>83105168</v>
      </c>
      <c r="D321" t="s">
        <v>5</v>
      </c>
      <c r="E321" t="s">
        <v>1657</v>
      </c>
      <c r="F321" t="s">
        <v>4104</v>
      </c>
      <c r="G321">
        <v>40518</v>
      </c>
      <c r="H321" t="s">
        <v>1670</v>
      </c>
      <c r="I321" s="2">
        <v>32260</v>
      </c>
      <c r="J321" t="s">
        <v>1648</v>
      </c>
      <c r="K321">
        <v>1</v>
      </c>
      <c r="L321" t="s">
        <v>1649</v>
      </c>
      <c r="M321" t="s">
        <v>1637</v>
      </c>
      <c r="N321" t="s">
        <v>1671</v>
      </c>
      <c r="O321" t="s">
        <v>4105</v>
      </c>
      <c r="P321" t="s">
        <v>4106</v>
      </c>
      <c r="Q321" t="s">
        <v>4107</v>
      </c>
      <c r="R321" t="s">
        <v>4108</v>
      </c>
      <c r="S321" t="s">
        <v>4109</v>
      </c>
      <c r="T321" t="s">
        <v>4110</v>
      </c>
    </row>
    <row r="322" spans="1:20">
      <c r="A322">
        <v>321</v>
      </c>
      <c r="B322" t="s">
        <v>763</v>
      </c>
      <c r="C322" s="1">
        <v>83117886</v>
      </c>
      <c r="D322" t="s">
        <v>17</v>
      </c>
      <c r="E322" t="s">
        <v>1365</v>
      </c>
      <c r="F322" t="s">
        <v>4111</v>
      </c>
      <c r="G322">
        <v>39630</v>
      </c>
      <c r="H322" t="s">
        <v>1878</v>
      </c>
      <c r="I322" s="2">
        <v>28253</v>
      </c>
      <c r="J322" t="s">
        <v>1648</v>
      </c>
      <c r="K322">
        <v>5</v>
      </c>
      <c r="L322" t="s">
        <v>1649</v>
      </c>
      <c r="M322" t="s">
        <v>1637</v>
      </c>
      <c r="N322" t="s">
        <v>1671</v>
      </c>
      <c r="O322" t="s">
        <v>4112</v>
      </c>
      <c r="P322" t="s">
        <v>4113</v>
      </c>
      <c r="Q322" t="s">
        <v>4114</v>
      </c>
      <c r="R322" t="s">
        <v>4115</v>
      </c>
      <c r="S322" t="s">
        <v>4116</v>
      </c>
      <c r="T322" t="s">
        <v>4117</v>
      </c>
    </row>
    <row r="323" spans="1:20">
      <c r="A323">
        <v>322</v>
      </c>
      <c r="B323" t="s">
        <v>952</v>
      </c>
      <c r="C323" s="1">
        <v>135259</v>
      </c>
      <c r="D323" t="s">
        <v>1</v>
      </c>
      <c r="E323" t="s">
        <v>1657</v>
      </c>
      <c r="F323" t="s">
        <v>4118</v>
      </c>
      <c r="G323">
        <v>41548</v>
      </c>
      <c r="H323" t="s">
        <v>4119</v>
      </c>
      <c r="I323" s="2">
        <v>31572</v>
      </c>
      <c r="J323" t="s">
        <v>1635</v>
      </c>
      <c r="K323">
        <v>0</v>
      </c>
      <c r="L323" t="s">
        <v>2101</v>
      </c>
      <c r="M323" t="s">
        <v>1637</v>
      </c>
      <c r="N323" t="s">
        <v>1671</v>
      </c>
      <c r="O323" t="s">
        <v>4120</v>
      </c>
      <c r="P323" t="s">
        <v>4121</v>
      </c>
      <c r="Q323" t="s">
        <v>4122</v>
      </c>
      <c r="R323" t="s">
        <v>4123</v>
      </c>
      <c r="S323" t="s">
        <v>4124</v>
      </c>
      <c r="T323" t="s">
        <v>4125</v>
      </c>
    </row>
    <row r="324" spans="1:20">
      <c r="A324">
        <v>323</v>
      </c>
      <c r="B324" t="s">
        <v>953</v>
      </c>
      <c r="C324" s="1">
        <v>148212</v>
      </c>
      <c r="D324" t="s">
        <v>16</v>
      </c>
      <c r="E324" t="s">
        <v>1657</v>
      </c>
      <c r="F324" t="s">
        <v>4126</v>
      </c>
      <c r="G324">
        <v>42002</v>
      </c>
      <c r="H324" t="s">
        <v>2251</v>
      </c>
      <c r="I324" s="2">
        <v>34506</v>
      </c>
      <c r="J324" t="s">
        <v>1648</v>
      </c>
      <c r="K324">
        <v>1</v>
      </c>
      <c r="L324" t="s">
        <v>1649</v>
      </c>
      <c r="M324" t="s">
        <v>1661</v>
      </c>
      <c r="N324" t="s">
        <v>4127</v>
      </c>
      <c r="O324" t="s">
        <v>4128</v>
      </c>
      <c r="P324" t="s">
        <v>4129</v>
      </c>
      <c r="Q324" t="s">
        <v>4130</v>
      </c>
      <c r="R324" t="s">
        <v>4131</v>
      </c>
      <c r="S324" t="s">
        <v>4132</v>
      </c>
      <c r="T324" t="s">
        <v>4133</v>
      </c>
    </row>
    <row r="325" spans="1:20">
      <c r="A325">
        <v>324</v>
      </c>
      <c r="B325" t="s">
        <v>383</v>
      </c>
      <c r="C325" s="1">
        <v>83040124</v>
      </c>
      <c r="D325" t="s">
        <v>5</v>
      </c>
      <c r="E325" t="s">
        <v>1365</v>
      </c>
      <c r="F325" t="s">
        <v>4134</v>
      </c>
      <c r="G325">
        <v>37960</v>
      </c>
      <c r="H325" t="s">
        <v>1670</v>
      </c>
      <c r="I325" s="2">
        <v>25785</v>
      </c>
      <c r="J325" t="s">
        <v>1648</v>
      </c>
      <c r="K325">
        <v>2</v>
      </c>
      <c r="L325" t="s">
        <v>1649</v>
      </c>
      <c r="M325" t="s">
        <v>1637</v>
      </c>
      <c r="N325" t="s">
        <v>1671</v>
      </c>
      <c r="O325" t="s">
        <v>4135</v>
      </c>
      <c r="P325" t="s">
        <v>4136</v>
      </c>
      <c r="Q325" t="s">
        <v>4137</v>
      </c>
      <c r="R325" t="s">
        <v>4138</v>
      </c>
      <c r="S325" t="s">
        <v>4139</v>
      </c>
      <c r="T325" t="s">
        <v>4140</v>
      </c>
    </row>
    <row r="326" spans="1:20">
      <c r="A326">
        <v>325</v>
      </c>
      <c r="B326" t="s">
        <v>376</v>
      </c>
      <c r="C326" s="1">
        <v>140219</v>
      </c>
      <c r="D326" t="s">
        <v>5</v>
      </c>
      <c r="E326" t="s">
        <v>1657</v>
      </c>
      <c r="F326" t="s">
        <v>4082</v>
      </c>
      <c r="G326">
        <v>41666</v>
      </c>
      <c r="H326" t="s">
        <v>1670</v>
      </c>
      <c r="I326" s="2">
        <v>33590</v>
      </c>
      <c r="J326" t="s">
        <v>1648</v>
      </c>
      <c r="K326">
        <v>2</v>
      </c>
      <c r="L326" t="s">
        <v>1649</v>
      </c>
      <c r="M326" t="s">
        <v>1637</v>
      </c>
      <c r="N326" t="s">
        <v>1671</v>
      </c>
      <c r="O326" t="s">
        <v>4083</v>
      </c>
      <c r="P326" t="s">
        <v>4084</v>
      </c>
      <c r="Q326" t="s">
        <v>4085</v>
      </c>
      <c r="R326" t="s">
        <v>4141</v>
      </c>
      <c r="S326" t="s">
        <v>4087</v>
      </c>
      <c r="T326" t="s">
        <v>4088</v>
      </c>
    </row>
    <row r="327" spans="1:20">
      <c r="A327">
        <v>326</v>
      </c>
      <c r="B327" t="s">
        <v>636</v>
      </c>
      <c r="C327" s="1">
        <v>142959</v>
      </c>
      <c r="D327" t="s">
        <v>9</v>
      </c>
      <c r="E327" t="s">
        <v>1645</v>
      </c>
      <c r="F327" t="s">
        <v>4142</v>
      </c>
      <c r="G327">
        <v>41780</v>
      </c>
      <c r="H327" t="s">
        <v>4143</v>
      </c>
      <c r="I327" s="2">
        <v>33096</v>
      </c>
      <c r="J327" t="s">
        <v>1635</v>
      </c>
      <c r="K327">
        <v>2</v>
      </c>
      <c r="L327" t="s">
        <v>1636</v>
      </c>
      <c r="M327" t="s">
        <v>1637</v>
      </c>
      <c r="N327" t="s">
        <v>1671</v>
      </c>
      <c r="O327" t="s">
        <v>4144</v>
      </c>
      <c r="P327" t="s">
        <v>4145</v>
      </c>
      <c r="Q327" t="s">
        <v>4146</v>
      </c>
      <c r="R327" t="s">
        <v>4147</v>
      </c>
      <c r="S327" t="s">
        <v>4148</v>
      </c>
      <c r="T327" t="s">
        <v>4149</v>
      </c>
    </row>
    <row r="328" spans="1:20">
      <c r="A328">
        <v>327</v>
      </c>
      <c r="B328" t="s">
        <v>954</v>
      </c>
      <c r="C328" s="1">
        <v>84088199</v>
      </c>
      <c r="D328" t="s">
        <v>8</v>
      </c>
      <c r="E328" t="s">
        <v>1657</v>
      </c>
      <c r="F328" t="s">
        <v>4150</v>
      </c>
      <c r="G328">
        <v>39699</v>
      </c>
      <c r="H328" t="s">
        <v>4151</v>
      </c>
      <c r="I328" s="2">
        <v>27553</v>
      </c>
      <c r="J328" t="s">
        <v>1648</v>
      </c>
      <c r="K328">
        <v>2</v>
      </c>
      <c r="L328" t="s">
        <v>1649</v>
      </c>
      <c r="M328" t="s">
        <v>1637</v>
      </c>
      <c r="N328" t="s">
        <v>1671</v>
      </c>
      <c r="O328" t="s">
        <v>4152</v>
      </c>
      <c r="P328" t="s">
        <v>4153</v>
      </c>
      <c r="Q328" t="s">
        <v>4154</v>
      </c>
      <c r="R328" t="s">
        <v>4155</v>
      </c>
      <c r="S328" t="s">
        <v>4156</v>
      </c>
      <c r="T328" t="s">
        <v>4157</v>
      </c>
    </row>
    <row r="329" spans="1:20">
      <c r="A329">
        <v>328</v>
      </c>
      <c r="B329" t="s">
        <v>808</v>
      </c>
      <c r="C329" s="1">
        <v>83116130</v>
      </c>
      <c r="D329" t="s">
        <v>5</v>
      </c>
      <c r="E329" t="s">
        <v>1657</v>
      </c>
      <c r="F329" t="s">
        <v>4158</v>
      </c>
      <c r="G329">
        <v>40609</v>
      </c>
      <c r="H329" t="s">
        <v>1738</v>
      </c>
      <c r="I329" s="2">
        <v>31165</v>
      </c>
      <c r="J329" t="s">
        <v>1648</v>
      </c>
      <c r="K329">
        <v>2</v>
      </c>
      <c r="L329" t="s">
        <v>1649</v>
      </c>
      <c r="M329" t="s">
        <v>1637</v>
      </c>
      <c r="N329" t="s">
        <v>1671</v>
      </c>
      <c r="O329" t="s">
        <v>4159</v>
      </c>
      <c r="P329" t="s">
        <v>4160</v>
      </c>
      <c r="Q329" t="s">
        <v>4161</v>
      </c>
      <c r="R329" t="s">
        <v>4162</v>
      </c>
      <c r="S329" t="s">
        <v>4163</v>
      </c>
      <c r="T329" t="s">
        <v>4164</v>
      </c>
    </row>
    <row r="330" spans="1:20">
      <c r="A330">
        <v>329</v>
      </c>
      <c r="B330" t="s">
        <v>955</v>
      </c>
      <c r="C330" s="1">
        <v>250050</v>
      </c>
      <c r="D330" t="s">
        <v>8</v>
      </c>
      <c r="E330" t="s">
        <v>1657</v>
      </c>
      <c r="F330" t="s">
        <v>4165</v>
      </c>
      <c r="G330">
        <v>45671</v>
      </c>
      <c r="H330" t="s">
        <v>3447</v>
      </c>
      <c r="I330" s="2">
        <v>37017</v>
      </c>
      <c r="J330" t="s">
        <v>1635</v>
      </c>
      <c r="K330">
        <v>0</v>
      </c>
      <c r="L330" t="s">
        <v>1649</v>
      </c>
      <c r="M330" t="s">
        <v>4166</v>
      </c>
      <c r="N330" t="s">
        <v>2282</v>
      </c>
      <c r="O330" t="s">
        <v>4167</v>
      </c>
      <c r="P330" t="s">
        <v>4168</v>
      </c>
      <c r="Q330" t="s">
        <v>4169</v>
      </c>
      <c r="R330" t="s">
        <v>4170</v>
      </c>
      <c r="S330" t="s">
        <v>4171</v>
      </c>
      <c r="T330" t="s">
        <v>4172</v>
      </c>
    </row>
    <row r="331" spans="1:20">
      <c r="A331">
        <v>330</v>
      </c>
      <c r="B331" t="s">
        <v>722</v>
      </c>
      <c r="C331" s="1">
        <v>162505</v>
      </c>
      <c r="D331" t="s">
        <v>16</v>
      </c>
      <c r="E331" t="s">
        <v>1657</v>
      </c>
      <c r="F331" t="s">
        <v>4173</v>
      </c>
      <c r="G331">
        <v>42671</v>
      </c>
      <c r="H331" t="s">
        <v>1790</v>
      </c>
      <c r="I331" s="2">
        <v>33473</v>
      </c>
      <c r="J331" t="s">
        <v>1648</v>
      </c>
      <c r="K331">
        <v>2</v>
      </c>
      <c r="L331" t="s">
        <v>1649</v>
      </c>
      <c r="M331" t="s">
        <v>1661</v>
      </c>
      <c r="N331" t="s">
        <v>4174</v>
      </c>
      <c r="O331" t="s">
        <v>2445</v>
      </c>
      <c r="P331" t="s">
        <v>4175</v>
      </c>
      <c r="Q331" t="s">
        <v>4176</v>
      </c>
      <c r="R331" t="s">
        <v>4177</v>
      </c>
      <c r="S331" t="s">
        <v>4178</v>
      </c>
      <c r="T331" t="s">
        <v>4179</v>
      </c>
    </row>
    <row r="332" spans="1:20">
      <c r="A332">
        <v>331</v>
      </c>
      <c r="B332" t="s">
        <v>374</v>
      </c>
      <c r="C332" s="1">
        <v>83075245</v>
      </c>
      <c r="D332" t="s">
        <v>5</v>
      </c>
      <c r="E332" t="s">
        <v>1365</v>
      </c>
      <c r="F332" t="s">
        <v>4180</v>
      </c>
      <c r="G332">
        <v>39326</v>
      </c>
      <c r="H332" t="s">
        <v>1670</v>
      </c>
      <c r="I332" s="2">
        <v>32455</v>
      </c>
      <c r="J332" t="s">
        <v>1648</v>
      </c>
      <c r="K332">
        <v>2</v>
      </c>
      <c r="L332" t="s">
        <v>1649</v>
      </c>
      <c r="M332" t="s">
        <v>1637</v>
      </c>
      <c r="N332" t="s">
        <v>1671</v>
      </c>
      <c r="O332" t="s">
        <v>4181</v>
      </c>
      <c r="P332" t="s">
        <v>4182</v>
      </c>
      <c r="Q332" t="s">
        <v>4183</v>
      </c>
      <c r="R332" t="s">
        <v>4184</v>
      </c>
      <c r="S332" t="s">
        <v>4185</v>
      </c>
      <c r="T332" t="s">
        <v>4186</v>
      </c>
    </row>
    <row r="333" spans="1:20">
      <c r="A333">
        <v>332</v>
      </c>
      <c r="B333" t="s">
        <v>624</v>
      </c>
      <c r="C333" s="1">
        <v>83120875</v>
      </c>
      <c r="D333" t="s">
        <v>8</v>
      </c>
      <c r="E333" t="s">
        <v>1657</v>
      </c>
      <c r="F333" t="s">
        <v>4187</v>
      </c>
      <c r="G333">
        <v>40952</v>
      </c>
      <c r="H333" t="s">
        <v>4188</v>
      </c>
      <c r="I333" s="2">
        <v>33171</v>
      </c>
      <c r="J333" t="s">
        <v>1648</v>
      </c>
      <c r="K333">
        <v>1</v>
      </c>
      <c r="L333" t="s">
        <v>1649</v>
      </c>
      <c r="M333" t="s">
        <v>1637</v>
      </c>
      <c r="N333" t="s">
        <v>1650</v>
      </c>
      <c r="O333" t="s">
        <v>4189</v>
      </c>
      <c r="P333" t="s">
        <v>4190</v>
      </c>
      <c r="Q333" t="s">
        <v>4191</v>
      </c>
      <c r="R333" t="s">
        <v>4192</v>
      </c>
      <c r="S333" t="s">
        <v>4193</v>
      </c>
      <c r="T333" t="s">
        <v>4194</v>
      </c>
    </row>
    <row r="334" spans="1:20">
      <c r="A334">
        <v>333</v>
      </c>
      <c r="B334" t="s">
        <v>956</v>
      </c>
      <c r="C334" s="1">
        <v>145059</v>
      </c>
      <c r="D334" t="s">
        <v>1</v>
      </c>
      <c r="E334" t="s">
        <v>1645</v>
      </c>
      <c r="G334">
        <v>41862</v>
      </c>
      <c r="H334" t="s">
        <v>4195</v>
      </c>
      <c r="I334" s="2">
        <v>31342</v>
      </c>
      <c r="J334" t="s">
        <v>1635</v>
      </c>
      <c r="K334">
        <v>0</v>
      </c>
      <c r="L334" t="s">
        <v>1636</v>
      </c>
      <c r="M334" t="s">
        <v>1661</v>
      </c>
      <c r="N334" t="s">
        <v>4196</v>
      </c>
      <c r="O334" t="s">
        <v>4197</v>
      </c>
      <c r="P334" t="s">
        <v>4198</v>
      </c>
      <c r="Q334" t="s">
        <v>4199</v>
      </c>
      <c r="R334" t="s">
        <v>4200</v>
      </c>
      <c r="S334" t="s">
        <v>4201</v>
      </c>
      <c r="T334" t="s">
        <v>4202</v>
      </c>
    </row>
    <row r="335" spans="1:20">
      <c r="A335">
        <v>334</v>
      </c>
      <c r="B335" t="s">
        <v>957</v>
      </c>
      <c r="C335" s="1">
        <v>133821</v>
      </c>
      <c r="D335" t="s">
        <v>8</v>
      </c>
      <c r="E335" t="s">
        <v>1657</v>
      </c>
      <c r="F335" t="s">
        <v>4203</v>
      </c>
      <c r="G335">
        <v>41519</v>
      </c>
      <c r="H335" t="s">
        <v>1721</v>
      </c>
      <c r="I335" s="2">
        <v>33090</v>
      </c>
      <c r="J335" t="s">
        <v>1648</v>
      </c>
      <c r="K335">
        <v>2</v>
      </c>
      <c r="L335" t="s">
        <v>1649</v>
      </c>
      <c r="M335" t="s">
        <v>4204</v>
      </c>
      <c r="N335" t="s">
        <v>1650</v>
      </c>
      <c r="O335" t="s">
        <v>4205</v>
      </c>
      <c r="P335" t="s">
        <v>4206</v>
      </c>
      <c r="Q335" t="s">
        <v>4207</v>
      </c>
      <c r="R335" t="s">
        <v>4208</v>
      </c>
      <c r="S335" t="s">
        <v>4209</v>
      </c>
      <c r="T335" t="s">
        <v>4210</v>
      </c>
    </row>
    <row r="336" spans="1:20">
      <c r="A336">
        <v>335</v>
      </c>
      <c r="B336" t="s">
        <v>958</v>
      </c>
      <c r="C336" s="1">
        <v>141590</v>
      </c>
      <c r="D336" t="s">
        <v>17</v>
      </c>
      <c r="E336" t="s">
        <v>1657</v>
      </c>
      <c r="F336" t="s">
        <v>4211</v>
      </c>
      <c r="G336">
        <v>41710</v>
      </c>
      <c r="H336" t="s">
        <v>1878</v>
      </c>
      <c r="I336" s="2">
        <v>34953</v>
      </c>
      <c r="J336" t="s">
        <v>1648</v>
      </c>
      <c r="K336">
        <v>1</v>
      </c>
      <c r="L336" t="s">
        <v>1649</v>
      </c>
      <c r="M336" t="s">
        <v>1637</v>
      </c>
      <c r="N336" t="s">
        <v>1650</v>
      </c>
      <c r="O336" t="s">
        <v>4212</v>
      </c>
      <c r="P336" t="s">
        <v>4213</v>
      </c>
      <c r="Q336" t="s">
        <v>4214</v>
      </c>
      <c r="R336" t="s">
        <v>4215</v>
      </c>
      <c r="S336" t="s">
        <v>4216</v>
      </c>
      <c r="T336" t="s">
        <v>4217</v>
      </c>
    </row>
    <row r="337" spans="1:20">
      <c r="A337">
        <v>336</v>
      </c>
      <c r="B337" t="s">
        <v>959</v>
      </c>
      <c r="C337" s="1">
        <v>142274</v>
      </c>
      <c r="D337" t="s">
        <v>5</v>
      </c>
      <c r="E337" t="s">
        <v>1365</v>
      </c>
      <c r="F337" t="s">
        <v>4218</v>
      </c>
      <c r="G337">
        <v>41757</v>
      </c>
      <c r="H337" t="s">
        <v>1670</v>
      </c>
      <c r="I337" s="2">
        <v>33494</v>
      </c>
      <c r="J337" t="s">
        <v>1635</v>
      </c>
      <c r="K337">
        <v>0</v>
      </c>
      <c r="L337" t="s">
        <v>1649</v>
      </c>
      <c r="M337" t="s">
        <v>1661</v>
      </c>
      <c r="N337" t="s">
        <v>2046</v>
      </c>
      <c r="O337" t="s">
        <v>4219</v>
      </c>
      <c r="P337" t="s">
        <v>4220</v>
      </c>
      <c r="Q337" t="s">
        <v>4221</v>
      </c>
      <c r="R337" t="s">
        <v>4222</v>
      </c>
      <c r="S337" t="s">
        <v>4223</v>
      </c>
      <c r="T337" t="s">
        <v>4224</v>
      </c>
    </row>
    <row r="338" spans="1:20">
      <c r="A338">
        <v>337</v>
      </c>
      <c r="B338" t="s">
        <v>960</v>
      </c>
      <c r="C338" s="1">
        <v>83122888</v>
      </c>
      <c r="D338" t="s">
        <v>5</v>
      </c>
      <c r="E338" t="s">
        <v>1645</v>
      </c>
      <c r="F338" t="s">
        <v>4225</v>
      </c>
      <c r="G338">
        <v>41108</v>
      </c>
      <c r="H338" t="s">
        <v>4226</v>
      </c>
      <c r="I338" s="2">
        <v>34028</v>
      </c>
      <c r="J338" t="s">
        <v>1648</v>
      </c>
      <c r="K338">
        <v>0</v>
      </c>
      <c r="L338" t="s">
        <v>1649</v>
      </c>
      <c r="M338" t="s">
        <v>1661</v>
      </c>
      <c r="N338" t="s">
        <v>4227</v>
      </c>
      <c r="O338" t="s">
        <v>4228</v>
      </c>
      <c r="P338" t="s">
        <v>4229</v>
      </c>
      <c r="Q338" t="s">
        <v>4230</v>
      </c>
      <c r="R338" t="s">
        <v>4231</v>
      </c>
      <c r="S338" t="s">
        <v>4232</v>
      </c>
      <c r="T338" t="s">
        <v>4233</v>
      </c>
    </row>
    <row r="339" spans="1:20">
      <c r="A339">
        <v>338</v>
      </c>
      <c r="B339" t="s">
        <v>811</v>
      </c>
      <c r="C339" s="1">
        <v>84099267</v>
      </c>
      <c r="D339" t="s">
        <v>8</v>
      </c>
      <c r="E339" t="s">
        <v>1657</v>
      </c>
      <c r="F339" t="s">
        <v>4234</v>
      </c>
      <c r="G339">
        <v>39854</v>
      </c>
      <c r="H339" t="s">
        <v>1869</v>
      </c>
      <c r="I339" s="2">
        <v>31375</v>
      </c>
      <c r="J339" t="s">
        <v>1648</v>
      </c>
      <c r="K339">
        <v>1</v>
      </c>
      <c r="L339" t="s">
        <v>1649</v>
      </c>
      <c r="M339" t="s">
        <v>1661</v>
      </c>
      <c r="N339" t="s">
        <v>4235</v>
      </c>
      <c r="O339" t="s">
        <v>4236</v>
      </c>
      <c r="P339" t="s">
        <v>4237</v>
      </c>
      <c r="Q339" t="s">
        <v>4238</v>
      </c>
      <c r="R339" t="s">
        <v>4239</v>
      </c>
      <c r="S339" t="s">
        <v>4240</v>
      </c>
      <c r="T339" t="s">
        <v>4241</v>
      </c>
    </row>
    <row r="340" spans="1:20">
      <c r="A340">
        <v>339</v>
      </c>
      <c r="B340" t="s">
        <v>665</v>
      </c>
      <c r="C340" s="1">
        <v>251044</v>
      </c>
      <c r="D340" t="s">
        <v>12</v>
      </c>
      <c r="E340" t="s">
        <v>1657</v>
      </c>
      <c r="F340" t="s">
        <v>4075</v>
      </c>
      <c r="G340">
        <v>45793</v>
      </c>
      <c r="H340" t="s">
        <v>4242</v>
      </c>
      <c r="I340" s="2">
        <v>37282</v>
      </c>
      <c r="J340" t="s">
        <v>1635</v>
      </c>
      <c r="K340">
        <v>0</v>
      </c>
      <c r="L340" t="s">
        <v>1636</v>
      </c>
      <c r="M340" t="s">
        <v>1593</v>
      </c>
      <c r="N340" t="s">
        <v>1713</v>
      </c>
      <c r="O340" t="s">
        <v>4078</v>
      </c>
      <c r="P340" t="s">
        <v>4079</v>
      </c>
      <c r="Q340" t="s">
        <v>4080</v>
      </c>
      <c r="R340" t="s">
        <v>4079</v>
      </c>
      <c r="S340" t="s">
        <v>4243</v>
      </c>
      <c r="T340" t="s">
        <v>4244</v>
      </c>
    </row>
    <row r="341" spans="1:20">
      <c r="A341">
        <v>340</v>
      </c>
      <c r="B341" t="s">
        <v>961</v>
      </c>
      <c r="C341" s="1">
        <v>152477</v>
      </c>
      <c r="D341" t="s">
        <v>5</v>
      </c>
      <c r="E341" t="s">
        <v>1645</v>
      </c>
      <c r="F341" t="s">
        <v>4245</v>
      </c>
      <c r="G341">
        <v>42218</v>
      </c>
      <c r="H341" t="s">
        <v>1670</v>
      </c>
      <c r="I341" s="2">
        <v>32147</v>
      </c>
      <c r="J341" t="s">
        <v>1648</v>
      </c>
      <c r="K341">
        <v>2</v>
      </c>
      <c r="L341" t="s">
        <v>1649</v>
      </c>
      <c r="M341" t="s">
        <v>1661</v>
      </c>
      <c r="N341" t="s">
        <v>1739</v>
      </c>
      <c r="O341" t="s">
        <v>4246</v>
      </c>
      <c r="P341" t="s">
        <v>4247</v>
      </c>
      <c r="Q341" t="s">
        <v>4248</v>
      </c>
      <c r="R341" t="s">
        <v>4249</v>
      </c>
      <c r="S341" t="s">
        <v>4250</v>
      </c>
      <c r="T341" t="s">
        <v>4251</v>
      </c>
    </row>
    <row r="342" spans="1:20">
      <c r="A342">
        <v>341</v>
      </c>
      <c r="B342" t="s">
        <v>962</v>
      </c>
      <c r="C342" s="1">
        <v>131642</v>
      </c>
      <c r="D342" t="s">
        <v>1</v>
      </c>
      <c r="E342" t="s">
        <v>1645</v>
      </c>
      <c r="F342" t="s">
        <v>4252</v>
      </c>
      <c r="G342">
        <v>41395</v>
      </c>
      <c r="H342" t="s">
        <v>1634</v>
      </c>
      <c r="I342" s="2">
        <v>33177</v>
      </c>
      <c r="J342" t="s">
        <v>1648</v>
      </c>
      <c r="K342">
        <v>1</v>
      </c>
      <c r="L342" t="s">
        <v>1636</v>
      </c>
      <c r="M342" t="s">
        <v>1637</v>
      </c>
      <c r="N342" t="s">
        <v>1650</v>
      </c>
      <c r="O342" t="s">
        <v>1639</v>
      </c>
      <c r="P342" t="s">
        <v>4253</v>
      </c>
      <c r="Q342" t="s">
        <v>4254</v>
      </c>
      <c r="R342" t="s">
        <v>4255</v>
      </c>
      <c r="S342" t="s">
        <v>4256</v>
      </c>
      <c r="T342" t="s">
        <v>4257</v>
      </c>
    </row>
    <row r="343" spans="1:20">
      <c r="A343">
        <v>342</v>
      </c>
      <c r="B343" t="s">
        <v>963</v>
      </c>
      <c r="C343" s="1">
        <v>141441</v>
      </c>
      <c r="D343" t="s">
        <v>8</v>
      </c>
      <c r="E343" t="s">
        <v>1645</v>
      </c>
      <c r="F343" t="s">
        <v>4258</v>
      </c>
      <c r="G343">
        <v>41715</v>
      </c>
      <c r="H343" t="s">
        <v>4259</v>
      </c>
      <c r="I343" s="2">
        <v>32390</v>
      </c>
      <c r="J343" t="s">
        <v>1648</v>
      </c>
      <c r="K343">
        <v>1</v>
      </c>
      <c r="L343" t="s">
        <v>1649</v>
      </c>
      <c r="M343" t="s">
        <v>1593</v>
      </c>
      <c r="N343" t="s">
        <v>4260</v>
      </c>
      <c r="O343" t="s">
        <v>4261</v>
      </c>
      <c r="P343" t="s">
        <v>4262</v>
      </c>
      <c r="Q343" t="s">
        <v>4263</v>
      </c>
      <c r="R343" t="s">
        <v>4264</v>
      </c>
      <c r="S343" t="s">
        <v>4265</v>
      </c>
      <c r="T343" t="s">
        <v>4266</v>
      </c>
    </row>
    <row r="344" spans="1:20">
      <c r="A344">
        <v>343</v>
      </c>
      <c r="B344" t="s">
        <v>809</v>
      </c>
      <c r="C344" s="1">
        <v>84117918</v>
      </c>
      <c r="D344" t="s">
        <v>17</v>
      </c>
      <c r="E344" t="s">
        <v>1657</v>
      </c>
      <c r="F344" t="s">
        <v>3793</v>
      </c>
      <c r="G344">
        <v>39630</v>
      </c>
      <c r="H344" t="s">
        <v>1878</v>
      </c>
      <c r="I344" s="2">
        <v>31300</v>
      </c>
      <c r="J344" t="s">
        <v>1648</v>
      </c>
      <c r="K344">
        <v>3</v>
      </c>
      <c r="L344" t="s">
        <v>1649</v>
      </c>
      <c r="M344" t="s">
        <v>1828</v>
      </c>
      <c r="N344" t="s">
        <v>1671</v>
      </c>
      <c r="O344" t="s">
        <v>3794</v>
      </c>
      <c r="P344" t="s">
        <v>4267</v>
      </c>
      <c r="Q344" t="s">
        <v>3796</v>
      </c>
      <c r="R344" t="s">
        <v>4268</v>
      </c>
      <c r="S344" t="s">
        <v>3798</v>
      </c>
      <c r="T344" t="s">
        <v>3799</v>
      </c>
    </row>
    <row r="345" spans="1:20">
      <c r="A345">
        <v>344</v>
      </c>
      <c r="B345" t="s">
        <v>964</v>
      </c>
      <c r="C345" s="1">
        <v>83117266</v>
      </c>
      <c r="D345" t="s">
        <v>16</v>
      </c>
      <c r="E345" t="s">
        <v>1657</v>
      </c>
      <c r="F345" t="s">
        <v>4269</v>
      </c>
      <c r="G345">
        <v>40677</v>
      </c>
      <c r="H345" t="s">
        <v>4019</v>
      </c>
      <c r="I345" s="2">
        <v>33654</v>
      </c>
      <c r="J345" t="s">
        <v>1635</v>
      </c>
      <c r="K345">
        <v>0</v>
      </c>
      <c r="L345" t="s">
        <v>1649</v>
      </c>
      <c r="M345" t="s">
        <v>1661</v>
      </c>
      <c r="N345" t="s">
        <v>1899</v>
      </c>
      <c r="O345" t="s">
        <v>4270</v>
      </c>
      <c r="P345" t="s">
        <v>4271</v>
      </c>
      <c r="Q345" t="s">
        <v>4272</v>
      </c>
      <c r="R345" t="s">
        <v>4273</v>
      </c>
      <c r="S345" t="s">
        <v>4274</v>
      </c>
      <c r="T345" t="s">
        <v>4275</v>
      </c>
    </row>
    <row r="346" spans="1:20">
      <c r="A346">
        <v>345</v>
      </c>
      <c r="B346" t="s">
        <v>965</v>
      </c>
      <c r="C346" s="1">
        <v>221927</v>
      </c>
      <c r="D346" t="s">
        <v>5</v>
      </c>
      <c r="E346" t="s">
        <v>1657</v>
      </c>
      <c r="G346">
        <v>44746</v>
      </c>
      <c r="H346" t="s">
        <v>1738</v>
      </c>
      <c r="I346" s="2">
        <v>37673</v>
      </c>
      <c r="J346" t="s">
        <v>1635</v>
      </c>
      <c r="K346">
        <v>0</v>
      </c>
      <c r="L346" t="s">
        <v>1649</v>
      </c>
      <c r="M346" t="s">
        <v>1637</v>
      </c>
      <c r="N346" t="s">
        <v>1650</v>
      </c>
      <c r="O346" t="s">
        <v>4276</v>
      </c>
      <c r="P346" t="s">
        <v>4277</v>
      </c>
      <c r="Q346" t="s">
        <v>4278</v>
      </c>
      <c r="R346" t="s">
        <v>4279</v>
      </c>
      <c r="S346" t="s">
        <v>4280</v>
      </c>
      <c r="T346" t="s">
        <v>4281</v>
      </c>
    </row>
    <row r="347" spans="1:20">
      <c r="A347">
        <v>346</v>
      </c>
      <c r="B347" t="s">
        <v>966</v>
      </c>
      <c r="C347" s="1">
        <v>84122960</v>
      </c>
      <c r="D347" t="s">
        <v>5</v>
      </c>
      <c r="E347" t="s">
        <v>1657</v>
      </c>
      <c r="F347" t="s">
        <v>4282</v>
      </c>
      <c r="G347">
        <v>41122</v>
      </c>
      <c r="H347" t="s">
        <v>1670</v>
      </c>
      <c r="I347" s="2">
        <v>33769</v>
      </c>
      <c r="J347" t="s">
        <v>1648</v>
      </c>
      <c r="K347">
        <v>1</v>
      </c>
      <c r="L347" t="s">
        <v>1649</v>
      </c>
      <c r="M347" t="s">
        <v>1661</v>
      </c>
      <c r="N347" t="s">
        <v>2046</v>
      </c>
      <c r="O347" t="s">
        <v>4283</v>
      </c>
      <c r="P347" t="s">
        <v>4284</v>
      </c>
      <c r="Q347" t="s">
        <v>4285</v>
      </c>
      <c r="R347" t="s">
        <v>4286</v>
      </c>
      <c r="S347" t="s">
        <v>4287</v>
      </c>
      <c r="T347" t="s">
        <v>4288</v>
      </c>
    </row>
    <row r="348" spans="1:20">
      <c r="A348">
        <v>347</v>
      </c>
      <c r="B348" t="s">
        <v>612</v>
      </c>
      <c r="C348" s="1">
        <v>84088198</v>
      </c>
      <c r="D348" t="s">
        <v>8</v>
      </c>
      <c r="E348" t="s">
        <v>1365</v>
      </c>
      <c r="F348" t="s">
        <v>4289</v>
      </c>
      <c r="G348">
        <v>39721</v>
      </c>
      <c r="H348" t="s">
        <v>1721</v>
      </c>
      <c r="I348" s="2">
        <v>32914</v>
      </c>
      <c r="J348" t="s">
        <v>1635</v>
      </c>
      <c r="K348">
        <v>0</v>
      </c>
      <c r="L348" t="s">
        <v>1649</v>
      </c>
      <c r="M348" t="s">
        <v>1637</v>
      </c>
      <c r="N348" t="s">
        <v>1671</v>
      </c>
      <c r="O348" t="s">
        <v>4290</v>
      </c>
      <c r="P348" t="s">
        <v>4291</v>
      </c>
      <c r="Q348" t="s">
        <v>4292</v>
      </c>
      <c r="R348" t="s">
        <v>4293</v>
      </c>
      <c r="S348" t="s">
        <v>4294</v>
      </c>
      <c r="T348" t="s">
        <v>4295</v>
      </c>
    </row>
    <row r="349" spans="1:20">
      <c r="A349">
        <v>348</v>
      </c>
      <c r="B349" t="s">
        <v>281</v>
      </c>
      <c r="C349" s="1">
        <v>145560</v>
      </c>
      <c r="D349" t="s">
        <v>5</v>
      </c>
      <c r="E349" t="s">
        <v>1645</v>
      </c>
      <c r="F349" t="s">
        <v>4296</v>
      </c>
      <c r="G349">
        <v>41925</v>
      </c>
      <c r="H349" t="s">
        <v>1738</v>
      </c>
      <c r="I349" s="2">
        <v>33611</v>
      </c>
      <c r="J349" t="s">
        <v>1648</v>
      </c>
      <c r="K349">
        <v>1</v>
      </c>
      <c r="L349" t="s">
        <v>1649</v>
      </c>
      <c r="M349" t="s">
        <v>1637</v>
      </c>
      <c r="N349" t="s">
        <v>1671</v>
      </c>
      <c r="O349" t="s">
        <v>4297</v>
      </c>
      <c r="P349" t="s">
        <v>4298</v>
      </c>
      <c r="Q349" t="s">
        <v>4299</v>
      </c>
      <c r="R349" t="s">
        <v>4300</v>
      </c>
      <c r="S349" t="s">
        <v>4301</v>
      </c>
      <c r="T349" t="s">
        <v>4302</v>
      </c>
    </row>
    <row r="350" spans="1:20">
      <c r="A350">
        <v>349</v>
      </c>
      <c r="B350" t="s">
        <v>810</v>
      </c>
      <c r="C350" s="1">
        <v>83102211</v>
      </c>
      <c r="D350" t="s">
        <v>7</v>
      </c>
      <c r="E350" t="s">
        <v>1365</v>
      </c>
      <c r="F350" t="s">
        <v>4303</v>
      </c>
      <c r="G350">
        <v>34853</v>
      </c>
      <c r="H350" t="s">
        <v>1764</v>
      </c>
      <c r="I350" s="2">
        <v>28233</v>
      </c>
      <c r="J350" t="s">
        <v>1648</v>
      </c>
      <c r="K350">
        <v>2</v>
      </c>
      <c r="L350" t="s">
        <v>1649</v>
      </c>
      <c r="M350" t="s">
        <v>1661</v>
      </c>
      <c r="N350" t="s">
        <v>1791</v>
      </c>
      <c r="O350" t="s">
        <v>4304</v>
      </c>
      <c r="P350" t="s">
        <v>4305</v>
      </c>
      <c r="Q350" t="s">
        <v>4306</v>
      </c>
      <c r="R350" t="s">
        <v>4307</v>
      </c>
      <c r="S350" t="s">
        <v>4308</v>
      </c>
      <c r="T350" t="s">
        <v>4309</v>
      </c>
    </row>
    <row r="351" spans="1:20">
      <c r="A351">
        <v>350</v>
      </c>
      <c r="B351" t="s">
        <v>389</v>
      </c>
      <c r="C351" s="1">
        <v>83117959</v>
      </c>
      <c r="D351" t="s">
        <v>5</v>
      </c>
      <c r="E351" t="s">
        <v>1657</v>
      </c>
      <c r="F351" t="s">
        <v>4310</v>
      </c>
      <c r="G351">
        <v>40743</v>
      </c>
      <c r="H351" t="s">
        <v>1670</v>
      </c>
      <c r="I351" s="2">
        <v>33994</v>
      </c>
      <c r="J351" t="s">
        <v>1648</v>
      </c>
      <c r="K351">
        <v>2</v>
      </c>
      <c r="L351" t="s">
        <v>1649</v>
      </c>
      <c r="M351" t="s">
        <v>1661</v>
      </c>
      <c r="N351" t="s">
        <v>2011</v>
      </c>
      <c r="O351" t="s">
        <v>4311</v>
      </c>
      <c r="P351" t="s">
        <v>4312</v>
      </c>
      <c r="Q351" t="s">
        <v>4313</v>
      </c>
      <c r="R351" t="s">
        <v>4314</v>
      </c>
      <c r="S351" t="s">
        <v>4315</v>
      </c>
      <c r="T351" t="s">
        <v>4316</v>
      </c>
    </row>
    <row r="352" spans="1:20">
      <c r="A352">
        <v>351</v>
      </c>
      <c r="B352" t="s">
        <v>967</v>
      </c>
      <c r="C352" s="1">
        <v>84087817</v>
      </c>
      <c r="D352" t="s">
        <v>17</v>
      </c>
      <c r="E352" t="s">
        <v>1365</v>
      </c>
      <c r="F352" t="s">
        <v>4317</v>
      </c>
      <c r="G352">
        <v>39679</v>
      </c>
      <c r="H352" t="s">
        <v>1878</v>
      </c>
      <c r="I352" s="2">
        <v>32352</v>
      </c>
      <c r="J352" t="s">
        <v>1648</v>
      </c>
      <c r="K352">
        <v>3</v>
      </c>
      <c r="L352" t="s">
        <v>1649</v>
      </c>
      <c r="M352" t="s">
        <v>1637</v>
      </c>
      <c r="N352" t="s">
        <v>1671</v>
      </c>
      <c r="O352" t="s">
        <v>4318</v>
      </c>
      <c r="P352" t="s">
        <v>4319</v>
      </c>
      <c r="Q352" t="s">
        <v>4320</v>
      </c>
      <c r="R352" t="s">
        <v>4321</v>
      </c>
      <c r="S352" t="s">
        <v>4322</v>
      </c>
      <c r="T352" t="s">
        <v>4323</v>
      </c>
    </row>
    <row r="353" spans="1:20">
      <c r="A353">
        <v>352</v>
      </c>
      <c r="B353" t="s">
        <v>968</v>
      </c>
      <c r="C353" s="1">
        <v>162487</v>
      </c>
      <c r="D353" t="s">
        <v>16</v>
      </c>
      <c r="E353" t="s">
        <v>1657</v>
      </c>
      <c r="F353" t="s">
        <v>4324</v>
      </c>
      <c r="G353">
        <v>42671</v>
      </c>
      <c r="H353" t="s">
        <v>2251</v>
      </c>
      <c r="I353" s="2">
        <v>35218</v>
      </c>
      <c r="J353" t="s">
        <v>1648</v>
      </c>
      <c r="K353">
        <v>0</v>
      </c>
      <c r="L353" t="s">
        <v>1649</v>
      </c>
      <c r="M353" t="s">
        <v>1755</v>
      </c>
      <c r="N353" t="s">
        <v>4325</v>
      </c>
      <c r="O353" t="s">
        <v>4326</v>
      </c>
      <c r="P353" t="s">
        <v>4327</v>
      </c>
      <c r="Q353" t="s">
        <v>4328</v>
      </c>
      <c r="R353" t="s">
        <v>4329</v>
      </c>
      <c r="S353" t="s">
        <v>4330</v>
      </c>
      <c r="T353" t="s">
        <v>4331</v>
      </c>
    </row>
    <row r="354" spans="1:20">
      <c r="A354">
        <v>353</v>
      </c>
      <c r="B354" t="s">
        <v>969</v>
      </c>
      <c r="C354" s="1">
        <v>242185</v>
      </c>
      <c r="D354" t="s">
        <v>5</v>
      </c>
      <c r="E354" t="s">
        <v>1657</v>
      </c>
      <c r="F354" t="s">
        <v>4332</v>
      </c>
      <c r="G354">
        <v>45587</v>
      </c>
      <c r="H354" t="s">
        <v>1764</v>
      </c>
      <c r="I354" s="2">
        <v>38539</v>
      </c>
      <c r="J354" t="s">
        <v>1635</v>
      </c>
      <c r="K354">
        <v>0</v>
      </c>
      <c r="L354" t="s">
        <v>1649</v>
      </c>
      <c r="M354" t="s">
        <v>1661</v>
      </c>
      <c r="N354" t="s">
        <v>2011</v>
      </c>
      <c r="O354" t="s">
        <v>4333</v>
      </c>
      <c r="P354" t="s">
        <v>4334</v>
      </c>
      <c r="Q354" t="s">
        <v>4335</v>
      </c>
      <c r="R354" t="s">
        <v>4336</v>
      </c>
      <c r="S354" t="s">
        <v>4337</v>
      </c>
      <c r="T354" t="s">
        <v>4337</v>
      </c>
    </row>
    <row r="355" spans="1:20">
      <c r="A355">
        <v>354</v>
      </c>
      <c r="B355" t="s">
        <v>970</v>
      </c>
      <c r="C355" s="1">
        <v>251413</v>
      </c>
      <c r="D355" t="s">
        <v>8</v>
      </c>
      <c r="E355" t="s">
        <v>1657</v>
      </c>
      <c r="F355" t="s">
        <v>4338</v>
      </c>
      <c r="G355">
        <v>45811</v>
      </c>
      <c r="H355" t="s">
        <v>4339</v>
      </c>
      <c r="I355" s="2">
        <v>37671</v>
      </c>
      <c r="J355" t="s">
        <v>1635</v>
      </c>
      <c r="K355">
        <v>0</v>
      </c>
      <c r="L355" t="s">
        <v>1636</v>
      </c>
      <c r="M355" t="s">
        <v>1661</v>
      </c>
      <c r="N355" t="s">
        <v>4340</v>
      </c>
      <c r="O355" t="s">
        <v>4341</v>
      </c>
      <c r="P355" t="s">
        <v>4342</v>
      </c>
      <c r="Q355" t="s">
        <v>4343</v>
      </c>
      <c r="R355" t="s">
        <v>4342</v>
      </c>
      <c r="S355" t="s">
        <v>4344</v>
      </c>
      <c r="T355" t="s">
        <v>4345</v>
      </c>
    </row>
    <row r="356" spans="1:20">
      <c r="A356">
        <v>355</v>
      </c>
      <c r="B356" t="s">
        <v>704</v>
      </c>
      <c r="C356" s="1">
        <v>162494</v>
      </c>
      <c r="D356" t="s">
        <v>16</v>
      </c>
      <c r="E356" t="s">
        <v>1657</v>
      </c>
      <c r="F356" t="s">
        <v>4346</v>
      </c>
      <c r="G356">
        <v>42671</v>
      </c>
      <c r="H356" t="s">
        <v>1790</v>
      </c>
      <c r="I356" s="2">
        <v>32164</v>
      </c>
      <c r="J356" t="s">
        <v>1962</v>
      </c>
      <c r="K356">
        <v>1</v>
      </c>
      <c r="L356" t="s">
        <v>1649</v>
      </c>
      <c r="M356" t="s">
        <v>1661</v>
      </c>
      <c r="N356" t="s">
        <v>4347</v>
      </c>
      <c r="O356" t="s">
        <v>4348</v>
      </c>
      <c r="P356" t="s">
        <v>4349</v>
      </c>
      <c r="Q356" t="s">
        <v>4350</v>
      </c>
      <c r="R356" t="s">
        <v>4351</v>
      </c>
      <c r="S356" t="s">
        <v>4352</v>
      </c>
      <c r="T356" t="s">
        <v>4353</v>
      </c>
    </row>
    <row r="357" spans="1:20">
      <c r="A357">
        <v>356</v>
      </c>
      <c r="B357" t="s">
        <v>589</v>
      </c>
      <c r="C357" s="1">
        <v>183506</v>
      </c>
      <c r="D357" t="s">
        <v>8</v>
      </c>
      <c r="E357" t="s">
        <v>1645</v>
      </c>
      <c r="F357" t="s">
        <v>4354</v>
      </c>
      <c r="G357">
        <v>43389</v>
      </c>
      <c r="H357" t="s">
        <v>4355</v>
      </c>
      <c r="I357" s="2">
        <v>35747</v>
      </c>
      <c r="J357" t="s">
        <v>1648</v>
      </c>
      <c r="K357">
        <v>1</v>
      </c>
      <c r="L357" t="s">
        <v>1649</v>
      </c>
      <c r="M357" t="s">
        <v>1661</v>
      </c>
      <c r="N357" t="s">
        <v>4356</v>
      </c>
      <c r="O357" t="s">
        <v>4357</v>
      </c>
      <c r="P357" t="s">
        <v>4358</v>
      </c>
      <c r="Q357" t="s">
        <v>4359</v>
      </c>
      <c r="R357" t="s">
        <v>4360</v>
      </c>
      <c r="S357" t="s">
        <v>4361</v>
      </c>
      <c r="T357" t="s">
        <v>4362</v>
      </c>
    </row>
    <row r="358" spans="1:20">
      <c r="A358">
        <v>357</v>
      </c>
      <c r="B358" t="s">
        <v>705</v>
      </c>
      <c r="C358" s="1">
        <v>162495</v>
      </c>
      <c r="D358" t="s">
        <v>16</v>
      </c>
      <c r="E358" t="s">
        <v>1657</v>
      </c>
      <c r="F358" t="s">
        <v>4363</v>
      </c>
      <c r="G358">
        <v>42671</v>
      </c>
      <c r="H358" t="s">
        <v>1790</v>
      </c>
      <c r="I358" s="2">
        <v>31837</v>
      </c>
      <c r="J358" t="s">
        <v>1648</v>
      </c>
      <c r="K358">
        <v>0</v>
      </c>
      <c r="L358" t="s">
        <v>1649</v>
      </c>
      <c r="M358" t="s">
        <v>1637</v>
      </c>
      <c r="N358" t="s">
        <v>1650</v>
      </c>
      <c r="O358" t="s">
        <v>4364</v>
      </c>
      <c r="P358" t="s">
        <v>4365</v>
      </c>
      <c r="Q358" t="s">
        <v>4366</v>
      </c>
      <c r="R358" t="s">
        <v>4367</v>
      </c>
      <c r="S358" t="s">
        <v>4368</v>
      </c>
      <c r="T358" t="s">
        <v>4369</v>
      </c>
    </row>
    <row r="359" spans="1:20">
      <c r="A359">
        <v>358</v>
      </c>
      <c r="B359" t="s">
        <v>971</v>
      </c>
      <c r="C359" s="1">
        <v>83103440</v>
      </c>
      <c r="D359" t="s">
        <v>4</v>
      </c>
      <c r="E359" t="s">
        <v>1657</v>
      </c>
      <c r="F359" t="s">
        <v>4370</v>
      </c>
      <c r="G359">
        <v>40386</v>
      </c>
      <c r="H359" t="s">
        <v>4043</v>
      </c>
      <c r="I359" s="2">
        <v>33044</v>
      </c>
      <c r="J359" t="s">
        <v>1648</v>
      </c>
      <c r="K359">
        <v>1</v>
      </c>
      <c r="L359" t="s">
        <v>1649</v>
      </c>
      <c r="M359" t="s">
        <v>1637</v>
      </c>
      <c r="N359" t="s">
        <v>2371</v>
      </c>
      <c r="O359" t="s">
        <v>4371</v>
      </c>
      <c r="P359" t="s">
        <v>4372</v>
      </c>
      <c r="Q359" t="s">
        <v>4373</v>
      </c>
      <c r="R359" t="s">
        <v>4374</v>
      </c>
      <c r="S359" t="s">
        <v>4375</v>
      </c>
      <c r="T359" t="s">
        <v>4376</v>
      </c>
    </row>
    <row r="360" spans="1:20">
      <c r="A360">
        <v>359</v>
      </c>
      <c r="B360" t="s">
        <v>972</v>
      </c>
      <c r="C360" s="1">
        <v>83121091</v>
      </c>
      <c r="D360" t="s">
        <v>16</v>
      </c>
      <c r="E360" t="s">
        <v>1657</v>
      </c>
      <c r="F360" t="s">
        <v>4377</v>
      </c>
      <c r="G360">
        <v>41008</v>
      </c>
      <c r="H360" t="s">
        <v>1790</v>
      </c>
      <c r="I360" s="2">
        <v>32333</v>
      </c>
      <c r="J360" t="s">
        <v>1635</v>
      </c>
      <c r="K360">
        <v>0</v>
      </c>
      <c r="L360" t="s">
        <v>1649</v>
      </c>
      <c r="M360" t="s">
        <v>1661</v>
      </c>
      <c r="N360" t="s">
        <v>1791</v>
      </c>
      <c r="O360" t="s">
        <v>4378</v>
      </c>
      <c r="P360" t="s">
        <v>4379</v>
      </c>
      <c r="Q360" t="s">
        <v>4380</v>
      </c>
      <c r="R360" t="s">
        <v>4381</v>
      </c>
      <c r="S360" t="s">
        <v>4382</v>
      </c>
      <c r="T360" t="s">
        <v>4383</v>
      </c>
    </row>
    <row r="361" spans="1:20">
      <c r="A361">
        <v>360</v>
      </c>
      <c r="B361" t="s">
        <v>973</v>
      </c>
      <c r="C361" s="1">
        <v>242165</v>
      </c>
      <c r="D361" t="s">
        <v>5</v>
      </c>
      <c r="E361" t="s">
        <v>1657</v>
      </c>
      <c r="F361" t="s">
        <v>4384</v>
      </c>
      <c r="G361">
        <v>45945</v>
      </c>
      <c r="H361" t="s">
        <v>4385</v>
      </c>
      <c r="I361" s="2">
        <v>45945</v>
      </c>
      <c r="J361" t="s">
        <v>1635</v>
      </c>
      <c r="K361">
        <v>0</v>
      </c>
      <c r="L361" t="s">
        <v>1649</v>
      </c>
      <c r="M361" t="s">
        <v>1755</v>
      </c>
      <c r="N361" t="s">
        <v>2011</v>
      </c>
      <c r="O361" t="s">
        <v>4386</v>
      </c>
      <c r="P361" t="s">
        <v>4387</v>
      </c>
      <c r="Q361" t="s">
        <v>4388</v>
      </c>
      <c r="R361" t="s">
        <v>4389</v>
      </c>
      <c r="S361" t="s">
        <v>4390</v>
      </c>
      <c r="T361" t="s">
        <v>4391</v>
      </c>
    </row>
    <row r="362" spans="1:20">
      <c r="A362">
        <v>361</v>
      </c>
      <c r="B362" t="s">
        <v>653</v>
      </c>
      <c r="C362" s="1">
        <v>83117673</v>
      </c>
      <c r="D362" t="s">
        <v>12</v>
      </c>
      <c r="E362" t="s">
        <v>1657</v>
      </c>
      <c r="F362" t="s">
        <v>4392</v>
      </c>
      <c r="G362">
        <v>40725</v>
      </c>
      <c r="H362" t="s">
        <v>4076</v>
      </c>
      <c r="I362" s="2">
        <v>28740</v>
      </c>
      <c r="J362" t="s">
        <v>1648</v>
      </c>
      <c r="K362">
        <v>0</v>
      </c>
      <c r="L362" t="s">
        <v>1636</v>
      </c>
      <c r="M362" t="s">
        <v>1661</v>
      </c>
      <c r="N362" t="s">
        <v>4393</v>
      </c>
      <c r="O362" t="s">
        <v>4394</v>
      </c>
      <c r="P362" t="s">
        <v>4395</v>
      </c>
      <c r="Q362" t="s">
        <v>4396</v>
      </c>
      <c r="R362" t="s">
        <v>4397</v>
      </c>
      <c r="S362" t="s">
        <v>4398</v>
      </c>
      <c r="T362" t="s">
        <v>4399</v>
      </c>
    </row>
    <row r="363" spans="1:20">
      <c r="A363">
        <v>362</v>
      </c>
      <c r="B363" t="s">
        <v>408</v>
      </c>
      <c r="C363" s="1">
        <v>83119926</v>
      </c>
      <c r="D363" t="s">
        <v>5</v>
      </c>
      <c r="E363" t="s">
        <v>1657</v>
      </c>
      <c r="F363" t="s">
        <v>4400</v>
      </c>
      <c r="G363">
        <v>40903</v>
      </c>
      <c r="H363" t="s">
        <v>1670</v>
      </c>
      <c r="I363" s="2">
        <v>28822</v>
      </c>
      <c r="J363" t="s">
        <v>1648</v>
      </c>
      <c r="K363">
        <v>2</v>
      </c>
      <c r="L363" t="s">
        <v>1649</v>
      </c>
      <c r="M363" t="s">
        <v>1637</v>
      </c>
      <c r="N363" t="s">
        <v>1671</v>
      </c>
      <c r="O363" t="s">
        <v>4401</v>
      </c>
      <c r="P363" t="s">
        <v>4402</v>
      </c>
      <c r="Q363" t="s">
        <v>4403</v>
      </c>
      <c r="R363" t="s">
        <v>4404</v>
      </c>
      <c r="S363" t="s">
        <v>4405</v>
      </c>
      <c r="T363" t="s">
        <v>4406</v>
      </c>
    </row>
    <row r="364" spans="1:20">
      <c r="A364">
        <v>363</v>
      </c>
      <c r="B364" t="s">
        <v>770</v>
      </c>
      <c r="C364" s="1">
        <v>141589</v>
      </c>
      <c r="D364" t="s">
        <v>17</v>
      </c>
      <c r="E364" t="s">
        <v>1657</v>
      </c>
      <c r="F364" t="s">
        <v>4407</v>
      </c>
      <c r="G364">
        <v>41710</v>
      </c>
      <c r="H364" t="s">
        <v>1878</v>
      </c>
      <c r="I364" s="2">
        <v>32592</v>
      </c>
      <c r="J364" t="s">
        <v>1648</v>
      </c>
      <c r="K364">
        <v>3</v>
      </c>
      <c r="L364" t="s">
        <v>1649</v>
      </c>
      <c r="M364" t="s">
        <v>1637</v>
      </c>
      <c r="N364" t="s">
        <v>1671</v>
      </c>
      <c r="O364" t="s">
        <v>4408</v>
      </c>
      <c r="P364" t="s">
        <v>4409</v>
      </c>
      <c r="Q364" t="s">
        <v>4410</v>
      </c>
      <c r="R364" t="s">
        <v>4411</v>
      </c>
      <c r="S364" t="s">
        <v>4412</v>
      </c>
      <c r="T364" t="s">
        <v>4413</v>
      </c>
    </row>
    <row r="365" spans="1:20">
      <c r="A365">
        <v>364</v>
      </c>
      <c r="B365" t="s">
        <v>380</v>
      </c>
      <c r="C365" s="1">
        <v>141878</v>
      </c>
      <c r="D365" t="s">
        <v>2514</v>
      </c>
      <c r="E365" t="s">
        <v>1657</v>
      </c>
      <c r="F365" t="s">
        <v>4414</v>
      </c>
      <c r="G365">
        <v>45852</v>
      </c>
      <c r="H365" t="s">
        <v>2726</v>
      </c>
      <c r="I365" s="2">
        <v>32448</v>
      </c>
      <c r="J365" t="s">
        <v>1635</v>
      </c>
      <c r="K365">
        <v>0</v>
      </c>
      <c r="L365" t="s">
        <v>1649</v>
      </c>
      <c r="M365" t="s">
        <v>2217</v>
      </c>
      <c r="N365" t="s">
        <v>1662</v>
      </c>
      <c r="O365" t="s">
        <v>4415</v>
      </c>
      <c r="P365" t="s">
        <v>4416</v>
      </c>
      <c r="Q365" t="s">
        <v>4417</v>
      </c>
      <c r="R365" t="s">
        <v>4418</v>
      </c>
      <c r="S365" t="s">
        <v>4419</v>
      </c>
      <c r="T365" t="s">
        <v>4420</v>
      </c>
    </row>
    <row r="366" spans="1:20">
      <c r="A366">
        <v>365</v>
      </c>
      <c r="B366" t="s">
        <v>730</v>
      </c>
      <c r="C366" s="1">
        <v>162500</v>
      </c>
      <c r="D366" t="s">
        <v>16</v>
      </c>
      <c r="E366" t="s">
        <v>1657</v>
      </c>
      <c r="F366" t="s">
        <v>4421</v>
      </c>
      <c r="G366">
        <v>42671</v>
      </c>
      <c r="H366" t="s">
        <v>1790</v>
      </c>
      <c r="I366" s="2">
        <v>34736</v>
      </c>
      <c r="J366" t="s">
        <v>1648</v>
      </c>
      <c r="K366">
        <v>1</v>
      </c>
      <c r="L366" t="s">
        <v>1649</v>
      </c>
      <c r="M366" t="s">
        <v>1637</v>
      </c>
      <c r="N366" t="s">
        <v>1671</v>
      </c>
      <c r="O366" t="s">
        <v>4422</v>
      </c>
      <c r="P366" t="s">
        <v>4423</v>
      </c>
      <c r="Q366" t="s">
        <v>4424</v>
      </c>
      <c r="R366" t="s">
        <v>4425</v>
      </c>
      <c r="S366" t="s">
        <v>4426</v>
      </c>
      <c r="T366" t="s">
        <v>4427</v>
      </c>
    </row>
    <row r="367" spans="1:20">
      <c r="A367">
        <v>366</v>
      </c>
      <c r="B367" t="s">
        <v>974</v>
      </c>
      <c r="C367" s="1">
        <v>131847</v>
      </c>
      <c r="D367" t="s">
        <v>2514</v>
      </c>
      <c r="E367" t="s">
        <v>1645</v>
      </c>
      <c r="F367" t="s">
        <v>4428</v>
      </c>
      <c r="G367">
        <v>41410</v>
      </c>
      <c r="H367" t="s">
        <v>2323</v>
      </c>
      <c r="I367" s="2">
        <v>33759</v>
      </c>
      <c r="J367" t="s">
        <v>1648</v>
      </c>
      <c r="K367">
        <v>1</v>
      </c>
      <c r="L367" t="s">
        <v>1649</v>
      </c>
      <c r="M367" t="s">
        <v>1661</v>
      </c>
      <c r="N367" t="s">
        <v>4429</v>
      </c>
      <c r="O367" t="s">
        <v>4430</v>
      </c>
      <c r="P367" t="s">
        <v>4431</v>
      </c>
      <c r="Q367" t="s">
        <v>4432</v>
      </c>
      <c r="R367" t="s">
        <v>4433</v>
      </c>
      <c r="S367" t="s">
        <v>4434</v>
      </c>
      <c r="T367" t="s">
        <v>4435</v>
      </c>
    </row>
    <row r="368" spans="1:20">
      <c r="A368">
        <v>367</v>
      </c>
      <c r="B368" t="s">
        <v>975</v>
      </c>
      <c r="C368" s="1">
        <v>242209</v>
      </c>
      <c r="D368" t="s">
        <v>5</v>
      </c>
      <c r="E368" t="s">
        <v>1657</v>
      </c>
      <c r="F368" t="s">
        <v>4436</v>
      </c>
      <c r="G368">
        <v>45588</v>
      </c>
      <c r="H368" t="s">
        <v>2613</v>
      </c>
      <c r="I368" s="2">
        <v>38790</v>
      </c>
      <c r="J368" t="s">
        <v>1635</v>
      </c>
      <c r="K368">
        <v>0</v>
      </c>
      <c r="L368" t="s">
        <v>1649</v>
      </c>
      <c r="M368" t="s">
        <v>1661</v>
      </c>
      <c r="N368" t="s">
        <v>2011</v>
      </c>
      <c r="O368" t="s">
        <v>4437</v>
      </c>
      <c r="P368" t="s">
        <v>4438</v>
      </c>
      <c r="Q368" t="s">
        <v>4439</v>
      </c>
      <c r="R368" t="s">
        <v>4440</v>
      </c>
      <c r="S368" t="s">
        <v>4441</v>
      </c>
      <c r="T368" t="s">
        <v>4442</v>
      </c>
    </row>
    <row r="369" spans="1:20">
      <c r="A369">
        <v>368</v>
      </c>
      <c r="B369" t="s">
        <v>792</v>
      </c>
      <c r="C369" s="1">
        <v>84124082</v>
      </c>
      <c r="D369" t="s">
        <v>17</v>
      </c>
      <c r="E369" t="s">
        <v>1657</v>
      </c>
      <c r="F369" t="s">
        <v>4443</v>
      </c>
      <c r="G369">
        <v>41197</v>
      </c>
      <c r="H369" t="s">
        <v>4444</v>
      </c>
      <c r="I369" s="2">
        <v>33156</v>
      </c>
      <c r="J369" t="s">
        <v>1648</v>
      </c>
      <c r="K369">
        <v>2</v>
      </c>
      <c r="L369" t="s">
        <v>1649</v>
      </c>
      <c r="M369" t="s">
        <v>1661</v>
      </c>
      <c r="N369" t="s">
        <v>3778</v>
      </c>
      <c r="O369" t="s">
        <v>3588</v>
      </c>
      <c r="P369" t="s">
        <v>4445</v>
      </c>
      <c r="Q369" t="s">
        <v>4446</v>
      </c>
      <c r="R369" t="s">
        <v>4447</v>
      </c>
      <c r="S369" t="s">
        <v>4448</v>
      </c>
      <c r="T369" t="s">
        <v>4449</v>
      </c>
    </row>
    <row r="370" spans="1:20">
      <c r="A370">
        <v>369</v>
      </c>
      <c r="B370" t="s">
        <v>762</v>
      </c>
      <c r="C370" s="1">
        <v>83117892</v>
      </c>
      <c r="D370" t="s">
        <v>17</v>
      </c>
      <c r="E370" t="s">
        <v>1365</v>
      </c>
      <c r="F370" t="s">
        <v>4450</v>
      </c>
      <c r="G370">
        <v>39630</v>
      </c>
      <c r="H370" t="s">
        <v>4451</v>
      </c>
      <c r="I370" s="2">
        <v>31846</v>
      </c>
      <c r="J370" t="s">
        <v>1648</v>
      </c>
      <c r="K370">
        <v>5</v>
      </c>
      <c r="L370" t="s">
        <v>1649</v>
      </c>
      <c r="M370" t="s">
        <v>1637</v>
      </c>
      <c r="N370" t="s">
        <v>1671</v>
      </c>
      <c r="O370" t="s">
        <v>4452</v>
      </c>
      <c r="P370" t="s">
        <v>4453</v>
      </c>
      <c r="Q370" t="s">
        <v>4454</v>
      </c>
      <c r="R370" t="s">
        <v>4455</v>
      </c>
      <c r="S370" t="s">
        <v>4456</v>
      </c>
      <c r="T370" t="s">
        <v>4457</v>
      </c>
    </row>
    <row r="371" spans="1:20">
      <c r="A371">
        <v>370</v>
      </c>
      <c r="B371" t="s">
        <v>262</v>
      </c>
      <c r="C371" s="1">
        <v>145568</v>
      </c>
      <c r="D371" t="s">
        <v>5</v>
      </c>
      <c r="E371" t="s">
        <v>1645</v>
      </c>
      <c r="F371" t="s">
        <v>4458</v>
      </c>
      <c r="G371">
        <v>41925</v>
      </c>
      <c r="H371" t="s">
        <v>1670</v>
      </c>
      <c r="I371" s="2">
        <v>33747</v>
      </c>
      <c r="J371" t="s">
        <v>1648</v>
      </c>
      <c r="K371">
        <v>1</v>
      </c>
      <c r="L371" t="s">
        <v>1649</v>
      </c>
      <c r="M371" t="s">
        <v>1661</v>
      </c>
      <c r="N371" t="s">
        <v>1853</v>
      </c>
      <c r="O371" t="s">
        <v>4459</v>
      </c>
      <c r="P371" t="s">
        <v>4460</v>
      </c>
      <c r="Q371" t="s">
        <v>4461</v>
      </c>
      <c r="R371" t="s">
        <v>4462</v>
      </c>
      <c r="S371" t="s">
        <v>4463</v>
      </c>
      <c r="T371" t="s">
        <v>4464</v>
      </c>
    </row>
    <row r="372" spans="1:20">
      <c r="A372">
        <v>371</v>
      </c>
      <c r="B372" t="s">
        <v>362</v>
      </c>
      <c r="C372" s="1">
        <v>83117968</v>
      </c>
      <c r="D372" t="s">
        <v>4465</v>
      </c>
      <c r="E372" t="s">
        <v>1657</v>
      </c>
      <c r="F372" t="s">
        <v>4466</v>
      </c>
      <c r="G372">
        <v>40743</v>
      </c>
      <c r="H372" t="s">
        <v>1738</v>
      </c>
      <c r="I372" s="2">
        <v>30805</v>
      </c>
      <c r="J372" t="s">
        <v>1648</v>
      </c>
      <c r="K372">
        <v>3</v>
      </c>
      <c r="L372" t="s">
        <v>1649</v>
      </c>
      <c r="M372" t="s">
        <v>1637</v>
      </c>
      <c r="N372" t="s">
        <v>2371</v>
      </c>
      <c r="O372" t="s">
        <v>4467</v>
      </c>
      <c r="P372" t="s">
        <v>4468</v>
      </c>
      <c r="Q372" t="s">
        <v>4469</v>
      </c>
      <c r="R372" t="s">
        <v>4470</v>
      </c>
      <c r="S372" t="s">
        <v>4471</v>
      </c>
      <c r="T372" t="s">
        <v>4468</v>
      </c>
    </row>
    <row r="373" spans="1:20">
      <c r="A373">
        <v>372</v>
      </c>
      <c r="B373" t="s">
        <v>405</v>
      </c>
      <c r="C373" s="1">
        <v>83102200</v>
      </c>
      <c r="D373" t="s">
        <v>5</v>
      </c>
      <c r="E373" t="s">
        <v>1657</v>
      </c>
      <c r="F373" t="s">
        <v>4472</v>
      </c>
      <c r="G373">
        <v>40283</v>
      </c>
      <c r="H373" t="s">
        <v>1670</v>
      </c>
      <c r="I373" s="2">
        <v>32698</v>
      </c>
      <c r="J373" t="s">
        <v>1648</v>
      </c>
      <c r="K373">
        <v>2</v>
      </c>
      <c r="L373" t="s">
        <v>1649</v>
      </c>
      <c r="M373" t="s">
        <v>1637</v>
      </c>
      <c r="N373" t="s">
        <v>1671</v>
      </c>
      <c r="O373" t="s">
        <v>4473</v>
      </c>
      <c r="P373" t="s">
        <v>4474</v>
      </c>
      <c r="Q373" t="s">
        <v>4475</v>
      </c>
      <c r="R373" t="s">
        <v>4476</v>
      </c>
      <c r="S373" t="s">
        <v>4477</v>
      </c>
      <c r="T373" t="s">
        <v>4478</v>
      </c>
    </row>
    <row r="374" spans="1:20">
      <c r="A374">
        <v>373</v>
      </c>
      <c r="B374" t="s">
        <v>976</v>
      </c>
      <c r="C374" s="1">
        <v>83040046</v>
      </c>
      <c r="D374" t="s">
        <v>5</v>
      </c>
      <c r="E374" t="s">
        <v>1657</v>
      </c>
      <c r="F374" t="s">
        <v>4479</v>
      </c>
      <c r="G374">
        <v>37865</v>
      </c>
      <c r="H374" t="s">
        <v>1738</v>
      </c>
      <c r="I374" s="2">
        <v>28949</v>
      </c>
      <c r="J374" t="s">
        <v>1648</v>
      </c>
      <c r="K374">
        <v>2</v>
      </c>
      <c r="L374" t="s">
        <v>1649</v>
      </c>
      <c r="M374" t="s">
        <v>4480</v>
      </c>
      <c r="N374" t="s">
        <v>1671</v>
      </c>
      <c r="O374" t="s">
        <v>4481</v>
      </c>
      <c r="P374" t="s">
        <v>4482</v>
      </c>
      <c r="Q374" t="s">
        <v>4483</v>
      </c>
      <c r="R374" t="s">
        <v>4484</v>
      </c>
      <c r="S374" t="s">
        <v>4485</v>
      </c>
      <c r="T374" t="s">
        <v>4486</v>
      </c>
    </row>
    <row r="375" spans="1:20">
      <c r="A375">
        <v>374</v>
      </c>
      <c r="B375" t="s">
        <v>811</v>
      </c>
      <c r="C375" s="1">
        <v>84099267</v>
      </c>
      <c r="D375" t="s">
        <v>8</v>
      </c>
      <c r="E375" t="s">
        <v>1657</v>
      </c>
      <c r="F375" t="s">
        <v>4234</v>
      </c>
      <c r="G375">
        <v>39854</v>
      </c>
      <c r="H375" t="s">
        <v>1721</v>
      </c>
      <c r="I375" s="2">
        <v>31375</v>
      </c>
      <c r="J375" t="s">
        <v>1648</v>
      </c>
      <c r="K375">
        <v>1</v>
      </c>
      <c r="L375" t="s">
        <v>1649</v>
      </c>
      <c r="M375" t="s">
        <v>1661</v>
      </c>
      <c r="N375" t="s">
        <v>2507</v>
      </c>
      <c r="O375" t="s">
        <v>4236</v>
      </c>
      <c r="P375" t="s">
        <v>4237</v>
      </c>
      <c r="Q375" t="s">
        <v>4238</v>
      </c>
      <c r="R375" t="s">
        <v>4239</v>
      </c>
      <c r="S375" t="s">
        <v>4240</v>
      </c>
      <c r="T375" t="s">
        <v>4487</v>
      </c>
    </row>
    <row r="376" spans="1:20">
      <c r="A376">
        <v>375</v>
      </c>
      <c r="B376" t="s">
        <v>977</v>
      </c>
      <c r="C376" s="1">
        <v>145063</v>
      </c>
      <c r="D376" t="s">
        <v>12</v>
      </c>
      <c r="E376" t="s">
        <v>1657</v>
      </c>
      <c r="F376" t="s">
        <v>4488</v>
      </c>
      <c r="G376">
        <v>41887</v>
      </c>
      <c r="H376" t="s">
        <v>4489</v>
      </c>
      <c r="I376" s="2">
        <v>27623</v>
      </c>
      <c r="J376" t="s">
        <v>1648</v>
      </c>
      <c r="K376">
        <v>1</v>
      </c>
      <c r="L376" t="s">
        <v>1636</v>
      </c>
      <c r="M376" t="s">
        <v>1637</v>
      </c>
      <c r="N376" t="s">
        <v>1671</v>
      </c>
      <c r="O376" t="s">
        <v>4490</v>
      </c>
      <c r="P376" t="s">
        <v>4491</v>
      </c>
      <c r="Q376" t="s">
        <v>4492</v>
      </c>
      <c r="R376" t="s">
        <v>4493</v>
      </c>
      <c r="S376" t="s">
        <v>4494</v>
      </c>
      <c r="T376" t="s">
        <v>4495</v>
      </c>
    </row>
    <row r="377" spans="1:20">
      <c r="A377">
        <v>376</v>
      </c>
      <c r="B377" t="s">
        <v>978</v>
      </c>
      <c r="C377" s="1">
        <v>145346</v>
      </c>
      <c r="D377" t="s">
        <v>5</v>
      </c>
      <c r="E377" t="s">
        <v>1645</v>
      </c>
      <c r="F377" t="s">
        <v>4496</v>
      </c>
      <c r="G377">
        <v>45863</v>
      </c>
      <c r="H377" t="s">
        <v>3477</v>
      </c>
      <c r="I377" s="2">
        <v>35208</v>
      </c>
      <c r="J377" t="s">
        <v>1648</v>
      </c>
      <c r="K377">
        <v>1</v>
      </c>
      <c r="L377" t="s">
        <v>1649</v>
      </c>
      <c r="M377" t="s">
        <v>1661</v>
      </c>
      <c r="N377" t="s">
        <v>4497</v>
      </c>
      <c r="O377" t="s">
        <v>4498</v>
      </c>
      <c r="P377" t="s">
        <v>4499</v>
      </c>
      <c r="Q377" t="s">
        <v>4500</v>
      </c>
      <c r="R377" t="s">
        <v>4501</v>
      </c>
      <c r="S377" t="s">
        <v>4502</v>
      </c>
      <c r="T377" t="s">
        <v>4503</v>
      </c>
    </row>
    <row r="378" spans="1:20">
      <c r="A378">
        <v>377</v>
      </c>
      <c r="B378" t="s">
        <v>441</v>
      </c>
      <c r="C378" s="1">
        <v>83120032</v>
      </c>
      <c r="D378" t="s">
        <v>5</v>
      </c>
      <c r="E378" t="s">
        <v>1657</v>
      </c>
      <c r="F378" t="s">
        <v>4504</v>
      </c>
      <c r="G378">
        <v>41277</v>
      </c>
      <c r="H378" t="s">
        <v>2613</v>
      </c>
      <c r="I378" s="2">
        <v>33800</v>
      </c>
      <c r="J378" t="s">
        <v>1648</v>
      </c>
      <c r="K378">
        <v>1</v>
      </c>
      <c r="L378" t="s">
        <v>1649</v>
      </c>
      <c r="M378" t="s">
        <v>1637</v>
      </c>
      <c r="N378" t="s">
        <v>1650</v>
      </c>
      <c r="O378" t="s">
        <v>4505</v>
      </c>
      <c r="P378" t="s">
        <v>4506</v>
      </c>
      <c r="Q378" t="s">
        <v>4507</v>
      </c>
      <c r="R378" t="s">
        <v>4508</v>
      </c>
      <c r="S378" t="s">
        <v>4509</v>
      </c>
      <c r="T378" t="s">
        <v>4510</v>
      </c>
    </row>
    <row r="379" spans="1:20">
      <c r="A379">
        <v>378</v>
      </c>
      <c r="B379" t="s">
        <v>979</v>
      </c>
      <c r="C379" s="1">
        <v>145540</v>
      </c>
      <c r="D379" t="s">
        <v>5</v>
      </c>
      <c r="E379" t="s">
        <v>1645</v>
      </c>
      <c r="F379" t="s">
        <v>4511</v>
      </c>
      <c r="G379">
        <v>41925</v>
      </c>
      <c r="H379" t="s">
        <v>1670</v>
      </c>
      <c r="I379" s="2">
        <v>27771</v>
      </c>
      <c r="J379" t="s">
        <v>1648</v>
      </c>
      <c r="K379">
        <v>3</v>
      </c>
      <c r="L379" t="s">
        <v>1649</v>
      </c>
      <c r="M379" t="s">
        <v>1637</v>
      </c>
      <c r="N379" t="s">
        <v>1671</v>
      </c>
      <c r="O379" t="s">
        <v>4512</v>
      </c>
      <c r="P379" t="s">
        <v>4513</v>
      </c>
      <c r="Q379" t="s">
        <v>4514</v>
      </c>
      <c r="R379" t="s">
        <v>4515</v>
      </c>
      <c r="S379" t="s">
        <v>4516</v>
      </c>
      <c r="T379" t="s">
        <v>4517</v>
      </c>
    </row>
    <row r="380" spans="1:20">
      <c r="A380">
        <v>379</v>
      </c>
      <c r="B380" t="s">
        <v>980</v>
      </c>
      <c r="C380" s="1">
        <v>152596</v>
      </c>
      <c r="D380" t="s">
        <v>5</v>
      </c>
      <c r="E380" t="s">
        <v>1657</v>
      </c>
      <c r="F380" t="s">
        <v>4518</v>
      </c>
      <c r="G380">
        <v>45849</v>
      </c>
      <c r="H380" t="s">
        <v>3477</v>
      </c>
      <c r="I380" s="2">
        <v>30813</v>
      </c>
      <c r="J380" t="s">
        <v>1648</v>
      </c>
      <c r="K380">
        <v>1</v>
      </c>
      <c r="L380" t="s">
        <v>1649</v>
      </c>
      <c r="M380" t="s">
        <v>4519</v>
      </c>
      <c r="N380" t="s">
        <v>2028</v>
      </c>
      <c r="O380" t="s">
        <v>4520</v>
      </c>
      <c r="P380" t="s">
        <v>4521</v>
      </c>
      <c r="Q380" t="s">
        <v>4522</v>
      </c>
      <c r="R380" t="s">
        <v>4523</v>
      </c>
      <c r="S380" t="s">
        <v>4524</v>
      </c>
      <c r="T380" t="s">
        <v>4525</v>
      </c>
    </row>
    <row r="381" spans="1:20">
      <c r="A381">
        <v>380</v>
      </c>
      <c r="B381" t="s">
        <v>380</v>
      </c>
      <c r="C381" s="1">
        <v>141878</v>
      </c>
      <c r="D381" t="s">
        <v>2514</v>
      </c>
      <c r="E381" t="s">
        <v>1657</v>
      </c>
      <c r="F381" t="s">
        <v>4414</v>
      </c>
      <c r="G381">
        <v>41767</v>
      </c>
      <c r="H381" t="s">
        <v>1670</v>
      </c>
      <c r="I381" s="2">
        <v>32448</v>
      </c>
      <c r="J381" t="s">
        <v>1635</v>
      </c>
      <c r="K381">
        <v>0</v>
      </c>
      <c r="L381" t="s">
        <v>1649</v>
      </c>
      <c r="M381" t="s">
        <v>1661</v>
      </c>
      <c r="N381" t="s">
        <v>4526</v>
      </c>
      <c r="O381" t="s">
        <v>4415</v>
      </c>
      <c r="P381" t="s">
        <v>4416</v>
      </c>
      <c r="Q381" t="s">
        <v>4417</v>
      </c>
      <c r="R381" t="s">
        <v>4418</v>
      </c>
      <c r="S381" t="s">
        <v>4419</v>
      </c>
      <c r="T381" t="s">
        <v>4420</v>
      </c>
    </row>
    <row r="382" spans="1:20">
      <c r="A382">
        <v>381</v>
      </c>
      <c r="B382" t="s">
        <v>354</v>
      </c>
      <c r="C382" s="1">
        <v>83102177</v>
      </c>
      <c r="D382" t="s">
        <v>5</v>
      </c>
      <c r="E382" t="s">
        <v>1657</v>
      </c>
      <c r="F382" t="s">
        <v>4527</v>
      </c>
      <c r="G382">
        <v>40283</v>
      </c>
      <c r="H382" t="s">
        <v>1670</v>
      </c>
      <c r="I382" s="2">
        <v>32878</v>
      </c>
      <c r="J382" t="s">
        <v>1635</v>
      </c>
      <c r="K382">
        <v>0</v>
      </c>
      <c r="L382" t="s">
        <v>1649</v>
      </c>
      <c r="M382" t="s">
        <v>1637</v>
      </c>
      <c r="N382" t="s">
        <v>1650</v>
      </c>
      <c r="O382" t="s">
        <v>4528</v>
      </c>
      <c r="P382" t="s">
        <v>4529</v>
      </c>
      <c r="Q382" t="s">
        <v>4530</v>
      </c>
      <c r="R382" t="s">
        <v>4531</v>
      </c>
      <c r="S382" t="s">
        <v>4532</v>
      </c>
      <c r="T382" t="s">
        <v>4533</v>
      </c>
    </row>
    <row r="383" spans="1:20">
      <c r="A383">
        <v>382</v>
      </c>
      <c r="B383" t="s">
        <v>780</v>
      </c>
      <c r="C383" s="1">
        <v>83117914</v>
      </c>
      <c r="D383" t="s">
        <v>17</v>
      </c>
      <c r="E383" t="s">
        <v>1657</v>
      </c>
      <c r="F383" t="s">
        <v>4534</v>
      </c>
      <c r="G383">
        <v>39630</v>
      </c>
      <c r="H383" t="s">
        <v>1878</v>
      </c>
      <c r="I383" s="2">
        <v>30869</v>
      </c>
      <c r="J383" t="s">
        <v>1648</v>
      </c>
      <c r="K383">
        <v>3</v>
      </c>
      <c r="L383" t="s">
        <v>1649</v>
      </c>
      <c r="M383" t="s">
        <v>1828</v>
      </c>
      <c r="N383" t="s">
        <v>1671</v>
      </c>
      <c r="O383" t="s">
        <v>4535</v>
      </c>
      <c r="P383" t="s">
        <v>4536</v>
      </c>
      <c r="Q383" t="s">
        <v>4537</v>
      </c>
      <c r="R383" t="s">
        <v>4538</v>
      </c>
      <c r="S383" t="s">
        <v>4539</v>
      </c>
      <c r="T383" t="s">
        <v>4540</v>
      </c>
    </row>
    <row r="384" spans="1:20">
      <c r="A384">
        <v>383</v>
      </c>
      <c r="B384" t="s">
        <v>981</v>
      </c>
      <c r="C384" s="1">
        <v>84087843</v>
      </c>
      <c r="D384" t="s">
        <v>17</v>
      </c>
      <c r="E384" t="s">
        <v>1645</v>
      </c>
      <c r="F384" t="s">
        <v>4541</v>
      </c>
      <c r="G384">
        <v>39679</v>
      </c>
      <c r="H384" t="s">
        <v>1878</v>
      </c>
      <c r="I384" s="2">
        <v>30773</v>
      </c>
      <c r="J384" t="s">
        <v>1648</v>
      </c>
      <c r="K384">
        <v>2</v>
      </c>
      <c r="L384" t="s">
        <v>1649</v>
      </c>
      <c r="M384" t="s">
        <v>1661</v>
      </c>
      <c r="N384" t="s">
        <v>1662</v>
      </c>
      <c r="O384" t="s">
        <v>4542</v>
      </c>
      <c r="P384" t="s">
        <v>4543</v>
      </c>
      <c r="Q384" t="s">
        <v>4544</v>
      </c>
      <c r="R384" t="s">
        <v>4545</v>
      </c>
      <c r="S384" t="s">
        <v>4546</v>
      </c>
      <c r="T384" t="s">
        <v>4547</v>
      </c>
    </row>
    <row r="385" spans="1:20">
      <c r="A385">
        <v>384</v>
      </c>
      <c r="B385" t="s">
        <v>491</v>
      </c>
      <c r="C385" s="1">
        <v>154179</v>
      </c>
      <c r="D385" t="s">
        <v>5</v>
      </c>
      <c r="E385" t="s">
        <v>1657</v>
      </c>
      <c r="F385" t="s">
        <v>4548</v>
      </c>
      <c r="G385">
        <v>42318</v>
      </c>
      <c r="H385" t="s">
        <v>1670</v>
      </c>
      <c r="I385" s="2">
        <v>35400</v>
      </c>
      <c r="J385" t="s">
        <v>1648</v>
      </c>
      <c r="K385">
        <v>1</v>
      </c>
      <c r="L385" t="s">
        <v>1649</v>
      </c>
      <c r="M385" t="s">
        <v>1637</v>
      </c>
      <c r="N385" t="s">
        <v>1671</v>
      </c>
      <c r="O385" t="s">
        <v>4549</v>
      </c>
      <c r="P385" t="s">
        <v>4550</v>
      </c>
      <c r="Q385" t="s">
        <v>4551</v>
      </c>
      <c r="R385" t="s">
        <v>4552</v>
      </c>
      <c r="S385" t="s">
        <v>4553</v>
      </c>
      <c r="T385" t="s">
        <v>4554</v>
      </c>
    </row>
    <row r="386" spans="1:20">
      <c r="A386">
        <v>385</v>
      </c>
      <c r="B386" t="s">
        <v>306</v>
      </c>
      <c r="C386" s="1">
        <v>131849</v>
      </c>
      <c r="D386" t="s">
        <v>5</v>
      </c>
      <c r="E386" t="s">
        <v>1645</v>
      </c>
      <c r="F386" t="s">
        <v>4555</v>
      </c>
      <c r="G386">
        <v>41410</v>
      </c>
      <c r="H386" t="s">
        <v>1738</v>
      </c>
      <c r="I386" s="2">
        <v>33924</v>
      </c>
      <c r="J386" t="s">
        <v>1648</v>
      </c>
      <c r="K386">
        <v>1</v>
      </c>
      <c r="L386" t="s">
        <v>1649</v>
      </c>
      <c r="M386" t="s">
        <v>1661</v>
      </c>
      <c r="N386" t="s">
        <v>2064</v>
      </c>
      <c r="O386" t="s">
        <v>4556</v>
      </c>
      <c r="P386" t="s">
        <v>4557</v>
      </c>
      <c r="Q386" t="s">
        <v>4558</v>
      </c>
      <c r="R386" t="s">
        <v>4559</v>
      </c>
      <c r="S386" t="s">
        <v>4560</v>
      </c>
      <c r="T386" t="s">
        <v>4561</v>
      </c>
    </row>
    <row r="387" spans="1:20">
      <c r="A387">
        <v>386</v>
      </c>
      <c r="B387" t="s">
        <v>982</v>
      </c>
      <c r="C387" s="1">
        <v>200378</v>
      </c>
      <c r="D387" t="s">
        <v>5</v>
      </c>
      <c r="E387" t="s">
        <v>1645</v>
      </c>
      <c r="F387" t="s">
        <v>4562</v>
      </c>
      <c r="G387">
        <v>43874</v>
      </c>
      <c r="H387" t="s">
        <v>4563</v>
      </c>
      <c r="I387" s="2">
        <v>37070</v>
      </c>
      <c r="J387" t="s">
        <v>1635</v>
      </c>
      <c r="K387">
        <v>0</v>
      </c>
      <c r="L387" t="s">
        <v>1649</v>
      </c>
      <c r="M387" t="s">
        <v>1661</v>
      </c>
      <c r="N387" t="s">
        <v>2435</v>
      </c>
      <c r="O387" t="s">
        <v>4564</v>
      </c>
      <c r="P387" t="s">
        <v>4565</v>
      </c>
      <c r="Q387" t="s">
        <v>4566</v>
      </c>
      <c r="R387" t="s">
        <v>4567</v>
      </c>
      <c r="S387" t="s">
        <v>4568</v>
      </c>
      <c r="T387" t="s">
        <v>4569</v>
      </c>
    </row>
    <row r="388" spans="1:20">
      <c r="A388">
        <v>387</v>
      </c>
      <c r="B388" t="s">
        <v>768</v>
      </c>
      <c r="C388" s="1">
        <v>83117938</v>
      </c>
      <c r="D388" t="s">
        <v>17</v>
      </c>
      <c r="E388" t="s">
        <v>1657</v>
      </c>
      <c r="F388" t="s">
        <v>4570</v>
      </c>
      <c r="G388">
        <v>39630</v>
      </c>
      <c r="H388" t="s">
        <v>1878</v>
      </c>
      <c r="I388" s="2">
        <v>30864</v>
      </c>
      <c r="J388" t="s">
        <v>1648</v>
      </c>
      <c r="K388">
        <v>2</v>
      </c>
      <c r="L388" t="s">
        <v>1649</v>
      </c>
      <c r="M388" t="s">
        <v>1661</v>
      </c>
      <c r="N388" t="s">
        <v>2046</v>
      </c>
      <c r="O388" t="s">
        <v>4571</v>
      </c>
      <c r="P388" t="s">
        <v>4572</v>
      </c>
      <c r="Q388" t="s">
        <v>4573</v>
      </c>
      <c r="R388" t="s">
        <v>4574</v>
      </c>
      <c r="S388" t="s">
        <v>4575</v>
      </c>
      <c r="T388" t="s">
        <v>4576</v>
      </c>
    </row>
    <row r="389" spans="1:20">
      <c r="A389">
        <v>388</v>
      </c>
      <c r="B389" t="s">
        <v>252</v>
      </c>
      <c r="C389" s="1">
        <v>83040029</v>
      </c>
      <c r="D389" t="s">
        <v>5</v>
      </c>
      <c r="E389" t="s">
        <v>1365</v>
      </c>
      <c r="F389" t="s">
        <v>4577</v>
      </c>
      <c r="G389">
        <v>37865</v>
      </c>
      <c r="H389" t="s">
        <v>1670</v>
      </c>
      <c r="I389" s="2">
        <v>30777</v>
      </c>
      <c r="J389" t="s">
        <v>1648</v>
      </c>
      <c r="K389">
        <v>3</v>
      </c>
      <c r="L389" t="s">
        <v>1649</v>
      </c>
      <c r="M389" t="s">
        <v>1661</v>
      </c>
      <c r="N389" t="s">
        <v>4578</v>
      </c>
      <c r="O389" t="s">
        <v>4579</v>
      </c>
      <c r="P389" t="s">
        <v>4580</v>
      </c>
      <c r="Q389" t="s">
        <v>4581</v>
      </c>
      <c r="R389" t="s">
        <v>4582</v>
      </c>
      <c r="S389" t="s">
        <v>4583</v>
      </c>
      <c r="T389" t="s">
        <v>4584</v>
      </c>
    </row>
    <row r="390" spans="1:20">
      <c r="A390">
        <v>389</v>
      </c>
      <c r="B390" t="s">
        <v>303</v>
      </c>
      <c r="C390" s="1">
        <v>145354</v>
      </c>
      <c r="D390" t="s">
        <v>5</v>
      </c>
      <c r="E390" t="s">
        <v>1645</v>
      </c>
      <c r="F390" t="s">
        <v>4585</v>
      </c>
      <c r="G390">
        <v>41925</v>
      </c>
      <c r="H390" t="s">
        <v>4586</v>
      </c>
      <c r="I390" s="2">
        <v>35074</v>
      </c>
      <c r="J390" t="s">
        <v>1635</v>
      </c>
      <c r="K390">
        <v>0</v>
      </c>
      <c r="L390" t="s">
        <v>1649</v>
      </c>
      <c r="M390" t="s">
        <v>1661</v>
      </c>
      <c r="N390" t="s">
        <v>2046</v>
      </c>
      <c r="O390" t="s">
        <v>4587</v>
      </c>
      <c r="P390" t="s">
        <v>4588</v>
      </c>
      <c r="Q390" t="s">
        <v>4589</v>
      </c>
      <c r="R390" t="s">
        <v>4590</v>
      </c>
      <c r="S390" t="s">
        <v>4591</v>
      </c>
      <c r="T390" t="s">
        <v>4592</v>
      </c>
    </row>
    <row r="391" spans="1:20">
      <c r="A391">
        <v>390</v>
      </c>
      <c r="B391" t="s">
        <v>685</v>
      </c>
      <c r="C391" s="1">
        <v>83117279</v>
      </c>
      <c r="D391" t="s">
        <v>16</v>
      </c>
      <c r="E391" t="s">
        <v>1365</v>
      </c>
      <c r="F391" t="s">
        <v>4593</v>
      </c>
      <c r="G391">
        <v>40688</v>
      </c>
      <c r="H391" t="s">
        <v>1925</v>
      </c>
      <c r="I391" s="2">
        <v>33586</v>
      </c>
      <c r="J391" t="s">
        <v>1648</v>
      </c>
      <c r="K391">
        <v>1</v>
      </c>
      <c r="L391" t="s">
        <v>1649</v>
      </c>
      <c r="M391" t="s">
        <v>1661</v>
      </c>
      <c r="N391" t="s">
        <v>2046</v>
      </c>
      <c r="O391" t="s">
        <v>4594</v>
      </c>
      <c r="P391" t="s">
        <v>4595</v>
      </c>
      <c r="Q391" t="s">
        <v>4596</v>
      </c>
      <c r="R391" t="s">
        <v>4597</v>
      </c>
      <c r="S391" t="s">
        <v>4598</v>
      </c>
      <c r="T391" t="s">
        <v>4599</v>
      </c>
    </row>
    <row r="392" spans="1:20">
      <c r="A392">
        <v>391</v>
      </c>
      <c r="B392" t="s">
        <v>983</v>
      </c>
      <c r="C392" s="1">
        <v>83123695</v>
      </c>
      <c r="D392" t="s">
        <v>17</v>
      </c>
      <c r="E392" t="s">
        <v>1365</v>
      </c>
      <c r="F392" t="s">
        <v>4600</v>
      </c>
      <c r="G392">
        <v>41172</v>
      </c>
      <c r="H392" t="s">
        <v>1878</v>
      </c>
      <c r="I392" s="2">
        <v>34856</v>
      </c>
      <c r="J392" t="s">
        <v>1648</v>
      </c>
      <c r="K392">
        <v>5</v>
      </c>
      <c r="L392" t="s">
        <v>1649</v>
      </c>
      <c r="M392" t="s">
        <v>1661</v>
      </c>
      <c r="N392" t="s">
        <v>3649</v>
      </c>
      <c r="O392" t="s">
        <v>4601</v>
      </c>
      <c r="P392" t="s">
        <v>4602</v>
      </c>
      <c r="Q392" t="s">
        <v>4603</v>
      </c>
      <c r="R392" t="s">
        <v>4604</v>
      </c>
      <c r="S392" t="s">
        <v>4605</v>
      </c>
      <c r="T392" t="s">
        <v>4606</v>
      </c>
    </row>
    <row r="393" spans="1:20">
      <c r="A393">
        <v>392</v>
      </c>
      <c r="B393" t="s">
        <v>365</v>
      </c>
      <c r="C393" s="1">
        <v>83102181</v>
      </c>
      <c r="D393" t="s">
        <v>5</v>
      </c>
      <c r="E393" t="s">
        <v>1657</v>
      </c>
      <c r="F393" t="s">
        <v>4607</v>
      </c>
      <c r="G393">
        <v>40283</v>
      </c>
      <c r="H393" t="s">
        <v>1764</v>
      </c>
      <c r="I393" s="2">
        <v>33538</v>
      </c>
      <c r="J393" t="s">
        <v>1648</v>
      </c>
      <c r="K393">
        <v>2</v>
      </c>
      <c r="L393" t="s">
        <v>1649</v>
      </c>
      <c r="M393" t="s">
        <v>1661</v>
      </c>
      <c r="N393" t="s">
        <v>4608</v>
      </c>
      <c r="O393" t="s">
        <v>4609</v>
      </c>
      <c r="P393" t="s">
        <v>4610</v>
      </c>
      <c r="Q393" t="s">
        <v>4611</v>
      </c>
      <c r="R393" t="s">
        <v>4612</v>
      </c>
      <c r="S393" t="s">
        <v>4613</v>
      </c>
      <c r="T393" t="s">
        <v>4614</v>
      </c>
    </row>
    <row r="394" spans="1:20">
      <c r="A394">
        <v>393</v>
      </c>
      <c r="B394" t="s">
        <v>984</v>
      </c>
      <c r="C394" s="1">
        <v>135869</v>
      </c>
      <c r="D394" t="s">
        <v>17</v>
      </c>
      <c r="E394" t="s">
        <v>1645</v>
      </c>
      <c r="F394" t="s">
        <v>4615</v>
      </c>
      <c r="G394">
        <v>41616</v>
      </c>
      <c r="H394" t="s">
        <v>2884</v>
      </c>
      <c r="I394" s="2">
        <v>24853</v>
      </c>
      <c r="J394" t="s">
        <v>1648</v>
      </c>
      <c r="K394">
        <v>3</v>
      </c>
      <c r="L394" t="s">
        <v>1649</v>
      </c>
      <c r="M394" t="s">
        <v>4616</v>
      </c>
      <c r="N394" t="s">
        <v>4617</v>
      </c>
      <c r="O394" t="s">
        <v>4618</v>
      </c>
      <c r="P394" t="s">
        <v>4619</v>
      </c>
      <c r="Q394" t="s">
        <v>4620</v>
      </c>
      <c r="R394" t="s">
        <v>4621</v>
      </c>
      <c r="S394" t="s">
        <v>4622</v>
      </c>
      <c r="T394" t="s">
        <v>4619</v>
      </c>
    </row>
    <row r="395" spans="1:20">
      <c r="A395">
        <v>394</v>
      </c>
      <c r="B395" t="s">
        <v>985</v>
      </c>
      <c r="C395" s="1">
        <v>135044</v>
      </c>
      <c r="D395" t="s">
        <v>5</v>
      </c>
      <c r="E395" t="s">
        <v>1645</v>
      </c>
      <c r="F395" t="s">
        <v>4623</v>
      </c>
      <c r="G395">
        <v>41575</v>
      </c>
      <c r="H395" t="s">
        <v>1730</v>
      </c>
      <c r="I395" s="2">
        <v>34395</v>
      </c>
      <c r="J395" t="s">
        <v>1635</v>
      </c>
      <c r="K395">
        <v>0</v>
      </c>
      <c r="L395" t="s">
        <v>1649</v>
      </c>
      <c r="M395" t="s">
        <v>1661</v>
      </c>
      <c r="N395" t="s">
        <v>4624</v>
      </c>
      <c r="O395" t="s">
        <v>3894</v>
      </c>
      <c r="P395" t="s">
        <v>4625</v>
      </c>
      <c r="Q395" t="s">
        <v>4626</v>
      </c>
      <c r="R395" t="s">
        <v>4627</v>
      </c>
      <c r="S395" t="s">
        <v>4628</v>
      </c>
      <c r="T395" t="s">
        <v>4629</v>
      </c>
    </row>
    <row r="396" spans="1:20">
      <c r="A396">
        <v>395</v>
      </c>
      <c r="B396" t="s">
        <v>986</v>
      </c>
      <c r="C396" s="1">
        <v>83117955</v>
      </c>
      <c r="D396" t="s">
        <v>5</v>
      </c>
      <c r="E396" t="s">
        <v>1645</v>
      </c>
      <c r="F396" t="s">
        <v>4630</v>
      </c>
      <c r="G396">
        <v>40743</v>
      </c>
      <c r="H396" t="s">
        <v>1764</v>
      </c>
      <c r="I396" s="2">
        <v>34445</v>
      </c>
      <c r="J396" t="s">
        <v>1648</v>
      </c>
      <c r="K396">
        <v>0</v>
      </c>
      <c r="L396" t="s">
        <v>1649</v>
      </c>
      <c r="M396" t="s">
        <v>1661</v>
      </c>
      <c r="N396" t="s">
        <v>2046</v>
      </c>
      <c r="O396" t="s">
        <v>1927</v>
      </c>
      <c r="P396" t="s">
        <v>4631</v>
      </c>
      <c r="Q396" t="s">
        <v>4632</v>
      </c>
      <c r="R396" t="s">
        <v>4633</v>
      </c>
      <c r="S396" t="s">
        <v>4634</v>
      </c>
      <c r="T396" t="s">
        <v>4635</v>
      </c>
    </row>
    <row r="397" spans="1:20">
      <c r="A397">
        <v>396</v>
      </c>
      <c r="B397" t="s">
        <v>523</v>
      </c>
      <c r="C397" s="1">
        <v>241556</v>
      </c>
      <c r="D397" t="s">
        <v>5</v>
      </c>
      <c r="E397" t="s">
        <v>1657</v>
      </c>
      <c r="F397" t="s">
        <v>4636</v>
      </c>
      <c r="G397">
        <v>45534</v>
      </c>
      <c r="H397" t="s">
        <v>4637</v>
      </c>
      <c r="I397" s="2">
        <v>38572</v>
      </c>
      <c r="J397" t="s">
        <v>1635</v>
      </c>
      <c r="K397">
        <v>0</v>
      </c>
      <c r="L397" t="s">
        <v>1649</v>
      </c>
      <c r="M397" t="s">
        <v>1661</v>
      </c>
      <c r="N397" t="s">
        <v>1713</v>
      </c>
      <c r="O397" t="s">
        <v>4638</v>
      </c>
      <c r="P397" t="s">
        <v>4639</v>
      </c>
      <c r="Q397" t="s">
        <v>4640</v>
      </c>
      <c r="R397" t="s">
        <v>4639</v>
      </c>
      <c r="S397" t="s">
        <v>4641</v>
      </c>
      <c r="T397" t="s">
        <v>4642</v>
      </c>
    </row>
    <row r="398" spans="1:20">
      <c r="A398">
        <v>397</v>
      </c>
      <c r="B398" t="s">
        <v>987</v>
      </c>
      <c r="C398" s="1">
        <v>83123908</v>
      </c>
      <c r="D398" t="s">
        <v>5</v>
      </c>
      <c r="E398" t="s">
        <v>1645</v>
      </c>
      <c r="F398" t="s">
        <v>4643</v>
      </c>
      <c r="G398">
        <v>41197</v>
      </c>
      <c r="H398" t="s">
        <v>2323</v>
      </c>
      <c r="I398" s="2">
        <v>34108</v>
      </c>
      <c r="J398" t="s">
        <v>1648</v>
      </c>
      <c r="K398">
        <v>2</v>
      </c>
      <c r="L398" t="s">
        <v>1649</v>
      </c>
      <c r="M398" t="s">
        <v>1661</v>
      </c>
      <c r="N398" t="s">
        <v>4644</v>
      </c>
      <c r="O398" t="s">
        <v>4645</v>
      </c>
      <c r="P398" t="s">
        <v>4646</v>
      </c>
      <c r="Q398" t="s">
        <v>4647</v>
      </c>
      <c r="R398" t="s">
        <v>4648</v>
      </c>
      <c r="S398" t="s">
        <v>4649</v>
      </c>
      <c r="T398" t="s">
        <v>4650</v>
      </c>
    </row>
    <row r="399" spans="1:20">
      <c r="A399">
        <v>398</v>
      </c>
      <c r="B399" t="s">
        <v>385</v>
      </c>
      <c r="C399" s="1">
        <v>84122956</v>
      </c>
      <c r="D399" t="s">
        <v>5</v>
      </c>
      <c r="E399" t="s">
        <v>1657</v>
      </c>
      <c r="F399" t="s">
        <v>4651</v>
      </c>
      <c r="G399">
        <v>41122</v>
      </c>
      <c r="H399" t="s">
        <v>1670</v>
      </c>
      <c r="I399" s="2">
        <v>34064</v>
      </c>
      <c r="J399" t="s">
        <v>1635</v>
      </c>
      <c r="K399">
        <v>0</v>
      </c>
      <c r="L399" t="s">
        <v>1649</v>
      </c>
      <c r="M399" t="s">
        <v>1637</v>
      </c>
      <c r="N399" t="s">
        <v>1671</v>
      </c>
      <c r="O399" t="s">
        <v>4652</v>
      </c>
      <c r="P399" t="s">
        <v>4653</v>
      </c>
      <c r="Q399" t="s">
        <v>4654</v>
      </c>
      <c r="R399" t="s">
        <v>4655</v>
      </c>
      <c r="S399" t="s">
        <v>4656</v>
      </c>
      <c r="T399" t="s">
        <v>4657</v>
      </c>
    </row>
    <row r="400" spans="1:20">
      <c r="A400">
        <v>399</v>
      </c>
      <c r="B400" t="s">
        <v>988</v>
      </c>
      <c r="C400" s="1">
        <v>83040133</v>
      </c>
      <c r="D400" t="s">
        <v>5</v>
      </c>
      <c r="E400" t="s">
        <v>1657</v>
      </c>
      <c r="F400" t="s">
        <v>4658</v>
      </c>
      <c r="G400">
        <v>37960</v>
      </c>
      <c r="H400" t="s">
        <v>1670</v>
      </c>
      <c r="I400" s="2">
        <v>25112</v>
      </c>
      <c r="J400" t="s">
        <v>1648</v>
      </c>
      <c r="K400">
        <v>3</v>
      </c>
      <c r="L400" t="s">
        <v>1649</v>
      </c>
      <c r="M400" t="s">
        <v>4480</v>
      </c>
      <c r="N400" t="s">
        <v>1650</v>
      </c>
      <c r="O400" t="s">
        <v>4659</v>
      </c>
      <c r="P400" t="s">
        <v>4660</v>
      </c>
      <c r="Q400" t="s">
        <v>4661</v>
      </c>
      <c r="R400" t="s">
        <v>4662</v>
      </c>
      <c r="S400" t="s">
        <v>4663</v>
      </c>
      <c r="T400" t="s">
        <v>4664</v>
      </c>
    </row>
    <row r="401" spans="1:20">
      <c r="A401">
        <v>400</v>
      </c>
      <c r="B401" t="s">
        <v>989</v>
      </c>
      <c r="C401" s="1">
        <v>83086316</v>
      </c>
      <c r="D401" t="s">
        <v>5</v>
      </c>
      <c r="E401" t="s">
        <v>1657</v>
      </c>
      <c r="F401" t="s">
        <v>4665</v>
      </c>
      <c r="G401">
        <v>39498</v>
      </c>
      <c r="H401" t="s">
        <v>2323</v>
      </c>
      <c r="I401" s="2">
        <v>29135</v>
      </c>
      <c r="J401" t="s">
        <v>1648</v>
      </c>
      <c r="K401">
        <v>2</v>
      </c>
      <c r="L401" t="s">
        <v>1649</v>
      </c>
      <c r="M401" t="s">
        <v>1755</v>
      </c>
      <c r="N401" t="s">
        <v>2324</v>
      </c>
      <c r="O401" t="s">
        <v>4666</v>
      </c>
      <c r="P401" t="s">
        <v>4667</v>
      </c>
      <c r="Q401" t="s">
        <v>4668</v>
      </c>
      <c r="R401" t="s">
        <v>4669</v>
      </c>
      <c r="S401" t="s">
        <v>4670</v>
      </c>
      <c r="T401" t="s">
        <v>4671</v>
      </c>
    </row>
    <row r="402" spans="1:20">
      <c r="A402">
        <v>401</v>
      </c>
      <c r="B402" t="s">
        <v>522</v>
      </c>
      <c r="C402" s="1">
        <v>241555</v>
      </c>
      <c r="D402" t="s">
        <v>5</v>
      </c>
      <c r="E402" t="s">
        <v>1657</v>
      </c>
      <c r="F402" t="s">
        <v>4672</v>
      </c>
      <c r="G402">
        <v>45534</v>
      </c>
      <c r="H402" t="s">
        <v>4673</v>
      </c>
      <c r="I402" s="2">
        <v>38793</v>
      </c>
      <c r="J402" t="s">
        <v>1635</v>
      </c>
      <c r="K402">
        <v>0</v>
      </c>
      <c r="L402" t="s">
        <v>1649</v>
      </c>
      <c r="M402" t="s">
        <v>1661</v>
      </c>
      <c r="N402" t="s">
        <v>2282</v>
      </c>
      <c r="O402" t="s">
        <v>4674</v>
      </c>
      <c r="P402" t="s">
        <v>4675</v>
      </c>
      <c r="Q402" t="s">
        <v>4676</v>
      </c>
      <c r="R402" t="s">
        <v>4677</v>
      </c>
      <c r="S402" t="s">
        <v>4678</v>
      </c>
      <c r="T402" t="s">
        <v>4679</v>
      </c>
    </row>
    <row r="403" spans="1:20">
      <c r="A403">
        <v>402</v>
      </c>
      <c r="B403" t="s">
        <v>990</v>
      </c>
      <c r="C403" s="1">
        <v>83040085</v>
      </c>
      <c r="D403" t="s">
        <v>5</v>
      </c>
      <c r="E403" t="s">
        <v>1645</v>
      </c>
      <c r="F403" t="s">
        <v>4680</v>
      </c>
      <c r="G403">
        <v>37895</v>
      </c>
      <c r="H403" t="s">
        <v>1738</v>
      </c>
      <c r="I403" s="2">
        <v>31150</v>
      </c>
      <c r="J403" t="s">
        <v>1648</v>
      </c>
      <c r="K403">
        <v>2</v>
      </c>
      <c r="L403" t="s">
        <v>1649</v>
      </c>
      <c r="M403" t="s">
        <v>1828</v>
      </c>
      <c r="N403" t="s">
        <v>1671</v>
      </c>
      <c r="O403" t="s">
        <v>4681</v>
      </c>
      <c r="P403" t="s">
        <v>4682</v>
      </c>
      <c r="Q403" t="s">
        <v>4683</v>
      </c>
      <c r="R403" t="s">
        <v>4684</v>
      </c>
      <c r="S403" t="s">
        <v>4685</v>
      </c>
      <c r="T403" t="s">
        <v>4686</v>
      </c>
    </row>
    <row r="404" spans="1:20">
      <c r="A404">
        <v>403</v>
      </c>
      <c r="B404" t="s">
        <v>991</v>
      </c>
      <c r="C404" s="1">
        <v>141588</v>
      </c>
      <c r="D404" t="s">
        <v>17</v>
      </c>
      <c r="E404" t="s">
        <v>1657</v>
      </c>
      <c r="F404" t="s">
        <v>4687</v>
      </c>
      <c r="G404">
        <v>41710</v>
      </c>
      <c r="H404" t="s">
        <v>1878</v>
      </c>
      <c r="I404" s="2">
        <v>33749</v>
      </c>
      <c r="J404" t="s">
        <v>1648</v>
      </c>
      <c r="K404">
        <v>3</v>
      </c>
      <c r="L404" t="s">
        <v>1649</v>
      </c>
      <c r="M404" t="s">
        <v>1637</v>
      </c>
      <c r="N404" t="s">
        <v>2371</v>
      </c>
      <c r="O404" t="s">
        <v>4688</v>
      </c>
      <c r="P404" t="s">
        <v>4689</v>
      </c>
      <c r="Q404" t="s">
        <v>4690</v>
      </c>
      <c r="R404" t="s">
        <v>4691</v>
      </c>
      <c r="S404" t="s">
        <v>4692</v>
      </c>
      <c r="T404" t="s">
        <v>4693</v>
      </c>
    </row>
    <row r="405" spans="1:20">
      <c r="A405">
        <v>404</v>
      </c>
      <c r="B405" t="s">
        <v>992</v>
      </c>
      <c r="C405" s="1">
        <v>183399</v>
      </c>
      <c r="D405" t="s">
        <v>3</v>
      </c>
      <c r="E405" t="s">
        <v>1657</v>
      </c>
      <c r="F405" t="s">
        <v>4694</v>
      </c>
      <c r="G405">
        <v>43385</v>
      </c>
      <c r="H405" t="s">
        <v>4695</v>
      </c>
      <c r="I405" s="2">
        <v>36515</v>
      </c>
      <c r="J405" t="s">
        <v>1648</v>
      </c>
      <c r="K405">
        <v>0</v>
      </c>
      <c r="L405" t="s">
        <v>1649</v>
      </c>
      <c r="M405" t="s">
        <v>1661</v>
      </c>
      <c r="N405" t="s">
        <v>4696</v>
      </c>
      <c r="O405" t="s">
        <v>4697</v>
      </c>
      <c r="P405" t="s">
        <v>4698</v>
      </c>
      <c r="Q405" t="s">
        <v>4699</v>
      </c>
      <c r="R405" t="s">
        <v>4700</v>
      </c>
      <c r="S405" t="s">
        <v>4701</v>
      </c>
      <c r="T405" t="s">
        <v>4702</v>
      </c>
    </row>
    <row r="406" spans="1:20">
      <c r="A406">
        <v>405</v>
      </c>
      <c r="B406" t="s">
        <v>993</v>
      </c>
      <c r="C406" s="1">
        <v>162705</v>
      </c>
      <c r="D406" t="s">
        <v>7</v>
      </c>
      <c r="E406" t="s">
        <v>1657</v>
      </c>
      <c r="F406" t="s">
        <v>4703</v>
      </c>
      <c r="G406">
        <v>42676</v>
      </c>
      <c r="H406" t="s">
        <v>2489</v>
      </c>
      <c r="I406" s="2">
        <v>30605</v>
      </c>
      <c r="J406" t="s">
        <v>1648</v>
      </c>
      <c r="K406">
        <v>2</v>
      </c>
      <c r="L406" t="s">
        <v>1649</v>
      </c>
      <c r="M406" t="s">
        <v>1661</v>
      </c>
      <c r="N406" t="s">
        <v>4704</v>
      </c>
      <c r="O406" t="s">
        <v>4705</v>
      </c>
      <c r="P406" t="s">
        <v>4706</v>
      </c>
      <c r="Q406" t="s">
        <v>4707</v>
      </c>
      <c r="R406" t="s">
        <v>4708</v>
      </c>
      <c r="S406" t="s">
        <v>4709</v>
      </c>
      <c r="T406" t="s">
        <v>4710</v>
      </c>
    </row>
    <row r="407" spans="1:20">
      <c r="A407">
        <v>406</v>
      </c>
      <c r="B407" t="s">
        <v>994</v>
      </c>
      <c r="C407" s="1">
        <v>135045</v>
      </c>
      <c r="D407" t="s">
        <v>5</v>
      </c>
      <c r="E407" t="s">
        <v>1645</v>
      </c>
      <c r="F407" t="s">
        <v>4711</v>
      </c>
      <c r="G407">
        <v>41606</v>
      </c>
      <c r="H407" t="s">
        <v>4712</v>
      </c>
      <c r="I407" s="2">
        <v>27457</v>
      </c>
      <c r="J407" t="s">
        <v>1648</v>
      </c>
      <c r="K407">
        <v>3</v>
      </c>
      <c r="L407" t="s">
        <v>1649</v>
      </c>
      <c r="M407" t="s">
        <v>1637</v>
      </c>
      <c r="N407" t="s">
        <v>1650</v>
      </c>
      <c r="O407" t="s">
        <v>4713</v>
      </c>
      <c r="P407" t="s">
        <v>4714</v>
      </c>
      <c r="Q407" t="s">
        <v>4715</v>
      </c>
      <c r="R407" t="s">
        <v>4716</v>
      </c>
      <c r="S407" t="s">
        <v>4717</v>
      </c>
      <c r="T407" t="s">
        <v>4718</v>
      </c>
    </row>
    <row r="408" spans="1:20">
      <c r="A408">
        <v>407</v>
      </c>
      <c r="B408" t="s">
        <v>812</v>
      </c>
      <c r="C408" s="1">
        <v>83074917</v>
      </c>
      <c r="D408" t="s">
        <v>5</v>
      </c>
      <c r="E408" t="s">
        <v>1365</v>
      </c>
      <c r="F408" t="s">
        <v>4719</v>
      </c>
      <c r="G408">
        <v>39265</v>
      </c>
      <c r="H408" t="s">
        <v>1764</v>
      </c>
      <c r="I408" s="2">
        <v>30171</v>
      </c>
      <c r="J408" t="s">
        <v>1648</v>
      </c>
      <c r="K408">
        <v>2</v>
      </c>
      <c r="L408" t="s">
        <v>1649</v>
      </c>
      <c r="M408" t="s">
        <v>1637</v>
      </c>
      <c r="N408" t="s">
        <v>1650</v>
      </c>
      <c r="O408" t="s">
        <v>4720</v>
      </c>
      <c r="P408" t="s">
        <v>4721</v>
      </c>
      <c r="Q408" t="s">
        <v>4722</v>
      </c>
      <c r="R408" t="s">
        <v>4723</v>
      </c>
      <c r="S408" t="s">
        <v>4724</v>
      </c>
      <c r="T408" t="s">
        <v>4725</v>
      </c>
    </row>
    <row r="409" spans="1:20">
      <c r="A409">
        <v>408</v>
      </c>
      <c r="B409" t="s">
        <v>995</v>
      </c>
      <c r="C409" s="1">
        <v>221924</v>
      </c>
      <c r="D409" t="s">
        <v>5</v>
      </c>
      <c r="E409" t="s">
        <v>1657</v>
      </c>
      <c r="F409" t="s">
        <v>4726</v>
      </c>
      <c r="G409">
        <v>44746</v>
      </c>
      <c r="H409" t="s">
        <v>2726</v>
      </c>
      <c r="I409" s="2">
        <v>36843</v>
      </c>
      <c r="J409" t="s">
        <v>1648</v>
      </c>
      <c r="K409">
        <v>0</v>
      </c>
      <c r="L409" t="s">
        <v>1649</v>
      </c>
      <c r="M409" t="s">
        <v>1637</v>
      </c>
      <c r="N409" t="s">
        <v>3230</v>
      </c>
      <c r="O409" t="s">
        <v>4727</v>
      </c>
      <c r="P409" t="s">
        <v>4728</v>
      </c>
      <c r="Q409" t="s">
        <v>4729</v>
      </c>
      <c r="R409" t="s">
        <v>4730</v>
      </c>
      <c r="S409" t="s">
        <v>4731</v>
      </c>
      <c r="T409" t="s">
        <v>4732</v>
      </c>
    </row>
    <row r="410" spans="1:20">
      <c r="A410">
        <v>409</v>
      </c>
      <c r="B410" t="s">
        <v>996</v>
      </c>
      <c r="C410" s="1">
        <v>152600</v>
      </c>
      <c r="D410" t="s">
        <v>5</v>
      </c>
      <c r="E410" t="s">
        <v>1657</v>
      </c>
      <c r="F410" t="s">
        <v>4733</v>
      </c>
      <c r="G410">
        <v>42219</v>
      </c>
      <c r="H410" t="s">
        <v>1738</v>
      </c>
      <c r="I410" s="2">
        <v>34799</v>
      </c>
      <c r="J410" t="s">
        <v>1648</v>
      </c>
      <c r="K410">
        <v>1</v>
      </c>
      <c r="L410" t="s">
        <v>1649</v>
      </c>
      <c r="M410" t="s">
        <v>1637</v>
      </c>
      <c r="N410" t="s">
        <v>1671</v>
      </c>
      <c r="O410" t="s">
        <v>4734</v>
      </c>
      <c r="P410" t="s">
        <v>4735</v>
      </c>
      <c r="Q410" t="s">
        <v>4736</v>
      </c>
      <c r="R410" t="s">
        <v>4737</v>
      </c>
      <c r="S410" t="s">
        <v>4738</v>
      </c>
      <c r="T410" t="s">
        <v>4739</v>
      </c>
    </row>
    <row r="411" spans="1:20">
      <c r="A411">
        <v>410</v>
      </c>
      <c r="B411" t="s">
        <v>806</v>
      </c>
      <c r="C411" s="1">
        <v>145555</v>
      </c>
      <c r="D411" t="s">
        <v>5</v>
      </c>
      <c r="E411" t="s">
        <v>1645</v>
      </c>
      <c r="F411" t="s">
        <v>3156</v>
      </c>
      <c r="G411">
        <v>41925</v>
      </c>
      <c r="H411" t="s">
        <v>1670</v>
      </c>
      <c r="I411" s="2">
        <v>34227</v>
      </c>
      <c r="J411" t="s">
        <v>1648</v>
      </c>
      <c r="K411">
        <v>1</v>
      </c>
      <c r="L411" t="s">
        <v>1649</v>
      </c>
      <c r="M411" t="s">
        <v>1661</v>
      </c>
      <c r="N411" t="s">
        <v>4740</v>
      </c>
      <c r="O411" t="s">
        <v>3158</v>
      </c>
      <c r="P411" t="s">
        <v>3159</v>
      </c>
      <c r="Q411" t="s">
        <v>3160</v>
      </c>
      <c r="R411" t="s">
        <v>3161</v>
      </c>
      <c r="S411" t="s">
        <v>3162</v>
      </c>
      <c r="T411" t="s">
        <v>3163</v>
      </c>
    </row>
    <row r="412" spans="1:20">
      <c r="A412">
        <v>411</v>
      </c>
      <c r="B412" t="s">
        <v>391</v>
      </c>
      <c r="C412" s="1">
        <v>83074622</v>
      </c>
      <c r="D412" t="s">
        <v>5</v>
      </c>
      <c r="E412" t="s">
        <v>1657</v>
      </c>
      <c r="F412" t="s">
        <v>4741</v>
      </c>
      <c r="G412">
        <v>39183</v>
      </c>
      <c r="H412" t="s">
        <v>1670</v>
      </c>
      <c r="I412" s="2">
        <v>31183</v>
      </c>
      <c r="J412" t="s">
        <v>1648</v>
      </c>
      <c r="K412">
        <v>3</v>
      </c>
      <c r="L412" t="s">
        <v>1649</v>
      </c>
      <c r="M412" t="s">
        <v>1637</v>
      </c>
      <c r="N412" t="s">
        <v>1650</v>
      </c>
      <c r="O412" t="s">
        <v>4742</v>
      </c>
      <c r="P412" t="s">
        <v>4743</v>
      </c>
      <c r="Q412" t="s">
        <v>4744</v>
      </c>
      <c r="R412" t="s">
        <v>4745</v>
      </c>
      <c r="S412" t="s">
        <v>4746</v>
      </c>
      <c r="T412" t="s">
        <v>4747</v>
      </c>
    </row>
    <row r="413" spans="1:20">
      <c r="A413">
        <v>412</v>
      </c>
      <c r="B413" t="s">
        <v>296</v>
      </c>
      <c r="C413" s="1">
        <v>83122885</v>
      </c>
      <c r="D413" t="s">
        <v>5</v>
      </c>
      <c r="E413" t="s">
        <v>1645</v>
      </c>
      <c r="F413" t="s">
        <v>4748</v>
      </c>
      <c r="G413">
        <v>28258</v>
      </c>
      <c r="H413" t="s">
        <v>1764</v>
      </c>
      <c r="I413" s="2">
        <v>28258</v>
      </c>
      <c r="J413" t="s">
        <v>1648</v>
      </c>
      <c r="K413">
        <v>2</v>
      </c>
      <c r="L413" t="s">
        <v>1649</v>
      </c>
      <c r="M413" t="s">
        <v>4749</v>
      </c>
      <c r="N413" t="s">
        <v>4750</v>
      </c>
      <c r="O413" t="s">
        <v>4751</v>
      </c>
      <c r="P413" t="s">
        <v>4752</v>
      </c>
      <c r="Q413" t="s">
        <v>4753</v>
      </c>
      <c r="R413" t="s">
        <v>4754</v>
      </c>
      <c r="S413" t="s">
        <v>4755</v>
      </c>
      <c r="T413" t="s">
        <v>4756</v>
      </c>
    </row>
    <row r="414" spans="1:20">
      <c r="A414">
        <v>413</v>
      </c>
      <c r="B414" t="s">
        <v>997</v>
      </c>
      <c r="C414" s="1">
        <v>134566</v>
      </c>
      <c r="D414" t="s">
        <v>5</v>
      </c>
      <c r="E414" t="s">
        <v>1657</v>
      </c>
      <c r="F414" t="s">
        <v>4757</v>
      </c>
      <c r="G414">
        <v>41544</v>
      </c>
      <c r="H414" t="s">
        <v>4563</v>
      </c>
      <c r="I414" s="2">
        <v>33645</v>
      </c>
      <c r="J414" t="s">
        <v>1648</v>
      </c>
      <c r="K414">
        <v>2</v>
      </c>
      <c r="L414" t="s">
        <v>1649</v>
      </c>
      <c r="M414" t="s">
        <v>1661</v>
      </c>
      <c r="N414" t="s">
        <v>4758</v>
      </c>
      <c r="O414" t="s">
        <v>4759</v>
      </c>
      <c r="P414" t="s">
        <v>4760</v>
      </c>
      <c r="Q414" t="s">
        <v>4761</v>
      </c>
      <c r="R414" t="s">
        <v>4762</v>
      </c>
      <c r="S414" t="s">
        <v>4763</v>
      </c>
      <c r="T414" t="s">
        <v>4764</v>
      </c>
    </row>
    <row r="415" spans="1:20">
      <c r="A415">
        <v>414</v>
      </c>
      <c r="B415" t="s">
        <v>998</v>
      </c>
      <c r="C415" s="1">
        <v>83086810</v>
      </c>
      <c r="D415" t="s">
        <v>5</v>
      </c>
      <c r="E415" t="s">
        <v>1657</v>
      </c>
      <c r="F415" t="s">
        <v>4765</v>
      </c>
      <c r="G415">
        <v>39576</v>
      </c>
      <c r="H415" t="s">
        <v>1995</v>
      </c>
      <c r="I415" s="2">
        <v>31912</v>
      </c>
      <c r="J415" t="s">
        <v>1648</v>
      </c>
      <c r="K415">
        <v>2</v>
      </c>
      <c r="L415" t="s">
        <v>1649</v>
      </c>
      <c r="M415" t="s">
        <v>1661</v>
      </c>
      <c r="N415" t="s">
        <v>2046</v>
      </c>
      <c r="O415" t="s">
        <v>4766</v>
      </c>
      <c r="P415" t="s">
        <v>4767</v>
      </c>
      <c r="Q415" t="s">
        <v>4768</v>
      </c>
      <c r="R415" t="s">
        <v>4769</v>
      </c>
      <c r="S415" t="s">
        <v>4770</v>
      </c>
      <c r="T415" t="s">
        <v>4771</v>
      </c>
    </row>
    <row r="416" spans="1:20">
      <c r="A416">
        <v>415</v>
      </c>
      <c r="B416" t="s">
        <v>266</v>
      </c>
      <c r="C416" s="1">
        <v>145569</v>
      </c>
      <c r="D416" t="s">
        <v>5</v>
      </c>
      <c r="E416" t="s">
        <v>1645</v>
      </c>
      <c r="F416" t="s">
        <v>4772</v>
      </c>
      <c r="G416">
        <v>41925</v>
      </c>
      <c r="H416" t="s">
        <v>4773</v>
      </c>
      <c r="I416" s="2">
        <v>34833</v>
      </c>
      <c r="J416" t="s">
        <v>1648</v>
      </c>
      <c r="K416">
        <v>1</v>
      </c>
      <c r="L416" t="s">
        <v>1649</v>
      </c>
      <c r="M416" t="s">
        <v>1637</v>
      </c>
      <c r="N416" t="s">
        <v>1650</v>
      </c>
      <c r="O416" t="s">
        <v>4774</v>
      </c>
      <c r="P416" t="s">
        <v>4775</v>
      </c>
      <c r="Q416" t="s">
        <v>4776</v>
      </c>
      <c r="R416" t="s">
        <v>4777</v>
      </c>
      <c r="S416" t="s">
        <v>4778</v>
      </c>
      <c r="T416" t="s">
        <v>4779</v>
      </c>
    </row>
    <row r="417" spans="1:20">
      <c r="A417">
        <v>416</v>
      </c>
      <c r="B417" t="s">
        <v>363</v>
      </c>
      <c r="C417" s="1">
        <v>84122957</v>
      </c>
      <c r="D417" t="s">
        <v>5</v>
      </c>
      <c r="E417" t="s">
        <v>1657</v>
      </c>
      <c r="F417" t="s">
        <v>4780</v>
      </c>
      <c r="G417">
        <v>41129</v>
      </c>
      <c r="H417" t="s">
        <v>1764</v>
      </c>
      <c r="I417" s="2">
        <v>30438</v>
      </c>
      <c r="J417" t="s">
        <v>1648</v>
      </c>
      <c r="K417">
        <v>1</v>
      </c>
      <c r="L417" t="s">
        <v>1649</v>
      </c>
      <c r="M417" t="s">
        <v>1661</v>
      </c>
      <c r="N417" t="s">
        <v>2028</v>
      </c>
      <c r="O417" t="s">
        <v>4781</v>
      </c>
      <c r="P417" t="s">
        <v>4782</v>
      </c>
      <c r="Q417" t="s">
        <v>4783</v>
      </c>
      <c r="R417" t="s">
        <v>4784</v>
      </c>
      <c r="S417" t="s">
        <v>4785</v>
      </c>
      <c r="T417" t="s">
        <v>4786</v>
      </c>
    </row>
    <row r="418" spans="1:20">
      <c r="A418">
        <v>417</v>
      </c>
      <c r="B418" t="s">
        <v>389</v>
      </c>
      <c r="C418" s="1">
        <v>83117959</v>
      </c>
      <c r="D418" t="s">
        <v>5</v>
      </c>
      <c r="E418" t="s">
        <v>1657</v>
      </c>
      <c r="F418" t="s">
        <v>4310</v>
      </c>
      <c r="G418">
        <v>40743</v>
      </c>
      <c r="H418" t="s">
        <v>1670</v>
      </c>
      <c r="I418" s="2">
        <v>33994</v>
      </c>
      <c r="J418" t="s">
        <v>1648</v>
      </c>
      <c r="K418">
        <v>2</v>
      </c>
      <c r="L418" t="s">
        <v>1649</v>
      </c>
      <c r="M418" t="s">
        <v>1661</v>
      </c>
      <c r="N418" t="s">
        <v>2011</v>
      </c>
      <c r="O418" t="s">
        <v>4311</v>
      </c>
      <c r="P418" t="s">
        <v>4312</v>
      </c>
      <c r="Q418" t="s">
        <v>4313</v>
      </c>
      <c r="R418" t="s">
        <v>4314</v>
      </c>
      <c r="S418" t="s">
        <v>4315</v>
      </c>
      <c r="T418" t="s">
        <v>4787</v>
      </c>
    </row>
    <row r="419" spans="1:20">
      <c r="A419">
        <v>418</v>
      </c>
      <c r="B419" t="s">
        <v>999</v>
      </c>
      <c r="C419" s="1">
        <v>135015</v>
      </c>
      <c r="D419" t="s">
        <v>2514</v>
      </c>
      <c r="E419" t="s">
        <v>1645</v>
      </c>
      <c r="F419" t="s">
        <v>4788</v>
      </c>
      <c r="G419">
        <v>45624</v>
      </c>
      <c r="H419" t="s">
        <v>2323</v>
      </c>
      <c r="I419" s="2">
        <v>32582</v>
      </c>
      <c r="J419" t="s">
        <v>1648</v>
      </c>
      <c r="K419">
        <v>2</v>
      </c>
      <c r="L419" t="s">
        <v>1649</v>
      </c>
      <c r="M419" t="s">
        <v>1637</v>
      </c>
      <c r="N419" t="s">
        <v>1671</v>
      </c>
      <c r="O419" t="s">
        <v>4789</v>
      </c>
      <c r="P419" t="s">
        <v>4790</v>
      </c>
      <c r="Q419" t="s">
        <v>4791</v>
      </c>
      <c r="R419" t="s">
        <v>4792</v>
      </c>
      <c r="S419" t="s">
        <v>4793</v>
      </c>
      <c r="T419" t="s">
        <v>4790</v>
      </c>
    </row>
    <row r="420" spans="1:20">
      <c r="A420">
        <v>419</v>
      </c>
      <c r="B420" t="s">
        <v>760</v>
      </c>
      <c r="C420" s="1">
        <v>83123698</v>
      </c>
      <c r="D420" t="s">
        <v>17</v>
      </c>
      <c r="E420" t="s">
        <v>1645</v>
      </c>
      <c r="F420" t="s">
        <v>4794</v>
      </c>
      <c r="G420">
        <v>41183</v>
      </c>
      <c r="H420" t="s">
        <v>1878</v>
      </c>
      <c r="I420" s="2">
        <v>32605</v>
      </c>
      <c r="J420" t="s">
        <v>1648</v>
      </c>
      <c r="K420">
        <v>3</v>
      </c>
      <c r="L420" t="s">
        <v>1649</v>
      </c>
      <c r="M420" t="s">
        <v>1828</v>
      </c>
      <c r="N420" t="s">
        <v>1671</v>
      </c>
      <c r="O420" t="s">
        <v>4795</v>
      </c>
      <c r="P420" t="s">
        <v>4796</v>
      </c>
      <c r="Q420" t="s">
        <v>4797</v>
      </c>
      <c r="R420" t="s">
        <v>4798</v>
      </c>
      <c r="S420" t="s">
        <v>4799</v>
      </c>
      <c r="T420" t="s">
        <v>4800</v>
      </c>
    </row>
    <row r="421" spans="1:20">
      <c r="A421">
        <v>420</v>
      </c>
      <c r="B421" t="s">
        <v>1000</v>
      </c>
      <c r="C421" s="1">
        <v>241137</v>
      </c>
      <c r="D421" t="s">
        <v>5</v>
      </c>
      <c r="E421" t="s">
        <v>1657</v>
      </c>
      <c r="F421" t="s">
        <v>4801</v>
      </c>
      <c r="G421">
        <v>45481</v>
      </c>
      <c r="H421" t="s">
        <v>4802</v>
      </c>
      <c r="I421" s="2">
        <v>38084</v>
      </c>
      <c r="J421" t="s">
        <v>1635</v>
      </c>
      <c r="K421">
        <v>0</v>
      </c>
      <c r="L421" t="s">
        <v>1649</v>
      </c>
      <c r="M421" t="s">
        <v>1661</v>
      </c>
      <c r="N421" t="s">
        <v>2282</v>
      </c>
      <c r="O421" t="s">
        <v>4803</v>
      </c>
      <c r="P421" t="s">
        <v>4804</v>
      </c>
      <c r="Q421" t="s">
        <v>4805</v>
      </c>
      <c r="R421" t="s">
        <v>4806</v>
      </c>
      <c r="S421" t="s">
        <v>4807</v>
      </c>
      <c r="T421" t="s">
        <v>4808</v>
      </c>
    </row>
    <row r="422" spans="1:20">
      <c r="A422">
        <v>421</v>
      </c>
      <c r="B422" t="s">
        <v>1001</v>
      </c>
      <c r="C422" s="1">
        <v>83086320</v>
      </c>
      <c r="D422" t="s">
        <v>5</v>
      </c>
      <c r="E422" t="s">
        <v>1657</v>
      </c>
      <c r="F422" t="s">
        <v>4809</v>
      </c>
      <c r="G422">
        <v>39498</v>
      </c>
      <c r="H422" t="s">
        <v>1764</v>
      </c>
      <c r="I422" s="2">
        <v>32498</v>
      </c>
      <c r="J422" t="s">
        <v>1648</v>
      </c>
      <c r="K422">
        <v>1</v>
      </c>
      <c r="L422" t="s">
        <v>1649</v>
      </c>
      <c r="M422" t="s">
        <v>4059</v>
      </c>
      <c r="N422" t="s">
        <v>1671</v>
      </c>
      <c r="O422" t="s">
        <v>4810</v>
      </c>
      <c r="P422" t="s">
        <v>4811</v>
      </c>
      <c r="Q422" t="s">
        <v>4812</v>
      </c>
      <c r="R422" t="s">
        <v>4813</v>
      </c>
      <c r="S422" t="s">
        <v>4814</v>
      </c>
      <c r="T422" t="s">
        <v>4815</v>
      </c>
    </row>
    <row r="423" spans="1:20">
      <c r="A423">
        <v>422</v>
      </c>
      <c r="B423" t="s">
        <v>1002</v>
      </c>
      <c r="C423" s="1">
        <v>242184</v>
      </c>
      <c r="D423" t="s">
        <v>5</v>
      </c>
      <c r="E423" t="s">
        <v>1657</v>
      </c>
      <c r="F423" t="s">
        <v>4816</v>
      </c>
      <c r="G423">
        <v>45587</v>
      </c>
      <c r="H423" t="s">
        <v>1754</v>
      </c>
      <c r="I423" s="2">
        <v>38353</v>
      </c>
      <c r="J423" t="s">
        <v>1635</v>
      </c>
      <c r="K423">
        <v>0</v>
      </c>
      <c r="L423" t="s">
        <v>1649</v>
      </c>
      <c r="M423" t="s">
        <v>1661</v>
      </c>
      <c r="N423" t="s">
        <v>1713</v>
      </c>
      <c r="O423" t="s">
        <v>4638</v>
      </c>
      <c r="P423" t="s">
        <v>4817</v>
      </c>
      <c r="Q423" t="s">
        <v>4817</v>
      </c>
      <c r="R423" t="s">
        <v>4817</v>
      </c>
      <c r="S423" t="s">
        <v>4818</v>
      </c>
      <c r="T423" t="s">
        <v>4819</v>
      </c>
    </row>
    <row r="424" spans="1:20">
      <c r="A424">
        <v>423</v>
      </c>
      <c r="B424" t="s">
        <v>398</v>
      </c>
      <c r="C424" s="1">
        <v>83104431</v>
      </c>
      <c r="D424" t="s">
        <v>5</v>
      </c>
      <c r="E424" t="s">
        <v>1657</v>
      </c>
      <c r="F424" t="s">
        <v>4820</v>
      </c>
      <c r="G424">
        <v>40479</v>
      </c>
      <c r="H424" t="s">
        <v>1670</v>
      </c>
      <c r="I424" s="2">
        <v>31372</v>
      </c>
      <c r="J424" t="s">
        <v>1648</v>
      </c>
      <c r="K424">
        <v>2</v>
      </c>
      <c r="L424" t="s">
        <v>1649</v>
      </c>
      <c r="M424" t="s">
        <v>1637</v>
      </c>
      <c r="N424" t="s">
        <v>1650</v>
      </c>
      <c r="O424" t="s">
        <v>4821</v>
      </c>
      <c r="P424" t="s">
        <v>4822</v>
      </c>
      <c r="Q424" t="s">
        <v>4823</v>
      </c>
      <c r="R424" t="s">
        <v>4824</v>
      </c>
      <c r="S424" t="s">
        <v>4825</v>
      </c>
      <c r="T424" t="s">
        <v>4826</v>
      </c>
    </row>
    <row r="425" spans="1:20">
      <c r="A425">
        <v>424</v>
      </c>
      <c r="B425" t="s">
        <v>1003</v>
      </c>
      <c r="C425" s="1">
        <v>83075250</v>
      </c>
      <c r="D425" t="s">
        <v>2514</v>
      </c>
      <c r="E425" t="s">
        <v>1657</v>
      </c>
      <c r="F425" t="s">
        <v>4827</v>
      </c>
      <c r="G425">
        <v>39326</v>
      </c>
      <c r="H425" t="s">
        <v>4828</v>
      </c>
      <c r="I425" s="2">
        <v>31371</v>
      </c>
      <c r="J425" t="s">
        <v>1962</v>
      </c>
      <c r="K425">
        <v>0</v>
      </c>
      <c r="L425" t="s">
        <v>1649</v>
      </c>
      <c r="M425" t="s">
        <v>2651</v>
      </c>
      <c r="N425" t="s">
        <v>2371</v>
      </c>
      <c r="O425" t="s">
        <v>4829</v>
      </c>
      <c r="P425" t="s">
        <v>4830</v>
      </c>
      <c r="Q425" t="s">
        <v>4831</v>
      </c>
      <c r="R425" t="s">
        <v>4832</v>
      </c>
      <c r="S425" t="s">
        <v>4833</v>
      </c>
      <c r="T425" t="s">
        <v>4834</v>
      </c>
    </row>
    <row r="426" spans="1:20">
      <c r="A426">
        <v>425</v>
      </c>
      <c r="B426" t="s">
        <v>1004</v>
      </c>
      <c r="C426" s="1">
        <v>147324</v>
      </c>
      <c r="D426" t="s">
        <v>5</v>
      </c>
      <c r="E426" t="s">
        <v>1657</v>
      </c>
      <c r="F426" t="s">
        <v>4835</v>
      </c>
      <c r="G426">
        <v>41975</v>
      </c>
      <c r="H426" t="s">
        <v>2726</v>
      </c>
      <c r="I426" s="2">
        <v>34502</v>
      </c>
      <c r="J426" t="s">
        <v>1648</v>
      </c>
      <c r="K426">
        <v>1</v>
      </c>
      <c r="L426" t="s">
        <v>1649</v>
      </c>
      <c r="M426" t="s">
        <v>1637</v>
      </c>
      <c r="N426" t="s">
        <v>1650</v>
      </c>
      <c r="O426" t="s">
        <v>4836</v>
      </c>
      <c r="P426" t="s">
        <v>4837</v>
      </c>
      <c r="Q426" t="s">
        <v>4838</v>
      </c>
      <c r="R426" t="s">
        <v>4839</v>
      </c>
      <c r="S426" t="s">
        <v>4840</v>
      </c>
      <c r="T426" t="s">
        <v>4841</v>
      </c>
    </row>
    <row r="427" spans="1:20">
      <c r="A427">
        <v>426</v>
      </c>
      <c r="B427" t="s">
        <v>1005</v>
      </c>
      <c r="C427" s="1">
        <v>191558</v>
      </c>
      <c r="D427" t="s">
        <v>1</v>
      </c>
      <c r="E427" t="s">
        <v>1645</v>
      </c>
      <c r="F427" t="s">
        <v>4842</v>
      </c>
      <c r="G427">
        <v>43594</v>
      </c>
      <c r="H427" t="s">
        <v>4843</v>
      </c>
      <c r="I427" s="2">
        <v>34931</v>
      </c>
      <c r="J427" t="s">
        <v>1648</v>
      </c>
      <c r="K427">
        <v>0</v>
      </c>
      <c r="L427" t="s">
        <v>1636</v>
      </c>
      <c r="M427" t="s">
        <v>1637</v>
      </c>
      <c r="N427" t="s">
        <v>1650</v>
      </c>
      <c r="O427" t="s">
        <v>1639</v>
      </c>
      <c r="P427" t="s">
        <v>4844</v>
      </c>
      <c r="Q427" t="s">
        <v>4845</v>
      </c>
      <c r="R427" t="s">
        <v>4846</v>
      </c>
      <c r="S427" t="s">
        <v>4847</v>
      </c>
      <c r="T427" t="s">
        <v>4848</v>
      </c>
    </row>
    <row r="428" spans="1:20">
      <c r="A428">
        <v>427</v>
      </c>
      <c r="B428" t="s">
        <v>489</v>
      </c>
      <c r="C428" s="1">
        <v>83074618</v>
      </c>
      <c r="D428" t="s">
        <v>5</v>
      </c>
      <c r="E428" t="s">
        <v>1657</v>
      </c>
      <c r="F428" t="s">
        <v>4849</v>
      </c>
      <c r="G428">
        <v>39183</v>
      </c>
      <c r="H428" t="s">
        <v>1670</v>
      </c>
      <c r="I428" s="2">
        <v>31048</v>
      </c>
      <c r="J428" t="s">
        <v>1648</v>
      </c>
      <c r="K428">
        <v>4</v>
      </c>
      <c r="L428" t="s">
        <v>1649</v>
      </c>
      <c r="M428" t="s">
        <v>1637</v>
      </c>
      <c r="N428" t="s">
        <v>1650</v>
      </c>
      <c r="O428" t="s">
        <v>4850</v>
      </c>
      <c r="P428" t="s">
        <v>4851</v>
      </c>
      <c r="Q428" t="s">
        <v>4852</v>
      </c>
      <c r="R428" t="s">
        <v>4853</v>
      </c>
      <c r="S428" t="s">
        <v>4854</v>
      </c>
      <c r="T428" t="s">
        <v>4855</v>
      </c>
    </row>
    <row r="429" spans="1:20">
      <c r="A429">
        <v>428</v>
      </c>
      <c r="B429" t="s">
        <v>1006</v>
      </c>
      <c r="C429" s="1">
        <v>83116127</v>
      </c>
      <c r="D429" t="s">
        <v>5</v>
      </c>
      <c r="E429" t="s">
        <v>1657</v>
      </c>
      <c r="F429" t="s">
        <v>4856</v>
      </c>
      <c r="G429">
        <v>40609</v>
      </c>
      <c r="H429" t="s">
        <v>1738</v>
      </c>
      <c r="I429" s="2">
        <v>33133</v>
      </c>
      <c r="J429" t="s">
        <v>1648</v>
      </c>
      <c r="K429">
        <v>1</v>
      </c>
      <c r="L429" t="s">
        <v>1649</v>
      </c>
      <c r="M429" t="s">
        <v>1661</v>
      </c>
      <c r="N429" t="s">
        <v>4857</v>
      </c>
      <c r="O429" t="s">
        <v>4858</v>
      </c>
      <c r="P429" t="s">
        <v>4859</v>
      </c>
      <c r="Q429" t="s">
        <v>4860</v>
      </c>
      <c r="R429" t="s">
        <v>4861</v>
      </c>
      <c r="S429" t="s">
        <v>4862</v>
      </c>
      <c r="T429" t="s">
        <v>4863</v>
      </c>
    </row>
    <row r="430" spans="1:20">
      <c r="A430">
        <v>429</v>
      </c>
      <c r="B430" t="s">
        <v>504</v>
      </c>
      <c r="C430" s="1">
        <v>221922</v>
      </c>
      <c r="D430" t="s">
        <v>5</v>
      </c>
      <c r="E430" t="s">
        <v>1657</v>
      </c>
      <c r="F430" t="s">
        <v>4864</v>
      </c>
      <c r="G430">
        <v>44746</v>
      </c>
      <c r="H430" t="s">
        <v>1670</v>
      </c>
      <c r="I430" s="2">
        <v>35707</v>
      </c>
      <c r="J430" t="s">
        <v>1648</v>
      </c>
      <c r="K430">
        <v>1</v>
      </c>
      <c r="L430" t="s">
        <v>1649</v>
      </c>
      <c r="M430" t="s">
        <v>1661</v>
      </c>
      <c r="N430" t="s">
        <v>4865</v>
      </c>
      <c r="O430" t="s">
        <v>4866</v>
      </c>
      <c r="P430" t="s">
        <v>4867</v>
      </c>
      <c r="Q430" t="s">
        <v>4868</v>
      </c>
      <c r="R430" t="s">
        <v>4869</v>
      </c>
      <c r="S430" t="s">
        <v>4870</v>
      </c>
      <c r="T430" t="s">
        <v>4871</v>
      </c>
    </row>
    <row r="431" spans="1:20">
      <c r="A431">
        <v>430</v>
      </c>
      <c r="B431" t="s">
        <v>1007</v>
      </c>
      <c r="C431" s="1">
        <v>152582</v>
      </c>
      <c r="D431" t="s">
        <v>5</v>
      </c>
      <c r="E431" t="s">
        <v>1657</v>
      </c>
      <c r="F431" t="s">
        <v>4872</v>
      </c>
      <c r="G431">
        <v>42219</v>
      </c>
      <c r="H431" t="s">
        <v>1738</v>
      </c>
      <c r="I431" s="2">
        <v>34957</v>
      </c>
      <c r="J431" t="s">
        <v>1648</v>
      </c>
      <c r="K431">
        <v>0</v>
      </c>
      <c r="L431" t="s">
        <v>1649</v>
      </c>
      <c r="M431" t="s">
        <v>1661</v>
      </c>
      <c r="N431" t="s">
        <v>2743</v>
      </c>
      <c r="O431" t="s">
        <v>4873</v>
      </c>
      <c r="P431" t="s">
        <v>4874</v>
      </c>
      <c r="Q431" t="s">
        <v>4875</v>
      </c>
      <c r="R431" t="s">
        <v>4876</v>
      </c>
      <c r="S431" t="s">
        <v>4877</v>
      </c>
      <c r="T431" t="s">
        <v>4878</v>
      </c>
    </row>
    <row r="432" spans="1:20">
      <c r="A432">
        <v>431</v>
      </c>
      <c r="B432" t="s">
        <v>367</v>
      </c>
      <c r="C432" s="1">
        <v>84122965</v>
      </c>
      <c r="D432" t="s">
        <v>5</v>
      </c>
      <c r="E432" t="s">
        <v>1657</v>
      </c>
      <c r="F432" t="s">
        <v>2725</v>
      </c>
      <c r="G432">
        <v>41122</v>
      </c>
      <c r="H432" t="s">
        <v>1738</v>
      </c>
      <c r="I432" s="2">
        <v>31484</v>
      </c>
      <c r="J432" t="s">
        <v>1648</v>
      </c>
      <c r="K432">
        <v>3</v>
      </c>
      <c r="L432" t="s">
        <v>1649</v>
      </c>
      <c r="M432" t="s">
        <v>1637</v>
      </c>
      <c r="N432" t="s">
        <v>1650</v>
      </c>
      <c r="O432" t="s">
        <v>2727</v>
      </c>
      <c r="P432" t="s">
        <v>2728</v>
      </c>
      <c r="Q432" t="s">
        <v>2729</v>
      </c>
      <c r="R432" t="s">
        <v>2730</v>
      </c>
      <c r="S432" t="s">
        <v>2731</v>
      </c>
      <c r="T432" t="s">
        <v>2732</v>
      </c>
    </row>
    <row r="433" spans="1:20">
      <c r="A433">
        <v>432</v>
      </c>
      <c r="B433" t="s">
        <v>672</v>
      </c>
      <c r="C433" s="1">
        <v>83123152</v>
      </c>
      <c r="D433" t="s">
        <v>16</v>
      </c>
      <c r="E433" t="s">
        <v>1645</v>
      </c>
      <c r="F433" t="s">
        <v>4879</v>
      </c>
      <c r="G433">
        <v>41122</v>
      </c>
      <c r="H433" t="s">
        <v>4880</v>
      </c>
      <c r="I433" s="2">
        <v>23933</v>
      </c>
      <c r="J433" t="s">
        <v>1648</v>
      </c>
      <c r="K433">
        <v>3</v>
      </c>
      <c r="L433" t="s">
        <v>1649</v>
      </c>
      <c r="M433" t="s">
        <v>4881</v>
      </c>
      <c r="N433" t="s">
        <v>1739</v>
      </c>
      <c r="O433" t="s">
        <v>4882</v>
      </c>
      <c r="P433" t="s">
        <v>4883</v>
      </c>
      <c r="Q433" t="s">
        <v>4884</v>
      </c>
      <c r="R433" t="s">
        <v>4885</v>
      </c>
      <c r="S433" t="s">
        <v>4886</v>
      </c>
      <c r="T433" t="s">
        <v>4883</v>
      </c>
    </row>
    <row r="434" spans="1:20">
      <c r="A434">
        <v>433</v>
      </c>
      <c r="B434" t="s">
        <v>1008</v>
      </c>
      <c r="C434" s="1">
        <v>242408</v>
      </c>
      <c r="D434" t="s">
        <v>5</v>
      </c>
      <c r="E434" t="s">
        <v>1657</v>
      </c>
      <c r="F434" t="s">
        <v>4887</v>
      </c>
      <c r="G434">
        <v>45621</v>
      </c>
      <c r="H434" t="s">
        <v>3619</v>
      </c>
      <c r="I434" s="2">
        <v>38645</v>
      </c>
      <c r="J434" t="s">
        <v>1635</v>
      </c>
      <c r="K434">
        <v>0</v>
      </c>
      <c r="L434" t="s">
        <v>1649</v>
      </c>
      <c r="M434" t="s">
        <v>1661</v>
      </c>
      <c r="N434" t="s">
        <v>2011</v>
      </c>
      <c r="O434" t="s">
        <v>4888</v>
      </c>
      <c r="P434" t="s">
        <v>4889</v>
      </c>
      <c r="Q434" t="s">
        <v>4890</v>
      </c>
      <c r="R434" t="s">
        <v>4891</v>
      </c>
      <c r="S434" t="s">
        <v>4892</v>
      </c>
      <c r="T434" t="s">
        <v>4893</v>
      </c>
    </row>
    <row r="435" spans="1:20">
      <c r="A435">
        <v>434</v>
      </c>
      <c r="B435" t="s">
        <v>479</v>
      </c>
      <c r="C435" s="1">
        <v>84122966</v>
      </c>
      <c r="D435" t="s">
        <v>5</v>
      </c>
      <c r="E435" t="s">
        <v>1657</v>
      </c>
      <c r="F435" t="s">
        <v>4894</v>
      </c>
      <c r="G435">
        <v>45870</v>
      </c>
      <c r="H435" t="s">
        <v>1670</v>
      </c>
      <c r="I435" s="2">
        <v>33701</v>
      </c>
      <c r="J435" t="s">
        <v>1648</v>
      </c>
      <c r="K435">
        <v>1</v>
      </c>
      <c r="L435" t="s">
        <v>1649</v>
      </c>
      <c r="M435" t="s">
        <v>1637</v>
      </c>
      <c r="N435" t="s">
        <v>1671</v>
      </c>
      <c r="O435" t="s">
        <v>4895</v>
      </c>
      <c r="P435" t="s">
        <v>4896</v>
      </c>
      <c r="Q435" t="s">
        <v>4897</v>
      </c>
      <c r="R435" t="s">
        <v>4898</v>
      </c>
      <c r="S435" t="s">
        <v>4899</v>
      </c>
      <c r="T435" t="s">
        <v>4900</v>
      </c>
    </row>
    <row r="436" spans="1:20">
      <c r="A436">
        <v>435</v>
      </c>
      <c r="B436" t="s">
        <v>435</v>
      </c>
      <c r="C436" s="1">
        <v>132527</v>
      </c>
      <c r="D436" t="s">
        <v>5</v>
      </c>
      <c r="E436" t="s">
        <v>1657</v>
      </c>
      <c r="F436" t="s">
        <v>4901</v>
      </c>
      <c r="G436">
        <v>41457</v>
      </c>
      <c r="H436" t="s">
        <v>1670</v>
      </c>
      <c r="I436" s="2">
        <v>31706</v>
      </c>
      <c r="J436" t="s">
        <v>1648</v>
      </c>
      <c r="K436">
        <v>3</v>
      </c>
      <c r="L436" t="s">
        <v>1649</v>
      </c>
      <c r="M436" t="s">
        <v>1661</v>
      </c>
      <c r="N436" t="s">
        <v>4902</v>
      </c>
      <c r="O436" t="s">
        <v>4903</v>
      </c>
      <c r="P436" t="s">
        <v>4904</v>
      </c>
      <c r="Q436" t="s">
        <v>4905</v>
      </c>
      <c r="R436" t="s">
        <v>4906</v>
      </c>
      <c r="S436" t="s">
        <v>4907</v>
      </c>
      <c r="T436" t="s">
        <v>4908</v>
      </c>
    </row>
    <row r="437" spans="1:20">
      <c r="A437">
        <v>436</v>
      </c>
      <c r="B437" t="s">
        <v>438</v>
      </c>
      <c r="C437" s="1">
        <v>134355</v>
      </c>
      <c r="D437" t="s">
        <v>5</v>
      </c>
      <c r="E437" t="s">
        <v>1657</v>
      </c>
      <c r="F437" t="s">
        <v>4909</v>
      </c>
      <c r="G437">
        <v>41543</v>
      </c>
      <c r="H437" t="s">
        <v>1670</v>
      </c>
      <c r="I437" s="2">
        <v>33843</v>
      </c>
      <c r="J437" t="s">
        <v>1635</v>
      </c>
      <c r="K437">
        <v>0</v>
      </c>
      <c r="L437" t="s">
        <v>1649</v>
      </c>
      <c r="M437" t="s">
        <v>1637</v>
      </c>
      <c r="N437" t="s">
        <v>1650</v>
      </c>
      <c r="O437" t="s">
        <v>4910</v>
      </c>
      <c r="P437" t="s">
        <v>4911</v>
      </c>
      <c r="Q437" t="s">
        <v>4912</v>
      </c>
      <c r="R437" t="s">
        <v>4913</v>
      </c>
      <c r="S437" t="s">
        <v>4914</v>
      </c>
      <c r="T437" t="s">
        <v>4915</v>
      </c>
    </row>
    <row r="438" spans="1:20">
      <c r="A438">
        <v>437</v>
      </c>
      <c r="B438" t="s">
        <v>387</v>
      </c>
      <c r="C438" s="1">
        <v>83105157</v>
      </c>
      <c r="D438" t="s">
        <v>5</v>
      </c>
      <c r="E438" t="s">
        <v>1657</v>
      </c>
      <c r="F438" t="s">
        <v>4916</v>
      </c>
      <c r="G438">
        <v>40518</v>
      </c>
      <c r="H438" t="s">
        <v>1670</v>
      </c>
      <c r="I438" s="2">
        <v>31626</v>
      </c>
      <c r="J438" t="s">
        <v>1648</v>
      </c>
      <c r="K438">
        <v>1</v>
      </c>
      <c r="L438" t="s">
        <v>1649</v>
      </c>
      <c r="M438" t="s">
        <v>1637</v>
      </c>
      <c r="N438" t="s">
        <v>1650</v>
      </c>
      <c r="O438" t="s">
        <v>4917</v>
      </c>
      <c r="P438" t="s">
        <v>4918</v>
      </c>
      <c r="Q438" t="s">
        <v>4919</v>
      </c>
      <c r="R438" t="s">
        <v>4920</v>
      </c>
      <c r="S438" t="s">
        <v>4921</v>
      </c>
      <c r="T438" t="s">
        <v>4922</v>
      </c>
    </row>
    <row r="439" spans="1:20">
      <c r="A439">
        <v>438</v>
      </c>
      <c r="B439" t="s">
        <v>434</v>
      </c>
      <c r="C439" s="1">
        <v>83105164</v>
      </c>
      <c r="D439" t="s">
        <v>5</v>
      </c>
      <c r="E439" t="s">
        <v>1657</v>
      </c>
      <c r="F439" t="s">
        <v>4923</v>
      </c>
      <c r="G439">
        <v>40518</v>
      </c>
      <c r="H439" t="s">
        <v>1670</v>
      </c>
      <c r="I439" s="2">
        <v>32142</v>
      </c>
      <c r="J439" t="s">
        <v>1648</v>
      </c>
      <c r="K439">
        <v>2</v>
      </c>
      <c r="L439" t="s">
        <v>1649</v>
      </c>
      <c r="M439" t="s">
        <v>1661</v>
      </c>
      <c r="N439" t="s">
        <v>1662</v>
      </c>
      <c r="O439" t="s">
        <v>1783</v>
      </c>
      <c r="P439" t="s">
        <v>4924</v>
      </c>
      <c r="Q439" t="s">
        <v>4925</v>
      </c>
      <c r="R439" t="s">
        <v>4926</v>
      </c>
      <c r="S439" t="s">
        <v>4927</v>
      </c>
      <c r="T439" t="s">
        <v>4928</v>
      </c>
    </row>
    <row r="440" spans="1:20">
      <c r="A440">
        <v>439</v>
      </c>
      <c r="B440" t="s">
        <v>490</v>
      </c>
      <c r="C440" s="1">
        <v>147371</v>
      </c>
      <c r="D440" t="s">
        <v>5</v>
      </c>
      <c r="E440" t="s">
        <v>1657</v>
      </c>
      <c r="F440" t="s">
        <v>4929</v>
      </c>
      <c r="G440">
        <v>41975</v>
      </c>
      <c r="H440" t="s">
        <v>1670</v>
      </c>
      <c r="I440" s="2">
        <v>32962</v>
      </c>
      <c r="J440" t="s">
        <v>1648</v>
      </c>
      <c r="K440">
        <v>2</v>
      </c>
      <c r="L440" t="s">
        <v>1649</v>
      </c>
      <c r="M440" t="s">
        <v>1637</v>
      </c>
      <c r="N440" t="s">
        <v>1671</v>
      </c>
      <c r="O440" t="s">
        <v>4930</v>
      </c>
      <c r="P440" t="s">
        <v>4931</v>
      </c>
      <c r="Q440" t="s">
        <v>4932</v>
      </c>
      <c r="R440" t="s">
        <v>4933</v>
      </c>
      <c r="S440" t="s">
        <v>4934</v>
      </c>
      <c r="T440" t="s">
        <v>4935</v>
      </c>
    </row>
    <row r="441" spans="1:20">
      <c r="A441">
        <v>440</v>
      </c>
      <c r="B441" t="s">
        <v>1009</v>
      </c>
      <c r="C441" s="1">
        <v>221926</v>
      </c>
      <c r="D441" t="s">
        <v>5</v>
      </c>
      <c r="E441" t="s">
        <v>1657</v>
      </c>
      <c r="F441" t="s">
        <v>4936</v>
      </c>
      <c r="G441">
        <v>44746</v>
      </c>
      <c r="H441" t="s">
        <v>1738</v>
      </c>
      <c r="I441" s="2">
        <v>38053</v>
      </c>
      <c r="J441" t="s">
        <v>1635</v>
      </c>
      <c r="K441">
        <v>0</v>
      </c>
      <c r="L441" t="s">
        <v>1649</v>
      </c>
      <c r="M441" t="s">
        <v>1637</v>
      </c>
      <c r="N441" t="s">
        <v>1671</v>
      </c>
      <c r="O441" t="s">
        <v>4937</v>
      </c>
      <c r="P441" t="s">
        <v>4938</v>
      </c>
      <c r="Q441" t="s">
        <v>4939</v>
      </c>
      <c r="R441" t="s">
        <v>4940</v>
      </c>
      <c r="S441" t="s">
        <v>4941</v>
      </c>
      <c r="T441" t="s">
        <v>4942</v>
      </c>
    </row>
    <row r="442" spans="1:20">
      <c r="A442">
        <v>441</v>
      </c>
      <c r="B442" t="s">
        <v>1010</v>
      </c>
      <c r="C442" s="1">
        <v>83040047</v>
      </c>
      <c r="D442" t="s">
        <v>5</v>
      </c>
      <c r="E442" t="s">
        <v>1365</v>
      </c>
      <c r="F442" t="s">
        <v>4943</v>
      </c>
      <c r="G442">
        <v>37865</v>
      </c>
      <c r="H442" t="s">
        <v>1670</v>
      </c>
      <c r="I442" s="2">
        <v>27550</v>
      </c>
      <c r="J442" t="s">
        <v>1648</v>
      </c>
      <c r="K442">
        <v>2</v>
      </c>
      <c r="L442" t="s">
        <v>1649</v>
      </c>
      <c r="M442" t="s">
        <v>1637</v>
      </c>
      <c r="N442" t="s">
        <v>1671</v>
      </c>
      <c r="O442" t="s">
        <v>4944</v>
      </c>
      <c r="P442" t="s">
        <v>4945</v>
      </c>
      <c r="Q442" t="s">
        <v>4946</v>
      </c>
      <c r="R442" t="s">
        <v>4947</v>
      </c>
      <c r="S442" t="s">
        <v>4948</v>
      </c>
      <c r="T442" t="s">
        <v>4949</v>
      </c>
    </row>
    <row r="443" spans="1:20">
      <c r="A443">
        <v>442</v>
      </c>
      <c r="B443" t="s">
        <v>1011</v>
      </c>
      <c r="C443" s="1">
        <v>162709</v>
      </c>
      <c r="D443" t="s">
        <v>5</v>
      </c>
      <c r="E443" t="s">
        <v>1645</v>
      </c>
      <c r="F443" t="s">
        <v>4950</v>
      </c>
      <c r="G443">
        <v>42675</v>
      </c>
      <c r="H443" t="s">
        <v>1670</v>
      </c>
      <c r="I443" s="2">
        <v>33464</v>
      </c>
      <c r="J443" t="s">
        <v>1648</v>
      </c>
      <c r="K443">
        <v>1</v>
      </c>
      <c r="L443" t="s">
        <v>1649</v>
      </c>
      <c r="M443" t="s">
        <v>1637</v>
      </c>
      <c r="N443" t="s">
        <v>1650</v>
      </c>
      <c r="O443" t="s">
        <v>4951</v>
      </c>
      <c r="P443" t="s">
        <v>4952</v>
      </c>
      <c r="Q443" t="s">
        <v>4953</v>
      </c>
      <c r="R443" t="s">
        <v>4954</v>
      </c>
      <c r="S443" t="s">
        <v>4955</v>
      </c>
      <c r="T443" t="s">
        <v>4956</v>
      </c>
    </row>
    <row r="444" spans="1:20">
      <c r="A444">
        <v>443</v>
      </c>
      <c r="B444" t="s">
        <v>606</v>
      </c>
      <c r="C444" s="1">
        <v>83102441</v>
      </c>
      <c r="D444" t="s">
        <v>8</v>
      </c>
      <c r="E444" t="s">
        <v>1657</v>
      </c>
      <c r="F444" t="s">
        <v>4957</v>
      </c>
      <c r="G444">
        <v>40284</v>
      </c>
      <c r="H444" t="s">
        <v>1721</v>
      </c>
      <c r="I444" s="2">
        <v>30591</v>
      </c>
      <c r="J444" t="s">
        <v>1648</v>
      </c>
      <c r="K444">
        <v>3</v>
      </c>
      <c r="L444" t="s">
        <v>1649</v>
      </c>
      <c r="M444" t="s">
        <v>1661</v>
      </c>
      <c r="N444" t="s">
        <v>4958</v>
      </c>
      <c r="O444" t="s">
        <v>4959</v>
      </c>
      <c r="P444" t="s">
        <v>4960</v>
      </c>
      <c r="Q444" t="s">
        <v>4961</v>
      </c>
      <c r="R444" t="s">
        <v>4962</v>
      </c>
      <c r="S444" t="s">
        <v>4963</v>
      </c>
      <c r="T444" t="s">
        <v>4964</v>
      </c>
    </row>
    <row r="445" spans="1:20">
      <c r="A445">
        <v>444</v>
      </c>
      <c r="B445" t="s">
        <v>474</v>
      </c>
      <c r="C445" s="1">
        <v>83040045</v>
      </c>
      <c r="D445" t="s">
        <v>5</v>
      </c>
      <c r="E445" t="s">
        <v>1657</v>
      </c>
      <c r="G445">
        <v>37865</v>
      </c>
      <c r="H445" t="s">
        <v>1670</v>
      </c>
      <c r="I445" s="2">
        <v>28965</v>
      </c>
      <c r="J445" t="s">
        <v>1648</v>
      </c>
      <c r="K445">
        <v>3</v>
      </c>
      <c r="L445" t="s">
        <v>1649</v>
      </c>
      <c r="M445" t="s">
        <v>1637</v>
      </c>
      <c r="N445" t="s">
        <v>1671</v>
      </c>
      <c r="O445" t="s">
        <v>4965</v>
      </c>
      <c r="P445" t="s">
        <v>4966</v>
      </c>
      <c r="Q445" t="s">
        <v>4967</v>
      </c>
      <c r="R445" t="s">
        <v>4968</v>
      </c>
      <c r="S445" t="s">
        <v>4969</v>
      </c>
      <c r="T445" t="s">
        <v>4970</v>
      </c>
    </row>
    <row r="446" spans="1:20">
      <c r="A446">
        <v>445</v>
      </c>
      <c r="B446" t="s">
        <v>1012</v>
      </c>
      <c r="C446" s="1">
        <v>144643</v>
      </c>
      <c r="D446" t="s">
        <v>4971</v>
      </c>
      <c r="E446" t="s">
        <v>1657</v>
      </c>
      <c r="F446" t="s">
        <v>4972</v>
      </c>
      <c r="G446">
        <v>41883</v>
      </c>
      <c r="H446" t="s">
        <v>4973</v>
      </c>
      <c r="I446" s="2">
        <v>28312</v>
      </c>
      <c r="J446" t="s">
        <v>1648</v>
      </c>
      <c r="K446">
        <v>2</v>
      </c>
      <c r="L446" t="s">
        <v>1649</v>
      </c>
      <c r="M446" t="s">
        <v>4974</v>
      </c>
      <c r="N446" t="s">
        <v>4975</v>
      </c>
      <c r="O446" t="s">
        <v>4976</v>
      </c>
      <c r="P446" t="s">
        <v>4977</v>
      </c>
      <c r="Q446" t="s">
        <v>4978</v>
      </c>
      <c r="R446" t="s">
        <v>4979</v>
      </c>
      <c r="S446" t="s">
        <v>4980</v>
      </c>
      <c r="T446" t="s">
        <v>4981</v>
      </c>
    </row>
    <row r="447" spans="1:20">
      <c r="A447">
        <v>446</v>
      </c>
      <c r="B447" t="s">
        <v>488</v>
      </c>
      <c r="C447" s="1">
        <v>140689</v>
      </c>
      <c r="D447" t="s">
        <v>5</v>
      </c>
      <c r="E447" t="s">
        <v>1657</v>
      </c>
      <c r="F447" t="s">
        <v>4982</v>
      </c>
      <c r="G447">
        <v>41683</v>
      </c>
      <c r="H447" t="s">
        <v>1670</v>
      </c>
      <c r="I447" s="2">
        <v>34976</v>
      </c>
      <c r="J447" t="s">
        <v>1648</v>
      </c>
      <c r="K447">
        <v>1</v>
      </c>
      <c r="L447" t="s">
        <v>1649</v>
      </c>
      <c r="M447" t="s">
        <v>1661</v>
      </c>
      <c r="N447" t="s">
        <v>1662</v>
      </c>
      <c r="O447" t="s">
        <v>4983</v>
      </c>
      <c r="P447" t="s">
        <v>4984</v>
      </c>
      <c r="Q447" t="s">
        <v>4985</v>
      </c>
      <c r="R447" t="s">
        <v>4986</v>
      </c>
      <c r="S447" t="s">
        <v>4987</v>
      </c>
      <c r="T447" t="s">
        <v>4988</v>
      </c>
    </row>
    <row r="448" spans="1:20">
      <c r="A448">
        <v>447</v>
      </c>
      <c r="B448" t="s">
        <v>599</v>
      </c>
      <c r="C448" s="1">
        <v>183516</v>
      </c>
      <c r="D448" t="s">
        <v>8</v>
      </c>
      <c r="E448" t="s">
        <v>1657</v>
      </c>
      <c r="F448" t="s">
        <v>4989</v>
      </c>
      <c r="G448">
        <v>43389</v>
      </c>
      <c r="H448" t="s">
        <v>2831</v>
      </c>
      <c r="I448" s="2">
        <v>36567</v>
      </c>
      <c r="J448" t="s">
        <v>1648</v>
      </c>
      <c r="K448">
        <v>1</v>
      </c>
      <c r="L448" t="s">
        <v>1649</v>
      </c>
      <c r="M448" t="s">
        <v>1661</v>
      </c>
      <c r="N448" t="s">
        <v>4990</v>
      </c>
      <c r="O448" t="s">
        <v>4991</v>
      </c>
      <c r="P448" t="s">
        <v>4992</v>
      </c>
      <c r="Q448" t="s">
        <v>4993</v>
      </c>
      <c r="R448" t="s">
        <v>2973</v>
      </c>
      <c r="S448" t="s">
        <v>4994</v>
      </c>
      <c r="T448" t="s">
        <v>4244</v>
      </c>
    </row>
    <row r="449" spans="1:20">
      <c r="A449">
        <v>448</v>
      </c>
      <c r="B449" t="s">
        <v>596</v>
      </c>
      <c r="C449" s="1">
        <v>84088210</v>
      </c>
      <c r="D449" t="s">
        <v>8</v>
      </c>
      <c r="E449" t="s">
        <v>1365</v>
      </c>
      <c r="F449" t="s">
        <v>4995</v>
      </c>
      <c r="G449">
        <v>39721</v>
      </c>
      <c r="H449" t="s">
        <v>1721</v>
      </c>
      <c r="I449" s="2">
        <v>32903</v>
      </c>
      <c r="J449" t="s">
        <v>1648</v>
      </c>
      <c r="K449">
        <v>3</v>
      </c>
      <c r="L449" t="s">
        <v>1649</v>
      </c>
      <c r="M449" t="s">
        <v>1637</v>
      </c>
      <c r="N449" t="s">
        <v>1671</v>
      </c>
      <c r="O449" t="s">
        <v>4996</v>
      </c>
      <c r="P449" t="s">
        <v>4997</v>
      </c>
      <c r="Q449" t="s">
        <v>4998</v>
      </c>
      <c r="R449" t="s">
        <v>4999</v>
      </c>
      <c r="S449" t="s">
        <v>5000</v>
      </c>
      <c r="T449" t="s">
        <v>5001</v>
      </c>
    </row>
    <row r="450" spans="1:20">
      <c r="A450">
        <v>449</v>
      </c>
      <c r="B450" t="s">
        <v>1013</v>
      </c>
      <c r="C450" s="1">
        <v>241557</v>
      </c>
      <c r="D450" t="s">
        <v>5</v>
      </c>
      <c r="E450" t="s">
        <v>1657</v>
      </c>
      <c r="F450" t="s">
        <v>5002</v>
      </c>
      <c r="G450">
        <v>45534</v>
      </c>
      <c r="H450" t="s">
        <v>2968</v>
      </c>
      <c r="I450" s="2">
        <v>45852</v>
      </c>
      <c r="J450" t="s">
        <v>1635</v>
      </c>
      <c r="K450">
        <v>0</v>
      </c>
      <c r="L450" t="s">
        <v>1649</v>
      </c>
      <c r="M450" t="s">
        <v>1661</v>
      </c>
      <c r="N450" t="s">
        <v>2011</v>
      </c>
      <c r="O450" t="s">
        <v>5003</v>
      </c>
      <c r="P450" t="s">
        <v>5004</v>
      </c>
      <c r="Q450" t="s">
        <v>5005</v>
      </c>
      <c r="R450" t="s">
        <v>5006</v>
      </c>
      <c r="S450" t="s">
        <v>5007</v>
      </c>
      <c r="T450" t="s">
        <v>5008</v>
      </c>
    </row>
    <row r="451" spans="1:20">
      <c r="A451">
        <v>450</v>
      </c>
      <c r="B451" t="s">
        <v>1014</v>
      </c>
      <c r="C451" s="1">
        <v>135037</v>
      </c>
      <c r="D451" t="s">
        <v>2966</v>
      </c>
      <c r="E451" t="s">
        <v>1645</v>
      </c>
      <c r="F451" t="s">
        <v>5009</v>
      </c>
      <c r="G451">
        <v>41557</v>
      </c>
      <c r="H451" t="s">
        <v>1764</v>
      </c>
      <c r="I451" s="2">
        <v>33002</v>
      </c>
      <c r="J451" t="s">
        <v>1648</v>
      </c>
      <c r="K451">
        <v>3</v>
      </c>
      <c r="L451" t="s">
        <v>1649</v>
      </c>
      <c r="M451" t="s">
        <v>1637</v>
      </c>
      <c r="N451" t="s">
        <v>1671</v>
      </c>
      <c r="O451" t="s">
        <v>5010</v>
      </c>
      <c r="P451" t="s">
        <v>5011</v>
      </c>
      <c r="Q451" t="s">
        <v>5012</v>
      </c>
      <c r="R451" t="s">
        <v>5013</v>
      </c>
      <c r="S451" t="s">
        <v>5014</v>
      </c>
      <c r="T451" t="s">
        <v>5015</v>
      </c>
    </row>
    <row r="452" spans="1:20">
      <c r="A452">
        <v>451</v>
      </c>
      <c r="B452" t="s">
        <v>1015</v>
      </c>
      <c r="C452" s="1">
        <v>221929</v>
      </c>
      <c r="D452" t="s">
        <v>5</v>
      </c>
      <c r="E452" t="s">
        <v>1657</v>
      </c>
      <c r="F452" t="s">
        <v>5016</v>
      </c>
      <c r="G452">
        <v>44760</v>
      </c>
      <c r="H452" t="s">
        <v>5017</v>
      </c>
      <c r="I452" s="2">
        <v>37642</v>
      </c>
      <c r="J452" t="s">
        <v>1635</v>
      </c>
      <c r="K452">
        <v>0</v>
      </c>
      <c r="L452" t="s">
        <v>1649</v>
      </c>
      <c r="M452" t="s">
        <v>1661</v>
      </c>
      <c r="N452" t="s">
        <v>5018</v>
      </c>
      <c r="O452" t="s">
        <v>5019</v>
      </c>
      <c r="P452" t="s">
        <v>5020</v>
      </c>
      <c r="Q452" t="s">
        <v>5021</v>
      </c>
      <c r="R452" t="s">
        <v>5022</v>
      </c>
      <c r="S452" t="s">
        <v>5023</v>
      </c>
      <c r="T452" t="s">
        <v>5024</v>
      </c>
    </row>
    <row r="453" spans="1:20">
      <c r="A453">
        <v>452</v>
      </c>
      <c r="B453" t="s">
        <v>1016</v>
      </c>
      <c r="C453" s="1">
        <v>133792</v>
      </c>
      <c r="D453" t="s">
        <v>8</v>
      </c>
      <c r="E453" t="s">
        <v>1657</v>
      </c>
      <c r="F453" t="s">
        <v>5025</v>
      </c>
      <c r="G453">
        <v>41519</v>
      </c>
      <c r="H453" t="s">
        <v>2571</v>
      </c>
      <c r="I453" s="2">
        <v>34486</v>
      </c>
      <c r="J453" t="s">
        <v>1648</v>
      </c>
      <c r="K453">
        <v>1</v>
      </c>
      <c r="L453" t="s">
        <v>1636</v>
      </c>
      <c r="M453" t="s">
        <v>1661</v>
      </c>
      <c r="N453" t="s">
        <v>5026</v>
      </c>
      <c r="O453" t="s">
        <v>5027</v>
      </c>
      <c r="P453" t="s">
        <v>5028</v>
      </c>
      <c r="Q453" t="s">
        <v>5029</v>
      </c>
      <c r="R453" t="s">
        <v>5030</v>
      </c>
      <c r="S453" t="s">
        <v>5031</v>
      </c>
      <c r="T453" t="s">
        <v>5032</v>
      </c>
    </row>
    <row r="454" spans="1:20">
      <c r="A454">
        <v>453</v>
      </c>
      <c r="B454" t="s">
        <v>410</v>
      </c>
      <c r="C454" s="1">
        <v>83040095</v>
      </c>
      <c r="D454" t="s">
        <v>5</v>
      </c>
      <c r="E454" t="s">
        <v>1657</v>
      </c>
      <c r="F454" t="s">
        <v>5033</v>
      </c>
      <c r="G454">
        <v>37895</v>
      </c>
      <c r="H454" t="s">
        <v>1764</v>
      </c>
      <c r="I454" s="2">
        <v>27535</v>
      </c>
      <c r="J454" t="s">
        <v>1648</v>
      </c>
      <c r="K454">
        <v>1</v>
      </c>
      <c r="L454" t="s">
        <v>1649</v>
      </c>
      <c r="M454" t="s">
        <v>1637</v>
      </c>
      <c r="N454" t="s">
        <v>1671</v>
      </c>
      <c r="O454" t="s">
        <v>5034</v>
      </c>
      <c r="P454" t="s">
        <v>5035</v>
      </c>
      <c r="Q454" t="s">
        <v>5036</v>
      </c>
      <c r="R454" t="s">
        <v>5037</v>
      </c>
      <c r="S454" t="s">
        <v>5038</v>
      </c>
      <c r="T454" t="s">
        <v>5039</v>
      </c>
    </row>
    <row r="455" spans="1:20">
      <c r="A455">
        <v>454</v>
      </c>
      <c r="B455" t="s">
        <v>436</v>
      </c>
      <c r="C455" s="1">
        <v>221920</v>
      </c>
      <c r="D455" t="s">
        <v>5</v>
      </c>
      <c r="E455" t="s">
        <v>1657</v>
      </c>
      <c r="F455" t="s">
        <v>5040</v>
      </c>
      <c r="G455">
        <v>44746</v>
      </c>
      <c r="H455" t="s">
        <v>1670</v>
      </c>
      <c r="I455" s="2">
        <v>36509</v>
      </c>
      <c r="J455" t="s">
        <v>1648</v>
      </c>
      <c r="K455">
        <v>1</v>
      </c>
      <c r="L455" t="s">
        <v>1649</v>
      </c>
      <c r="M455" t="s">
        <v>1661</v>
      </c>
      <c r="N455" t="s">
        <v>5041</v>
      </c>
      <c r="O455" t="s">
        <v>5042</v>
      </c>
      <c r="P455" t="s">
        <v>5043</v>
      </c>
      <c r="Q455" t="s">
        <v>5044</v>
      </c>
      <c r="R455" t="s">
        <v>5045</v>
      </c>
      <c r="S455" t="s">
        <v>5046</v>
      </c>
      <c r="T455" t="s">
        <v>5047</v>
      </c>
    </row>
    <row r="456" spans="1:20">
      <c r="A456">
        <v>455</v>
      </c>
      <c r="B456" t="s">
        <v>1017</v>
      </c>
      <c r="C456" s="1">
        <v>83119336</v>
      </c>
      <c r="D456" t="s">
        <v>9</v>
      </c>
      <c r="E456" t="s">
        <v>1657</v>
      </c>
      <c r="F456" t="s">
        <v>5048</v>
      </c>
      <c r="G456">
        <v>40840</v>
      </c>
      <c r="H456" t="s">
        <v>5049</v>
      </c>
      <c r="I456" s="2">
        <v>32182</v>
      </c>
      <c r="J456" t="s">
        <v>1635</v>
      </c>
      <c r="K456">
        <v>0</v>
      </c>
      <c r="L456" t="s">
        <v>1636</v>
      </c>
      <c r="M456" t="s">
        <v>2651</v>
      </c>
      <c r="N456" t="s">
        <v>1671</v>
      </c>
      <c r="O456" t="s">
        <v>5050</v>
      </c>
      <c r="P456" t="s">
        <v>5051</v>
      </c>
      <c r="Q456" t="s">
        <v>5052</v>
      </c>
      <c r="R456" t="s">
        <v>5053</v>
      </c>
      <c r="S456" t="s">
        <v>5054</v>
      </c>
      <c r="T456" t="s">
        <v>5055</v>
      </c>
    </row>
    <row r="457" spans="1:20">
      <c r="A457">
        <v>456</v>
      </c>
      <c r="B457" t="s">
        <v>1018</v>
      </c>
      <c r="C457" s="1">
        <v>145565</v>
      </c>
      <c r="D457" t="s">
        <v>8</v>
      </c>
      <c r="E457" t="s">
        <v>1365</v>
      </c>
      <c r="F457" t="s">
        <v>5056</v>
      </c>
      <c r="G457">
        <v>41925</v>
      </c>
      <c r="H457" t="s">
        <v>3181</v>
      </c>
      <c r="I457" s="2">
        <v>35079</v>
      </c>
      <c r="J457" t="s">
        <v>1648</v>
      </c>
      <c r="K457">
        <v>2</v>
      </c>
      <c r="L457" t="s">
        <v>1649</v>
      </c>
      <c r="M457" t="s">
        <v>1661</v>
      </c>
      <c r="N457" t="s">
        <v>2046</v>
      </c>
      <c r="O457" t="s">
        <v>5057</v>
      </c>
      <c r="P457" t="s">
        <v>5058</v>
      </c>
      <c r="Q457" t="s">
        <v>5059</v>
      </c>
      <c r="R457" t="s">
        <v>5060</v>
      </c>
      <c r="S457" t="s">
        <v>5061</v>
      </c>
      <c r="T457" t="s">
        <v>5062</v>
      </c>
    </row>
    <row r="458" spans="1:20">
      <c r="A458">
        <v>457</v>
      </c>
      <c r="B458" t="s">
        <v>378</v>
      </c>
      <c r="C458" s="1">
        <v>83103441</v>
      </c>
      <c r="D458" t="s">
        <v>5</v>
      </c>
      <c r="E458" t="s">
        <v>1657</v>
      </c>
      <c r="F458" t="s">
        <v>5063</v>
      </c>
      <c r="G458">
        <v>40374</v>
      </c>
      <c r="H458" t="s">
        <v>1670</v>
      </c>
      <c r="I458" s="2">
        <v>28635</v>
      </c>
      <c r="J458" t="s">
        <v>1648</v>
      </c>
      <c r="K458">
        <v>2</v>
      </c>
      <c r="L458" t="s">
        <v>1649</v>
      </c>
      <c r="M458" t="s">
        <v>1637</v>
      </c>
      <c r="N458" t="s">
        <v>1650</v>
      </c>
      <c r="O458" t="s">
        <v>5064</v>
      </c>
      <c r="P458" t="s">
        <v>5065</v>
      </c>
      <c r="Q458" t="s">
        <v>5066</v>
      </c>
      <c r="R458" t="s">
        <v>5067</v>
      </c>
      <c r="S458" t="s">
        <v>5068</v>
      </c>
      <c r="T458" t="s">
        <v>5069</v>
      </c>
    </row>
    <row r="459" spans="1:20">
      <c r="A459">
        <v>458</v>
      </c>
      <c r="B459" t="s">
        <v>1019</v>
      </c>
      <c r="C459" s="1">
        <v>83119823</v>
      </c>
      <c r="D459" t="s">
        <v>5070</v>
      </c>
      <c r="E459" t="s">
        <v>1657</v>
      </c>
      <c r="F459" t="s">
        <v>5071</v>
      </c>
      <c r="G459">
        <v>40883</v>
      </c>
      <c r="H459" t="s">
        <v>5072</v>
      </c>
      <c r="I459" s="2">
        <v>29029</v>
      </c>
      <c r="J459" t="s">
        <v>1648</v>
      </c>
      <c r="K459">
        <v>2</v>
      </c>
      <c r="L459" t="s">
        <v>1649</v>
      </c>
      <c r="M459" t="s">
        <v>3333</v>
      </c>
      <c r="N459" t="s">
        <v>3230</v>
      </c>
      <c r="O459" t="s">
        <v>5073</v>
      </c>
      <c r="P459" t="s">
        <v>5074</v>
      </c>
      <c r="Q459" t="s">
        <v>5075</v>
      </c>
      <c r="R459" t="s">
        <v>5076</v>
      </c>
      <c r="S459" t="s">
        <v>5077</v>
      </c>
      <c r="T459" t="s">
        <v>5078</v>
      </c>
    </row>
    <row r="460" spans="1:20">
      <c r="A460">
        <v>459</v>
      </c>
      <c r="B460" t="s">
        <v>5079</v>
      </c>
      <c r="C460" s="1">
        <v>83102211</v>
      </c>
      <c r="D460" t="s">
        <v>7</v>
      </c>
      <c r="E460" t="s">
        <v>1365</v>
      </c>
      <c r="F460" t="s">
        <v>4303</v>
      </c>
      <c r="G460">
        <v>34853</v>
      </c>
      <c r="H460" t="s">
        <v>1764</v>
      </c>
      <c r="I460" s="2">
        <v>28233</v>
      </c>
      <c r="J460" t="s">
        <v>1648</v>
      </c>
      <c r="K460">
        <v>2</v>
      </c>
      <c r="L460" t="s">
        <v>1649</v>
      </c>
      <c r="M460" t="s">
        <v>1661</v>
      </c>
      <c r="N460" t="s">
        <v>1791</v>
      </c>
      <c r="O460" t="s">
        <v>5080</v>
      </c>
      <c r="P460" t="s">
        <v>4305</v>
      </c>
      <c r="Q460" t="s">
        <v>4306</v>
      </c>
      <c r="R460" t="s">
        <v>4307</v>
      </c>
      <c r="S460" t="s">
        <v>4308</v>
      </c>
      <c r="T460" t="s">
        <v>4309</v>
      </c>
    </row>
    <row r="461" spans="1:20">
      <c r="A461">
        <v>460</v>
      </c>
      <c r="B461" t="s">
        <v>1020</v>
      </c>
      <c r="C461" s="1">
        <v>241560</v>
      </c>
      <c r="D461" t="s">
        <v>5</v>
      </c>
      <c r="E461" t="s">
        <v>1657</v>
      </c>
      <c r="F461" t="s">
        <v>5081</v>
      </c>
      <c r="G461">
        <v>45534</v>
      </c>
      <c r="H461" t="s">
        <v>1659</v>
      </c>
      <c r="I461" s="2">
        <v>37874</v>
      </c>
      <c r="J461" t="s">
        <v>1635</v>
      </c>
      <c r="K461">
        <v>0</v>
      </c>
      <c r="L461" t="s">
        <v>1649</v>
      </c>
      <c r="M461" t="s">
        <v>1661</v>
      </c>
      <c r="N461" t="s">
        <v>5082</v>
      </c>
      <c r="O461" t="s">
        <v>2952</v>
      </c>
      <c r="P461" t="s">
        <v>5083</v>
      </c>
      <c r="Q461" t="s">
        <v>5084</v>
      </c>
      <c r="R461" t="s">
        <v>5085</v>
      </c>
      <c r="S461" t="s">
        <v>5086</v>
      </c>
      <c r="T461" t="s">
        <v>5087</v>
      </c>
    </row>
    <row r="462" spans="1:20">
      <c r="A462">
        <v>461</v>
      </c>
      <c r="B462" t="s">
        <v>399</v>
      </c>
      <c r="C462" s="1">
        <v>147322</v>
      </c>
      <c r="D462" t="s">
        <v>5</v>
      </c>
      <c r="E462" t="s">
        <v>1657</v>
      </c>
      <c r="F462" t="s">
        <v>5088</v>
      </c>
      <c r="G462">
        <v>41975</v>
      </c>
      <c r="H462" t="s">
        <v>1670</v>
      </c>
      <c r="I462" s="2">
        <v>33562</v>
      </c>
      <c r="J462" t="s">
        <v>1648</v>
      </c>
      <c r="K462">
        <v>2</v>
      </c>
      <c r="L462" t="s">
        <v>1649</v>
      </c>
      <c r="M462" t="s">
        <v>1637</v>
      </c>
      <c r="N462" t="s">
        <v>1650</v>
      </c>
      <c r="O462" t="s">
        <v>5089</v>
      </c>
      <c r="P462" t="s">
        <v>5090</v>
      </c>
      <c r="Q462" t="s">
        <v>5091</v>
      </c>
      <c r="R462" t="s">
        <v>5092</v>
      </c>
      <c r="S462" t="s">
        <v>5093</v>
      </c>
      <c r="T462" t="s">
        <v>5094</v>
      </c>
    </row>
    <row r="463" spans="1:20">
      <c r="A463">
        <v>462</v>
      </c>
      <c r="B463" t="s">
        <v>411</v>
      </c>
      <c r="C463" s="1">
        <v>152561</v>
      </c>
      <c r="D463" t="s">
        <v>5</v>
      </c>
      <c r="E463" t="s">
        <v>1657</v>
      </c>
      <c r="F463" t="s">
        <v>5095</v>
      </c>
      <c r="G463">
        <v>42219</v>
      </c>
      <c r="H463" t="s">
        <v>1670</v>
      </c>
      <c r="I463" s="2">
        <v>31248</v>
      </c>
      <c r="J463" t="s">
        <v>1648</v>
      </c>
      <c r="K463">
        <v>2</v>
      </c>
      <c r="L463" t="s">
        <v>1649</v>
      </c>
      <c r="M463" t="s">
        <v>5096</v>
      </c>
      <c r="N463" t="s">
        <v>1671</v>
      </c>
      <c r="O463" t="s">
        <v>5097</v>
      </c>
      <c r="P463" t="s">
        <v>5098</v>
      </c>
      <c r="Q463" t="s">
        <v>5099</v>
      </c>
      <c r="R463" t="s">
        <v>5100</v>
      </c>
      <c r="S463" t="s">
        <v>5101</v>
      </c>
      <c r="T463" t="s">
        <v>5102</v>
      </c>
    </row>
    <row r="464" spans="1:20">
      <c r="A464">
        <v>463</v>
      </c>
      <c r="B464" t="s">
        <v>1021</v>
      </c>
      <c r="C464" s="1">
        <v>83117264</v>
      </c>
      <c r="D464" t="s">
        <v>16</v>
      </c>
      <c r="E464" t="s">
        <v>1657</v>
      </c>
      <c r="F464" t="s">
        <v>5103</v>
      </c>
      <c r="G464">
        <v>40677</v>
      </c>
      <c r="H464" t="s">
        <v>1925</v>
      </c>
      <c r="I464" s="2">
        <v>32890</v>
      </c>
      <c r="J464" t="s">
        <v>1648</v>
      </c>
      <c r="K464">
        <v>2</v>
      </c>
      <c r="L464" t="s">
        <v>1649</v>
      </c>
      <c r="M464" t="s">
        <v>1661</v>
      </c>
      <c r="N464" t="s">
        <v>2334</v>
      </c>
      <c r="O464" t="s">
        <v>5104</v>
      </c>
      <c r="P464" t="s">
        <v>5105</v>
      </c>
      <c r="Q464" t="s">
        <v>5106</v>
      </c>
      <c r="R464" t="s">
        <v>5107</v>
      </c>
      <c r="S464" t="s">
        <v>5108</v>
      </c>
      <c r="T464" t="s">
        <v>5109</v>
      </c>
    </row>
    <row r="465" spans="1:20">
      <c r="A465">
        <v>464</v>
      </c>
      <c r="B465" t="s">
        <v>409</v>
      </c>
      <c r="C465" s="1">
        <v>84124758</v>
      </c>
      <c r="D465" t="s">
        <v>5</v>
      </c>
      <c r="E465" t="s">
        <v>1657</v>
      </c>
      <c r="F465" t="s">
        <v>5110</v>
      </c>
      <c r="G465">
        <v>40909</v>
      </c>
      <c r="H465" t="s">
        <v>2726</v>
      </c>
      <c r="I465" s="2">
        <v>31945</v>
      </c>
      <c r="J465" t="s">
        <v>1648</v>
      </c>
      <c r="K465">
        <v>1</v>
      </c>
      <c r="L465" t="s">
        <v>1649</v>
      </c>
      <c r="M465" t="s">
        <v>1637</v>
      </c>
      <c r="N465" t="s">
        <v>1671</v>
      </c>
      <c r="O465" t="s">
        <v>5111</v>
      </c>
      <c r="P465" t="s">
        <v>5112</v>
      </c>
      <c r="Q465" t="s">
        <v>5113</v>
      </c>
      <c r="R465" t="s">
        <v>5114</v>
      </c>
      <c r="S465" t="s">
        <v>5115</v>
      </c>
      <c r="T465" t="s">
        <v>5116</v>
      </c>
    </row>
    <row r="466" spans="1:20">
      <c r="A466">
        <v>465</v>
      </c>
      <c r="B466" t="s">
        <v>695</v>
      </c>
      <c r="C466" s="1">
        <v>148194</v>
      </c>
      <c r="D466" t="s">
        <v>16</v>
      </c>
      <c r="E466" t="s">
        <v>1657</v>
      </c>
      <c r="F466" t="s">
        <v>5117</v>
      </c>
      <c r="G466">
        <v>42002</v>
      </c>
      <c r="H466" t="s">
        <v>1843</v>
      </c>
      <c r="I466" s="2">
        <v>35140</v>
      </c>
      <c r="J466" t="s">
        <v>1648</v>
      </c>
      <c r="K466">
        <v>1</v>
      </c>
      <c r="L466" t="s">
        <v>1649</v>
      </c>
      <c r="M466" t="s">
        <v>1661</v>
      </c>
      <c r="N466" t="s">
        <v>5118</v>
      </c>
      <c r="O466" t="s">
        <v>5119</v>
      </c>
      <c r="P466" t="s">
        <v>5120</v>
      </c>
      <c r="Q466" t="s">
        <v>5121</v>
      </c>
      <c r="R466" t="s">
        <v>5122</v>
      </c>
      <c r="S466" t="s">
        <v>5123</v>
      </c>
      <c r="T466" t="s">
        <v>5124</v>
      </c>
    </row>
    <row r="467" spans="1:20">
      <c r="A467">
        <v>466</v>
      </c>
      <c r="B467" t="s">
        <v>771</v>
      </c>
      <c r="C467" s="1">
        <v>141587</v>
      </c>
      <c r="D467" t="s">
        <v>17</v>
      </c>
      <c r="E467" t="s">
        <v>1657</v>
      </c>
      <c r="F467" t="s">
        <v>5125</v>
      </c>
      <c r="G467">
        <v>41710</v>
      </c>
      <c r="H467" t="s">
        <v>1878</v>
      </c>
      <c r="I467" s="2">
        <v>33783</v>
      </c>
      <c r="J467" t="s">
        <v>1648</v>
      </c>
      <c r="K467">
        <v>0</v>
      </c>
      <c r="L467" t="s">
        <v>1649</v>
      </c>
      <c r="M467" t="s">
        <v>1637</v>
      </c>
      <c r="N467" t="s">
        <v>1671</v>
      </c>
      <c r="O467" t="s">
        <v>5126</v>
      </c>
      <c r="P467" t="s">
        <v>5127</v>
      </c>
      <c r="Q467" t="s">
        <v>5128</v>
      </c>
      <c r="R467" t="s">
        <v>5129</v>
      </c>
      <c r="S467" t="s">
        <v>5130</v>
      </c>
      <c r="T467" t="s">
        <v>5131</v>
      </c>
    </row>
    <row r="468" spans="1:20">
      <c r="A468">
        <v>467</v>
      </c>
      <c r="B468" t="s">
        <v>731</v>
      </c>
      <c r="C468" s="1">
        <v>148198</v>
      </c>
      <c r="D468" t="s">
        <v>16</v>
      </c>
      <c r="E468" t="s">
        <v>1657</v>
      </c>
      <c r="F468" t="s">
        <v>5132</v>
      </c>
      <c r="G468">
        <v>42002</v>
      </c>
      <c r="H468" t="s">
        <v>5133</v>
      </c>
      <c r="I468" s="2">
        <v>35118</v>
      </c>
      <c r="J468" t="s">
        <v>1648</v>
      </c>
      <c r="K468">
        <v>2</v>
      </c>
      <c r="L468" t="s">
        <v>1649</v>
      </c>
      <c r="M468" t="s">
        <v>1637</v>
      </c>
      <c r="N468" t="s">
        <v>1650</v>
      </c>
      <c r="O468" t="s">
        <v>5134</v>
      </c>
      <c r="P468" t="s">
        <v>5135</v>
      </c>
      <c r="Q468" t="s">
        <v>5136</v>
      </c>
      <c r="R468" t="s">
        <v>5137</v>
      </c>
      <c r="S468" t="s">
        <v>5138</v>
      </c>
      <c r="T468" t="s">
        <v>5139</v>
      </c>
    </row>
    <row r="469" spans="1:20">
      <c r="A469">
        <v>468</v>
      </c>
      <c r="B469" t="s">
        <v>1022</v>
      </c>
      <c r="C469" s="1">
        <v>84123768</v>
      </c>
      <c r="D469" t="s">
        <v>5140</v>
      </c>
      <c r="E469" t="s">
        <v>1657</v>
      </c>
      <c r="F469" t="s">
        <v>5141</v>
      </c>
      <c r="G469">
        <v>41167</v>
      </c>
      <c r="H469" t="s">
        <v>3082</v>
      </c>
      <c r="I469" s="2">
        <v>34560</v>
      </c>
      <c r="J469" t="s">
        <v>1648</v>
      </c>
      <c r="K469">
        <v>0</v>
      </c>
      <c r="L469" t="s">
        <v>1649</v>
      </c>
      <c r="M469" t="s">
        <v>1593</v>
      </c>
      <c r="N469" t="s">
        <v>5142</v>
      </c>
      <c r="O469" t="s">
        <v>5143</v>
      </c>
      <c r="P469" t="s">
        <v>5144</v>
      </c>
      <c r="Q469" t="s">
        <v>5145</v>
      </c>
      <c r="R469" t="s">
        <v>5146</v>
      </c>
      <c r="S469" t="s">
        <v>5147</v>
      </c>
      <c r="T469" t="s">
        <v>5148</v>
      </c>
    </row>
    <row r="470" spans="1:20">
      <c r="A470">
        <v>469</v>
      </c>
      <c r="B470" t="s">
        <v>1023</v>
      </c>
      <c r="C470" s="1">
        <v>83122902</v>
      </c>
      <c r="D470" t="s">
        <v>5</v>
      </c>
      <c r="E470" t="s">
        <v>1365</v>
      </c>
      <c r="F470" t="s">
        <v>5149</v>
      </c>
      <c r="G470">
        <v>41108</v>
      </c>
      <c r="H470" t="s">
        <v>4226</v>
      </c>
      <c r="I470" s="2">
        <v>31829</v>
      </c>
      <c r="J470" t="s">
        <v>1648</v>
      </c>
      <c r="K470">
        <v>3</v>
      </c>
      <c r="L470" t="s">
        <v>1649</v>
      </c>
      <c r="M470" t="s">
        <v>2073</v>
      </c>
      <c r="N470" t="s">
        <v>5150</v>
      </c>
      <c r="O470" t="s">
        <v>5151</v>
      </c>
      <c r="P470" t="s">
        <v>5152</v>
      </c>
      <c r="Q470" t="s">
        <v>5153</v>
      </c>
      <c r="R470" t="s">
        <v>5154</v>
      </c>
      <c r="S470" t="s">
        <v>5152</v>
      </c>
      <c r="T470" t="s">
        <v>5155</v>
      </c>
    </row>
    <row r="471" spans="1:20">
      <c r="A471">
        <v>470</v>
      </c>
      <c r="B471" t="s">
        <v>1024</v>
      </c>
      <c r="C471" s="1">
        <v>148196</v>
      </c>
      <c r="D471" t="s">
        <v>16</v>
      </c>
      <c r="E471" t="s">
        <v>1657</v>
      </c>
      <c r="F471" t="s">
        <v>5156</v>
      </c>
      <c r="G471">
        <v>42002</v>
      </c>
      <c r="H471" t="s">
        <v>2251</v>
      </c>
      <c r="I471" s="2">
        <v>34789</v>
      </c>
      <c r="J471" t="s">
        <v>1648</v>
      </c>
      <c r="K471">
        <v>1</v>
      </c>
      <c r="L471" t="s">
        <v>1649</v>
      </c>
      <c r="M471" t="s">
        <v>1661</v>
      </c>
      <c r="N471" t="s">
        <v>1844</v>
      </c>
      <c r="O471" t="s">
        <v>5157</v>
      </c>
      <c r="P471" t="s">
        <v>5158</v>
      </c>
      <c r="Q471" t="s">
        <v>5159</v>
      </c>
      <c r="R471" t="s">
        <v>5160</v>
      </c>
      <c r="S471" t="s">
        <v>5161</v>
      </c>
      <c r="T471" t="s">
        <v>5162</v>
      </c>
    </row>
    <row r="472" spans="1:20">
      <c r="A472">
        <v>471</v>
      </c>
      <c r="B472" t="s">
        <v>658</v>
      </c>
      <c r="C472" s="1">
        <v>84130089</v>
      </c>
      <c r="D472" t="s">
        <v>12</v>
      </c>
      <c r="E472" t="s">
        <v>1657</v>
      </c>
      <c r="F472" t="s">
        <v>5163</v>
      </c>
      <c r="G472">
        <v>41275</v>
      </c>
      <c r="H472" t="s">
        <v>4076</v>
      </c>
      <c r="I472" s="2">
        <v>25491</v>
      </c>
      <c r="J472" t="s">
        <v>1648</v>
      </c>
      <c r="K472">
        <v>3</v>
      </c>
      <c r="L472" t="s">
        <v>1636</v>
      </c>
      <c r="M472" t="s">
        <v>1593</v>
      </c>
      <c r="N472" t="s">
        <v>5164</v>
      </c>
      <c r="O472" t="s">
        <v>5165</v>
      </c>
      <c r="P472" t="s">
        <v>5166</v>
      </c>
      <c r="Q472" t="s">
        <v>5167</v>
      </c>
      <c r="R472" t="s">
        <v>5168</v>
      </c>
      <c r="S472" t="s">
        <v>5169</v>
      </c>
      <c r="T472" t="s">
        <v>5170</v>
      </c>
    </row>
    <row r="473" spans="1:20">
      <c r="A473">
        <v>472</v>
      </c>
      <c r="B473" t="s">
        <v>1025</v>
      </c>
      <c r="C473" s="1">
        <v>83117506</v>
      </c>
      <c r="D473" t="s">
        <v>16</v>
      </c>
      <c r="E473" t="s">
        <v>1657</v>
      </c>
      <c r="F473" t="s">
        <v>5171</v>
      </c>
      <c r="G473">
        <v>40722</v>
      </c>
      <c r="H473" t="s">
        <v>1790</v>
      </c>
      <c r="I473" s="2">
        <v>32469</v>
      </c>
      <c r="J473" t="s">
        <v>1648</v>
      </c>
      <c r="K473">
        <v>2</v>
      </c>
      <c r="L473" t="s">
        <v>1649</v>
      </c>
      <c r="M473" t="s">
        <v>1637</v>
      </c>
      <c r="N473" t="s">
        <v>1650</v>
      </c>
      <c r="O473" t="s">
        <v>3307</v>
      </c>
      <c r="P473" t="s">
        <v>5172</v>
      </c>
      <c r="Q473" t="s">
        <v>5173</v>
      </c>
      <c r="R473" t="s">
        <v>5174</v>
      </c>
      <c r="S473" t="s">
        <v>5175</v>
      </c>
      <c r="T473" t="s">
        <v>5176</v>
      </c>
    </row>
    <row r="474" spans="1:20">
      <c r="A474">
        <v>473</v>
      </c>
      <c r="B474" t="s">
        <v>463</v>
      </c>
      <c r="C474" s="1">
        <v>134362</v>
      </c>
      <c r="D474" t="s">
        <v>5</v>
      </c>
      <c r="E474" t="s">
        <v>1657</v>
      </c>
      <c r="F474" t="s">
        <v>5177</v>
      </c>
      <c r="G474">
        <v>41543</v>
      </c>
      <c r="H474" t="s">
        <v>5178</v>
      </c>
      <c r="I474" s="2">
        <v>33008</v>
      </c>
      <c r="J474" t="s">
        <v>1635</v>
      </c>
      <c r="K474">
        <v>0</v>
      </c>
      <c r="L474" t="s">
        <v>1649</v>
      </c>
      <c r="M474" t="s">
        <v>1637</v>
      </c>
      <c r="N474" t="s">
        <v>1671</v>
      </c>
      <c r="O474" t="s">
        <v>5179</v>
      </c>
      <c r="P474" t="s">
        <v>5180</v>
      </c>
      <c r="Q474" t="s">
        <v>5181</v>
      </c>
      <c r="R474" t="s">
        <v>5182</v>
      </c>
      <c r="S474" t="s">
        <v>5183</v>
      </c>
      <c r="T474" t="s">
        <v>5184</v>
      </c>
    </row>
    <row r="475" spans="1:20">
      <c r="A475">
        <v>474</v>
      </c>
      <c r="B475" t="s">
        <v>1026</v>
      </c>
      <c r="C475" s="1">
        <v>147334</v>
      </c>
      <c r="D475" t="s">
        <v>5</v>
      </c>
      <c r="E475" t="s">
        <v>1657</v>
      </c>
      <c r="F475" t="s">
        <v>5185</v>
      </c>
      <c r="G475">
        <v>41975</v>
      </c>
      <c r="H475" t="s">
        <v>1670</v>
      </c>
      <c r="I475" s="2">
        <v>34033</v>
      </c>
      <c r="J475" t="s">
        <v>1648</v>
      </c>
      <c r="K475">
        <v>1</v>
      </c>
      <c r="L475" t="s">
        <v>1649</v>
      </c>
      <c r="M475" t="s">
        <v>1637</v>
      </c>
      <c r="N475" t="s">
        <v>1671</v>
      </c>
      <c r="O475" t="s">
        <v>5186</v>
      </c>
      <c r="P475" t="s">
        <v>5187</v>
      </c>
      <c r="Q475" t="s">
        <v>5188</v>
      </c>
      <c r="R475" t="s">
        <v>5189</v>
      </c>
      <c r="S475" t="s">
        <v>5190</v>
      </c>
      <c r="T475" t="s">
        <v>5191</v>
      </c>
    </row>
    <row r="476" spans="1:20">
      <c r="A476">
        <v>475</v>
      </c>
      <c r="B476" t="s">
        <v>464</v>
      </c>
      <c r="C476" s="1">
        <v>134564</v>
      </c>
      <c r="D476" t="s">
        <v>5</v>
      </c>
      <c r="E476" t="s">
        <v>1657</v>
      </c>
      <c r="F476" t="s">
        <v>5192</v>
      </c>
      <c r="G476">
        <v>41544</v>
      </c>
      <c r="H476" t="s">
        <v>5193</v>
      </c>
      <c r="I476" s="2">
        <v>45802</v>
      </c>
      <c r="J476" t="s">
        <v>1635</v>
      </c>
      <c r="K476">
        <v>0</v>
      </c>
      <c r="L476" t="s">
        <v>1649</v>
      </c>
      <c r="M476" t="s">
        <v>1661</v>
      </c>
      <c r="N476" t="s">
        <v>2342</v>
      </c>
      <c r="O476" t="s">
        <v>5194</v>
      </c>
      <c r="P476" t="s">
        <v>5195</v>
      </c>
      <c r="Q476" t="s">
        <v>5196</v>
      </c>
      <c r="R476" t="s">
        <v>5197</v>
      </c>
      <c r="S476" t="s">
        <v>5198</v>
      </c>
      <c r="T476" t="s">
        <v>5199</v>
      </c>
    </row>
    <row r="477" spans="1:20">
      <c r="A477">
        <v>476</v>
      </c>
      <c r="B477" t="s">
        <v>1027</v>
      </c>
      <c r="C477" s="1">
        <v>147365</v>
      </c>
      <c r="D477" t="s">
        <v>5</v>
      </c>
      <c r="E477" t="s">
        <v>1657</v>
      </c>
      <c r="F477" t="s">
        <v>5200</v>
      </c>
      <c r="G477">
        <v>41975</v>
      </c>
      <c r="H477" t="s">
        <v>1738</v>
      </c>
      <c r="I477" s="2">
        <v>31996</v>
      </c>
      <c r="J477" t="s">
        <v>1648</v>
      </c>
      <c r="K477">
        <v>1</v>
      </c>
      <c r="L477" t="s">
        <v>1649</v>
      </c>
      <c r="M477" t="s">
        <v>1637</v>
      </c>
      <c r="N477" t="s">
        <v>1671</v>
      </c>
      <c r="O477" t="s">
        <v>5201</v>
      </c>
      <c r="P477" t="s">
        <v>5202</v>
      </c>
      <c r="Q477" t="s">
        <v>5203</v>
      </c>
      <c r="R477" t="s">
        <v>5204</v>
      </c>
      <c r="S477" t="s">
        <v>5205</v>
      </c>
      <c r="T477" t="s">
        <v>5206</v>
      </c>
    </row>
    <row r="478" spans="1:20">
      <c r="A478">
        <v>477</v>
      </c>
      <c r="B478" t="s">
        <v>440</v>
      </c>
      <c r="C478" s="1">
        <v>147328</v>
      </c>
      <c r="D478" t="s">
        <v>5</v>
      </c>
      <c r="E478" t="s">
        <v>1657</v>
      </c>
      <c r="F478" t="s">
        <v>5207</v>
      </c>
      <c r="G478">
        <v>41975</v>
      </c>
      <c r="H478" t="s">
        <v>1738</v>
      </c>
      <c r="I478" s="2">
        <v>34711</v>
      </c>
      <c r="J478" t="s">
        <v>1648</v>
      </c>
      <c r="K478">
        <v>1</v>
      </c>
      <c r="L478" t="s">
        <v>1649</v>
      </c>
      <c r="M478" t="s">
        <v>1661</v>
      </c>
      <c r="N478" t="s">
        <v>5208</v>
      </c>
      <c r="O478" t="s">
        <v>5209</v>
      </c>
      <c r="P478" t="s">
        <v>5210</v>
      </c>
      <c r="Q478" t="s">
        <v>5211</v>
      </c>
      <c r="R478" t="s">
        <v>5212</v>
      </c>
      <c r="S478" t="s">
        <v>5213</v>
      </c>
      <c r="T478" t="s">
        <v>5214</v>
      </c>
    </row>
    <row r="479" spans="1:20">
      <c r="A479">
        <v>478</v>
      </c>
      <c r="B479" t="s">
        <v>1028</v>
      </c>
      <c r="C479" s="1">
        <v>173528</v>
      </c>
      <c r="D479" t="s">
        <v>3</v>
      </c>
      <c r="E479" t="s">
        <v>1657</v>
      </c>
      <c r="F479" t="s">
        <v>5215</v>
      </c>
      <c r="G479">
        <v>43094</v>
      </c>
      <c r="H479" t="s">
        <v>5216</v>
      </c>
      <c r="I479" s="2">
        <v>32349</v>
      </c>
      <c r="J479" t="s">
        <v>1648</v>
      </c>
      <c r="K479">
        <v>0</v>
      </c>
      <c r="L479" t="s">
        <v>1636</v>
      </c>
      <c r="M479" t="s">
        <v>1637</v>
      </c>
      <c r="N479" t="s">
        <v>1671</v>
      </c>
      <c r="O479" t="s">
        <v>5217</v>
      </c>
      <c r="P479" t="s">
        <v>5218</v>
      </c>
      <c r="Q479" t="s">
        <v>5219</v>
      </c>
      <c r="R479" t="s">
        <v>5220</v>
      </c>
      <c r="S479" t="s">
        <v>5221</v>
      </c>
      <c r="T479" t="s">
        <v>5222</v>
      </c>
    </row>
    <row r="480" spans="1:20">
      <c r="A480">
        <v>479</v>
      </c>
      <c r="B480" t="s">
        <v>813</v>
      </c>
      <c r="C480" s="1">
        <v>140685</v>
      </c>
      <c r="D480" t="s">
        <v>5</v>
      </c>
      <c r="E480" t="s">
        <v>1657</v>
      </c>
      <c r="F480" t="s">
        <v>2358</v>
      </c>
      <c r="G480">
        <v>41683</v>
      </c>
      <c r="H480" t="s">
        <v>1738</v>
      </c>
      <c r="I480" s="2">
        <v>30063</v>
      </c>
      <c r="J480" t="s">
        <v>1648</v>
      </c>
      <c r="K480">
        <v>3</v>
      </c>
      <c r="L480" t="s">
        <v>1649</v>
      </c>
      <c r="M480" t="s">
        <v>1593</v>
      </c>
      <c r="N480" t="s">
        <v>2360</v>
      </c>
      <c r="O480" t="s">
        <v>2361</v>
      </c>
      <c r="P480" t="s">
        <v>2362</v>
      </c>
      <c r="Q480" t="s">
        <v>2363</v>
      </c>
      <c r="R480" t="s">
        <v>2364</v>
      </c>
      <c r="S480" t="s">
        <v>2365</v>
      </c>
      <c r="T480" t="s">
        <v>2366</v>
      </c>
    </row>
    <row r="481" spans="1:20">
      <c r="A481">
        <v>480</v>
      </c>
      <c r="B481" t="s">
        <v>1029</v>
      </c>
      <c r="C481" s="1">
        <v>83040208</v>
      </c>
      <c r="D481" t="s">
        <v>5</v>
      </c>
      <c r="E481" t="s">
        <v>1657</v>
      </c>
      <c r="F481" t="s">
        <v>5223</v>
      </c>
      <c r="G481">
        <v>38141</v>
      </c>
      <c r="H481" t="s">
        <v>1721</v>
      </c>
      <c r="I481" s="2">
        <v>27286</v>
      </c>
      <c r="J481" t="s">
        <v>1648</v>
      </c>
      <c r="K481">
        <v>0</v>
      </c>
      <c r="L481" t="s">
        <v>1649</v>
      </c>
      <c r="M481" t="s">
        <v>1661</v>
      </c>
      <c r="N481" t="s">
        <v>1650</v>
      </c>
      <c r="O481" t="s">
        <v>5224</v>
      </c>
      <c r="P481" t="s">
        <v>5225</v>
      </c>
      <c r="Q481" t="s">
        <v>5226</v>
      </c>
      <c r="R481" t="s">
        <v>5227</v>
      </c>
      <c r="S481" t="s">
        <v>5228</v>
      </c>
      <c r="T481" t="s">
        <v>5229</v>
      </c>
    </row>
    <row r="482" spans="1:20">
      <c r="A482">
        <v>481</v>
      </c>
      <c r="B482" t="s">
        <v>1030</v>
      </c>
      <c r="C482" s="1">
        <v>83040130</v>
      </c>
      <c r="D482" t="s">
        <v>5</v>
      </c>
      <c r="E482" t="s">
        <v>1657</v>
      </c>
      <c r="F482" t="s">
        <v>5230</v>
      </c>
      <c r="G482">
        <v>37960</v>
      </c>
      <c r="H482" t="s">
        <v>1670</v>
      </c>
      <c r="I482" s="2">
        <v>27122</v>
      </c>
      <c r="J482" t="s">
        <v>1648</v>
      </c>
      <c r="K482">
        <v>2</v>
      </c>
      <c r="L482" t="s">
        <v>1649</v>
      </c>
      <c r="M482" t="s">
        <v>4480</v>
      </c>
      <c r="N482" t="s">
        <v>5231</v>
      </c>
      <c r="O482" t="s">
        <v>5232</v>
      </c>
      <c r="P482" t="s">
        <v>5233</v>
      </c>
      <c r="Q482" t="s">
        <v>5234</v>
      </c>
      <c r="R482" t="s">
        <v>5235</v>
      </c>
      <c r="S482" t="s">
        <v>5236</v>
      </c>
      <c r="T482" t="s">
        <v>5237</v>
      </c>
    </row>
    <row r="483" spans="1:20">
      <c r="A483">
        <v>482</v>
      </c>
      <c r="B483" t="s">
        <v>1031</v>
      </c>
      <c r="C483" s="1">
        <v>242413</v>
      </c>
      <c r="D483" t="s">
        <v>5</v>
      </c>
      <c r="E483" t="s">
        <v>1657</v>
      </c>
      <c r="F483" t="s">
        <v>5238</v>
      </c>
      <c r="G483">
        <v>45621</v>
      </c>
      <c r="H483" t="s">
        <v>1764</v>
      </c>
      <c r="I483" s="2">
        <v>37990</v>
      </c>
      <c r="J483" t="s">
        <v>1635</v>
      </c>
      <c r="K483">
        <v>0</v>
      </c>
      <c r="L483" t="s">
        <v>1649</v>
      </c>
      <c r="M483" t="s">
        <v>1661</v>
      </c>
      <c r="N483" t="s">
        <v>2011</v>
      </c>
      <c r="O483" t="s">
        <v>5239</v>
      </c>
      <c r="P483" t="s">
        <v>5240</v>
      </c>
      <c r="Q483" t="s">
        <v>5241</v>
      </c>
      <c r="R483" t="s">
        <v>5242</v>
      </c>
      <c r="S483" t="s">
        <v>5243</v>
      </c>
      <c r="T483" t="s">
        <v>5244</v>
      </c>
    </row>
    <row r="484" spans="1:20">
      <c r="A484">
        <v>483</v>
      </c>
      <c r="B484" t="s">
        <v>478</v>
      </c>
      <c r="C484" s="1">
        <v>83102201</v>
      </c>
      <c r="D484" t="s">
        <v>5</v>
      </c>
      <c r="E484" t="s">
        <v>1657</v>
      </c>
      <c r="F484" t="s">
        <v>5245</v>
      </c>
      <c r="G484">
        <v>40283</v>
      </c>
      <c r="H484" t="s">
        <v>5246</v>
      </c>
      <c r="I484" s="2">
        <v>32921</v>
      </c>
      <c r="J484" t="s">
        <v>1648</v>
      </c>
      <c r="K484">
        <v>1</v>
      </c>
      <c r="L484" t="s">
        <v>1649</v>
      </c>
      <c r="M484" t="s">
        <v>1661</v>
      </c>
      <c r="N484" t="s">
        <v>1853</v>
      </c>
      <c r="O484" t="s">
        <v>5247</v>
      </c>
      <c r="P484" t="s">
        <v>5248</v>
      </c>
      <c r="Q484" t="s">
        <v>5249</v>
      </c>
      <c r="R484" t="s">
        <v>5250</v>
      </c>
      <c r="S484" t="s">
        <v>5251</v>
      </c>
      <c r="T484" t="s">
        <v>5252</v>
      </c>
    </row>
    <row r="485" spans="1:20">
      <c r="A485">
        <v>484</v>
      </c>
      <c r="B485" t="s">
        <v>681</v>
      </c>
      <c r="C485" s="1">
        <v>143961</v>
      </c>
      <c r="D485" t="s">
        <v>16</v>
      </c>
      <c r="E485" t="s">
        <v>1645</v>
      </c>
      <c r="F485" t="s">
        <v>5253</v>
      </c>
      <c r="G485">
        <v>41836</v>
      </c>
      <c r="H485" t="s">
        <v>2079</v>
      </c>
      <c r="I485" s="2">
        <v>32856</v>
      </c>
      <c r="J485" t="s">
        <v>1648</v>
      </c>
      <c r="K485">
        <v>3</v>
      </c>
      <c r="L485" t="s">
        <v>1649</v>
      </c>
      <c r="M485" t="s">
        <v>1661</v>
      </c>
      <c r="N485" t="s">
        <v>5254</v>
      </c>
      <c r="O485" t="s">
        <v>5255</v>
      </c>
      <c r="P485" t="s">
        <v>5256</v>
      </c>
      <c r="Q485" t="s">
        <v>5257</v>
      </c>
      <c r="R485" t="s">
        <v>5258</v>
      </c>
      <c r="S485" t="s">
        <v>5259</v>
      </c>
      <c r="T485" t="s">
        <v>5256</v>
      </c>
    </row>
    <row r="486" spans="1:20">
      <c r="A486">
        <v>485</v>
      </c>
      <c r="B486" t="s">
        <v>742</v>
      </c>
      <c r="C486" s="1">
        <v>162504</v>
      </c>
      <c r="D486" t="s">
        <v>16</v>
      </c>
      <c r="E486" t="s">
        <v>1657</v>
      </c>
      <c r="F486" t="s">
        <v>5260</v>
      </c>
      <c r="G486">
        <v>42671</v>
      </c>
      <c r="H486" t="s">
        <v>3324</v>
      </c>
      <c r="I486" s="2">
        <v>35670</v>
      </c>
      <c r="J486" t="s">
        <v>1635</v>
      </c>
      <c r="K486">
        <v>0</v>
      </c>
      <c r="L486" t="s">
        <v>1649</v>
      </c>
      <c r="M486" t="s">
        <v>1661</v>
      </c>
      <c r="N486" t="s">
        <v>5261</v>
      </c>
      <c r="O486" t="s">
        <v>1757</v>
      </c>
      <c r="P486" t="s">
        <v>5262</v>
      </c>
      <c r="Q486" t="s">
        <v>5263</v>
      </c>
      <c r="R486" t="s">
        <v>5264</v>
      </c>
      <c r="S486" t="s">
        <v>5265</v>
      </c>
      <c r="T486" t="s">
        <v>5266</v>
      </c>
    </row>
    <row r="487" spans="1:20">
      <c r="A487">
        <v>486</v>
      </c>
      <c r="B487" t="s">
        <v>697</v>
      </c>
      <c r="C487" s="1">
        <v>148200</v>
      </c>
      <c r="D487" t="s">
        <v>16</v>
      </c>
      <c r="E487" t="s">
        <v>1657</v>
      </c>
      <c r="F487" t="s">
        <v>5267</v>
      </c>
      <c r="G487">
        <v>42002</v>
      </c>
      <c r="H487" t="s">
        <v>5268</v>
      </c>
      <c r="I487" s="2">
        <v>34890</v>
      </c>
      <c r="J487" t="s">
        <v>1648</v>
      </c>
      <c r="K487">
        <v>1</v>
      </c>
      <c r="L487" t="s">
        <v>1649</v>
      </c>
      <c r="M487" t="s">
        <v>1661</v>
      </c>
      <c r="N487" t="s">
        <v>1791</v>
      </c>
      <c r="O487" t="s">
        <v>5269</v>
      </c>
      <c r="P487" t="s">
        <v>5270</v>
      </c>
      <c r="Q487" t="s">
        <v>5271</v>
      </c>
      <c r="R487" t="s">
        <v>5272</v>
      </c>
      <c r="S487" t="s">
        <v>5273</v>
      </c>
      <c r="T487" t="s">
        <v>5274</v>
      </c>
    </row>
    <row r="488" spans="1:20">
      <c r="A488">
        <v>487</v>
      </c>
      <c r="B488" t="s">
        <v>634</v>
      </c>
      <c r="C488" s="1">
        <v>192507</v>
      </c>
      <c r="D488" t="s">
        <v>9</v>
      </c>
      <c r="E488" t="s">
        <v>1365</v>
      </c>
      <c r="F488" t="s">
        <v>5275</v>
      </c>
      <c r="G488">
        <v>43678</v>
      </c>
      <c r="H488" t="s">
        <v>5276</v>
      </c>
      <c r="I488" s="2">
        <v>35231</v>
      </c>
      <c r="J488" t="s">
        <v>1635</v>
      </c>
      <c r="K488">
        <v>0</v>
      </c>
      <c r="L488" t="s">
        <v>2101</v>
      </c>
      <c r="M488" t="s">
        <v>1593</v>
      </c>
      <c r="N488" t="s">
        <v>5277</v>
      </c>
      <c r="O488" t="s">
        <v>5278</v>
      </c>
      <c r="P488" t="s">
        <v>5279</v>
      </c>
      <c r="Q488" t="s">
        <v>5280</v>
      </c>
      <c r="R488" t="s">
        <v>5281</v>
      </c>
      <c r="S488" t="s">
        <v>5282</v>
      </c>
      <c r="T488" t="s">
        <v>5283</v>
      </c>
    </row>
    <row r="489" spans="1:20">
      <c r="A489">
        <v>488</v>
      </c>
      <c r="B489" t="s">
        <v>243</v>
      </c>
      <c r="C489" s="1">
        <v>83130108</v>
      </c>
      <c r="D489" t="s">
        <v>5</v>
      </c>
      <c r="E489" t="s">
        <v>3171</v>
      </c>
      <c r="F489" t="s">
        <v>5284</v>
      </c>
      <c r="G489">
        <v>41290</v>
      </c>
      <c r="H489" t="s">
        <v>5285</v>
      </c>
      <c r="I489" s="2">
        <v>33385</v>
      </c>
      <c r="J489" t="s">
        <v>1648</v>
      </c>
      <c r="K489">
        <v>0</v>
      </c>
      <c r="L489" t="s">
        <v>1649</v>
      </c>
      <c r="M489" t="s">
        <v>2651</v>
      </c>
      <c r="N489" t="s">
        <v>1650</v>
      </c>
      <c r="O489" t="s">
        <v>5286</v>
      </c>
      <c r="P489" t="s">
        <v>5287</v>
      </c>
      <c r="Q489" t="s">
        <v>5288</v>
      </c>
      <c r="R489" t="s">
        <v>5289</v>
      </c>
      <c r="S489" t="s">
        <v>5290</v>
      </c>
      <c r="T489" t="s">
        <v>5291</v>
      </c>
    </row>
    <row r="490" spans="1:20">
      <c r="A490">
        <v>489</v>
      </c>
      <c r="B490" t="s">
        <v>784</v>
      </c>
      <c r="C490" s="1">
        <v>141581</v>
      </c>
      <c r="D490" t="s">
        <v>17</v>
      </c>
      <c r="E490" t="s">
        <v>1657</v>
      </c>
      <c r="F490" t="s">
        <v>5292</v>
      </c>
      <c r="G490">
        <v>41710</v>
      </c>
      <c r="H490" t="s">
        <v>1878</v>
      </c>
      <c r="I490" s="2">
        <v>34844</v>
      </c>
      <c r="J490" t="s">
        <v>1648</v>
      </c>
      <c r="K490">
        <v>1</v>
      </c>
      <c r="L490" t="s">
        <v>1649</v>
      </c>
      <c r="M490" t="s">
        <v>1637</v>
      </c>
      <c r="N490" t="s">
        <v>1638</v>
      </c>
      <c r="O490" t="s">
        <v>5293</v>
      </c>
      <c r="P490" t="s">
        <v>5294</v>
      </c>
      <c r="Q490" t="s">
        <v>5295</v>
      </c>
      <c r="R490" t="s">
        <v>5296</v>
      </c>
      <c r="S490" t="s">
        <v>5297</v>
      </c>
      <c r="T490" t="s">
        <v>5298</v>
      </c>
    </row>
    <row r="491" spans="1:20">
      <c r="A491">
        <v>490</v>
      </c>
      <c r="B491" t="s">
        <v>1032</v>
      </c>
      <c r="C491" s="1">
        <v>154185</v>
      </c>
      <c r="D491" t="s">
        <v>7</v>
      </c>
      <c r="E491" t="s">
        <v>1657</v>
      </c>
      <c r="F491" t="s">
        <v>5299</v>
      </c>
      <c r="G491">
        <v>42318</v>
      </c>
      <c r="H491" t="s">
        <v>4828</v>
      </c>
      <c r="I491" s="2">
        <v>33842</v>
      </c>
      <c r="J491" t="s">
        <v>1635</v>
      </c>
      <c r="K491">
        <v>0</v>
      </c>
      <c r="L491" t="s">
        <v>1649</v>
      </c>
      <c r="M491" t="s">
        <v>1637</v>
      </c>
      <c r="N491" t="s">
        <v>1650</v>
      </c>
      <c r="O491" t="s">
        <v>5300</v>
      </c>
      <c r="P491" t="s">
        <v>5301</v>
      </c>
      <c r="Q491" t="s">
        <v>5302</v>
      </c>
      <c r="R491" t="s">
        <v>5303</v>
      </c>
      <c r="S491" t="s">
        <v>5304</v>
      </c>
      <c r="T491" t="s">
        <v>5305</v>
      </c>
    </row>
    <row r="492" spans="1:20">
      <c r="A492">
        <v>491</v>
      </c>
      <c r="B492" t="s">
        <v>1033</v>
      </c>
      <c r="C492" s="1">
        <v>83040081</v>
      </c>
      <c r="D492" t="s">
        <v>7</v>
      </c>
      <c r="E492" t="s">
        <v>1365</v>
      </c>
      <c r="F492" t="s">
        <v>5306</v>
      </c>
      <c r="G492">
        <v>37895</v>
      </c>
      <c r="H492" t="s">
        <v>1764</v>
      </c>
      <c r="I492" s="2">
        <v>30374</v>
      </c>
      <c r="J492" t="s">
        <v>1648</v>
      </c>
      <c r="K492">
        <v>0</v>
      </c>
      <c r="L492" t="s">
        <v>1649</v>
      </c>
      <c r="M492" t="s">
        <v>1828</v>
      </c>
      <c r="N492" t="s">
        <v>1671</v>
      </c>
      <c r="O492" t="s">
        <v>5307</v>
      </c>
      <c r="P492" t="s">
        <v>5308</v>
      </c>
      <c r="Q492" t="s">
        <v>5309</v>
      </c>
      <c r="R492" t="s">
        <v>5310</v>
      </c>
      <c r="S492" t="s">
        <v>5311</v>
      </c>
      <c r="T492" t="s">
        <v>5312</v>
      </c>
    </row>
    <row r="493" spans="1:20">
      <c r="A493">
        <v>492</v>
      </c>
      <c r="B493" t="s">
        <v>1034</v>
      </c>
      <c r="C493" s="1">
        <v>241551</v>
      </c>
      <c r="D493" t="s">
        <v>5</v>
      </c>
      <c r="E493" t="s">
        <v>3171</v>
      </c>
      <c r="F493" t="s">
        <v>5313</v>
      </c>
      <c r="G493">
        <v>45535</v>
      </c>
      <c r="H493" t="s">
        <v>1670</v>
      </c>
      <c r="I493" s="2">
        <v>38415</v>
      </c>
      <c r="J493" t="s">
        <v>1635</v>
      </c>
      <c r="K493">
        <v>0</v>
      </c>
      <c r="L493" t="s">
        <v>1649</v>
      </c>
      <c r="M493" t="s">
        <v>1661</v>
      </c>
      <c r="N493" t="s">
        <v>2011</v>
      </c>
      <c r="O493" t="s">
        <v>1836</v>
      </c>
      <c r="P493" t="s">
        <v>5314</v>
      </c>
      <c r="Q493" t="s">
        <v>5315</v>
      </c>
      <c r="R493" t="s">
        <v>5316</v>
      </c>
      <c r="S493" t="s">
        <v>5317</v>
      </c>
      <c r="T493" t="s">
        <v>5318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Sheet4</vt:lpstr>
      <vt:lpstr>STRUKTURAL</vt:lpstr>
      <vt:lpstr>PIVOT </vt:lpstr>
      <vt:lpstr>DATABASE </vt:lpstr>
      <vt:lpstr>DMK </vt:lpstr>
      <vt:lpstr>KUL </vt:lpstr>
      <vt:lpstr>LIST KARYAWAN REPLACEMENT </vt:lpstr>
      <vt:lpstr>RISIGN, MUTASI, PHK 2025 - 2026</vt:lpstr>
      <vt:lpstr>Calculation Domestik </vt:lpstr>
      <vt:lpstr>Eksekutor Domestik</vt:lpstr>
      <vt:lpstr>Calculation All </vt:lpstr>
      <vt:lpstr>Eksekutor All </vt:lpstr>
      <vt:lpstr>Sheet2</vt:lpstr>
      <vt:lpstr>'Calculation All '!Print_Area</vt:lpstr>
      <vt:lpstr>'Calculation Domestik '!Print_Area</vt:lpstr>
      <vt:lpstr>'DATABASE '!Print_Area</vt:lpstr>
      <vt:lpstr>'Eksekutor All '!Print_Area</vt:lpstr>
      <vt:lpstr>'Eksekutor Domestik'!Print_Area</vt:lpstr>
      <vt:lpstr>'RISIGN, MUTASI, PHK 2025 - 2026'!Print_Area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 ADIYANTI</dc:creator>
  <cp:keywords/>
  <dc:description/>
  <cp:lastModifiedBy>DIAN ADIYANTI</cp:lastModifiedBy>
  <cp:revision/>
  <cp:lastPrinted>2026-10-05T09:15:01Z</cp:lastPrinted>
  <dcterms:created xsi:type="dcterms:W3CDTF">2025-03-14T07:32:00Z</dcterms:created>
  <dcterms:modified xsi:type="dcterms:W3CDTF">2026-10-13T04:50:46Z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F225C52422EC436F8B0B50519E22B867</vt:lpwstr>
  </property>
  <property fmtid="{D5CDD505-2E9C-101B-9397-08002B2CF9AE}" pid="3" name="KSOProductBuildVer">
    <vt:lpwstr>1033-11.2.0.11537</vt:lpwstr>
  </property>
</Properties>
</file>